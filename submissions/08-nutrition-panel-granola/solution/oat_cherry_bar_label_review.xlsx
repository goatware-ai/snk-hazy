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09"/>
  <workbookPr/>
  <xr:revisionPtr revIDLastSave="0" documentId="13_ncr:1_{B39CBCD2-830D-0946-B567-5596CC5671B3}" xr6:coauthVersionLast="47" xr6:coauthVersionMax="47" xr10:uidLastSave="{00000000-0000-0000-0000-000000000000}"/>
  <bookViews>
    <workbookView xWindow="0" yWindow="0" windowWidth="21600" windowHeight="38400" xr2:uid="{00000000-000D-0000-FFFF-FFFF00000000}"/>
  </bookViews>
  <sheets>
    <sheet name="Panel" sheetId="1" r:id="rId1"/>
    <sheet name="Parameters" sheetId="2" r:id="rId2"/>
    <sheet name="Pilot Batch Record" sheetId="3" r:id="rId3"/>
    <sheet name="Formula" sheetId="4" r:id="rId4"/>
    <sheet name="Specs" sheetId="5" r:id="rId5"/>
    <sheet name="Nutrients" sheetId="6" r:id="rId6"/>
    <sheet name="Rounding" sheetId="7" r:id="rId7"/>
    <sheet name="Ingredient Statement" sheetId="8" r:id="rId8"/>
    <sheet name="Claims" sheetId="9" r:id="rId9"/>
    <sheet name="Note to Priya" sheetId="10" r:id="rId1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7" i="9" l="1"/>
  <c r="C6" i="9"/>
  <c r="C5" i="9"/>
  <c r="C4" i="9"/>
  <c r="B18" i="8"/>
  <c r="D15" i="8"/>
  <c r="E15" i="8" s="1"/>
  <c r="C15" i="8"/>
  <c r="B15" i="8"/>
  <c r="D14" i="8"/>
  <c r="E14" i="8" s="1"/>
  <c r="C14" i="8"/>
  <c r="B14" i="8"/>
  <c r="D13" i="8"/>
  <c r="E13" i="8" s="1"/>
  <c r="C13" i="8"/>
  <c r="B13" i="8"/>
  <c r="D12" i="8"/>
  <c r="E12" i="8" s="1"/>
  <c r="C12" i="8"/>
  <c r="B12" i="8"/>
  <c r="D11" i="8"/>
  <c r="E11" i="8" s="1"/>
  <c r="C11" i="8"/>
  <c r="B11" i="8"/>
  <c r="D10" i="8"/>
  <c r="E10" i="8" s="1"/>
  <c r="C10" i="8"/>
  <c r="B10" i="8"/>
  <c r="D9" i="8"/>
  <c r="E9" i="8" s="1"/>
  <c r="C9" i="8"/>
  <c r="B9" i="8"/>
  <c r="D8" i="8"/>
  <c r="E8" i="8" s="1"/>
  <c r="C8" i="8"/>
  <c r="B8" i="8"/>
  <c r="D7" i="8"/>
  <c r="E7" i="8" s="1"/>
  <c r="C7" i="8"/>
  <c r="B7" i="8"/>
  <c r="D6" i="8"/>
  <c r="E6" i="8" s="1"/>
  <c r="C6" i="8"/>
  <c r="B6" i="8"/>
  <c r="D5" i="8"/>
  <c r="E5" i="8" s="1"/>
  <c r="C5" i="8"/>
  <c r="B5" i="8"/>
  <c r="D4" i="8"/>
  <c r="E4" i="8" s="1"/>
  <c r="C4" i="8"/>
  <c r="B4" i="8"/>
  <c r="B19" i="8" s="1"/>
  <c r="F18" i="7"/>
  <c r="F17" i="7"/>
  <c r="F16" i="7"/>
  <c r="F15" i="7"/>
  <c r="F14" i="7"/>
  <c r="F13" i="7"/>
  <c r="F11" i="7"/>
  <c r="F10" i="7"/>
  <c r="F9" i="7"/>
  <c r="F8" i="7"/>
  <c r="F6" i="7"/>
  <c r="F5" i="7"/>
  <c r="B16" i="6"/>
  <c r="A16" i="6"/>
  <c r="B15" i="6"/>
  <c r="A15" i="6"/>
  <c r="B14" i="6"/>
  <c r="A14" i="6"/>
  <c r="B13" i="6"/>
  <c r="A13" i="6"/>
  <c r="B12" i="6"/>
  <c r="A12" i="6"/>
  <c r="B11" i="6"/>
  <c r="A11" i="6"/>
  <c r="B10" i="6"/>
  <c r="A10" i="6"/>
  <c r="B9" i="6"/>
  <c r="A9" i="6"/>
  <c r="B8" i="6"/>
  <c r="A8" i="6"/>
  <c r="B7" i="6"/>
  <c r="A7" i="6"/>
  <c r="B6" i="6"/>
  <c r="A6" i="6"/>
  <c r="B5" i="6"/>
  <c r="A5" i="6"/>
  <c r="B4" i="6"/>
  <c r="A4" i="6"/>
  <c r="AJ16" i="5"/>
  <c r="AI16" i="5"/>
  <c r="AH16" i="5"/>
  <c r="AG16" i="5"/>
  <c r="AF16" i="5"/>
  <c r="AE16" i="5"/>
  <c r="AD16" i="5"/>
  <c r="AC16" i="5"/>
  <c r="AB16" i="5"/>
  <c r="AA16" i="5"/>
  <c r="Z16" i="5"/>
  <c r="Y16" i="5"/>
  <c r="X16" i="5"/>
  <c r="W16" i="5"/>
  <c r="V16" i="5"/>
  <c r="U16" i="5"/>
  <c r="AJ15" i="5"/>
  <c r="AI15" i="5"/>
  <c r="AH15" i="5"/>
  <c r="AG15" i="5"/>
  <c r="AF15" i="5"/>
  <c r="AE15" i="5"/>
  <c r="AD15" i="5"/>
  <c r="AC15" i="5"/>
  <c r="AB15" i="5"/>
  <c r="AA15" i="5"/>
  <c r="Z15" i="5"/>
  <c r="Y15" i="5"/>
  <c r="X15" i="5"/>
  <c r="W15" i="5"/>
  <c r="V15" i="5"/>
  <c r="U15" i="5"/>
  <c r="AJ14" i="5"/>
  <c r="AI14" i="5"/>
  <c r="AH14" i="5"/>
  <c r="AG14" i="5"/>
  <c r="AF14" i="5"/>
  <c r="AE14" i="5"/>
  <c r="AD14" i="5"/>
  <c r="AC14" i="5"/>
  <c r="AB14" i="5"/>
  <c r="AA14" i="5"/>
  <c r="Z14" i="5"/>
  <c r="Y14" i="5"/>
  <c r="X14" i="5"/>
  <c r="W14" i="5"/>
  <c r="V14" i="5"/>
  <c r="U14" i="5"/>
  <c r="AJ13" i="5"/>
  <c r="AI13" i="5"/>
  <c r="AH13" i="5"/>
  <c r="AG13" i="5"/>
  <c r="AF13" i="5"/>
  <c r="AE13" i="5"/>
  <c r="AD13" i="5"/>
  <c r="AC13" i="5"/>
  <c r="AB13" i="5"/>
  <c r="AA13" i="5"/>
  <c r="Z13" i="5"/>
  <c r="Y13" i="5"/>
  <c r="X13" i="5"/>
  <c r="W13" i="5"/>
  <c r="V13" i="5"/>
  <c r="U13" i="5"/>
  <c r="AJ12" i="5"/>
  <c r="AI12" i="5"/>
  <c r="AH12" i="5"/>
  <c r="AG12" i="5"/>
  <c r="AF12" i="5"/>
  <c r="AE12" i="5"/>
  <c r="AD12" i="5"/>
  <c r="AC12" i="5"/>
  <c r="AB12" i="5"/>
  <c r="AA12" i="5"/>
  <c r="Z12" i="5"/>
  <c r="Y12" i="5"/>
  <c r="X12" i="5"/>
  <c r="W12" i="5"/>
  <c r="V12" i="5"/>
  <c r="U12" i="5"/>
  <c r="AJ11" i="5"/>
  <c r="AI11" i="5"/>
  <c r="AH11" i="5"/>
  <c r="AG11" i="5"/>
  <c r="AF11" i="5"/>
  <c r="AE11" i="5"/>
  <c r="AD11" i="5"/>
  <c r="AC11" i="5"/>
  <c r="AB11" i="5"/>
  <c r="AA11" i="5"/>
  <c r="Z11" i="5"/>
  <c r="Y11" i="5"/>
  <c r="X11" i="5"/>
  <c r="W11" i="5"/>
  <c r="V11" i="5"/>
  <c r="U11" i="5"/>
  <c r="AJ10" i="5"/>
  <c r="AI10" i="5"/>
  <c r="AH10" i="5"/>
  <c r="AG10" i="5"/>
  <c r="AF10" i="5"/>
  <c r="AE10" i="5"/>
  <c r="AD10" i="5"/>
  <c r="AC10" i="5"/>
  <c r="AB10" i="5"/>
  <c r="AA10" i="5"/>
  <c r="Z10" i="5"/>
  <c r="Y10" i="5"/>
  <c r="X10" i="5"/>
  <c r="W10" i="5"/>
  <c r="V10" i="5"/>
  <c r="U10" i="5"/>
  <c r="AJ9" i="5"/>
  <c r="AI9" i="5"/>
  <c r="AH9" i="5"/>
  <c r="AG9" i="5"/>
  <c r="AF9" i="5"/>
  <c r="AE9" i="5"/>
  <c r="AD9" i="5"/>
  <c r="AC9" i="5"/>
  <c r="AB9" i="5"/>
  <c r="AA9" i="5"/>
  <c r="Z9" i="5"/>
  <c r="Y9" i="5"/>
  <c r="X9" i="5"/>
  <c r="W9" i="5"/>
  <c r="V9" i="5"/>
  <c r="U9" i="5"/>
  <c r="AJ8" i="5"/>
  <c r="AI8" i="5"/>
  <c r="AH8" i="5"/>
  <c r="AG8" i="5"/>
  <c r="AF8" i="5"/>
  <c r="AE8" i="5"/>
  <c r="AD8" i="5"/>
  <c r="AC8" i="5"/>
  <c r="AB8" i="5"/>
  <c r="AA8" i="5"/>
  <c r="Z8" i="5"/>
  <c r="Y8" i="5"/>
  <c r="X8" i="5"/>
  <c r="W8" i="5"/>
  <c r="V8" i="5"/>
  <c r="U8" i="5"/>
  <c r="AJ7" i="5"/>
  <c r="AI7" i="5"/>
  <c r="AH7" i="5"/>
  <c r="AG7" i="5"/>
  <c r="AF7" i="5"/>
  <c r="AE7" i="5"/>
  <c r="AD7" i="5"/>
  <c r="AC7" i="5"/>
  <c r="AB7" i="5"/>
  <c r="AA7" i="5"/>
  <c r="Z7" i="5"/>
  <c r="Y7" i="5"/>
  <c r="X7" i="5"/>
  <c r="W7" i="5"/>
  <c r="V7" i="5"/>
  <c r="U7" i="5"/>
  <c r="AJ6" i="5"/>
  <c r="AI6" i="5"/>
  <c r="AH6" i="5"/>
  <c r="AG6" i="5"/>
  <c r="AF6" i="5"/>
  <c r="AE6" i="5"/>
  <c r="AD6" i="5"/>
  <c r="AC6" i="5"/>
  <c r="AB6" i="5"/>
  <c r="AA6" i="5"/>
  <c r="Z6" i="5"/>
  <c r="Y6" i="5"/>
  <c r="X6" i="5"/>
  <c r="W6" i="5"/>
  <c r="V6" i="5"/>
  <c r="U6" i="5"/>
  <c r="AJ5" i="5"/>
  <c r="AI5" i="5"/>
  <c r="AH5" i="5"/>
  <c r="AG5" i="5"/>
  <c r="AF5" i="5"/>
  <c r="AE5" i="5"/>
  <c r="AD5" i="5"/>
  <c r="AC5" i="5"/>
  <c r="AB5" i="5"/>
  <c r="AA5" i="5"/>
  <c r="Z5" i="5"/>
  <c r="Y5" i="5"/>
  <c r="X5" i="5"/>
  <c r="W5" i="5"/>
  <c r="V5" i="5"/>
  <c r="U5" i="5"/>
  <c r="AJ4" i="5"/>
  <c r="AI4" i="5"/>
  <c r="AH4" i="5"/>
  <c r="AG4" i="5"/>
  <c r="AF4" i="5"/>
  <c r="AE4" i="5"/>
  <c r="AD4" i="5"/>
  <c r="AC4" i="5"/>
  <c r="AB4" i="5"/>
  <c r="AA4" i="5"/>
  <c r="Z4" i="5"/>
  <c r="Y4" i="5"/>
  <c r="X4" i="5"/>
  <c r="W4" i="5"/>
  <c r="V4" i="5"/>
  <c r="U4" i="5"/>
  <c r="C17" i="4"/>
  <c r="I16" i="4"/>
  <c r="D16" i="4"/>
  <c r="I15" i="4"/>
  <c r="D15" i="4"/>
  <c r="I14" i="4"/>
  <c r="D14" i="4"/>
  <c r="I13" i="4"/>
  <c r="D13" i="4"/>
  <c r="I12" i="4"/>
  <c r="D12" i="4"/>
  <c r="I11" i="4"/>
  <c r="D11" i="4"/>
  <c r="I10" i="4"/>
  <c r="D10" i="4"/>
  <c r="I9" i="4"/>
  <c r="D9" i="4"/>
  <c r="I8" i="4"/>
  <c r="D8" i="4"/>
  <c r="I7" i="4"/>
  <c r="D7" i="4"/>
  <c r="I6" i="4"/>
  <c r="D6" i="4"/>
  <c r="I5" i="4"/>
  <c r="D5" i="4"/>
  <c r="I4" i="4"/>
  <c r="D4" i="4"/>
  <c r="B7" i="2"/>
  <c r="B6" i="2"/>
  <c r="B5" i="2"/>
  <c r="B23" i="1"/>
  <c r="B5" i="1"/>
  <c r="G14" i="4" l="1"/>
  <c r="C14" i="6" s="1"/>
  <c r="H6" i="4"/>
  <c r="H4" i="4"/>
  <c r="H17" i="4" s="1"/>
  <c r="G4" i="4"/>
  <c r="G5" i="4"/>
  <c r="C5" i="6" s="1"/>
  <c r="G8" i="4"/>
  <c r="H15" i="4"/>
  <c r="G15" i="4"/>
  <c r="C15" i="6" s="1"/>
  <c r="H9" i="4"/>
  <c r="H13" i="4"/>
  <c r="G13" i="4"/>
  <c r="C13" i="6" s="1"/>
  <c r="H12" i="4"/>
  <c r="H11" i="4"/>
  <c r="G10" i="4"/>
  <c r="C10" i="6" s="1"/>
  <c r="H8" i="4"/>
  <c r="G7" i="4"/>
  <c r="C7" i="6" s="1"/>
  <c r="H5" i="4"/>
  <c r="B8" i="2"/>
  <c r="G11" i="4"/>
  <c r="C11" i="6" s="1"/>
  <c r="H16" i="4"/>
  <c r="G16" i="4"/>
  <c r="C16" i="6" s="1"/>
  <c r="H14" i="4"/>
  <c r="G12" i="4"/>
  <c r="C12" i="6" s="1"/>
  <c r="H10" i="4"/>
  <c r="G9" i="4"/>
  <c r="C9" i="6" s="1"/>
  <c r="H7" i="4"/>
  <c r="G6" i="4"/>
  <c r="C6" i="6" s="1"/>
  <c r="B10" i="2"/>
  <c r="B9" i="2"/>
  <c r="B17" i="8"/>
  <c r="B22" i="1" s="1"/>
  <c r="D14" i="6" l="1"/>
  <c r="E14" i="6"/>
  <c r="F14" i="6"/>
  <c r="G14" i="6"/>
  <c r="H14" i="6"/>
  <c r="I14" i="6"/>
  <c r="J14" i="6"/>
  <c r="K14" i="6"/>
  <c r="L14" i="6"/>
  <c r="M14" i="6"/>
  <c r="N14" i="6"/>
  <c r="O14" i="6"/>
  <c r="P14" i="6"/>
  <c r="Q14" i="6"/>
  <c r="R14" i="6"/>
  <c r="G17" i="4"/>
  <c r="E6" i="9"/>
  <c r="F6" i="9" s="1"/>
  <c r="C4" i="6"/>
  <c r="D5" i="6"/>
  <c r="E5" i="6"/>
  <c r="F5" i="6"/>
  <c r="G5" i="6"/>
  <c r="H5" i="6"/>
  <c r="I5" i="6"/>
  <c r="J5" i="6"/>
  <c r="K5" i="6"/>
  <c r="L5" i="6"/>
  <c r="M5" i="6"/>
  <c r="N5" i="6"/>
  <c r="O5" i="6"/>
  <c r="P5" i="6"/>
  <c r="Q5" i="6"/>
  <c r="R5" i="6"/>
  <c r="E9" i="9"/>
  <c r="F9" i="9" s="1"/>
  <c r="C8" i="6"/>
  <c r="D15" i="6"/>
  <c r="E15" i="6"/>
  <c r="F15" i="6"/>
  <c r="G15" i="6"/>
  <c r="H15" i="6"/>
  <c r="I15" i="6"/>
  <c r="J15" i="6"/>
  <c r="K15" i="6"/>
  <c r="L15" i="6"/>
  <c r="M15" i="6"/>
  <c r="N15" i="6"/>
  <c r="O15" i="6"/>
  <c r="P15" i="6"/>
  <c r="Q15" i="6"/>
  <c r="R15" i="6"/>
  <c r="D13" i="6"/>
  <c r="E13" i="6"/>
  <c r="F13" i="6"/>
  <c r="G13" i="6"/>
  <c r="H13" i="6"/>
  <c r="I13" i="6"/>
  <c r="J13" i="6"/>
  <c r="K13" i="6"/>
  <c r="L13" i="6"/>
  <c r="M13" i="6"/>
  <c r="N13" i="6"/>
  <c r="O13" i="6"/>
  <c r="P13" i="6"/>
  <c r="Q13" i="6"/>
  <c r="R13" i="6"/>
  <c r="D10" i="6"/>
  <c r="E10" i="6"/>
  <c r="F10" i="6"/>
  <c r="G10" i="6"/>
  <c r="H10" i="6"/>
  <c r="I10" i="6"/>
  <c r="J10" i="6"/>
  <c r="K10" i="6"/>
  <c r="L10" i="6"/>
  <c r="M10" i="6"/>
  <c r="N10" i="6"/>
  <c r="O10" i="6"/>
  <c r="P10" i="6"/>
  <c r="Q10" i="6"/>
  <c r="R10" i="6"/>
  <c r="E7" i="6"/>
  <c r="G7" i="6"/>
  <c r="I7" i="6"/>
  <c r="K7" i="6"/>
  <c r="M7" i="6"/>
  <c r="O7" i="6"/>
  <c r="Q7" i="6"/>
  <c r="D7" i="6"/>
  <c r="F7" i="6"/>
  <c r="H7" i="6"/>
  <c r="J7" i="6"/>
  <c r="L7" i="6"/>
  <c r="N7" i="6"/>
  <c r="P7" i="6"/>
  <c r="R7" i="6"/>
  <c r="D11" i="6"/>
  <c r="E11" i="6"/>
  <c r="F11" i="6"/>
  <c r="G11" i="6"/>
  <c r="H11" i="6"/>
  <c r="I11" i="6"/>
  <c r="J11" i="6"/>
  <c r="K11" i="6"/>
  <c r="L11" i="6"/>
  <c r="M11" i="6"/>
  <c r="N11" i="6"/>
  <c r="O11" i="6"/>
  <c r="P11" i="6"/>
  <c r="Q11" i="6"/>
  <c r="R11" i="6"/>
  <c r="D16" i="6"/>
  <c r="E16" i="6"/>
  <c r="F16" i="6"/>
  <c r="G16" i="6"/>
  <c r="H16" i="6"/>
  <c r="I16" i="6"/>
  <c r="J16" i="6"/>
  <c r="K16" i="6"/>
  <c r="L16" i="6"/>
  <c r="M16" i="6"/>
  <c r="N16" i="6"/>
  <c r="O16" i="6"/>
  <c r="P16" i="6"/>
  <c r="Q16" i="6"/>
  <c r="R16" i="6"/>
  <c r="D12" i="6"/>
  <c r="E12" i="6"/>
  <c r="F12" i="6"/>
  <c r="G12" i="6"/>
  <c r="H12" i="6"/>
  <c r="I12" i="6"/>
  <c r="J12" i="6"/>
  <c r="K12" i="6"/>
  <c r="L12" i="6"/>
  <c r="M12" i="6"/>
  <c r="N12" i="6"/>
  <c r="O12" i="6"/>
  <c r="P12" i="6"/>
  <c r="Q12" i="6"/>
  <c r="R12" i="6"/>
  <c r="E9" i="6"/>
  <c r="G9" i="6"/>
  <c r="I9" i="6"/>
  <c r="J9" i="6"/>
  <c r="K9" i="6"/>
  <c r="L9" i="6"/>
  <c r="M9" i="6"/>
  <c r="N9" i="6"/>
  <c r="O9" i="6"/>
  <c r="P9" i="6"/>
  <c r="Q9" i="6"/>
  <c r="R9" i="6"/>
  <c r="D9" i="6"/>
  <c r="F9" i="6"/>
  <c r="H9" i="6"/>
  <c r="D6" i="6"/>
  <c r="E6" i="6"/>
  <c r="F6" i="6"/>
  <c r="G6" i="6"/>
  <c r="H6" i="6"/>
  <c r="I6" i="6"/>
  <c r="J6" i="6"/>
  <c r="K6" i="6"/>
  <c r="L6" i="6"/>
  <c r="M6" i="6"/>
  <c r="N6" i="6"/>
  <c r="P6" i="6"/>
  <c r="R6" i="6"/>
  <c r="O6" i="6"/>
  <c r="Q6" i="6"/>
  <c r="D4" i="6" l="1"/>
  <c r="D17" i="6" s="1"/>
  <c r="E4" i="6"/>
  <c r="E17" i="6" s="1"/>
  <c r="F4" i="6"/>
  <c r="F17" i="6" s="1"/>
  <c r="G4" i="6"/>
  <c r="H4" i="6"/>
  <c r="I4" i="6"/>
  <c r="J4" i="6"/>
  <c r="K4" i="6"/>
  <c r="L4" i="6"/>
  <c r="M4" i="6"/>
  <c r="N4" i="6"/>
  <c r="O4" i="6"/>
  <c r="P4" i="6"/>
  <c r="Q4" i="6"/>
  <c r="Q17" i="6" s="1"/>
  <c r="R4" i="6"/>
  <c r="C17" i="6"/>
  <c r="D8" i="6"/>
  <c r="E8" i="6"/>
  <c r="F8" i="6"/>
  <c r="G8" i="6"/>
  <c r="H8" i="6"/>
  <c r="I8" i="6"/>
  <c r="J8" i="6"/>
  <c r="K8" i="6"/>
  <c r="L8" i="6"/>
  <c r="M8" i="6"/>
  <c r="O8" i="6"/>
  <c r="Q8" i="6"/>
  <c r="N8" i="6"/>
  <c r="P8" i="6"/>
  <c r="R8" i="6"/>
  <c r="D18" i="6" l="1"/>
  <c r="C4" i="7"/>
  <c r="E4" i="7" s="1"/>
  <c r="B7" i="1" s="1"/>
  <c r="E18" i="6"/>
  <c r="C5" i="7"/>
  <c r="F18" i="6"/>
  <c r="C6" i="7"/>
  <c r="Q18" i="6"/>
  <c r="C17" i="7"/>
  <c r="G17" i="6"/>
  <c r="H17" i="6"/>
  <c r="I17" i="6"/>
  <c r="J17" i="6"/>
  <c r="K17" i="6"/>
  <c r="L17" i="6"/>
  <c r="M17" i="6"/>
  <c r="N17" i="6"/>
  <c r="O17" i="6"/>
  <c r="P17" i="6"/>
  <c r="R17" i="6"/>
  <c r="E5" i="7" l="1"/>
  <c r="H5" i="7"/>
  <c r="E6" i="7"/>
  <c r="H6" i="7"/>
  <c r="H17" i="7"/>
  <c r="E17" i="7"/>
  <c r="C7" i="7"/>
  <c r="E7" i="7" s="1"/>
  <c r="B10" i="1" s="1"/>
  <c r="G18" i="6"/>
  <c r="C8" i="7"/>
  <c r="H18" i="6"/>
  <c r="E5" i="9"/>
  <c r="C9" i="7"/>
  <c r="I18" i="6"/>
  <c r="D5" i="9" s="1"/>
  <c r="C10" i="7"/>
  <c r="J18" i="6"/>
  <c r="E4" i="9"/>
  <c r="C11" i="7"/>
  <c r="K18" i="6"/>
  <c r="D4" i="9" s="1"/>
  <c r="F4" i="9" s="1"/>
  <c r="C12" i="7"/>
  <c r="E12" i="7" s="1"/>
  <c r="B15" i="1" s="1"/>
  <c r="L18" i="6"/>
  <c r="C13" i="7"/>
  <c r="M18" i="6"/>
  <c r="C14" i="7"/>
  <c r="N18" i="6"/>
  <c r="C15" i="7"/>
  <c r="O18" i="6"/>
  <c r="C16" i="7"/>
  <c r="P18" i="6"/>
  <c r="C18" i="7"/>
  <c r="R18" i="6"/>
  <c r="G5" i="7" l="1"/>
  <c r="D8" i="1" s="1"/>
  <c r="B8" i="1"/>
  <c r="G6" i="7"/>
  <c r="D9" i="1" s="1"/>
  <c r="B9" i="1"/>
  <c r="B20" i="1"/>
  <c r="G17" i="7"/>
  <c r="D20" i="1" s="1"/>
  <c r="E8" i="7"/>
  <c r="H8" i="7"/>
  <c r="E9" i="7"/>
  <c r="H9" i="7"/>
  <c r="E10" i="7"/>
  <c r="H10" i="7"/>
  <c r="E11" i="7"/>
  <c r="H11" i="7"/>
  <c r="E13" i="7"/>
  <c r="H13" i="7"/>
  <c r="E14" i="7"/>
  <c r="H14" i="7"/>
  <c r="E15" i="7"/>
  <c r="H15" i="7"/>
  <c r="H16" i="7"/>
  <c r="E16" i="7"/>
  <c r="E18" i="7"/>
  <c r="H18" i="7"/>
  <c r="F5" i="9"/>
  <c r="G8" i="7" l="1"/>
  <c r="D11" i="1" s="1"/>
  <c r="B11" i="1"/>
  <c r="G9" i="7"/>
  <c r="D12" i="1" s="1"/>
  <c r="B12" i="1"/>
  <c r="G10" i="7"/>
  <c r="D13" i="1" s="1"/>
  <c r="B13" i="1"/>
  <c r="G11" i="7"/>
  <c r="D14" i="1" s="1"/>
  <c r="B14" i="1"/>
  <c r="G13" i="7"/>
  <c r="D16" i="1" s="1"/>
  <c r="E8" i="9"/>
  <c r="F8" i="9" s="1"/>
  <c r="B16" i="1"/>
  <c r="G14" i="7"/>
  <c r="D17" i="1" s="1"/>
  <c r="B17" i="1"/>
  <c r="G15" i="7"/>
  <c r="D18" i="1" s="1"/>
  <c r="B18" i="1"/>
  <c r="G16" i="7"/>
  <c r="D19" i="1" s="1"/>
  <c r="B19" i="1"/>
  <c r="G18" i="7"/>
  <c r="D21" i="1" s="1"/>
  <c r="B21" i="1"/>
  <c r="B11" i="9" l="1"/>
  <c r="B24" i="1" s="1"/>
  <c r="B12" i="9"/>
  <c r="B25" i="1" s="1"/>
</calcChain>
</file>

<file path=xl/sharedStrings.xml><?xml version="1.0" encoding="utf-8"?>
<sst xmlns="http://schemas.openxmlformats.org/spreadsheetml/2006/main" count="401" uniqueCount="251">
  <si>
    <t>Nutrition Facts, Oat and Cherry Bar, formula OCB-26-03, as the wrapper will print</t>
  </si>
  <si>
    <t>Prepared for Priya Raman, brand manager; label review prepared October 20, 2026</t>
  </si>
  <si>
    <t>Line</t>
  </si>
  <si>
    <t>Declared</t>
  </si>
  <si>
    <t>Unit</t>
  </si>
  <si>
    <t>Percent daily value</t>
  </si>
  <si>
    <t>Read from</t>
  </si>
  <si>
    <t>Serving size</t>
  </si>
  <si>
    <t>Parameters</t>
  </si>
  <si>
    <t>Servings per container</t>
  </si>
  <si>
    <t>Product brief, one bar per wrapper</t>
  </si>
  <si>
    <t>Calories</t>
  </si>
  <si>
    <t>kcal</t>
  </si>
  <si>
    <t>Rounding</t>
  </si>
  <si>
    <t>Total Fat</t>
  </si>
  <si>
    <t>g</t>
  </si>
  <si>
    <t>Saturated Fat</t>
  </si>
  <si>
    <t>Trans Fat</t>
  </si>
  <si>
    <t>Cholesterol</t>
  </si>
  <si>
    <t>mg</t>
  </si>
  <si>
    <t>Sodium</t>
  </si>
  <si>
    <t>Total Carbohydrate</t>
  </si>
  <si>
    <t>Dietary Fiber</t>
  </si>
  <si>
    <t>Total Sugars</t>
  </si>
  <si>
    <t>Includes Added Sugars</t>
  </si>
  <si>
    <t>Protein</t>
  </si>
  <si>
    <t>Vitamin D</t>
  </si>
  <si>
    <t>mcg</t>
  </si>
  <si>
    <t>Calcium</t>
  </si>
  <si>
    <t>Iron</t>
  </si>
  <si>
    <t>Potassium</t>
  </si>
  <si>
    <t>Ingredients</t>
  </si>
  <si>
    <t>Ingredient Statement</t>
  </si>
  <si>
    <t>Allergens</t>
  </si>
  <si>
    <t>Claims supported in the brief</t>
  </si>
  <si>
    <t>Claims</t>
  </si>
  <si>
    <t>Claims not supported</t>
  </si>
  <si>
    <t>The footnote prints as the standard daily value statement; values read from the tab named beside each line, and the Rounding tab shows each unrounded figure beside its declared value.</t>
  </si>
  <si>
    <t>Parameters the review applies, from SOP QA-14 and the pilot batch record</t>
  </si>
  <si>
    <t>Parameter</t>
  </si>
  <si>
    <t>Value</t>
  </si>
  <si>
    <t>Source</t>
  </si>
  <si>
    <t>Reference amount customarily consumed, bars (g)</t>
  </si>
  <si>
    <t>SOP QA-14 section 1.3</t>
  </si>
  <si>
    <t>Target bar net weight, the declared serving (g)</t>
  </si>
  <si>
    <t>Pilot batch record; SOP 1.3</t>
  </si>
  <si>
    <t>Batch input weight (kg)</t>
  </si>
  <si>
    <t>Pilot batch record</t>
  </si>
  <si>
    <t>Finished batch weight, net of trim (kg)</t>
  </si>
  <si>
    <t>Pilot batch record; SOP 1.1</t>
  </si>
  <si>
    <t>Yield, finished over input</t>
  </si>
  <si>
    <t>SOP 1.1</t>
  </si>
  <si>
    <t>Grams of formula carried into one serving</t>
  </si>
  <si>
    <t>Serving over finished weight times input</t>
  </si>
  <si>
    <t>Serving as a share of the reference amount</t>
  </si>
  <si>
    <t>SOP 1.3, one unit where 67% to 200% of RACC</t>
  </si>
  <si>
    <t>Good source threshold, share of daily value</t>
  </si>
  <si>
    <t>SOP 5.1</t>
  </si>
  <si>
    <t>Excellent source threshold, share of daily value</t>
  </si>
  <si>
    <t>Low sodium ceiling (mg)</t>
  </si>
  <si>
    <t>SOP 5.2</t>
  </si>
  <si>
    <t>Whole grain statement floor per serving (g)</t>
  </si>
  <si>
    <t>SOP 5.3</t>
  </si>
  <si>
    <t>Daily value table</t>
  </si>
  <si>
    <t>SOP 3.1</t>
  </si>
  <si>
    <t>Nutrient</t>
  </si>
  <si>
    <t>Daily value</t>
  </si>
  <si>
    <t>Pilot batch record, copied from formula_ocb_26_03.xlsx</t>
  </si>
  <si>
    <t>ITEM</t>
  </si>
  <si>
    <t>VALUE</t>
  </si>
  <si>
    <t>SOURCE</t>
  </si>
  <si>
    <t>Scale ticket, all ingredients including water</t>
  </si>
  <si>
    <t>Bake, 165 C, 22 minutes; cool 40 minutes</t>
  </si>
  <si>
    <t>Process log</t>
  </si>
  <si>
    <t>Finished slab weight after cooling (kg)</t>
  </si>
  <si>
    <t>Scale ticket</t>
  </si>
  <si>
    <t>Trim removed (kg)</t>
  </si>
  <si>
    <t>Edge trim, reworked into next batch, not part of yield</t>
  </si>
  <si>
    <t>Scale ticket less trim</t>
  </si>
  <si>
    <t>Bars cut</t>
  </si>
  <si>
    <t>Counter</t>
  </si>
  <si>
    <t>Average bar weight, 30-bar sample (g)</t>
  </si>
  <si>
    <t>QA check weigh</t>
  </si>
  <si>
    <t>Target bar net weight (g)</t>
  </si>
  <si>
    <t>Product brief</t>
  </si>
  <si>
    <t>Moisture, finished bar (%)</t>
  </si>
  <si>
    <t>QA lab, oven method</t>
  </si>
  <si>
    <t>Water activity, finished bar</t>
  </si>
  <si>
    <t>QA lab</t>
  </si>
  <si>
    <t>Formula OCB-26-03, copied from formula_ocb_26_03.xlsx, with grams of each ingredient carried into one serving and one reference amount</t>
  </si>
  <si>
    <t>INGREDIENT_CODE</t>
  </si>
  <si>
    <t>INGREDIENT</t>
  </si>
  <si>
    <t>BATCH_KG</t>
  </si>
  <si>
    <t>PCT_OF_BATCH</t>
  </si>
  <si>
    <t>DECLARED_NAME</t>
  </si>
  <si>
    <t>SUB_INGREDIENTS</t>
  </si>
  <si>
    <t>G_PER_SERVING</t>
  </si>
  <si>
    <t>G_PER_RACC</t>
  </si>
  <si>
    <t>ORDER</t>
  </si>
  <si>
    <t>RM-1042</t>
  </si>
  <si>
    <t>Whole grain rolled oats</t>
  </si>
  <si>
    <t>whole grain rolled oats</t>
  </si>
  <si>
    <t>RM-2210</t>
  </si>
  <si>
    <t>Brown rice syrup</t>
  </si>
  <si>
    <t>brown rice syrup</t>
  </si>
  <si>
    <t>RM-1187</t>
  </si>
  <si>
    <t>Crisp rice</t>
  </si>
  <si>
    <t>crisp rice</t>
  </si>
  <si>
    <t>rice flour, sugar, salt</t>
  </si>
  <si>
    <t>RM-2205</t>
  </si>
  <si>
    <t>Clover honey</t>
  </si>
  <si>
    <t>honey</t>
  </si>
  <si>
    <t>RM-3301</t>
  </si>
  <si>
    <t>Infused dried cherries</t>
  </si>
  <si>
    <t>dried cherries</t>
  </si>
  <si>
    <t>cherries, sugar, sunflower oil</t>
  </si>
  <si>
    <t>RM-3120</t>
  </si>
  <si>
    <t>Roasted almond butter</t>
  </si>
  <si>
    <t>almond butter</t>
  </si>
  <si>
    <t>RM-3115</t>
  </si>
  <si>
    <t>Sliced almonds</t>
  </si>
  <si>
    <t>sliced almonds</t>
  </si>
  <si>
    <t>RM-4010</t>
  </si>
  <si>
    <t>Water</t>
  </si>
  <si>
    <t>(water, not declared)</t>
  </si>
  <si>
    <t>RM-4102</t>
  </si>
  <si>
    <t>High oleic sunflower oil</t>
  </si>
  <si>
    <t>sunflower oil</t>
  </si>
  <si>
    <t>RM-5020</t>
  </si>
  <si>
    <t>Vanilla extract</t>
  </si>
  <si>
    <t>natural vanilla flavor</t>
  </si>
  <si>
    <t>RM-5031</t>
  </si>
  <si>
    <t>Ground cinnamon</t>
  </si>
  <si>
    <t>cinnamon</t>
  </si>
  <si>
    <t>RM-5040</t>
  </si>
  <si>
    <t>Sea salt</t>
  </si>
  <si>
    <t>sea salt</t>
  </si>
  <si>
    <t>RM-5055</t>
  </si>
  <si>
    <t>Soy lecithin</t>
  </si>
  <si>
    <t>soy lecithin</t>
  </si>
  <si>
    <t>Batch total</t>
  </si>
  <si>
    <t>Grams per serving are batch kilograms over the finished batch weight times the serving weight, per SOP 1.1 and 1.3; the water leaves in the bake, so the sum of the grams exceeds the serving weight by the water and volatiles lost.</t>
  </si>
  <si>
    <t>Supplier nutrient specifications, ingredient_nutrient_specs.csv, and the same values normalised to 100 g per SOP 1.2</t>
  </si>
  <si>
    <t>BASIS_G</t>
  </si>
  <si>
    <t>CALORIES_KCAL</t>
  </si>
  <si>
    <t>TOTAL_FAT_G</t>
  </si>
  <si>
    <t>SAT_FAT_G</t>
  </si>
  <si>
    <t>TRANS_FAT_G</t>
  </si>
  <si>
    <t>CHOLESTEROL_MG</t>
  </si>
  <si>
    <t>SODIUM_MG</t>
  </si>
  <si>
    <t>TOTAL_CARB_G</t>
  </si>
  <si>
    <t>FIBER_G</t>
  </si>
  <si>
    <t>TOTAL_SUGARS_G</t>
  </si>
  <si>
    <t>ADDED_SUGARS_G</t>
  </si>
  <si>
    <t>PROTEIN_G</t>
  </si>
  <si>
    <t>VITAMIN_D_MCG</t>
  </si>
  <si>
    <t>CALCIUM_MG</t>
  </si>
  <si>
    <t>IRON_MG</t>
  </si>
  <si>
    <t>POTASSIUM_MG</t>
  </si>
  <si>
    <t>CODE_100</t>
  </si>
  <si>
    <t>CALORIES_KCAL_PER100</t>
  </si>
  <si>
    <t>TOTAL_FAT_G_PER100</t>
  </si>
  <si>
    <t>SAT_FAT_G_PER100</t>
  </si>
  <si>
    <t>TRANS_FAT_G_PER100</t>
  </si>
  <si>
    <t>CHOLESTEROL_MG_PER100</t>
  </si>
  <si>
    <t>SODIUM_MG_PER100</t>
  </si>
  <si>
    <t>TOTAL_CARB_G_PER100</t>
  </si>
  <si>
    <t>FIBER_G_PER100</t>
  </si>
  <si>
    <t>TOTAL_SUGARS_G_PER100</t>
  </si>
  <si>
    <t>ADDED_SUGARS_G_PER100</t>
  </si>
  <si>
    <t>PROTEIN_G_PER100</t>
  </si>
  <si>
    <t>VITAMIN_D_MCG_PER100</t>
  </si>
  <si>
    <t>CALCIUM_MG_PER100</t>
  </si>
  <si>
    <t>IRON_MG_PER100</t>
  </si>
  <si>
    <t>POTASSIUM_MG_PER100</t>
  </si>
  <si>
    <t>Supplier spec S-1042 rev 4</t>
  </si>
  <si>
    <t>Supplier spec S-2210 rev 2</t>
  </si>
  <si>
    <t>Supplier spec S-1187 rev 7 per 30 g serving</t>
  </si>
  <si>
    <t>Supplier spec S-2205 rev 3</t>
  </si>
  <si>
    <t>Supplier spec S-3301 rev 5</t>
  </si>
  <si>
    <t>Supplier spec S-3120 rev 2</t>
  </si>
  <si>
    <t>Supplier spec S-3115 rev 6</t>
  </si>
  <si>
    <t>Municipal water per plant analysis</t>
  </si>
  <si>
    <t>Supplier spec S-4102 rev 3</t>
  </si>
  <si>
    <t>Supplier spec S-5020 rev 1</t>
  </si>
  <si>
    <t>Supplier spec S-5031 rev 2</t>
  </si>
  <si>
    <t>Supplier spec S-5040 rev 1</t>
  </si>
  <si>
    <t>Supplier spec S-5055 rev 4</t>
  </si>
  <si>
    <t>BASIS_G is the weight each specification states its values on; the crisp rice specification S-1187 is stated per 30 g serving and is converted to 100 g in the right-hand block before use.</t>
  </si>
  <si>
    <t>Nutrient contribution of each ingredient to one serving, grams in the serving times the per-100 g specification over 100</t>
  </si>
  <si>
    <t>Per serving, unrounded</t>
  </si>
  <si>
    <t>Per reference amount, unrounded</t>
  </si>
  <si>
    <t>Grams per serving, the per-100 g specification values and each contribution are carried to four decimal places, and the per serving totals are the sums of the contributions rounded to four decimal places; the per reference amount row scales the per serving total by 40 over 42.</t>
  </si>
  <si>
    <t>Declared values under SOP QA-14 section 2 and percent daily values under section 3, beside the unrounded figures</t>
  </si>
  <si>
    <t>Unrounded per serving</t>
  </si>
  <si>
    <t>Rounding rule applied</t>
  </si>
  <si>
    <t>Percent from unrounded</t>
  </si>
  <si>
    <t>2.1: under 5 is 0; 5 to 50 to the nearest 5; above 50 to the nearest 10</t>
  </si>
  <si>
    <t>2.2: under 0.5 is 0; under 5 to the nearest 0.5; 5 or more to the nearest 1</t>
  </si>
  <si>
    <t>2.3: under 2 is 0; 2 to 5 is less than 5; above 5 to the nearest 5</t>
  </si>
  <si>
    <t>2.4: under 5 is 0; 5 to 140 to the nearest 5; above 140 to the nearest 10</t>
  </si>
  <si>
    <t>2.5: under 0.5 is 0; 0.5 to under 1 is less than 1; 1 or more to the nearest 1</t>
  </si>
  <si>
    <t>2.6: nearest 0.1 mcg; under 2% of the daily value is 0</t>
  </si>
  <si>
    <t>2.6: nearest 10 mg; under 2% of the daily value is 0</t>
  </si>
  <si>
    <t>2.6: nearest 0.1 mg; under 2% of the daily value is 0</t>
  </si>
  <si>
    <t>Percent daily value is computed from the declared, rounded amount and shown to the nearest whole percent, per SOP 3.1; the last column shows the unrounded share for reference only.</t>
  </si>
  <si>
    <t>Ingredient statement assembled in descending order of formula weight under SOP 4.1, with the Contains statement under 4.2</t>
  </si>
  <si>
    <t>LISTED_AS</t>
  </si>
  <si>
    <t>ALLERGEN</t>
  </si>
  <si>
    <t>almonds</t>
  </si>
  <si>
    <t>soy</t>
  </si>
  <si>
    <t>Ingredient statement</t>
  </si>
  <si>
    <t>Contains statement</t>
  </si>
  <si>
    <t>Ingredients declared</t>
  </si>
  <si>
    <t>Water is left off under SOP 4.1 because it is removed in the bake. The almonds are named as the specific tree nut under 4.2, and the soy lecithin carries the soy declaration.</t>
  </si>
  <si>
    <t>Each claim in the product brief tested under SOP QA-14 section 5 on the unrounded amount per reference amount and per serving</t>
  </si>
  <si>
    <t>Fiber is shown as percent of the daily value; sodium in mg to a tenth; whole grain and cherries in grams per serving to a hundredth.</t>
  </si>
  <si>
    <t>Claim</t>
  </si>
  <si>
    <t>Test</t>
  </si>
  <si>
    <t>Threshold</t>
  </si>
  <si>
    <t>Per reference amount</t>
  </si>
  <si>
    <t>Per serving</t>
  </si>
  <si>
    <t>Result</t>
  </si>
  <si>
    <t>Basis</t>
  </si>
  <si>
    <t>Good source of fiber</t>
  </si>
  <si>
    <t>Fiber as percent of the 28 g daily value, both bases at or above the threshold</t>
  </si>
  <si>
    <t>SOP 5.1; the panel declares 3 g at 11% because the declared value rounds up from 2.613 g, but the claim is tested on the unrounded amount</t>
  </si>
  <si>
    <t>Low sodium</t>
  </si>
  <si>
    <t>Sodium in mg, both bases at or below the ceiling</t>
  </si>
  <si>
    <t>Made with whole grain oats</t>
  </si>
  <si>
    <t>Grams of whole grain rolled oats per serving at or above the floor</t>
  </si>
  <si>
    <t>SOP 5.3, a company statement and not a federal nutrient content claim</t>
  </si>
  <si>
    <t>No artificial flavors</t>
  </si>
  <si>
    <t>No artificial flavor in the formula</t>
  </si>
  <si>
    <t>Formula OCB-26-03 carries vanilla extract only, a natural extract under specification S-5020</t>
  </si>
  <si>
    <t>No added sugar</t>
  </si>
  <si>
    <t>No sugar, syrup, honey or other sugar-bearing ingredient added</t>
  </si>
  <si>
    <t>SOP 5.2; brown rice syrup, honey and sugar-infused cherries are added, and the panel declares the added sugars shown</t>
  </si>
  <si>
    <t>Real fruit</t>
  </si>
  <si>
    <t>A fruit ingredient present in the formula</t>
  </si>
  <si>
    <t>Dried tart cherries per specification S-3301, grams per serving shown; a company statement</t>
  </si>
  <si>
    <t>Claims supported</t>
  </si>
  <si>
    <t>Per reference amount is the 40 g reference amount customarily consumed; per serving is the 42 g bar. Section 5.1 requires both to pass.</t>
  </si>
  <si>
    <t>Note to Priya Raman on the Oat and Cherry Bar label review</t>
  </si>
  <si>
    <t>Priya, this is the label review for the Oat and Cherry Bar, formula OCB-26-03. The panel on the first tab is what prints, and every declared value on it reads from the Rounding tab, which reads from the Nutrients tab, which reads from the Formula and Specs tabs; nothing on the panel is typed in. The serving is one bar at the 42 gram target net weight under SOP QA-14 section 1.3, not the 42.1 gram pilot average, and one bar is one serving because 42 grams sits between 67 and 200 percent of the 40 gram reference amount.</t>
  </si>
  <si>
    <t>Two things in the inputs change the numbers and are worth knowing before legal asks. The crisp rice specification S-1187 states its values per 30 g serving, not per 100 g, so the Specs tab converts it before use; taken as per 100 g it would understate sodium and sugars from that ingredient by more than two thirds. The pilot batch lost 12.72 kg in the bake, so every nutrient is carried into a finished batch weight of 107.28 kg at a yield of 0.8940. A bar at 42 grams carries the nutrients of 46.98 grams of formula.</t>
  </si>
  <si>
    <t>The cherries drive the added sugars line. Specification S-3301 revision 5 puts 30.0 g of the 60.0 g of sugars per 100 g as added, the sucrose taken up in the infusion, and revision 5 is the specification in force for every lot we hold, so the panel uses it. With the brown rice syrup and honey the bar carries 7.851 g of added sugars unrounded, declared as 8 g at 16 percent of the daily value, against 9.498 g of total sugars declared as 9 g. The percent daily values are computed from the declared, rounded amount under section 3.1, which is why the added sugars line shows 16 percent and not 15.7.</t>
  </si>
  <si>
    <t>The ingredient statement lists twelve ingredients in descending order of formula weight with water left off under section 4.1, and it reads: Whole grain rolled oats, brown rice syrup, crisp rice (rice flour, sugar, salt), honey, dried cherries (cherries, sugar, sunflower oil), almond butter, sliced almonds, sunflower oil, natural vanilla flavor, cinnamon, sea salt, soy lecithin. The Contains statement reads Contains almonds and soy. The formula declares the vanilla extract as natural vanilla flavor; vanilla extract has its own standard of identity, so legal should confirm which name prints before the copy locks.</t>
  </si>
  <si>
    <t>On the claims. Good source of fiber is not supported. The panel declares 3 g of fiber at 11 percent of the daily value, because the declared value rounds up from 2.613 g, but section 5.1 tests the claim on the unrounded amount per reference amount and per serving, and the bar carries 2.489 g per 40 g reference amount, which is 8.9 percent of the daily value, and 9.3 percent per 42 gram serving. Both fall short of 10 percent, so the claim cannot go on the wrapper as the formula stands. It would take 2.8 g of fiber per 40 g to clear. Low sodium is supported at 123 mg per reference amount and 129.1 mg per serving against the 140 mg ceiling.</t>
  </si>
  <si>
    <t>Made with whole grain oats is supported as a company statement under section 5.3: the bar carries 15.50 g of whole grain rolled oats per serving against the 8 gram floor. No artificial flavors is supported; the only flavoring in the formula is the vanilla extract, which the supplier specification states as a natural extract. Real fruit is supported on the dried tart cherries, 3.76 g per bar. No added sugar is not supported and cannot be: the formula adds brown rice syrup, honey and sugar-infused cherries, and the panel declares 8 g of added sugars, so section 5.2 rules the flag out however it is worded.</t>
  </si>
  <si>
    <t>Things for you to decide or take to a supplier before the copy locks. First, the fiber claim comes off the front panel unless product development reopens the frozen formula; the nearest lift is the oats, and that is a formula change, not a wording change. Second, the no added sugar flag comes off; the sales lead should hear the 8 g figure rather than a softer claim. Third, the allergen line rests on the formula alone. The file carries no statement of what else runs on the co-packer line, so QA should confirm whether a shared-line advisory is needed before the wrapper prints. Fourth, the crisp rice supplier should confirm the S-1187 basis in writing, because the whole sodium line moves if that specification is read the other way. The workbook cites every specification revision it used on the Specs tab.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</si>
</sst>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0"/>
    <numFmt numFmtId="165" formatCode="0.000"/>
    <numFmt numFmtId="166" formatCode="0.0%"/>
    <numFmt numFmtId="167" formatCode="0.0"/>
  </numFmts>
  <fonts count="3" x14ac:knownFonts="1">
    <font>
      <sz val="11"/>
      <color theme="1"/>
      <name val="Calibri"/>
      <family val="2"/>
      <scheme val="minor"/>
    </font>
    <font>
      <b/>
      <sz val="13"/>
      <name val="Calibri"/>
      <family val="2"/>
    </font>
    <font>
      <b/>
      <sz val="11"/>
      <name val="Calibri"/>
      <family val="2"/>
    </font>
  </fonts>
  <fills count="3">
    <fill>
      <patternFill patternType="none"/>
    </fill>
    <fill>
      <patternFill patternType="gray125"/>
    </fill>
    <fill>
      <patternFill patternType="solid">
        <fgColor rgb="FFE8E2CF"/>
      </patternFill>
    </fill>
  </fills>
  <borders count="1">
    <border>
      <left/>
      <right/>
      <top/>
      <bottom/>
      <diagonal/>
    </border>
  </borders>
  <cellStyleXfs count="1">
    <xf numFmtId="0" fontId="0" fillId="0" borderId="0"/>
  </cellStyleXfs>
  <cellXfs count="15">
    <xf numFmtId="0" fontId="0" fillId="0" borderId="0" xfId="0"/>
    <xf numFmtId="0" fontId="1" fillId="0" borderId="0" xfId="0" applyFont="1"/>
    <xf numFmtId="0" fontId="2" fillId="2" borderId="0" xfId="0" applyFont="1" applyFill="1"/>
    <xf numFmtId="0" fontId="0" fillId="0" borderId="0" xfId="0" applyAlignment="1">
      <alignment horizontal="right"/>
    </xf>
    <xf numFmtId="9" fontId="0" fillId="0" borderId="0" xfId="0" applyNumberFormat="1"/>
    <xf numFmtId="0" fontId="0" fillId="0" borderId="0" xfId="0" applyAlignment="1">
      <alignment indent="1"/>
    </xf>
    <xf numFmtId="0" fontId="2" fillId="0" borderId="0" xfId="0" applyFont="1"/>
    <xf numFmtId="164" fontId="0" fillId="0" borderId="0" xfId="0" applyNumberFormat="1"/>
    <xf numFmtId="2" fontId="0" fillId="0" borderId="0" xfId="0" applyNumberFormat="1"/>
    <xf numFmtId="165" fontId="0" fillId="0" borderId="0" xfId="0" applyNumberFormat="1"/>
    <xf numFmtId="10" fontId="0" fillId="0" borderId="0" xfId="0" applyNumberFormat="1"/>
    <xf numFmtId="166" fontId="0" fillId="0" borderId="0" xfId="0" applyNumberFormat="1"/>
    <xf numFmtId="167" fontId="0" fillId="0" borderId="0" xfId="0" applyNumberFormat="1"/>
    <xf numFmtId="1" fontId="0" fillId="0" borderId="0" xfId="0" applyNumberFormat="1"/>
    <xf numFmtId="0" fontId="0" fillId="0" borderId="0" xfId="0" applyAlignment="1">
      <alignmen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27"/>
  <sheetViews>
    <sheetView tabSelected="1" workbookViewId="0"/>
  </sheetViews>
  <sheetFormatPr baseColWidth="10" defaultColWidth="8.83203125" defaultRowHeight="15" x14ac:dyDescent="0.2"/>
  <cols>
    <col min="1" max="1" width="30" customWidth="1"/>
    <col min="2" max="2" width="14" customWidth="1"/>
    <col min="3" max="3" width="8" customWidth="1"/>
    <col min="4" max="4" width="18" customWidth="1"/>
    <col min="5" max="5" width="22" customWidth="1"/>
  </cols>
  <sheetData>
    <row r="1" spans="1:5" ht="17" x14ac:dyDescent="0.2">
      <c r="A1" s="1" t="s">
        <v>0</v>
      </c>
    </row>
    <row r="2" spans="1:5" x14ac:dyDescent="0.2">
      <c r="A2" t="s">
        <v>1</v>
      </c>
    </row>
    <row r="4" spans="1:5" x14ac:dyDescent="0.2">
      <c r="A4" s="2" t="s">
        <v>2</v>
      </c>
      <c r="B4" s="2" t="s">
        <v>3</v>
      </c>
      <c r="C4" s="2" t="s">
        <v>4</v>
      </c>
      <c r="D4" s="2" t="s">
        <v>5</v>
      </c>
      <c r="E4" s="2" t="s">
        <v>6</v>
      </c>
    </row>
    <row r="5" spans="1:5" x14ac:dyDescent="0.2">
      <c r="A5" t="s">
        <v>7</v>
      </c>
      <c r="B5" t="str">
        <f>"1 bar ("&amp;Parameters!$B$5&amp;"g)"</f>
        <v>1 bar (42g)</v>
      </c>
      <c r="E5" t="s">
        <v>8</v>
      </c>
    </row>
    <row r="6" spans="1:5" x14ac:dyDescent="0.2">
      <c r="A6" t="s">
        <v>9</v>
      </c>
      <c r="B6">
        <v>1</v>
      </c>
      <c r="E6" t="s">
        <v>10</v>
      </c>
    </row>
    <row r="7" spans="1:5" x14ac:dyDescent="0.2">
      <c r="A7" t="s">
        <v>11</v>
      </c>
      <c r="B7" s="3">
        <f>Rounding!E4</f>
        <v>180</v>
      </c>
      <c r="C7" t="s">
        <v>12</v>
      </c>
      <c r="E7" t="s">
        <v>13</v>
      </c>
    </row>
    <row r="8" spans="1:5" x14ac:dyDescent="0.2">
      <c r="A8" t="s">
        <v>14</v>
      </c>
      <c r="B8" s="3">
        <f>Rounding!E5</f>
        <v>7</v>
      </c>
      <c r="C8" t="s">
        <v>15</v>
      </c>
      <c r="D8" s="4">
        <f>Rounding!G5</f>
        <v>0.09</v>
      </c>
      <c r="E8" t="s">
        <v>13</v>
      </c>
    </row>
    <row r="9" spans="1:5" x14ac:dyDescent="0.2">
      <c r="A9" s="5" t="s">
        <v>16</v>
      </c>
      <c r="B9" s="3">
        <f>Rounding!E6</f>
        <v>0.5</v>
      </c>
      <c r="C9" t="s">
        <v>15</v>
      </c>
      <c r="D9" s="4">
        <f>Rounding!G6</f>
        <v>0.03</v>
      </c>
      <c r="E9" t="s">
        <v>13</v>
      </c>
    </row>
    <row r="10" spans="1:5" x14ac:dyDescent="0.2">
      <c r="A10" s="5" t="s">
        <v>17</v>
      </c>
      <c r="B10" s="3">
        <f>Rounding!E7</f>
        <v>0</v>
      </c>
      <c r="C10" t="s">
        <v>15</v>
      </c>
      <c r="E10" t="s">
        <v>13</v>
      </c>
    </row>
    <row r="11" spans="1:5" x14ac:dyDescent="0.2">
      <c r="A11" t="s">
        <v>18</v>
      </c>
      <c r="B11" s="3">
        <f>Rounding!E8</f>
        <v>0</v>
      </c>
      <c r="C11" t="s">
        <v>19</v>
      </c>
      <c r="D11" s="4">
        <f>Rounding!G8</f>
        <v>0</v>
      </c>
      <c r="E11" t="s">
        <v>13</v>
      </c>
    </row>
    <row r="12" spans="1:5" x14ac:dyDescent="0.2">
      <c r="A12" t="s">
        <v>20</v>
      </c>
      <c r="B12" s="3">
        <f>Rounding!E9</f>
        <v>130</v>
      </c>
      <c r="C12" t="s">
        <v>19</v>
      </c>
      <c r="D12" s="4">
        <f>Rounding!G9</f>
        <v>0.06</v>
      </c>
      <c r="E12" t="s">
        <v>13</v>
      </c>
    </row>
    <row r="13" spans="1:5" x14ac:dyDescent="0.2">
      <c r="A13" t="s">
        <v>21</v>
      </c>
      <c r="B13" s="3">
        <f>Rounding!E10</f>
        <v>28</v>
      </c>
      <c r="C13" t="s">
        <v>15</v>
      </c>
      <c r="D13" s="4">
        <f>Rounding!G10</f>
        <v>0.1</v>
      </c>
      <c r="E13" t="s">
        <v>13</v>
      </c>
    </row>
    <row r="14" spans="1:5" x14ac:dyDescent="0.2">
      <c r="A14" s="5" t="s">
        <v>22</v>
      </c>
      <c r="B14" s="3">
        <f>Rounding!E11</f>
        <v>3</v>
      </c>
      <c r="C14" t="s">
        <v>15</v>
      </c>
      <c r="D14" s="4">
        <f>Rounding!G11</f>
        <v>0.11</v>
      </c>
      <c r="E14" t="s">
        <v>13</v>
      </c>
    </row>
    <row r="15" spans="1:5" x14ac:dyDescent="0.2">
      <c r="A15" s="5" t="s">
        <v>23</v>
      </c>
      <c r="B15" s="3">
        <f>Rounding!E12</f>
        <v>9</v>
      </c>
      <c r="C15" t="s">
        <v>15</v>
      </c>
      <c r="E15" t="s">
        <v>13</v>
      </c>
    </row>
    <row r="16" spans="1:5" x14ac:dyDescent="0.2">
      <c r="A16" s="5" t="s">
        <v>24</v>
      </c>
      <c r="B16" s="3">
        <f>Rounding!E13</f>
        <v>8</v>
      </c>
      <c r="C16" t="s">
        <v>15</v>
      </c>
      <c r="D16" s="4">
        <f>Rounding!G13</f>
        <v>0.16</v>
      </c>
      <c r="E16" t="s">
        <v>13</v>
      </c>
    </row>
    <row r="17" spans="1:5" x14ac:dyDescent="0.2">
      <c r="A17" t="s">
        <v>25</v>
      </c>
      <c r="B17" s="3">
        <f>Rounding!E14</f>
        <v>4</v>
      </c>
      <c r="C17" t="s">
        <v>15</v>
      </c>
      <c r="D17" s="4">
        <f>Rounding!G14</f>
        <v>0.08</v>
      </c>
      <c r="E17" t="s">
        <v>13</v>
      </c>
    </row>
    <row r="18" spans="1:5" x14ac:dyDescent="0.2">
      <c r="A18" t="s">
        <v>26</v>
      </c>
      <c r="B18" s="3">
        <f>Rounding!E15</f>
        <v>0</v>
      </c>
      <c r="C18" t="s">
        <v>27</v>
      </c>
      <c r="D18" s="4">
        <f>Rounding!G15</f>
        <v>0</v>
      </c>
      <c r="E18" t="s">
        <v>13</v>
      </c>
    </row>
    <row r="19" spans="1:5" x14ac:dyDescent="0.2">
      <c r="A19" t="s">
        <v>28</v>
      </c>
      <c r="B19" s="3">
        <f>Rounding!E16</f>
        <v>30</v>
      </c>
      <c r="C19" t="s">
        <v>19</v>
      </c>
      <c r="D19" s="4">
        <f>Rounding!G16</f>
        <v>0.02</v>
      </c>
      <c r="E19" t="s">
        <v>13</v>
      </c>
    </row>
    <row r="20" spans="1:5" x14ac:dyDescent="0.2">
      <c r="A20" t="s">
        <v>29</v>
      </c>
      <c r="B20" s="3">
        <f>Rounding!E17</f>
        <v>1</v>
      </c>
      <c r="C20" t="s">
        <v>19</v>
      </c>
      <c r="D20" s="4">
        <f>Rounding!G17</f>
        <v>0.06</v>
      </c>
      <c r="E20" t="s">
        <v>13</v>
      </c>
    </row>
    <row r="21" spans="1:5" x14ac:dyDescent="0.2">
      <c r="A21" t="s">
        <v>30</v>
      </c>
      <c r="B21" s="3">
        <f>Rounding!E18</f>
        <v>130</v>
      </c>
      <c r="C21" t="s">
        <v>19</v>
      </c>
      <c r="D21" s="4">
        <f>Rounding!G18</f>
        <v>0.03</v>
      </c>
      <c r="E21" t="s">
        <v>13</v>
      </c>
    </row>
    <row r="22" spans="1:5" x14ac:dyDescent="0.2">
      <c r="A22" s="6" t="s">
        <v>31</v>
      </c>
      <c r="B22" t="str">
        <f>'Ingredient Statement'!B17</f>
        <v>Whole grain rolled oats, brown rice syrup, crisp rice (rice flour, sugar, salt), honey, dried cherries (cherries, sugar, sunflower oil), almond butter, sliced almonds, sunflower oil, natural vanilla flavor, cinnamon, sea salt, soy lecithin.</v>
      </c>
      <c r="E22" t="s">
        <v>32</v>
      </c>
    </row>
    <row r="23" spans="1:5" x14ac:dyDescent="0.2">
      <c r="A23" s="6" t="s">
        <v>33</v>
      </c>
      <c r="B23" t="str">
        <f>'Ingredient Statement'!B18</f>
        <v>Contains: almonds, soy.</v>
      </c>
      <c r="E23" t="s">
        <v>32</v>
      </c>
    </row>
    <row r="24" spans="1:5" x14ac:dyDescent="0.2">
      <c r="A24" t="s">
        <v>34</v>
      </c>
      <c r="B24">
        <f>Claims!B11</f>
        <v>4</v>
      </c>
      <c r="E24" t="s">
        <v>35</v>
      </c>
    </row>
    <row r="25" spans="1:5" x14ac:dyDescent="0.2">
      <c r="A25" t="s">
        <v>36</v>
      </c>
      <c r="B25">
        <f>Claims!B12</f>
        <v>2</v>
      </c>
      <c r="E25" t="s">
        <v>35</v>
      </c>
    </row>
    <row r="27" spans="1:5" x14ac:dyDescent="0.2">
      <c r="A27" t="s">
        <v>37</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28"/>
  <sheetViews>
    <sheetView workbookViewId="0"/>
  </sheetViews>
  <sheetFormatPr baseColWidth="10" defaultColWidth="8.83203125" defaultRowHeight="15" x14ac:dyDescent="0.2"/>
  <cols>
    <col min="1" max="1" width="52" customWidth="1"/>
    <col min="2" max="2" width="14" customWidth="1"/>
    <col min="3" max="3" width="50" customWidth="1"/>
  </cols>
  <sheetData>
    <row r="1" spans="1:3" ht="17" x14ac:dyDescent="0.2">
      <c r="A1" s="1" t="s">
        <v>38</v>
      </c>
    </row>
    <row r="3" spans="1:3" x14ac:dyDescent="0.2">
      <c r="A3" s="2" t="s">
        <v>39</v>
      </c>
      <c r="B3" s="2" t="s">
        <v>40</v>
      </c>
      <c r="C3" s="2" t="s">
        <v>41</v>
      </c>
    </row>
    <row r="4" spans="1:3" x14ac:dyDescent="0.2">
      <c r="A4" t="s">
        <v>42</v>
      </c>
      <c r="B4">
        <v>40</v>
      </c>
      <c r="C4" t="s">
        <v>43</v>
      </c>
    </row>
    <row r="5" spans="1:3" x14ac:dyDescent="0.2">
      <c r="A5" t="s">
        <v>44</v>
      </c>
      <c r="B5">
        <f>'Pilot Batch Record'!B11</f>
        <v>42</v>
      </c>
      <c r="C5" t="s">
        <v>45</v>
      </c>
    </row>
    <row r="6" spans="1:3" x14ac:dyDescent="0.2">
      <c r="A6" t="s">
        <v>46</v>
      </c>
      <c r="B6">
        <f>'Pilot Batch Record'!B4</f>
        <v>120</v>
      </c>
      <c r="C6" t="s">
        <v>47</v>
      </c>
    </row>
    <row r="7" spans="1:3" x14ac:dyDescent="0.2">
      <c r="A7" t="s">
        <v>48</v>
      </c>
      <c r="B7">
        <f>'Pilot Batch Record'!B8</f>
        <v>107.28</v>
      </c>
      <c r="C7" t="s">
        <v>49</v>
      </c>
    </row>
    <row r="8" spans="1:3" x14ac:dyDescent="0.2">
      <c r="A8" t="s">
        <v>50</v>
      </c>
      <c r="B8" s="7">
        <f>ROUND(B7/B6,4)</f>
        <v>0.894</v>
      </c>
      <c r="C8" t="s">
        <v>51</v>
      </c>
    </row>
    <row r="9" spans="1:3" x14ac:dyDescent="0.2">
      <c r="A9" t="s">
        <v>52</v>
      </c>
      <c r="B9" s="8">
        <f>ROUND(B5/B7*B6,2)</f>
        <v>46.98</v>
      </c>
      <c r="C9" t="s">
        <v>53</v>
      </c>
    </row>
    <row r="10" spans="1:3" x14ac:dyDescent="0.2">
      <c r="A10" t="s">
        <v>54</v>
      </c>
      <c r="B10" s="7">
        <f>ROUND(B5/B4,4)</f>
        <v>1.05</v>
      </c>
      <c r="C10" t="s">
        <v>55</v>
      </c>
    </row>
    <row r="11" spans="1:3" x14ac:dyDescent="0.2">
      <c r="A11" t="s">
        <v>56</v>
      </c>
      <c r="B11" s="4">
        <v>0.1</v>
      </c>
      <c r="C11" t="s">
        <v>57</v>
      </c>
    </row>
    <row r="12" spans="1:3" x14ac:dyDescent="0.2">
      <c r="A12" t="s">
        <v>58</v>
      </c>
      <c r="B12" s="4">
        <v>0.2</v>
      </c>
      <c r="C12" t="s">
        <v>57</v>
      </c>
    </row>
    <row r="13" spans="1:3" x14ac:dyDescent="0.2">
      <c r="A13" t="s">
        <v>59</v>
      </c>
      <c r="B13">
        <v>140</v>
      </c>
      <c r="C13" t="s">
        <v>60</v>
      </c>
    </row>
    <row r="14" spans="1:3" x14ac:dyDescent="0.2">
      <c r="A14" t="s">
        <v>61</v>
      </c>
      <c r="B14">
        <v>8</v>
      </c>
      <c r="C14" t="s">
        <v>62</v>
      </c>
    </row>
    <row r="15" spans="1:3" x14ac:dyDescent="0.2">
      <c r="A15" t="s">
        <v>63</v>
      </c>
      <c r="C15" t="s">
        <v>64</v>
      </c>
    </row>
    <row r="16" spans="1:3" x14ac:dyDescent="0.2">
      <c r="A16" s="2" t="s">
        <v>65</v>
      </c>
      <c r="B16" s="2" t="s">
        <v>66</v>
      </c>
      <c r="C16" s="2" t="s">
        <v>4</v>
      </c>
    </row>
    <row r="17" spans="1:3" x14ac:dyDescent="0.2">
      <c r="A17" t="s">
        <v>14</v>
      </c>
      <c r="B17">
        <v>78</v>
      </c>
      <c r="C17" t="s">
        <v>15</v>
      </c>
    </row>
    <row r="18" spans="1:3" x14ac:dyDescent="0.2">
      <c r="A18" t="s">
        <v>16</v>
      </c>
      <c r="B18">
        <v>20</v>
      </c>
      <c r="C18" t="s">
        <v>15</v>
      </c>
    </row>
    <row r="19" spans="1:3" x14ac:dyDescent="0.2">
      <c r="A19" t="s">
        <v>18</v>
      </c>
      <c r="B19">
        <v>300</v>
      </c>
      <c r="C19" t="s">
        <v>19</v>
      </c>
    </row>
    <row r="20" spans="1:3" x14ac:dyDescent="0.2">
      <c r="A20" t="s">
        <v>20</v>
      </c>
      <c r="B20">
        <v>2300</v>
      </c>
      <c r="C20" t="s">
        <v>19</v>
      </c>
    </row>
    <row r="21" spans="1:3" x14ac:dyDescent="0.2">
      <c r="A21" t="s">
        <v>21</v>
      </c>
      <c r="B21">
        <v>275</v>
      </c>
      <c r="C21" t="s">
        <v>15</v>
      </c>
    </row>
    <row r="22" spans="1:3" x14ac:dyDescent="0.2">
      <c r="A22" t="s">
        <v>22</v>
      </c>
      <c r="B22">
        <v>28</v>
      </c>
      <c r="C22" t="s">
        <v>15</v>
      </c>
    </row>
    <row r="23" spans="1:3" x14ac:dyDescent="0.2">
      <c r="A23" t="s">
        <v>24</v>
      </c>
      <c r="B23">
        <v>50</v>
      </c>
      <c r="C23" t="s">
        <v>15</v>
      </c>
    </row>
    <row r="24" spans="1:3" x14ac:dyDescent="0.2">
      <c r="A24" t="s">
        <v>25</v>
      </c>
      <c r="B24">
        <v>50</v>
      </c>
      <c r="C24" t="s">
        <v>15</v>
      </c>
    </row>
    <row r="25" spans="1:3" x14ac:dyDescent="0.2">
      <c r="A25" t="s">
        <v>26</v>
      </c>
      <c r="B25">
        <v>20</v>
      </c>
      <c r="C25" t="s">
        <v>27</v>
      </c>
    </row>
    <row r="26" spans="1:3" x14ac:dyDescent="0.2">
      <c r="A26" t="s">
        <v>28</v>
      </c>
      <c r="B26">
        <v>1300</v>
      </c>
      <c r="C26" t="s">
        <v>19</v>
      </c>
    </row>
    <row r="27" spans="1:3" x14ac:dyDescent="0.2">
      <c r="A27" t="s">
        <v>29</v>
      </c>
      <c r="B27">
        <v>18</v>
      </c>
      <c r="C27" t="s">
        <v>19</v>
      </c>
    </row>
    <row r="28" spans="1:3" x14ac:dyDescent="0.2">
      <c r="A28" t="s">
        <v>30</v>
      </c>
      <c r="B28">
        <v>4700</v>
      </c>
      <c r="C28" t="s">
        <v>19</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13"/>
  <sheetViews>
    <sheetView workbookViewId="0"/>
  </sheetViews>
  <sheetFormatPr baseColWidth="10" defaultColWidth="8.83203125" defaultRowHeight="15" x14ac:dyDescent="0.2"/>
  <cols>
    <col min="1" max="1" width="44" customWidth="1"/>
    <col min="2" max="2" width="12" customWidth="1"/>
    <col min="3" max="3" width="52" customWidth="1"/>
  </cols>
  <sheetData>
    <row r="1" spans="1:3" ht="17" x14ac:dyDescent="0.2">
      <c r="A1" s="1" t="s">
        <v>67</v>
      </c>
    </row>
    <row r="3" spans="1:3" x14ac:dyDescent="0.2">
      <c r="A3" s="2" t="s">
        <v>68</v>
      </c>
      <c r="B3" s="2" t="s">
        <v>69</v>
      </c>
      <c r="C3" s="2" t="s">
        <v>70</v>
      </c>
    </row>
    <row r="4" spans="1:3" x14ac:dyDescent="0.2">
      <c r="A4" t="s">
        <v>46</v>
      </c>
      <c r="B4">
        <v>120</v>
      </c>
      <c r="C4" t="s">
        <v>71</v>
      </c>
    </row>
    <row r="5" spans="1:3" x14ac:dyDescent="0.2">
      <c r="A5" t="s">
        <v>72</v>
      </c>
      <c r="C5" t="s">
        <v>73</v>
      </c>
    </row>
    <row r="6" spans="1:3" x14ac:dyDescent="0.2">
      <c r="A6" t="s">
        <v>74</v>
      </c>
      <c r="B6">
        <v>108.14</v>
      </c>
      <c r="C6" t="s">
        <v>75</v>
      </c>
    </row>
    <row r="7" spans="1:3" x14ac:dyDescent="0.2">
      <c r="A7" t="s">
        <v>76</v>
      </c>
      <c r="B7">
        <v>0.86</v>
      </c>
      <c r="C7" t="s">
        <v>77</v>
      </c>
    </row>
    <row r="8" spans="1:3" x14ac:dyDescent="0.2">
      <c r="A8" t="s">
        <v>48</v>
      </c>
      <c r="B8">
        <v>107.28</v>
      </c>
      <c r="C8" t="s">
        <v>78</v>
      </c>
    </row>
    <row r="9" spans="1:3" x14ac:dyDescent="0.2">
      <c r="A9" t="s">
        <v>79</v>
      </c>
      <c r="B9">
        <v>2548</v>
      </c>
      <c r="C9" t="s">
        <v>80</v>
      </c>
    </row>
    <row r="10" spans="1:3" x14ac:dyDescent="0.2">
      <c r="A10" t="s">
        <v>81</v>
      </c>
      <c r="B10">
        <v>42.1</v>
      </c>
      <c r="C10" t="s">
        <v>82</v>
      </c>
    </row>
    <row r="11" spans="1:3" x14ac:dyDescent="0.2">
      <c r="A11" t="s">
        <v>83</v>
      </c>
      <c r="B11">
        <v>42</v>
      </c>
      <c r="C11" t="s">
        <v>84</v>
      </c>
    </row>
    <row r="12" spans="1:3" x14ac:dyDescent="0.2">
      <c r="A12" t="s">
        <v>85</v>
      </c>
      <c r="B12">
        <v>8.6</v>
      </c>
      <c r="C12" t="s">
        <v>86</v>
      </c>
    </row>
    <row r="13" spans="1:3" x14ac:dyDescent="0.2">
      <c r="A13" t="s">
        <v>87</v>
      </c>
      <c r="B13">
        <v>0.58</v>
      </c>
      <c r="C13" t="s">
        <v>88</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19"/>
  <sheetViews>
    <sheetView workbookViewId="0"/>
  </sheetViews>
  <sheetFormatPr baseColWidth="10" defaultColWidth="8.83203125" defaultRowHeight="15" x14ac:dyDescent="0.2"/>
  <cols>
    <col min="1" max="1" width="16" customWidth="1"/>
    <col min="2" max="2" width="26" customWidth="1"/>
    <col min="3" max="3" width="10" customWidth="1"/>
    <col min="4" max="4" width="12" customWidth="1"/>
    <col min="5" max="5" width="24" customWidth="1"/>
    <col min="6" max="6" width="30" customWidth="1"/>
    <col min="7" max="7" width="13" customWidth="1"/>
    <col min="8" max="8" width="12" customWidth="1"/>
    <col min="9" max="9" width="8" customWidth="1"/>
  </cols>
  <sheetData>
    <row r="1" spans="1:9" ht="17" x14ac:dyDescent="0.2">
      <c r="A1" s="1" t="s">
        <v>89</v>
      </c>
    </row>
    <row r="3" spans="1:9" x14ac:dyDescent="0.2">
      <c r="A3" s="2" t="s">
        <v>90</v>
      </c>
      <c r="B3" s="2" t="s">
        <v>91</v>
      </c>
      <c r="C3" s="2" t="s">
        <v>92</v>
      </c>
      <c r="D3" s="2" t="s">
        <v>93</v>
      </c>
      <c r="E3" s="2" t="s">
        <v>94</v>
      </c>
      <c r="F3" s="2" t="s">
        <v>95</v>
      </c>
      <c r="G3" s="2" t="s">
        <v>96</v>
      </c>
      <c r="H3" s="2" t="s">
        <v>97</v>
      </c>
      <c r="I3" s="2" t="s">
        <v>98</v>
      </c>
    </row>
    <row r="4" spans="1:9" x14ac:dyDescent="0.2">
      <c r="A4" t="s">
        <v>99</v>
      </c>
      <c r="B4" t="s">
        <v>100</v>
      </c>
      <c r="C4" s="9">
        <v>39.6</v>
      </c>
      <c r="D4" s="10">
        <f t="shared" ref="D4:D16" si="0">C4/$C$17</f>
        <v>0.33</v>
      </c>
      <c r="E4" t="s">
        <v>101</v>
      </c>
      <c r="G4" s="7">
        <f>ROUND(C4/Parameters!$B$7*Parameters!$B$5,4)</f>
        <v>15.5034</v>
      </c>
      <c r="H4" s="7">
        <f>ROUND(C4/Parameters!$B$7*Parameters!$B$4,4)</f>
        <v>14.7651</v>
      </c>
      <c r="I4">
        <f t="shared" ref="I4:I16" si="1">RANK(C4,$C$4:$C$16)</f>
        <v>1</v>
      </c>
    </row>
    <row r="5" spans="1:9" x14ac:dyDescent="0.2">
      <c r="A5" t="s">
        <v>102</v>
      </c>
      <c r="B5" t="s">
        <v>103</v>
      </c>
      <c r="C5" s="9">
        <v>17.4</v>
      </c>
      <c r="D5" s="10">
        <f t="shared" si="0"/>
        <v>0.145</v>
      </c>
      <c r="E5" t="s">
        <v>104</v>
      </c>
      <c r="G5" s="7">
        <f>ROUND(C5/Parameters!$B$7*Parameters!$B$5,4)</f>
        <v>6.8121</v>
      </c>
      <c r="H5" s="7">
        <f>ROUND(C5/Parameters!$B$7*Parameters!$B$4,4)</f>
        <v>6.4877</v>
      </c>
      <c r="I5">
        <f t="shared" si="1"/>
        <v>2</v>
      </c>
    </row>
    <row r="6" spans="1:9" x14ac:dyDescent="0.2">
      <c r="A6" t="s">
        <v>105</v>
      </c>
      <c r="B6" t="s">
        <v>106</v>
      </c>
      <c r="C6" s="9">
        <v>12</v>
      </c>
      <c r="D6" s="10">
        <f t="shared" si="0"/>
        <v>0.1</v>
      </c>
      <c r="E6" t="s">
        <v>107</v>
      </c>
      <c r="F6" t="s">
        <v>108</v>
      </c>
      <c r="G6" s="7">
        <f>ROUND(C6/Parameters!$B$7*Parameters!$B$5,4)</f>
        <v>4.698</v>
      </c>
      <c r="H6" s="7">
        <f>ROUND(C6/Parameters!$B$7*Parameters!$B$4,4)</f>
        <v>4.4743</v>
      </c>
      <c r="I6">
        <f t="shared" si="1"/>
        <v>3</v>
      </c>
    </row>
    <row r="7" spans="1:9" x14ac:dyDescent="0.2">
      <c r="A7" t="s">
        <v>109</v>
      </c>
      <c r="B7" t="s">
        <v>110</v>
      </c>
      <c r="C7" s="9">
        <v>10.2</v>
      </c>
      <c r="D7" s="10">
        <f t="shared" si="0"/>
        <v>0.085</v>
      </c>
      <c r="E7" t="s">
        <v>111</v>
      </c>
      <c r="G7" s="7">
        <f>ROUND(C7/Parameters!$B$7*Parameters!$B$5,4)</f>
        <v>3.9933</v>
      </c>
      <c r="H7" s="7">
        <f>ROUND(C7/Parameters!$B$7*Parameters!$B$4,4)</f>
        <v>3.8031</v>
      </c>
      <c r="I7">
        <f t="shared" si="1"/>
        <v>4</v>
      </c>
    </row>
    <row r="8" spans="1:9" x14ac:dyDescent="0.2">
      <c r="A8" t="s">
        <v>112</v>
      </c>
      <c r="B8" t="s">
        <v>113</v>
      </c>
      <c r="C8" s="9">
        <v>9.6</v>
      </c>
      <c r="D8" s="10">
        <f t="shared" si="0"/>
        <v>0.08</v>
      </c>
      <c r="E8" t="s">
        <v>114</v>
      </c>
      <c r="F8" t="s">
        <v>115</v>
      </c>
      <c r="G8" s="7">
        <f>ROUND(C8/Parameters!$B$7*Parameters!$B$5,4)</f>
        <v>3.7584</v>
      </c>
      <c r="H8" s="7">
        <f>ROUND(C8/Parameters!$B$7*Parameters!$B$4,4)</f>
        <v>3.5794</v>
      </c>
      <c r="I8">
        <f t="shared" si="1"/>
        <v>5</v>
      </c>
    </row>
    <row r="9" spans="1:9" x14ac:dyDescent="0.2">
      <c r="A9" t="s">
        <v>116</v>
      </c>
      <c r="B9" t="s">
        <v>117</v>
      </c>
      <c r="C9" s="9">
        <v>8.4</v>
      </c>
      <c r="D9" s="10">
        <f t="shared" si="0"/>
        <v>0.07</v>
      </c>
      <c r="E9" t="s">
        <v>118</v>
      </c>
      <c r="G9" s="7">
        <f>ROUND(C9/Parameters!$B$7*Parameters!$B$5,4)</f>
        <v>3.2886</v>
      </c>
      <c r="H9" s="7">
        <f>ROUND(C9/Parameters!$B$7*Parameters!$B$4,4)</f>
        <v>3.132</v>
      </c>
      <c r="I9">
        <f t="shared" si="1"/>
        <v>6</v>
      </c>
    </row>
    <row r="10" spans="1:9" x14ac:dyDescent="0.2">
      <c r="A10" t="s">
        <v>119</v>
      </c>
      <c r="B10" t="s">
        <v>120</v>
      </c>
      <c r="C10" s="9">
        <v>7.8</v>
      </c>
      <c r="D10" s="10">
        <f t="shared" si="0"/>
        <v>0.065</v>
      </c>
      <c r="E10" t="s">
        <v>121</v>
      </c>
      <c r="G10" s="7">
        <f>ROUND(C10/Parameters!$B$7*Parameters!$B$5,4)</f>
        <v>3.0537</v>
      </c>
      <c r="H10" s="7">
        <f>ROUND(C10/Parameters!$B$7*Parameters!$B$4,4)</f>
        <v>2.9083</v>
      </c>
      <c r="I10">
        <f t="shared" si="1"/>
        <v>7</v>
      </c>
    </row>
    <row r="11" spans="1:9" x14ac:dyDescent="0.2">
      <c r="A11" t="s">
        <v>122</v>
      </c>
      <c r="B11" t="s">
        <v>123</v>
      </c>
      <c r="C11" s="9">
        <v>6</v>
      </c>
      <c r="D11" s="10">
        <f t="shared" si="0"/>
        <v>0.05</v>
      </c>
      <c r="E11" t="s">
        <v>124</v>
      </c>
      <c r="G11" s="7">
        <f>ROUND(C11/Parameters!$B$7*Parameters!$B$5,4)</f>
        <v>2.349</v>
      </c>
      <c r="H11" s="7">
        <f>ROUND(C11/Parameters!$B$7*Parameters!$B$4,4)</f>
        <v>2.2371</v>
      </c>
      <c r="I11">
        <f t="shared" si="1"/>
        <v>8</v>
      </c>
    </row>
    <row r="12" spans="1:9" x14ac:dyDescent="0.2">
      <c r="A12" t="s">
        <v>125</v>
      </c>
      <c r="B12" t="s">
        <v>126</v>
      </c>
      <c r="C12" s="9">
        <v>5.4</v>
      </c>
      <c r="D12" s="10">
        <f t="shared" si="0"/>
        <v>0.045</v>
      </c>
      <c r="E12" t="s">
        <v>127</v>
      </c>
      <c r="G12" s="7">
        <f>ROUND(C12/Parameters!$B$7*Parameters!$B$5,4)</f>
        <v>2.1141</v>
      </c>
      <c r="H12" s="7">
        <f>ROUND(C12/Parameters!$B$7*Parameters!$B$4,4)</f>
        <v>2.0134</v>
      </c>
      <c r="I12">
        <f t="shared" si="1"/>
        <v>9</v>
      </c>
    </row>
    <row r="13" spans="1:9" x14ac:dyDescent="0.2">
      <c r="A13" t="s">
        <v>128</v>
      </c>
      <c r="B13" t="s">
        <v>129</v>
      </c>
      <c r="C13" s="9">
        <v>1.56</v>
      </c>
      <c r="D13" s="10">
        <f t="shared" si="0"/>
        <v>0.013</v>
      </c>
      <c r="E13" t="s">
        <v>130</v>
      </c>
      <c r="G13" s="7">
        <f>ROUND(C13/Parameters!$B$7*Parameters!$B$5,4)</f>
        <v>0.6107</v>
      </c>
      <c r="H13" s="7">
        <f>ROUND(C13/Parameters!$B$7*Parameters!$B$4,4)</f>
        <v>0.5817</v>
      </c>
      <c r="I13">
        <f t="shared" si="1"/>
        <v>10</v>
      </c>
    </row>
    <row r="14" spans="1:9" x14ac:dyDescent="0.2">
      <c r="A14" t="s">
        <v>131</v>
      </c>
      <c r="B14" t="s">
        <v>132</v>
      </c>
      <c r="C14" s="9">
        <v>0.84</v>
      </c>
      <c r="D14" s="10">
        <f t="shared" si="0"/>
        <v>0.007</v>
      </c>
      <c r="E14" t="s">
        <v>133</v>
      </c>
      <c r="G14" s="7">
        <f>ROUND(C14/Parameters!$B$7*Parameters!$B$5,4)</f>
        <v>0.3289</v>
      </c>
      <c r="H14" s="7">
        <f>ROUND(C14/Parameters!$B$7*Parameters!$B$4,4)</f>
        <v>0.3132</v>
      </c>
      <c r="I14">
        <f t="shared" si="1"/>
        <v>11</v>
      </c>
    </row>
    <row r="15" spans="1:9" x14ac:dyDescent="0.2">
      <c r="A15" t="s">
        <v>134</v>
      </c>
      <c r="B15" t="s">
        <v>135</v>
      </c>
      <c r="C15" s="9">
        <v>0.72</v>
      </c>
      <c r="D15" s="10">
        <f t="shared" si="0"/>
        <v>0.006</v>
      </c>
      <c r="E15" t="s">
        <v>136</v>
      </c>
      <c r="G15" s="7">
        <f>ROUND(C15/Parameters!$B$7*Parameters!$B$5,4)</f>
        <v>0.2819</v>
      </c>
      <c r="H15" s="7">
        <f>ROUND(C15/Parameters!$B$7*Parameters!$B$4,4)</f>
        <v>0.2685</v>
      </c>
      <c r="I15">
        <f t="shared" si="1"/>
        <v>12</v>
      </c>
    </row>
    <row r="16" spans="1:9" x14ac:dyDescent="0.2">
      <c r="A16" t="s">
        <v>137</v>
      </c>
      <c r="B16" t="s">
        <v>138</v>
      </c>
      <c r="C16" s="9">
        <v>0.48</v>
      </c>
      <c r="D16" s="10">
        <f t="shared" si="0"/>
        <v>0.004</v>
      </c>
      <c r="E16" t="s">
        <v>139</v>
      </c>
      <c r="G16" s="7">
        <f>ROUND(C16/Parameters!$B$7*Parameters!$B$5,4)</f>
        <v>0.1879</v>
      </c>
      <c r="H16" s="7">
        <f>ROUND(C16/Parameters!$B$7*Parameters!$B$4,4)</f>
        <v>0.179</v>
      </c>
      <c r="I16">
        <f t="shared" si="1"/>
        <v>13</v>
      </c>
    </row>
    <row r="17" spans="1:8" x14ac:dyDescent="0.2">
      <c r="A17" s="6" t="s">
        <v>140</v>
      </c>
      <c r="C17" s="9">
        <f>ROUND(SUM(C4:C16),3)</f>
        <v>120</v>
      </c>
      <c r="G17" s="7">
        <f>SUM(G4:G16)</f>
        <v>46.98</v>
      </c>
      <c r="H17" s="7">
        <f>SUM(H4:H16)</f>
        <v>44.7428</v>
      </c>
    </row>
    <row r="19" spans="1:8" x14ac:dyDescent="0.2">
      <c r="A19" t="s">
        <v>141</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J18"/>
  <sheetViews>
    <sheetView workbookViewId="0"/>
  </sheetViews>
  <sheetFormatPr baseColWidth="10" defaultColWidth="8.83203125" defaultRowHeight="15" x14ac:dyDescent="0.2"/>
  <cols>
    <col min="1" max="1" width="16" customWidth="1"/>
    <col min="2" max="2" width="26" customWidth="1"/>
    <col min="3" max="3" width="9" customWidth="1"/>
    <col min="4" max="18" width="11" customWidth="1"/>
    <col min="19" max="19" width="40" customWidth="1"/>
    <col min="21" max="36" width="12" customWidth="1"/>
  </cols>
  <sheetData>
    <row r="1" spans="1:36" ht="17" x14ac:dyDescent="0.2">
      <c r="A1" s="1" t="s">
        <v>142</v>
      </c>
    </row>
    <row r="3" spans="1:36" x14ac:dyDescent="0.2">
      <c r="A3" s="2" t="s">
        <v>90</v>
      </c>
      <c r="B3" s="2" t="s">
        <v>91</v>
      </c>
      <c r="C3" s="2" t="s">
        <v>143</v>
      </c>
      <c r="D3" s="2" t="s">
        <v>144</v>
      </c>
      <c r="E3" s="2" t="s">
        <v>145</v>
      </c>
      <c r="F3" s="2" t="s">
        <v>146</v>
      </c>
      <c r="G3" s="2" t="s">
        <v>147</v>
      </c>
      <c r="H3" s="2" t="s">
        <v>148</v>
      </c>
      <c r="I3" s="2" t="s">
        <v>149</v>
      </c>
      <c r="J3" s="2" t="s">
        <v>150</v>
      </c>
      <c r="K3" s="2" t="s">
        <v>151</v>
      </c>
      <c r="L3" s="2" t="s">
        <v>152</v>
      </c>
      <c r="M3" s="2" t="s">
        <v>153</v>
      </c>
      <c r="N3" s="2" t="s">
        <v>154</v>
      </c>
      <c r="O3" s="2" t="s">
        <v>155</v>
      </c>
      <c r="P3" s="2" t="s">
        <v>156</v>
      </c>
      <c r="Q3" s="2" t="s">
        <v>157</v>
      </c>
      <c r="R3" s="2" t="s">
        <v>158</v>
      </c>
      <c r="S3" s="2" t="s">
        <v>70</v>
      </c>
      <c r="U3" s="2" t="s">
        <v>159</v>
      </c>
      <c r="V3" s="2" t="s">
        <v>160</v>
      </c>
      <c r="W3" s="2" t="s">
        <v>161</v>
      </c>
      <c r="X3" s="2" t="s">
        <v>162</v>
      </c>
      <c r="Y3" s="2" t="s">
        <v>163</v>
      </c>
      <c r="Z3" s="2" t="s">
        <v>164</v>
      </c>
      <c r="AA3" s="2" t="s">
        <v>165</v>
      </c>
      <c r="AB3" s="2" t="s">
        <v>166</v>
      </c>
      <c r="AC3" s="2" t="s">
        <v>167</v>
      </c>
      <c r="AD3" s="2" t="s">
        <v>168</v>
      </c>
      <c r="AE3" s="2" t="s">
        <v>169</v>
      </c>
      <c r="AF3" s="2" t="s">
        <v>170</v>
      </c>
      <c r="AG3" s="2" t="s">
        <v>171</v>
      </c>
      <c r="AH3" s="2" t="s">
        <v>172</v>
      </c>
      <c r="AI3" s="2" t="s">
        <v>173</v>
      </c>
      <c r="AJ3" s="2" t="s">
        <v>174</v>
      </c>
    </row>
    <row r="4" spans="1:36" x14ac:dyDescent="0.2">
      <c r="A4" t="s">
        <v>99</v>
      </c>
      <c r="B4" t="s">
        <v>100</v>
      </c>
      <c r="C4">
        <v>100</v>
      </c>
      <c r="D4">
        <v>379</v>
      </c>
      <c r="E4">
        <v>6.5</v>
      </c>
      <c r="F4">
        <v>1.1</v>
      </c>
      <c r="G4">
        <v>0</v>
      </c>
      <c r="H4">
        <v>0</v>
      </c>
      <c r="I4">
        <v>6</v>
      </c>
      <c r="J4">
        <v>67.7</v>
      </c>
      <c r="K4">
        <v>10.1</v>
      </c>
      <c r="L4">
        <v>1</v>
      </c>
      <c r="M4">
        <v>0</v>
      </c>
      <c r="N4">
        <v>13.2</v>
      </c>
      <c r="O4">
        <v>0</v>
      </c>
      <c r="P4">
        <v>52</v>
      </c>
      <c r="Q4">
        <v>4.25</v>
      </c>
      <c r="R4">
        <v>362</v>
      </c>
      <c r="S4" t="s">
        <v>175</v>
      </c>
      <c r="U4" t="str">
        <f t="shared" ref="U4:U16" si="0">A4</f>
        <v>RM-1042</v>
      </c>
      <c r="V4" s="7">
        <f t="shared" ref="V4:V16" si="1">ROUND(D4/$C4*100,4)</f>
        <v>379</v>
      </c>
      <c r="W4" s="7">
        <f t="shared" ref="W4:W16" si="2">ROUND(E4/$C4*100,4)</f>
        <v>6.5</v>
      </c>
      <c r="X4" s="7">
        <f t="shared" ref="X4:X16" si="3">ROUND(F4/$C4*100,4)</f>
        <v>1.1</v>
      </c>
      <c r="Y4" s="7">
        <f t="shared" ref="Y4:Y16" si="4">ROUND(G4/$C4*100,4)</f>
        <v>0</v>
      </c>
      <c r="Z4" s="7">
        <f t="shared" ref="Z4:Z16" si="5">ROUND(H4/$C4*100,4)</f>
        <v>0</v>
      </c>
      <c r="AA4" s="7">
        <f t="shared" ref="AA4:AA16" si="6">ROUND(I4/$C4*100,4)</f>
        <v>6</v>
      </c>
      <c r="AB4" s="7">
        <f t="shared" ref="AB4:AB16" si="7">ROUND(J4/$C4*100,4)</f>
        <v>67.7</v>
      </c>
      <c r="AC4" s="7">
        <f t="shared" ref="AC4:AC16" si="8">ROUND(K4/$C4*100,4)</f>
        <v>10.1</v>
      </c>
      <c r="AD4" s="7">
        <f t="shared" ref="AD4:AD16" si="9">ROUND(L4/$C4*100,4)</f>
        <v>1</v>
      </c>
      <c r="AE4" s="7">
        <f t="shared" ref="AE4:AE16" si="10">ROUND(M4/$C4*100,4)</f>
        <v>0</v>
      </c>
      <c r="AF4" s="7">
        <f t="shared" ref="AF4:AF16" si="11">ROUND(N4/$C4*100,4)</f>
        <v>13.2</v>
      </c>
      <c r="AG4" s="7">
        <f t="shared" ref="AG4:AG16" si="12">ROUND(O4/$C4*100,4)</f>
        <v>0</v>
      </c>
      <c r="AH4" s="7">
        <f t="shared" ref="AH4:AH16" si="13">ROUND(P4/$C4*100,4)</f>
        <v>52</v>
      </c>
      <c r="AI4" s="7">
        <f t="shared" ref="AI4:AI16" si="14">ROUND(Q4/$C4*100,4)</f>
        <v>4.25</v>
      </c>
      <c r="AJ4" s="7">
        <f t="shared" ref="AJ4:AJ16" si="15">ROUND(R4/$C4*100,4)</f>
        <v>362</v>
      </c>
    </row>
    <row r="5" spans="1:36" x14ac:dyDescent="0.2">
      <c r="A5" t="s">
        <v>102</v>
      </c>
      <c r="B5" t="s">
        <v>103</v>
      </c>
      <c r="C5">
        <v>100</v>
      </c>
      <c r="D5">
        <v>316</v>
      </c>
      <c r="E5">
        <v>0.2</v>
      </c>
      <c r="F5">
        <v>0</v>
      </c>
      <c r="G5">
        <v>0</v>
      </c>
      <c r="H5">
        <v>0</v>
      </c>
      <c r="I5">
        <v>43</v>
      </c>
      <c r="J5">
        <v>78</v>
      </c>
      <c r="K5">
        <v>0</v>
      </c>
      <c r="L5">
        <v>44.6</v>
      </c>
      <c r="M5">
        <v>44.6</v>
      </c>
      <c r="N5">
        <v>0.5</v>
      </c>
      <c r="O5">
        <v>0</v>
      </c>
      <c r="P5">
        <v>12</v>
      </c>
      <c r="Q5">
        <v>0.1</v>
      </c>
      <c r="R5">
        <v>62</v>
      </c>
      <c r="S5" t="s">
        <v>176</v>
      </c>
      <c r="U5" t="str">
        <f t="shared" si="0"/>
        <v>RM-2210</v>
      </c>
      <c r="V5" s="7">
        <f t="shared" si="1"/>
        <v>316</v>
      </c>
      <c r="W5" s="7">
        <f t="shared" si="2"/>
        <v>0.2</v>
      </c>
      <c r="X5" s="7">
        <f t="shared" si="3"/>
        <v>0</v>
      </c>
      <c r="Y5" s="7">
        <f t="shared" si="4"/>
        <v>0</v>
      </c>
      <c r="Z5" s="7">
        <f t="shared" si="5"/>
        <v>0</v>
      </c>
      <c r="AA5" s="7">
        <f t="shared" si="6"/>
        <v>43</v>
      </c>
      <c r="AB5" s="7">
        <f t="shared" si="7"/>
        <v>78</v>
      </c>
      <c r="AC5" s="7">
        <f t="shared" si="8"/>
        <v>0</v>
      </c>
      <c r="AD5" s="7">
        <f t="shared" si="9"/>
        <v>44.6</v>
      </c>
      <c r="AE5" s="7">
        <f t="shared" si="10"/>
        <v>44.6</v>
      </c>
      <c r="AF5" s="7">
        <f t="shared" si="11"/>
        <v>0.5</v>
      </c>
      <c r="AG5" s="7">
        <f t="shared" si="12"/>
        <v>0</v>
      </c>
      <c r="AH5" s="7">
        <f t="shared" si="13"/>
        <v>12</v>
      </c>
      <c r="AI5" s="7">
        <f t="shared" si="14"/>
        <v>0.1</v>
      </c>
      <c r="AJ5" s="7">
        <f t="shared" si="15"/>
        <v>62</v>
      </c>
    </row>
    <row r="6" spans="1:36" x14ac:dyDescent="0.2">
      <c r="A6" t="s">
        <v>105</v>
      </c>
      <c r="B6" t="s">
        <v>106</v>
      </c>
      <c r="C6">
        <v>30</v>
      </c>
      <c r="D6">
        <v>116</v>
      </c>
      <c r="E6">
        <v>0.3</v>
      </c>
      <c r="F6">
        <v>0.1</v>
      </c>
      <c r="G6">
        <v>0</v>
      </c>
      <c r="H6">
        <v>0</v>
      </c>
      <c r="I6">
        <v>96</v>
      </c>
      <c r="J6">
        <v>26.1</v>
      </c>
      <c r="K6">
        <v>0.2</v>
      </c>
      <c r="L6">
        <v>2.6</v>
      </c>
      <c r="M6">
        <v>2.6</v>
      </c>
      <c r="N6">
        <v>2.1</v>
      </c>
      <c r="O6">
        <v>0</v>
      </c>
      <c r="P6">
        <v>3</v>
      </c>
      <c r="Q6">
        <v>0.36</v>
      </c>
      <c r="R6">
        <v>28</v>
      </c>
      <c r="S6" t="s">
        <v>177</v>
      </c>
      <c r="U6" t="str">
        <f t="shared" si="0"/>
        <v>RM-1187</v>
      </c>
      <c r="V6" s="7">
        <f t="shared" si="1"/>
        <v>386.6667</v>
      </c>
      <c r="W6" s="7">
        <f t="shared" si="2"/>
        <v>1</v>
      </c>
      <c r="X6" s="7">
        <f t="shared" si="3"/>
        <v>0.3333</v>
      </c>
      <c r="Y6" s="7">
        <f t="shared" si="4"/>
        <v>0</v>
      </c>
      <c r="Z6" s="7">
        <f t="shared" si="5"/>
        <v>0</v>
      </c>
      <c r="AA6" s="7">
        <f t="shared" si="6"/>
        <v>320</v>
      </c>
      <c r="AB6" s="7">
        <f t="shared" si="7"/>
        <v>87</v>
      </c>
      <c r="AC6" s="7">
        <f t="shared" si="8"/>
        <v>0.6667</v>
      </c>
      <c r="AD6" s="7">
        <f t="shared" si="9"/>
        <v>8.6667</v>
      </c>
      <c r="AE6" s="7">
        <f t="shared" si="10"/>
        <v>8.6667</v>
      </c>
      <c r="AF6" s="7">
        <f t="shared" si="11"/>
        <v>7</v>
      </c>
      <c r="AG6" s="7">
        <f t="shared" si="12"/>
        <v>0</v>
      </c>
      <c r="AH6" s="7">
        <f t="shared" si="13"/>
        <v>10</v>
      </c>
      <c r="AI6" s="7">
        <f t="shared" si="14"/>
        <v>1.2</v>
      </c>
      <c r="AJ6" s="7">
        <f t="shared" si="15"/>
        <v>93.3333</v>
      </c>
    </row>
    <row r="7" spans="1:36" x14ac:dyDescent="0.2">
      <c r="A7" t="s">
        <v>109</v>
      </c>
      <c r="B7" t="s">
        <v>110</v>
      </c>
      <c r="C7">
        <v>100</v>
      </c>
      <c r="D7">
        <v>304</v>
      </c>
      <c r="E7">
        <v>0</v>
      </c>
      <c r="F7">
        <v>0</v>
      </c>
      <c r="G7">
        <v>0</v>
      </c>
      <c r="H7">
        <v>0</v>
      </c>
      <c r="I7">
        <v>4</v>
      </c>
      <c r="J7">
        <v>82.4</v>
      </c>
      <c r="K7">
        <v>0.2</v>
      </c>
      <c r="L7">
        <v>82.1</v>
      </c>
      <c r="M7">
        <v>82.1</v>
      </c>
      <c r="N7">
        <v>0.3</v>
      </c>
      <c r="O7">
        <v>0</v>
      </c>
      <c r="P7">
        <v>6</v>
      </c>
      <c r="Q7">
        <v>0.42</v>
      </c>
      <c r="R7">
        <v>52</v>
      </c>
      <c r="S7" t="s">
        <v>178</v>
      </c>
      <c r="U7" t="str">
        <f t="shared" si="0"/>
        <v>RM-2205</v>
      </c>
      <c r="V7" s="7">
        <f t="shared" si="1"/>
        <v>304</v>
      </c>
      <c r="W7" s="7">
        <f t="shared" si="2"/>
        <v>0</v>
      </c>
      <c r="X7" s="7">
        <f t="shared" si="3"/>
        <v>0</v>
      </c>
      <c r="Y7" s="7">
        <f t="shared" si="4"/>
        <v>0</v>
      </c>
      <c r="Z7" s="7">
        <f t="shared" si="5"/>
        <v>0</v>
      </c>
      <c r="AA7" s="7">
        <f t="shared" si="6"/>
        <v>4</v>
      </c>
      <c r="AB7" s="7">
        <f t="shared" si="7"/>
        <v>82.4</v>
      </c>
      <c r="AC7" s="7">
        <f t="shared" si="8"/>
        <v>0.2</v>
      </c>
      <c r="AD7" s="7">
        <f t="shared" si="9"/>
        <v>82.1</v>
      </c>
      <c r="AE7" s="7">
        <f t="shared" si="10"/>
        <v>82.1</v>
      </c>
      <c r="AF7" s="7">
        <f t="shared" si="11"/>
        <v>0.3</v>
      </c>
      <c r="AG7" s="7">
        <f t="shared" si="12"/>
        <v>0</v>
      </c>
      <c r="AH7" s="7">
        <f t="shared" si="13"/>
        <v>6</v>
      </c>
      <c r="AI7" s="7">
        <f t="shared" si="14"/>
        <v>0.42</v>
      </c>
      <c r="AJ7" s="7">
        <f t="shared" si="15"/>
        <v>52</v>
      </c>
    </row>
    <row r="8" spans="1:36" x14ac:dyDescent="0.2">
      <c r="A8" t="s">
        <v>112</v>
      </c>
      <c r="B8" t="s">
        <v>113</v>
      </c>
      <c r="C8">
        <v>100</v>
      </c>
      <c r="D8">
        <v>333</v>
      </c>
      <c r="E8">
        <v>1</v>
      </c>
      <c r="F8">
        <v>0.1</v>
      </c>
      <c r="G8">
        <v>0</v>
      </c>
      <c r="H8">
        <v>0</v>
      </c>
      <c r="I8">
        <v>12</v>
      </c>
      <c r="J8">
        <v>80</v>
      </c>
      <c r="K8">
        <v>3</v>
      </c>
      <c r="L8">
        <v>60</v>
      </c>
      <c r="M8">
        <v>30</v>
      </c>
      <c r="N8">
        <v>1.5</v>
      </c>
      <c r="O8">
        <v>0</v>
      </c>
      <c r="P8">
        <v>26</v>
      </c>
      <c r="Q8">
        <v>0.9</v>
      </c>
      <c r="R8">
        <v>380</v>
      </c>
      <c r="S8" t="s">
        <v>179</v>
      </c>
      <c r="U8" t="str">
        <f t="shared" si="0"/>
        <v>RM-3301</v>
      </c>
      <c r="V8" s="7">
        <f t="shared" si="1"/>
        <v>333</v>
      </c>
      <c r="W8" s="7">
        <f t="shared" si="2"/>
        <v>1</v>
      </c>
      <c r="X8" s="7">
        <f t="shared" si="3"/>
        <v>0.1</v>
      </c>
      <c r="Y8" s="7">
        <f t="shared" si="4"/>
        <v>0</v>
      </c>
      <c r="Z8" s="7">
        <f t="shared" si="5"/>
        <v>0</v>
      </c>
      <c r="AA8" s="7">
        <f t="shared" si="6"/>
        <v>12</v>
      </c>
      <c r="AB8" s="7">
        <f t="shared" si="7"/>
        <v>80</v>
      </c>
      <c r="AC8" s="7">
        <f t="shared" si="8"/>
        <v>3</v>
      </c>
      <c r="AD8" s="7">
        <f t="shared" si="9"/>
        <v>60</v>
      </c>
      <c r="AE8" s="7">
        <f t="shared" si="10"/>
        <v>30</v>
      </c>
      <c r="AF8" s="7">
        <f t="shared" si="11"/>
        <v>1.5</v>
      </c>
      <c r="AG8" s="7">
        <f t="shared" si="12"/>
        <v>0</v>
      </c>
      <c r="AH8" s="7">
        <f t="shared" si="13"/>
        <v>26</v>
      </c>
      <c r="AI8" s="7">
        <f t="shared" si="14"/>
        <v>0.9</v>
      </c>
      <c r="AJ8" s="7">
        <f t="shared" si="15"/>
        <v>380</v>
      </c>
    </row>
    <row r="9" spans="1:36" x14ac:dyDescent="0.2">
      <c r="A9" t="s">
        <v>116</v>
      </c>
      <c r="B9" t="s">
        <v>117</v>
      </c>
      <c r="C9">
        <v>100</v>
      </c>
      <c r="D9">
        <v>614</v>
      </c>
      <c r="E9">
        <v>55.5</v>
      </c>
      <c r="F9">
        <v>4.2</v>
      </c>
      <c r="G9">
        <v>0</v>
      </c>
      <c r="H9">
        <v>0</v>
      </c>
      <c r="I9">
        <v>7</v>
      </c>
      <c r="J9">
        <v>18.8</v>
      </c>
      <c r="K9">
        <v>10.3</v>
      </c>
      <c r="L9">
        <v>4.4</v>
      </c>
      <c r="M9">
        <v>0</v>
      </c>
      <c r="N9">
        <v>21</v>
      </c>
      <c r="O9">
        <v>0</v>
      </c>
      <c r="P9">
        <v>347</v>
      </c>
      <c r="Q9">
        <v>3.49</v>
      </c>
      <c r="R9">
        <v>748</v>
      </c>
      <c r="S9" t="s">
        <v>180</v>
      </c>
      <c r="U9" t="str">
        <f t="shared" si="0"/>
        <v>RM-3120</v>
      </c>
      <c r="V9" s="7">
        <f t="shared" si="1"/>
        <v>614</v>
      </c>
      <c r="W9" s="7">
        <f t="shared" si="2"/>
        <v>55.5</v>
      </c>
      <c r="X9" s="7">
        <f t="shared" si="3"/>
        <v>4.2</v>
      </c>
      <c r="Y9" s="7">
        <f t="shared" si="4"/>
        <v>0</v>
      </c>
      <c r="Z9" s="7">
        <f t="shared" si="5"/>
        <v>0</v>
      </c>
      <c r="AA9" s="7">
        <f t="shared" si="6"/>
        <v>7</v>
      </c>
      <c r="AB9" s="7">
        <f t="shared" si="7"/>
        <v>18.8</v>
      </c>
      <c r="AC9" s="7">
        <f t="shared" si="8"/>
        <v>10.3</v>
      </c>
      <c r="AD9" s="7">
        <f t="shared" si="9"/>
        <v>4.4</v>
      </c>
      <c r="AE9" s="7">
        <f t="shared" si="10"/>
        <v>0</v>
      </c>
      <c r="AF9" s="7">
        <f t="shared" si="11"/>
        <v>21</v>
      </c>
      <c r="AG9" s="7">
        <f t="shared" si="12"/>
        <v>0</v>
      </c>
      <c r="AH9" s="7">
        <f t="shared" si="13"/>
        <v>347</v>
      </c>
      <c r="AI9" s="7">
        <f t="shared" si="14"/>
        <v>3.49</v>
      </c>
      <c r="AJ9" s="7">
        <f t="shared" si="15"/>
        <v>748</v>
      </c>
    </row>
    <row r="10" spans="1:36" x14ac:dyDescent="0.2">
      <c r="A10" t="s">
        <v>119</v>
      </c>
      <c r="B10" t="s">
        <v>120</v>
      </c>
      <c r="C10">
        <v>100</v>
      </c>
      <c r="D10">
        <v>579</v>
      </c>
      <c r="E10">
        <v>49.9</v>
      </c>
      <c r="F10">
        <v>3.8</v>
      </c>
      <c r="G10">
        <v>0</v>
      </c>
      <c r="H10">
        <v>0</v>
      </c>
      <c r="I10">
        <v>1</v>
      </c>
      <c r="J10">
        <v>21.6</v>
      </c>
      <c r="K10">
        <v>12.5</v>
      </c>
      <c r="L10">
        <v>4.4</v>
      </c>
      <c r="M10">
        <v>0</v>
      </c>
      <c r="N10">
        <v>21.2</v>
      </c>
      <c r="O10">
        <v>0</v>
      </c>
      <c r="P10">
        <v>269</v>
      </c>
      <c r="Q10">
        <v>3.71</v>
      </c>
      <c r="R10">
        <v>733</v>
      </c>
      <c r="S10" t="s">
        <v>181</v>
      </c>
      <c r="U10" t="str">
        <f t="shared" si="0"/>
        <v>RM-3115</v>
      </c>
      <c r="V10" s="7">
        <f t="shared" si="1"/>
        <v>579</v>
      </c>
      <c r="W10" s="7">
        <f t="shared" si="2"/>
        <v>49.9</v>
      </c>
      <c r="X10" s="7">
        <f t="shared" si="3"/>
        <v>3.8</v>
      </c>
      <c r="Y10" s="7">
        <f t="shared" si="4"/>
        <v>0</v>
      </c>
      <c r="Z10" s="7">
        <f t="shared" si="5"/>
        <v>0</v>
      </c>
      <c r="AA10" s="7">
        <f t="shared" si="6"/>
        <v>1</v>
      </c>
      <c r="AB10" s="7">
        <f t="shared" si="7"/>
        <v>21.6</v>
      </c>
      <c r="AC10" s="7">
        <f t="shared" si="8"/>
        <v>12.5</v>
      </c>
      <c r="AD10" s="7">
        <f t="shared" si="9"/>
        <v>4.4</v>
      </c>
      <c r="AE10" s="7">
        <f t="shared" si="10"/>
        <v>0</v>
      </c>
      <c r="AF10" s="7">
        <f t="shared" si="11"/>
        <v>21.2</v>
      </c>
      <c r="AG10" s="7">
        <f t="shared" si="12"/>
        <v>0</v>
      </c>
      <c r="AH10" s="7">
        <f t="shared" si="13"/>
        <v>269</v>
      </c>
      <c r="AI10" s="7">
        <f t="shared" si="14"/>
        <v>3.71</v>
      </c>
      <c r="AJ10" s="7">
        <f t="shared" si="15"/>
        <v>733</v>
      </c>
    </row>
    <row r="11" spans="1:36" x14ac:dyDescent="0.2">
      <c r="A11" t="s">
        <v>122</v>
      </c>
      <c r="B11" t="s">
        <v>123</v>
      </c>
      <c r="C11">
        <v>100</v>
      </c>
      <c r="D11">
        <v>0</v>
      </c>
      <c r="E11">
        <v>0</v>
      </c>
      <c r="F11">
        <v>0</v>
      </c>
      <c r="G11">
        <v>0</v>
      </c>
      <c r="H11">
        <v>0</v>
      </c>
      <c r="I11">
        <v>0</v>
      </c>
      <c r="J11">
        <v>0</v>
      </c>
      <c r="K11">
        <v>0</v>
      </c>
      <c r="L11">
        <v>0</v>
      </c>
      <c r="M11">
        <v>0</v>
      </c>
      <c r="N11">
        <v>0</v>
      </c>
      <c r="O11">
        <v>0</v>
      </c>
      <c r="P11">
        <v>0</v>
      </c>
      <c r="Q11">
        <v>0</v>
      </c>
      <c r="R11">
        <v>0</v>
      </c>
      <c r="S11" t="s">
        <v>182</v>
      </c>
      <c r="U11" t="str">
        <f t="shared" si="0"/>
        <v>RM-4010</v>
      </c>
      <c r="V11" s="7">
        <f t="shared" si="1"/>
        <v>0</v>
      </c>
      <c r="W11" s="7">
        <f t="shared" si="2"/>
        <v>0</v>
      </c>
      <c r="X11" s="7">
        <f t="shared" si="3"/>
        <v>0</v>
      </c>
      <c r="Y11" s="7">
        <f t="shared" si="4"/>
        <v>0</v>
      </c>
      <c r="Z11" s="7">
        <f t="shared" si="5"/>
        <v>0</v>
      </c>
      <c r="AA11" s="7">
        <f t="shared" si="6"/>
        <v>0</v>
      </c>
      <c r="AB11" s="7">
        <f t="shared" si="7"/>
        <v>0</v>
      </c>
      <c r="AC11" s="7">
        <f t="shared" si="8"/>
        <v>0</v>
      </c>
      <c r="AD11" s="7">
        <f t="shared" si="9"/>
        <v>0</v>
      </c>
      <c r="AE11" s="7">
        <f t="shared" si="10"/>
        <v>0</v>
      </c>
      <c r="AF11" s="7">
        <f t="shared" si="11"/>
        <v>0</v>
      </c>
      <c r="AG11" s="7">
        <f t="shared" si="12"/>
        <v>0</v>
      </c>
      <c r="AH11" s="7">
        <f t="shared" si="13"/>
        <v>0</v>
      </c>
      <c r="AI11" s="7">
        <f t="shared" si="14"/>
        <v>0</v>
      </c>
      <c r="AJ11" s="7">
        <f t="shared" si="15"/>
        <v>0</v>
      </c>
    </row>
    <row r="12" spans="1:36" x14ac:dyDescent="0.2">
      <c r="A12" t="s">
        <v>125</v>
      </c>
      <c r="B12" t="s">
        <v>126</v>
      </c>
      <c r="C12">
        <v>100</v>
      </c>
      <c r="D12">
        <v>884</v>
      </c>
      <c r="E12">
        <v>100</v>
      </c>
      <c r="F12">
        <v>8.5</v>
      </c>
      <c r="G12">
        <v>0</v>
      </c>
      <c r="H12">
        <v>0</v>
      </c>
      <c r="I12">
        <v>0</v>
      </c>
      <c r="J12">
        <v>0</v>
      </c>
      <c r="K12">
        <v>0</v>
      </c>
      <c r="L12">
        <v>0</v>
      </c>
      <c r="M12">
        <v>0</v>
      </c>
      <c r="N12">
        <v>0</v>
      </c>
      <c r="O12">
        <v>0</v>
      </c>
      <c r="P12">
        <v>0</v>
      </c>
      <c r="Q12">
        <v>0</v>
      </c>
      <c r="R12">
        <v>0</v>
      </c>
      <c r="S12" t="s">
        <v>183</v>
      </c>
      <c r="U12" t="str">
        <f t="shared" si="0"/>
        <v>RM-4102</v>
      </c>
      <c r="V12" s="7">
        <f t="shared" si="1"/>
        <v>884</v>
      </c>
      <c r="W12" s="7">
        <f t="shared" si="2"/>
        <v>100</v>
      </c>
      <c r="X12" s="7">
        <f t="shared" si="3"/>
        <v>8.5</v>
      </c>
      <c r="Y12" s="7">
        <f t="shared" si="4"/>
        <v>0</v>
      </c>
      <c r="Z12" s="7">
        <f t="shared" si="5"/>
        <v>0</v>
      </c>
      <c r="AA12" s="7">
        <f t="shared" si="6"/>
        <v>0</v>
      </c>
      <c r="AB12" s="7">
        <f t="shared" si="7"/>
        <v>0</v>
      </c>
      <c r="AC12" s="7">
        <f t="shared" si="8"/>
        <v>0</v>
      </c>
      <c r="AD12" s="7">
        <f t="shared" si="9"/>
        <v>0</v>
      </c>
      <c r="AE12" s="7">
        <f t="shared" si="10"/>
        <v>0</v>
      </c>
      <c r="AF12" s="7">
        <f t="shared" si="11"/>
        <v>0</v>
      </c>
      <c r="AG12" s="7">
        <f t="shared" si="12"/>
        <v>0</v>
      </c>
      <c r="AH12" s="7">
        <f t="shared" si="13"/>
        <v>0</v>
      </c>
      <c r="AI12" s="7">
        <f t="shared" si="14"/>
        <v>0</v>
      </c>
      <c r="AJ12" s="7">
        <f t="shared" si="15"/>
        <v>0</v>
      </c>
    </row>
    <row r="13" spans="1:36" x14ac:dyDescent="0.2">
      <c r="A13" t="s">
        <v>128</v>
      </c>
      <c r="B13" t="s">
        <v>129</v>
      </c>
      <c r="C13">
        <v>100</v>
      </c>
      <c r="D13">
        <v>288</v>
      </c>
      <c r="E13">
        <v>0.1</v>
      </c>
      <c r="F13">
        <v>0</v>
      </c>
      <c r="G13">
        <v>0</v>
      </c>
      <c r="H13">
        <v>0</v>
      </c>
      <c r="I13">
        <v>9</v>
      </c>
      <c r="J13">
        <v>12.7</v>
      </c>
      <c r="K13">
        <v>0</v>
      </c>
      <c r="L13">
        <v>12.7</v>
      </c>
      <c r="M13">
        <v>0</v>
      </c>
      <c r="N13">
        <v>0.1</v>
      </c>
      <c r="O13">
        <v>0</v>
      </c>
      <c r="P13">
        <v>11</v>
      </c>
      <c r="Q13">
        <v>0.12</v>
      </c>
      <c r="R13">
        <v>148</v>
      </c>
      <c r="S13" t="s">
        <v>184</v>
      </c>
      <c r="U13" t="str">
        <f t="shared" si="0"/>
        <v>RM-5020</v>
      </c>
      <c r="V13" s="7">
        <f t="shared" si="1"/>
        <v>288</v>
      </c>
      <c r="W13" s="7">
        <f t="shared" si="2"/>
        <v>0.1</v>
      </c>
      <c r="X13" s="7">
        <f t="shared" si="3"/>
        <v>0</v>
      </c>
      <c r="Y13" s="7">
        <f t="shared" si="4"/>
        <v>0</v>
      </c>
      <c r="Z13" s="7">
        <f t="shared" si="5"/>
        <v>0</v>
      </c>
      <c r="AA13" s="7">
        <f t="shared" si="6"/>
        <v>9</v>
      </c>
      <c r="AB13" s="7">
        <f t="shared" si="7"/>
        <v>12.7</v>
      </c>
      <c r="AC13" s="7">
        <f t="shared" si="8"/>
        <v>0</v>
      </c>
      <c r="AD13" s="7">
        <f t="shared" si="9"/>
        <v>12.7</v>
      </c>
      <c r="AE13" s="7">
        <f t="shared" si="10"/>
        <v>0</v>
      </c>
      <c r="AF13" s="7">
        <f t="shared" si="11"/>
        <v>0.1</v>
      </c>
      <c r="AG13" s="7">
        <f t="shared" si="12"/>
        <v>0</v>
      </c>
      <c r="AH13" s="7">
        <f t="shared" si="13"/>
        <v>11</v>
      </c>
      <c r="AI13" s="7">
        <f t="shared" si="14"/>
        <v>0.12</v>
      </c>
      <c r="AJ13" s="7">
        <f t="shared" si="15"/>
        <v>148</v>
      </c>
    </row>
    <row r="14" spans="1:36" x14ac:dyDescent="0.2">
      <c r="A14" t="s">
        <v>131</v>
      </c>
      <c r="B14" t="s">
        <v>132</v>
      </c>
      <c r="C14">
        <v>100</v>
      </c>
      <c r="D14">
        <v>247</v>
      </c>
      <c r="E14">
        <v>1.2</v>
      </c>
      <c r="F14">
        <v>0.3</v>
      </c>
      <c r="G14">
        <v>0</v>
      </c>
      <c r="H14">
        <v>0</v>
      </c>
      <c r="I14">
        <v>10</v>
      </c>
      <c r="J14">
        <v>80.6</v>
      </c>
      <c r="K14">
        <v>53.1</v>
      </c>
      <c r="L14">
        <v>2.2</v>
      </c>
      <c r="M14">
        <v>0</v>
      </c>
      <c r="N14">
        <v>4</v>
      </c>
      <c r="O14">
        <v>0</v>
      </c>
      <c r="P14">
        <v>1002</v>
      </c>
      <c r="Q14">
        <v>8.32</v>
      </c>
      <c r="R14">
        <v>431</v>
      </c>
      <c r="S14" t="s">
        <v>185</v>
      </c>
      <c r="U14" t="str">
        <f t="shared" si="0"/>
        <v>RM-5031</v>
      </c>
      <c r="V14" s="7">
        <f t="shared" si="1"/>
        <v>247</v>
      </c>
      <c r="W14" s="7">
        <f t="shared" si="2"/>
        <v>1.2</v>
      </c>
      <c r="X14" s="7">
        <f t="shared" si="3"/>
        <v>0.3</v>
      </c>
      <c r="Y14" s="7">
        <f t="shared" si="4"/>
        <v>0</v>
      </c>
      <c r="Z14" s="7">
        <f t="shared" si="5"/>
        <v>0</v>
      </c>
      <c r="AA14" s="7">
        <f t="shared" si="6"/>
        <v>10</v>
      </c>
      <c r="AB14" s="7">
        <f t="shared" si="7"/>
        <v>80.6</v>
      </c>
      <c r="AC14" s="7">
        <f t="shared" si="8"/>
        <v>53.1</v>
      </c>
      <c r="AD14" s="7">
        <f t="shared" si="9"/>
        <v>2.2</v>
      </c>
      <c r="AE14" s="7">
        <f t="shared" si="10"/>
        <v>0</v>
      </c>
      <c r="AF14" s="7">
        <f t="shared" si="11"/>
        <v>4</v>
      </c>
      <c r="AG14" s="7">
        <f t="shared" si="12"/>
        <v>0</v>
      </c>
      <c r="AH14" s="7">
        <f t="shared" si="13"/>
        <v>1002</v>
      </c>
      <c r="AI14" s="7">
        <f t="shared" si="14"/>
        <v>8.32</v>
      </c>
      <c r="AJ14" s="7">
        <f t="shared" si="15"/>
        <v>431</v>
      </c>
    </row>
    <row r="15" spans="1:36" x14ac:dyDescent="0.2">
      <c r="A15" t="s">
        <v>134</v>
      </c>
      <c r="B15" t="s">
        <v>135</v>
      </c>
      <c r="C15">
        <v>100</v>
      </c>
      <c r="D15">
        <v>0</v>
      </c>
      <c r="E15">
        <v>0</v>
      </c>
      <c r="F15">
        <v>0</v>
      </c>
      <c r="G15">
        <v>0</v>
      </c>
      <c r="H15">
        <v>0</v>
      </c>
      <c r="I15">
        <v>38758</v>
      </c>
      <c r="J15">
        <v>0</v>
      </c>
      <c r="K15">
        <v>0</v>
      </c>
      <c r="L15">
        <v>0</v>
      </c>
      <c r="M15">
        <v>0</v>
      </c>
      <c r="N15">
        <v>0</v>
      </c>
      <c r="O15">
        <v>0</v>
      </c>
      <c r="P15">
        <v>24</v>
      </c>
      <c r="Q15">
        <v>0.33</v>
      </c>
      <c r="R15">
        <v>8</v>
      </c>
      <c r="S15" t="s">
        <v>186</v>
      </c>
      <c r="U15" t="str">
        <f t="shared" si="0"/>
        <v>RM-5040</v>
      </c>
      <c r="V15" s="7">
        <f t="shared" si="1"/>
        <v>0</v>
      </c>
      <c r="W15" s="7">
        <f t="shared" si="2"/>
        <v>0</v>
      </c>
      <c r="X15" s="7">
        <f t="shared" si="3"/>
        <v>0</v>
      </c>
      <c r="Y15" s="7">
        <f t="shared" si="4"/>
        <v>0</v>
      </c>
      <c r="Z15" s="7">
        <f t="shared" si="5"/>
        <v>0</v>
      </c>
      <c r="AA15" s="7">
        <f t="shared" si="6"/>
        <v>38758</v>
      </c>
      <c r="AB15" s="7">
        <f t="shared" si="7"/>
        <v>0</v>
      </c>
      <c r="AC15" s="7">
        <f t="shared" si="8"/>
        <v>0</v>
      </c>
      <c r="AD15" s="7">
        <f t="shared" si="9"/>
        <v>0</v>
      </c>
      <c r="AE15" s="7">
        <f t="shared" si="10"/>
        <v>0</v>
      </c>
      <c r="AF15" s="7">
        <f t="shared" si="11"/>
        <v>0</v>
      </c>
      <c r="AG15" s="7">
        <f t="shared" si="12"/>
        <v>0</v>
      </c>
      <c r="AH15" s="7">
        <f t="shared" si="13"/>
        <v>24</v>
      </c>
      <c r="AI15" s="7">
        <f t="shared" si="14"/>
        <v>0.33</v>
      </c>
      <c r="AJ15" s="7">
        <f t="shared" si="15"/>
        <v>8</v>
      </c>
    </row>
    <row r="16" spans="1:36" x14ac:dyDescent="0.2">
      <c r="A16" t="s">
        <v>137</v>
      </c>
      <c r="B16" t="s">
        <v>138</v>
      </c>
      <c r="C16">
        <v>100</v>
      </c>
      <c r="D16">
        <v>763</v>
      </c>
      <c r="E16">
        <v>100</v>
      </c>
      <c r="F16">
        <v>15</v>
      </c>
      <c r="G16">
        <v>0</v>
      </c>
      <c r="H16">
        <v>0</v>
      </c>
      <c r="I16">
        <v>0</v>
      </c>
      <c r="J16">
        <v>0</v>
      </c>
      <c r="K16">
        <v>0</v>
      </c>
      <c r="L16">
        <v>0</v>
      </c>
      <c r="M16">
        <v>0</v>
      </c>
      <c r="N16">
        <v>0</v>
      </c>
      <c r="O16">
        <v>0</v>
      </c>
      <c r="P16">
        <v>0</v>
      </c>
      <c r="Q16">
        <v>0</v>
      </c>
      <c r="R16">
        <v>0</v>
      </c>
      <c r="S16" t="s">
        <v>187</v>
      </c>
      <c r="U16" t="str">
        <f t="shared" si="0"/>
        <v>RM-5055</v>
      </c>
      <c r="V16" s="7">
        <f t="shared" si="1"/>
        <v>763</v>
      </c>
      <c r="W16" s="7">
        <f t="shared" si="2"/>
        <v>100</v>
      </c>
      <c r="X16" s="7">
        <f t="shared" si="3"/>
        <v>15</v>
      </c>
      <c r="Y16" s="7">
        <f t="shared" si="4"/>
        <v>0</v>
      </c>
      <c r="Z16" s="7">
        <f t="shared" si="5"/>
        <v>0</v>
      </c>
      <c r="AA16" s="7">
        <f t="shared" si="6"/>
        <v>0</v>
      </c>
      <c r="AB16" s="7">
        <f t="shared" si="7"/>
        <v>0</v>
      </c>
      <c r="AC16" s="7">
        <f t="shared" si="8"/>
        <v>0</v>
      </c>
      <c r="AD16" s="7">
        <f t="shared" si="9"/>
        <v>0</v>
      </c>
      <c r="AE16" s="7">
        <f t="shared" si="10"/>
        <v>0</v>
      </c>
      <c r="AF16" s="7">
        <f t="shared" si="11"/>
        <v>0</v>
      </c>
      <c r="AG16" s="7">
        <f t="shared" si="12"/>
        <v>0</v>
      </c>
      <c r="AH16" s="7">
        <f t="shared" si="13"/>
        <v>0</v>
      </c>
      <c r="AI16" s="7">
        <f t="shared" si="14"/>
        <v>0</v>
      </c>
      <c r="AJ16" s="7">
        <f t="shared" si="15"/>
        <v>0</v>
      </c>
    </row>
    <row r="18" spans="1:1" x14ac:dyDescent="0.2">
      <c r="A18" t="s">
        <v>188</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R20"/>
  <sheetViews>
    <sheetView workbookViewId="0"/>
  </sheetViews>
  <sheetFormatPr baseColWidth="10" defaultColWidth="8.83203125" defaultRowHeight="15" x14ac:dyDescent="0.2"/>
  <cols>
    <col min="1" max="1" width="16" customWidth="1"/>
    <col min="2" max="2" width="26" customWidth="1"/>
    <col min="3" max="3" width="13" customWidth="1"/>
    <col min="4" max="18" width="12" customWidth="1"/>
  </cols>
  <sheetData>
    <row r="1" spans="1:18" ht="17" x14ac:dyDescent="0.2">
      <c r="A1" s="1" t="s">
        <v>189</v>
      </c>
    </row>
    <row r="3" spans="1:18" x14ac:dyDescent="0.2">
      <c r="A3" s="2" t="s">
        <v>90</v>
      </c>
      <c r="B3" s="2" t="s">
        <v>91</v>
      </c>
      <c r="C3" s="2" t="s">
        <v>96</v>
      </c>
      <c r="D3" s="2" t="s">
        <v>144</v>
      </c>
      <c r="E3" s="2" t="s">
        <v>145</v>
      </c>
      <c r="F3" s="2" t="s">
        <v>146</v>
      </c>
      <c r="G3" s="2" t="s">
        <v>147</v>
      </c>
      <c r="H3" s="2" t="s">
        <v>148</v>
      </c>
      <c r="I3" s="2" t="s">
        <v>149</v>
      </c>
      <c r="J3" s="2" t="s">
        <v>150</v>
      </c>
      <c r="K3" s="2" t="s">
        <v>151</v>
      </c>
      <c r="L3" s="2" t="s">
        <v>152</v>
      </c>
      <c r="M3" s="2" t="s">
        <v>153</v>
      </c>
      <c r="N3" s="2" t="s">
        <v>154</v>
      </c>
      <c r="O3" s="2" t="s">
        <v>155</v>
      </c>
      <c r="P3" s="2" t="s">
        <v>156</v>
      </c>
      <c r="Q3" s="2" t="s">
        <v>157</v>
      </c>
      <c r="R3" s="2" t="s">
        <v>158</v>
      </c>
    </row>
    <row r="4" spans="1:18" x14ac:dyDescent="0.2">
      <c r="A4" t="str">
        <f>Formula!A4</f>
        <v>RM-1042</v>
      </c>
      <c r="B4" t="str">
        <f>Formula!B4</f>
        <v>Whole grain rolled oats</v>
      </c>
      <c r="C4" s="7">
        <f>Formula!G4</f>
        <v>15.5034</v>
      </c>
      <c r="D4" s="7">
        <f>ROUND($C4/100*Specs!V4,4)</f>
        <v>58.7579</v>
      </c>
      <c r="E4" s="7">
        <f>ROUND($C4/100*Specs!W4,4)</f>
        <v>1.0077</v>
      </c>
      <c r="F4" s="7">
        <f>ROUND($C4/100*Specs!X4,4)</f>
        <v>0.1705</v>
      </c>
      <c r="G4" s="7">
        <f>ROUND($C4/100*Specs!Y4,4)</f>
        <v>0</v>
      </c>
      <c r="H4" s="7">
        <f>ROUND($C4/100*Specs!Z4,4)</f>
        <v>0</v>
      </c>
      <c r="I4" s="7">
        <f>ROUND($C4/100*Specs!AA4,4)</f>
        <v>0.9302</v>
      </c>
      <c r="J4" s="7">
        <f>ROUND($C4/100*Specs!AB4,4)</f>
        <v>10.4958</v>
      </c>
      <c r="K4" s="7">
        <f>ROUND($C4/100*Specs!AC4,4)</f>
        <v>1.5658</v>
      </c>
      <c r="L4" s="7">
        <f>ROUND($C4/100*Specs!AD4,4)</f>
        <v>0.155</v>
      </c>
      <c r="M4" s="7">
        <f>ROUND($C4/100*Specs!AE4,4)</f>
        <v>0</v>
      </c>
      <c r="N4" s="7">
        <f>ROUND($C4/100*Specs!AF4,4)</f>
        <v>2.0464</v>
      </c>
      <c r="O4" s="7">
        <f>ROUND($C4/100*Specs!AG4,4)</f>
        <v>0</v>
      </c>
      <c r="P4" s="7">
        <f>ROUND($C4/100*Specs!AH4,4)</f>
        <v>8.0618</v>
      </c>
      <c r="Q4" s="7">
        <f>ROUND($C4/100*Specs!AI4,4)</f>
        <v>0.6589</v>
      </c>
      <c r="R4" s="7">
        <f>ROUND($C4/100*Specs!AJ4,4)</f>
        <v>56.1223</v>
      </c>
    </row>
    <row r="5" spans="1:18" x14ac:dyDescent="0.2">
      <c r="A5" t="str">
        <f>Formula!A5</f>
        <v>RM-2210</v>
      </c>
      <c r="B5" t="str">
        <f>Formula!B5</f>
        <v>Brown rice syrup</v>
      </c>
      <c r="C5" s="7">
        <f>Formula!G5</f>
        <v>6.8121</v>
      </c>
      <c r="D5" s="7">
        <f>ROUND($C5/100*Specs!V5,4)</f>
        <v>21.5262</v>
      </c>
      <c r="E5" s="7">
        <f>ROUND($C5/100*Specs!W5,4)</f>
        <v>0.0136</v>
      </c>
      <c r="F5" s="7">
        <f>ROUND($C5/100*Specs!X5,4)</f>
        <v>0</v>
      </c>
      <c r="G5" s="7">
        <f>ROUND($C5/100*Specs!Y5,4)</f>
        <v>0</v>
      </c>
      <c r="H5" s="7">
        <f>ROUND($C5/100*Specs!Z5,4)</f>
        <v>0</v>
      </c>
      <c r="I5" s="7">
        <f>ROUND($C5/100*Specs!AA5,4)</f>
        <v>2.9292</v>
      </c>
      <c r="J5" s="7">
        <f>ROUND($C5/100*Specs!AB5,4)</f>
        <v>5.3134</v>
      </c>
      <c r="K5" s="7">
        <f>ROUND($C5/100*Specs!AC5,4)</f>
        <v>0</v>
      </c>
      <c r="L5" s="7">
        <f>ROUND($C5/100*Specs!AD5,4)</f>
        <v>3.0382</v>
      </c>
      <c r="M5" s="7">
        <f>ROUND($C5/100*Specs!AE5,4)</f>
        <v>3.0382</v>
      </c>
      <c r="N5" s="7">
        <f>ROUND($C5/100*Specs!AF5,4)</f>
        <v>0.0341</v>
      </c>
      <c r="O5" s="7">
        <f>ROUND($C5/100*Specs!AG5,4)</f>
        <v>0</v>
      </c>
      <c r="P5" s="7">
        <f>ROUND($C5/100*Specs!AH5,4)</f>
        <v>0.8175</v>
      </c>
      <c r="Q5" s="7">
        <f>ROUND($C5/100*Specs!AI5,4)</f>
        <v>0.0068</v>
      </c>
      <c r="R5" s="7">
        <f>ROUND($C5/100*Specs!AJ5,4)</f>
        <v>4.2235</v>
      </c>
    </row>
    <row r="6" spans="1:18" x14ac:dyDescent="0.2">
      <c r="A6" t="str">
        <f>Formula!A6</f>
        <v>RM-1187</v>
      </c>
      <c r="B6" t="str">
        <f>Formula!B6</f>
        <v>Crisp rice</v>
      </c>
      <c r="C6" s="7">
        <f>Formula!G6</f>
        <v>4.698</v>
      </c>
      <c r="D6" s="7">
        <f>ROUND($C6/100*Specs!V6,4)</f>
        <v>18.1656</v>
      </c>
      <c r="E6" s="7">
        <f>ROUND($C6/100*Specs!W6,4)</f>
        <v>0.047</v>
      </c>
      <c r="F6" s="7">
        <f>ROUND($C6/100*Specs!X6,4)</f>
        <v>0.0157</v>
      </c>
      <c r="G6" s="7">
        <f>ROUND($C6/100*Specs!Y6,4)</f>
        <v>0</v>
      </c>
      <c r="H6" s="7">
        <f>ROUND($C6/100*Specs!Z6,4)</f>
        <v>0</v>
      </c>
      <c r="I6" s="7">
        <f>ROUND($C6/100*Specs!AA6,4)</f>
        <v>15.0336</v>
      </c>
      <c r="J6" s="7">
        <f>ROUND($C6/100*Specs!AB6,4)</f>
        <v>4.0873</v>
      </c>
      <c r="K6" s="7">
        <f>ROUND($C6/100*Specs!AC6,4)</f>
        <v>0.0313</v>
      </c>
      <c r="L6" s="7">
        <f>ROUND($C6/100*Specs!AD6,4)</f>
        <v>0.4072</v>
      </c>
      <c r="M6" s="7">
        <f>ROUND($C6/100*Specs!AE6,4)</f>
        <v>0.4072</v>
      </c>
      <c r="N6" s="7">
        <f>ROUND($C6/100*Specs!AF6,4)</f>
        <v>0.3289</v>
      </c>
      <c r="O6" s="7">
        <f>ROUND($C6/100*Specs!AG6,4)</f>
        <v>0</v>
      </c>
      <c r="P6" s="7">
        <f>ROUND($C6/100*Specs!AH6,4)</f>
        <v>0.4698</v>
      </c>
      <c r="Q6" s="7">
        <f>ROUND($C6/100*Specs!AI6,4)</f>
        <v>0.0564</v>
      </c>
      <c r="R6" s="7">
        <f>ROUND($C6/100*Specs!AJ6,4)</f>
        <v>4.3848</v>
      </c>
    </row>
    <row r="7" spans="1:18" x14ac:dyDescent="0.2">
      <c r="A7" t="str">
        <f>Formula!A7</f>
        <v>RM-2205</v>
      </c>
      <c r="B7" t="str">
        <f>Formula!B7</f>
        <v>Clover honey</v>
      </c>
      <c r="C7" s="7">
        <f>Formula!G7</f>
        <v>3.9933</v>
      </c>
      <c r="D7" s="7">
        <f>ROUND($C7/100*Specs!V7,4)</f>
        <v>12.1396</v>
      </c>
      <c r="E7" s="7">
        <f>ROUND($C7/100*Specs!W7,4)</f>
        <v>0</v>
      </c>
      <c r="F7" s="7">
        <f>ROUND($C7/100*Specs!X7,4)</f>
        <v>0</v>
      </c>
      <c r="G7" s="7">
        <f>ROUND($C7/100*Specs!Y7,4)</f>
        <v>0</v>
      </c>
      <c r="H7" s="7">
        <f>ROUND($C7/100*Specs!Z7,4)</f>
        <v>0</v>
      </c>
      <c r="I7" s="7">
        <f>ROUND($C7/100*Specs!AA7,4)</f>
        <v>0.1597</v>
      </c>
      <c r="J7" s="7">
        <f>ROUND($C7/100*Specs!AB7,4)</f>
        <v>3.2905</v>
      </c>
      <c r="K7" s="7">
        <f>ROUND($C7/100*Specs!AC7,4)</f>
        <v>0.008</v>
      </c>
      <c r="L7" s="7">
        <f>ROUND($C7/100*Specs!AD7,4)</f>
        <v>3.2785</v>
      </c>
      <c r="M7" s="7">
        <f>ROUND($C7/100*Specs!AE7,4)</f>
        <v>3.2785</v>
      </c>
      <c r="N7" s="7">
        <f>ROUND($C7/100*Specs!AF7,4)</f>
        <v>0.012</v>
      </c>
      <c r="O7" s="7">
        <f>ROUND($C7/100*Specs!AG7,4)</f>
        <v>0</v>
      </c>
      <c r="P7" s="7">
        <f>ROUND($C7/100*Specs!AH7,4)</f>
        <v>0.2396</v>
      </c>
      <c r="Q7" s="7">
        <f>ROUND($C7/100*Specs!AI7,4)</f>
        <v>0.0168</v>
      </c>
      <c r="R7" s="7">
        <f>ROUND($C7/100*Specs!AJ7,4)</f>
        <v>2.0765</v>
      </c>
    </row>
    <row r="8" spans="1:18" x14ac:dyDescent="0.2">
      <c r="A8" t="str">
        <f>Formula!A8</f>
        <v>RM-3301</v>
      </c>
      <c r="B8" t="str">
        <f>Formula!B8</f>
        <v>Infused dried cherries</v>
      </c>
      <c r="C8" s="7">
        <f>Formula!G8</f>
        <v>3.7584</v>
      </c>
      <c r="D8" s="7">
        <f>ROUND($C8/100*Specs!V8,4)</f>
        <v>12.5155</v>
      </c>
      <c r="E8" s="7">
        <f>ROUND($C8/100*Specs!W8,4)</f>
        <v>0.0376</v>
      </c>
      <c r="F8" s="7">
        <f>ROUND($C8/100*Specs!X8,4)</f>
        <v>0.0038</v>
      </c>
      <c r="G8" s="7">
        <f>ROUND($C8/100*Specs!Y8,4)</f>
        <v>0</v>
      </c>
      <c r="H8" s="7">
        <f>ROUND($C8/100*Specs!Z8,4)</f>
        <v>0</v>
      </c>
      <c r="I8" s="7">
        <f>ROUND($C8/100*Specs!AA8,4)</f>
        <v>0.451</v>
      </c>
      <c r="J8" s="7">
        <f>ROUND($C8/100*Specs!AB8,4)</f>
        <v>3.0067</v>
      </c>
      <c r="K8" s="7">
        <f>ROUND($C8/100*Specs!AC8,4)</f>
        <v>0.1128</v>
      </c>
      <c r="L8" s="7">
        <f>ROUND($C8/100*Specs!AD8,4)</f>
        <v>2.255</v>
      </c>
      <c r="M8" s="7">
        <f>ROUND($C8/100*Specs!AE8,4)</f>
        <v>1.1275</v>
      </c>
      <c r="N8" s="7">
        <f>ROUND($C8/100*Specs!AF8,4)</f>
        <v>0.0564</v>
      </c>
      <c r="O8" s="7">
        <f>ROUND($C8/100*Specs!AG8,4)</f>
        <v>0</v>
      </c>
      <c r="P8" s="7">
        <f>ROUND($C8/100*Specs!AH8,4)</f>
        <v>0.9772</v>
      </c>
      <c r="Q8" s="7">
        <f>ROUND($C8/100*Specs!AI8,4)</f>
        <v>0.0338</v>
      </c>
      <c r="R8" s="7">
        <f>ROUND($C8/100*Specs!AJ8,4)</f>
        <v>14.2819</v>
      </c>
    </row>
    <row r="9" spans="1:18" x14ac:dyDescent="0.2">
      <c r="A9" t="str">
        <f>Formula!A9</f>
        <v>RM-3120</v>
      </c>
      <c r="B9" t="str">
        <f>Formula!B9</f>
        <v>Roasted almond butter</v>
      </c>
      <c r="C9" s="7">
        <f>Formula!G9</f>
        <v>3.2886</v>
      </c>
      <c r="D9" s="7">
        <f>ROUND($C9/100*Specs!V9,4)</f>
        <v>20.192</v>
      </c>
      <c r="E9" s="7">
        <f>ROUND($C9/100*Specs!W9,4)</f>
        <v>1.8252</v>
      </c>
      <c r="F9" s="7">
        <f>ROUND($C9/100*Specs!X9,4)</f>
        <v>0.1381</v>
      </c>
      <c r="G9" s="7">
        <f>ROUND($C9/100*Specs!Y9,4)</f>
        <v>0</v>
      </c>
      <c r="H9" s="7">
        <f>ROUND($C9/100*Specs!Z9,4)</f>
        <v>0</v>
      </c>
      <c r="I9" s="7">
        <f>ROUND($C9/100*Specs!AA9,4)</f>
        <v>0.2302</v>
      </c>
      <c r="J9" s="7">
        <f>ROUND($C9/100*Specs!AB9,4)</f>
        <v>0.6183</v>
      </c>
      <c r="K9" s="7">
        <f>ROUND($C9/100*Specs!AC9,4)</f>
        <v>0.3387</v>
      </c>
      <c r="L9" s="7">
        <f>ROUND($C9/100*Specs!AD9,4)</f>
        <v>0.1447</v>
      </c>
      <c r="M9" s="7">
        <f>ROUND($C9/100*Specs!AE9,4)</f>
        <v>0</v>
      </c>
      <c r="N9" s="7">
        <f>ROUND($C9/100*Specs!AF9,4)</f>
        <v>0.6906</v>
      </c>
      <c r="O9" s="7">
        <f>ROUND($C9/100*Specs!AG9,4)</f>
        <v>0</v>
      </c>
      <c r="P9" s="7">
        <f>ROUND($C9/100*Specs!AH9,4)</f>
        <v>11.4114</v>
      </c>
      <c r="Q9" s="7">
        <f>ROUND($C9/100*Specs!AI9,4)</f>
        <v>0.1148</v>
      </c>
      <c r="R9" s="7">
        <f>ROUND($C9/100*Specs!AJ9,4)</f>
        <v>24.5987</v>
      </c>
    </row>
    <row r="10" spans="1:18" x14ac:dyDescent="0.2">
      <c r="A10" t="str">
        <f>Formula!A10</f>
        <v>RM-3115</v>
      </c>
      <c r="B10" t="str">
        <f>Formula!B10</f>
        <v>Sliced almonds</v>
      </c>
      <c r="C10" s="7">
        <f>Formula!G10</f>
        <v>3.0537</v>
      </c>
      <c r="D10" s="7">
        <f>ROUND($C10/100*Specs!V10,4)</f>
        <v>17.6809</v>
      </c>
      <c r="E10" s="7">
        <f>ROUND($C10/100*Specs!W10,4)</f>
        <v>1.5238</v>
      </c>
      <c r="F10" s="7">
        <f>ROUND($C10/100*Specs!X10,4)</f>
        <v>0.116</v>
      </c>
      <c r="G10" s="7">
        <f>ROUND($C10/100*Specs!Y10,4)</f>
        <v>0</v>
      </c>
      <c r="H10" s="7">
        <f>ROUND($C10/100*Specs!Z10,4)</f>
        <v>0</v>
      </c>
      <c r="I10" s="7">
        <f>ROUND($C10/100*Specs!AA10,4)</f>
        <v>0.0305</v>
      </c>
      <c r="J10" s="7">
        <f>ROUND($C10/100*Specs!AB10,4)</f>
        <v>0.6596</v>
      </c>
      <c r="K10" s="7">
        <f>ROUND($C10/100*Specs!AC10,4)</f>
        <v>0.3817</v>
      </c>
      <c r="L10" s="7">
        <f>ROUND($C10/100*Specs!AD10,4)</f>
        <v>0.1344</v>
      </c>
      <c r="M10" s="7">
        <f>ROUND($C10/100*Specs!AE10,4)</f>
        <v>0</v>
      </c>
      <c r="N10" s="7">
        <f>ROUND($C10/100*Specs!AF10,4)</f>
        <v>0.6474</v>
      </c>
      <c r="O10" s="7">
        <f>ROUND($C10/100*Specs!AG10,4)</f>
        <v>0</v>
      </c>
      <c r="P10" s="7">
        <f>ROUND($C10/100*Specs!AH10,4)</f>
        <v>8.2145</v>
      </c>
      <c r="Q10" s="7">
        <f>ROUND($C10/100*Specs!AI10,4)</f>
        <v>0.1133</v>
      </c>
      <c r="R10" s="7">
        <f>ROUND($C10/100*Specs!AJ10,4)</f>
        <v>22.3836</v>
      </c>
    </row>
    <row r="11" spans="1:18" x14ac:dyDescent="0.2">
      <c r="A11" t="str">
        <f>Formula!A11</f>
        <v>RM-4010</v>
      </c>
      <c r="B11" t="str">
        <f>Formula!B11</f>
        <v>Water</v>
      </c>
      <c r="C11" s="7">
        <f>Formula!G11</f>
        <v>2.349</v>
      </c>
      <c r="D11" s="7">
        <f>ROUND($C11/100*Specs!V11,4)</f>
        <v>0</v>
      </c>
      <c r="E11" s="7">
        <f>ROUND($C11/100*Specs!W11,4)</f>
        <v>0</v>
      </c>
      <c r="F11" s="7">
        <f>ROUND($C11/100*Specs!X11,4)</f>
        <v>0</v>
      </c>
      <c r="G11" s="7">
        <f>ROUND($C11/100*Specs!Y11,4)</f>
        <v>0</v>
      </c>
      <c r="H11" s="7">
        <f>ROUND($C11/100*Specs!Z11,4)</f>
        <v>0</v>
      </c>
      <c r="I11" s="7">
        <f>ROUND($C11/100*Specs!AA11,4)</f>
        <v>0</v>
      </c>
      <c r="J11" s="7">
        <f>ROUND($C11/100*Specs!AB11,4)</f>
        <v>0</v>
      </c>
      <c r="K11" s="7">
        <f>ROUND($C11/100*Specs!AC11,4)</f>
        <v>0</v>
      </c>
      <c r="L11" s="7">
        <f>ROUND($C11/100*Specs!AD11,4)</f>
        <v>0</v>
      </c>
      <c r="M11" s="7">
        <f>ROUND($C11/100*Specs!AE11,4)</f>
        <v>0</v>
      </c>
      <c r="N11" s="7">
        <f>ROUND($C11/100*Specs!AF11,4)</f>
        <v>0</v>
      </c>
      <c r="O11" s="7">
        <f>ROUND($C11/100*Specs!AG11,4)</f>
        <v>0</v>
      </c>
      <c r="P11" s="7">
        <f>ROUND($C11/100*Specs!AH11,4)</f>
        <v>0</v>
      </c>
      <c r="Q11" s="7">
        <f>ROUND($C11/100*Specs!AI11,4)</f>
        <v>0</v>
      </c>
      <c r="R11" s="7">
        <f>ROUND($C11/100*Specs!AJ11,4)</f>
        <v>0</v>
      </c>
    </row>
    <row r="12" spans="1:18" x14ac:dyDescent="0.2">
      <c r="A12" t="str">
        <f>Formula!A12</f>
        <v>RM-4102</v>
      </c>
      <c r="B12" t="str">
        <f>Formula!B12</f>
        <v>High oleic sunflower oil</v>
      </c>
      <c r="C12" s="7">
        <f>Formula!G12</f>
        <v>2.1141</v>
      </c>
      <c r="D12" s="7">
        <f>ROUND($C12/100*Specs!V12,4)</f>
        <v>18.6886</v>
      </c>
      <c r="E12" s="7">
        <f>ROUND($C12/100*Specs!W12,4)</f>
        <v>2.1141</v>
      </c>
      <c r="F12" s="7">
        <f>ROUND($C12/100*Specs!X12,4)</f>
        <v>0.1797</v>
      </c>
      <c r="G12" s="7">
        <f>ROUND($C12/100*Specs!Y12,4)</f>
        <v>0</v>
      </c>
      <c r="H12" s="7">
        <f>ROUND($C12/100*Specs!Z12,4)</f>
        <v>0</v>
      </c>
      <c r="I12" s="7">
        <f>ROUND($C12/100*Specs!AA12,4)</f>
        <v>0</v>
      </c>
      <c r="J12" s="7">
        <f>ROUND($C12/100*Specs!AB12,4)</f>
        <v>0</v>
      </c>
      <c r="K12" s="7">
        <f>ROUND($C12/100*Specs!AC12,4)</f>
        <v>0</v>
      </c>
      <c r="L12" s="7">
        <f>ROUND($C12/100*Specs!AD12,4)</f>
        <v>0</v>
      </c>
      <c r="M12" s="7">
        <f>ROUND($C12/100*Specs!AE12,4)</f>
        <v>0</v>
      </c>
      <c r="N12" s="7">
        <f>ROUND($C12/100*Specs!AF12,4)</f>
        <v>0</v>
      </c>
      <c r="O12" s="7">
        <f>ROUND($C12/100*Specs!AG12,4)</f>
        <v>0</v>
      </c>
      <c r="P12" s="7">
        <f>ROUND($C12/100*Specs!AH12,4)</f>
        <v>0</v>
      </c>
      <c r="Q12" s="7">
        <f>ROUND($C12/100*Specs!AI12,4)</f>
        <v>0</v>
      </c>
      <c r="R12" s="7">
        <f>ROUND($C12/100*Specs!AJ12,4)</f>
        <v>0</v>
      </c>
    </row>
    <row r="13" spans="1:18" x14ac:dyDescent="0.2">
      <c r="A13" t="str">
        <f>Formula!A13</f>
        <v>RM-5020</v>
      </c>
      <c r="B13" t="str">
        <f>Formula!B13</f>
        <v>Vanilla extract</v>
      </c>
      <c r="C13" s="7">
        <f>Formula!G13</f>
        <v>0.6107</v>
      </c>
      <c r="D13" s="7">
        <f>ROUND($C13/100*Specs!V13,4)</f>
        <v>1.7588</v>
      </c>
      <c r="E13" s="7">
        <f>ROUND($C13/100*Specs!W13,4)</f>
        <v>0.0006</v>
      </c>
      <c r="F13" s="7">
        <f>ROUND($C13/100*Specs!X13,4)</f>
        <v>0</v>
      </c>
      <c r="G13" s="7">
        <f>ROUND($C13/100*Specs!Y13,4)</f>
        <v>0</v>
      </c>
      <c r="H13" s="7">
        <f>ROUND($C13/100*Specs!Z13,4)</f>
        <v>0</v>
      </c>
      <c r="I13" s="7">
        <f>ROUND($C13/100*Specs!AA13,4)</f>
        <v>0.055</v>
      </c>
      <c r="J13" s="7">
        <f>ROUND($C13/100*Specs!AB13,4)</f>
        <v>0.0776</v>
      </c>
      <c r="K13" s="7">
        <f>ROUND($C13/100*Specs!AC13,4)</f>
        <v>0</v>
      </c>
      <c r="L13" s="7">
        <f>ROUND($C13/100*Specs!AD13,4)</f>
        <v>0.0776</v>
      </c>
      <c r="M13" s="7">
        <f>ROUND($C13/100*Specs!AE13,4)</f>
        <v>0</v>
      </c>
      <c r="N13" s="7">
        <f>ROUND($C13/100*Specs!AF13,4)</f>
        <v>0.0006</v>
      </c>
      <c r="O13" s="7">
        <f>ROUND($C13/100*Specs!AG13,4)</f>
        <v>0</v>
      </c>
      <c r="P13" s="7">
        <f>ROUND($C13/100*Specs!AH13,4)</f>
        <v>0.0672</v>
      </c>
      <c r="Q13" s="7">
        <f>ROUND($C13/100*Specs!AI13,4)</f>
        <v>0.0007</v>
      </c>
      <c r="R13" s="7">
        <f>ROUND($C13/100*Specs!AJ13,4)</f>
        <v>0.9038</v>
      </c>
    </row>
    <row r="14" spans="1:18" x14ac:dyDescent="0.2">
      <c r="A14" t="str">
        <f>Formula!A14</f>
        <v>RM-5031</v>
      </c>
      <c r="B14" t="str">
        <f>Formula!B14</f>
        <v>Ground cinnamon</v>
      </c>
      <c r="C14" s="7">
        <f>Formula!G14</f>
        <v>0.3289</v>
      </c>
      <c r="D14" s="7">
        <f>ROUND($C14/100*Specs!V14,4)</f>
        <v>0.8124</v>
      </c>
      <c r="E14" s="7">
        <f>ROUND($C14/100*Specs!W14,4)</f>
        <v>0.0039</v>
      </c>
      <c r="F14" s="7">
        <f>ROUND($C14/100*Specs!X14,4)</f>
        <v>1E-3</v>
      </c>
      <c r="G14" s="7">
        <f>ROUND($C14/100*Specs!Y14,4)</f>
        <v>0</v>
      </c>
      <c r="H14" s="7">
        <f>ROUND($C14/100*Specs!Z14,4)</f>
        <v>0</v>
      </c>
      <c r="I14" s="7">
        <f>ROUND($C14/100*Specs!AA14,4)</f>
        <v>0.0329</v>
      </c>
      <c r="J14" s="7">
        <f>ROUND($C14/100*Specs!AB14,4)</f>
        <v>0.2651</v>
      </c>
      <c r="K14" s="7">
        <f>ROUND($C14/100*Specs!AC14,4)</f>
        <v>0.1746</v>
      </c>
      <c r="L14" s="7">
        <f>ROUND($C14/100*Specs!AD14,4)</f>
        <v>0.0072</v>
      </c>
      <c r="M14" s="7">
        <f>ROUND($C14/100*Specs!AE14,4)</f>
        <v>0</v>
      </c>
      <c r="N14" s="7">
        <f>ROUND($C14/100*Specs!AF14,4)</f>
        <v>0.0132</v>
      </c>
      <c r="O14" s="7">
        <f>ROUND($C14/100*Specs!AG14,4)</f>
        <v>0</v>
      </c>
      <c r="P14" s="7">
        <f>ROUND($C14/100*Specs!AH14,4)</f>
        <v>3.2956</v>
      </c>
      <c r="Q14" s="7">
        <f>ROUND($C14/100*Specs!AI14,4)</f>
        <v>0.0274</v>
      </c>
      <c r="R14" s="7">
        <f>ROUND($C14/100*Specs!AJ14,4)</f>
        <v>1.4176</v>
      </c>
    </row>
    <row r="15" spans="1:18" x14ac:dyDescent="0.2">
      <c r="A15" t="str">
        <f>Formula!A15</f>
        <v>RM-5040</v>
      </c>
      <c r="B15" t="str">
        <f>Formula!B15</f>
        <v>Sea salt</v>
      </c>
      <c r="C15" s="7">
        <f>Formula!G15</f>
        <v>0.2819</v>
      </c>
      <c r="D15" s="7">
        <f>ROUND($C15/100*Specs!V15,4)</f>
        <v>0</v>
      </c>
      <c r="E15" s="7">
        <f>ROUND($C15/100*Specs!W15,4)</f>
        <v>0</v>
      </c>
      <c r="F15" s="7">
        <f>ROUND($C15/100*Specs!X15,4)</f>
        <v>0</v>
      </c>
      <c r="G15" s="7">
        <f>ROUND($C15/100*Specs!Y15,4)</f>
        <v>0</v>
      </c>
      <c r="H15" s="7">
        <f>ROUND($C15/100*Specs!Z15,4)</f>
        <v>0</v>
      </c>
      <c r="I15" s="7">
        <f>ROUND($C15/100*Specs!AA15,4)</f>
        <v>109.2588</v>
      </c>
      <c r="J15" s="7">
        <f>ROUND($C15/100*Specs!AB15,4)</f>
        <v>0</v>
      </c>
      <c r="K15" s="7">
        <f>ROUND($C15/100*Specs!AC15,4)</f>
        <v>0</v>
      </c>
      <c r="L15" s="7">
        <f>ROUND($C15/100*Specs!AD15,4)</f>
        <v>0</v>
      </c>
      <c r="M15" s="7">
        <f>ROUND($C15/100*Specs!AE15,4)</f>
        <v>0</v>
      </c>
      <c r="N15" s="7">
        <f>ROUND($C15/100*Specs!AF15,4)</f>
        <v>0</v>
      </c>
      <c r="O15" s="7">
        <f>ROUND($C15/100*Specs!AG15,4)</f>
        <v>0</v>
      </c>
      <c r="P15" s="7">
        <f>ROUND($C15/100*Specs!AH15,4)</f>
        <v>0.0677</v>
      </c>
      <c r="Q15" s="7">
        <f>ROUND($C15/100*Specs!AI15,4)</f>
        <v>0.0009</v>
      </c>
      <c r="R15" s="7">
        <f>ROUND($C15/100*Specs!AJ15,4)</f>
        <v>0.0226</v>
      </c>
    </row>
    <row r="16" spans="1:18" x14ac:dyDescent="0.2">
      <c r="A16" t="str">
        <f>Formula!A16</f>
        <v>RM-5055</v>
      </c>
      <c r="B16" t="str">
        <f>Formula!B16</f>
        <v>Soy lecithin</v>
      </c>
      <c r="C16" s="7">
        <f>Formula!G16</f>
        <v>0.1879</v>
      </c>
      <c r="D16" s="7">
        <f>ROUND($C16/100*Specs!V16,4)</f>
        <v>1.4337</v>
      </c>
      <c r="E16" s="7">
        <f>ROUND($C16/100*Specs!W16,4)</f>
        <v>0.1879</v>
      </c>
      <c r="F16" s="7">
        <f>ROUND($C16/100*Specs!X16,4)</f>
        <v>0.0282</v>
      </c>
      <c r="G16" s="7">
        <f>ROUND($C16/100*Specs!Y16,4)</f>
        <v>0</v>
      </c>
      <c r="H16" s="7">
        <f>ROUND($C16/100*Specs!Z16,4)</f>
        <v>0</v>
      </c>
      <c r="I16" s="7">
        <f>ROUND($C16/100*Specs!AA16,4)</f>
        <v>0</v>
      </c>
      <c r="J16" s="7">
        <f>ROUND($C16/100*Specs!AB16,4)</f>
        <v>0</v>
      </c>
      <c r="K16" s="7">
        <f>ROUND($C16/100*Specs!AC16,4)</f>
        <v>0</v>
      </c>
      <c r="L16" s="7">
        <f>ROUND($C16/100*Specs!AD16,4)</f>
        <v>0</v>
      </c>
      <c r="M16" s="7">
        <f>ROUND($C16/100*Specs!AE16,4)</f>
        <v>0</v>
      </c>
      <c r="N16" s="7">
        <f>ROUND($C16/100*Specs!AF16,4)</f>
        <v>0</v>
      </c>
      <c r="O16" s="7">
        <f>ROUND($C16/100*Specs!AG16,4)</f>
        <v>0</v>
      </c>
      <c r="P16" s="7">
        <f>ROUND($C16/100*Specs!AH16,4)</f>
        <v>0</v>
      </c>
      <c r="Q16" s="7">
        <f>ROUND($C16/100*Specs!AI16,4)</f>
        <v>0</v>
      </c>
      <c r="R16" s="7">
        <f>ROUND($C16/100*Specs!AJ16,4)</f>
        <v>0</v>
      </c>
    </row>
    <row r="17" spans="1:18" x14ac:dyDescent="0.2">
      <c r="A17" s="6" t="s">
        <v>190</v>
      </c>
      <c r="C17" s="7">
        <f>ROUND(SUM(C4:C16),4)</f>
        <v>46.98</v>
      </c>
      <c r="D17" s="7">
        <f t="shared" ref="D17:R17" si="0">SUM(D4:D16)</f>
        <v>183.6712</v>
      </c>
      <c r="E17" s="7">
        <f t="shared" si="0"/>
        <v>6.7614</v>
      </c>
      <c r="F17" s="7">
        <f t="shared" si="0"/>
        <v>0.653</v>
      </c>
      <c r="G17" s="7">
        <f t="shared" si="0"/>
        <v>0</v>
      </c>
      <c r="H17" s="7">
        <f t="shared" si="0"/>
        <v>0</v>
      </c>
      <c r="I17" s="7">
        <f t="shared" si="0"/>
        <v>129.1111</v>
      </c>
      <c r="J17" s="7">
        <f t="shared" si="0"/>
        <v>27.8143</v>
      </c>
      <c r="K17" s="7">
        <f t="shared" si="0"/>
        <v>2.6129</v>
      </c>
      <c r="L17" s="7">
        <f t="shared" si="0"/>
        <v>9.4978</v>
      </c>
      <c r="M17" s="7">
        <f t="shared" si="0"/>
        <v>7.8514</v>
      </c>
      <c r="N17" s="7">
        <f t="shared" si="0"/>
        <v>3.8296</v>
      </c>
      <c r="O17" s="7">
        <f t="shared" si="0"/>
        <v>0</v>
      </c>
      <c r="P17" s="7">
        <f t="shared" si="0"/>
        <v>33.6223</v>
      </c>
      <c r="Q17" s="7">
        <f t="shared" si="0"/>
        <v>1.0298</v>
      </c>
      <c r="R17" s="7">
        <f t="shared" si="0"/>
        <v>130.4153</v>
      </c>
    </row>
    <row r="18" spans="1:18" x14ac:dyDescent="0.2">
      <c r="A18" s="6" t="s">
        <v>191</v>
      </c>
      <c r="D18" s="7">
        <f>ROUND(D17*Parameters!$B$4/Parameters!$B$5,4)</f>
        <v>174.925</v>
      </c>
      <c r="E18" s="7">
        <f>ROUND(E17*Parameters!$B$4/Parameters!$B$5,4)</f>
        <v>6.4394</v>
      </c>
      <c r="F18" s="7">
        <f>ROUND(F17*Parameters!$B$4/Parameters!$B$5,4)</f>
        <v>0.6219</v>
      </c>
      <c r="G18" s="7">
        <f>ROUND(G17*Parameters!$B$4/Parameters!$B$5,4)</f>
        <v>0</v>
      </c>
      <c r="H18" s="7">
        <f>ROUND(H17*Parameters!$B$4/Parameters!$B$5,4)</f>
        <v>0</v>
      </c>
      <c r="I18" s="7">
        <f>ROUND(I17*Parameters!$B$4/Parameters!$B$5,4)</f>
        <v>122.963</v>
      </c>
      <c r="J18" s="7">
        <f>ROUND(J17*Parameters!$B$4/Parameters!$B$5,4)</f>
        <v>26.4898</v>
      </c>
      <c r="K18" s="7">
        <f>ROUND(K17*Parameters!$B$4/Parameters!$B$5,4)</f>
        <v>2.4885</v>
      </c>
      <c r="L18" s="7">
        <f>ROUND(L17*Parameters!$B$4/Parameters!$B$5,4)</f>
        <v>9.0455</v>
      </c>
      <c r="M18" s="7">
        <f>ROUND(M17*Parameters!$B$4/Parameters!$B$5,4)</f>
        <v>7.4775</v>
      </c>
      <c r="N18" s="7">
        <f>ROUND(N17*Parameters!$B$4/Parameters!$B$5,4)</f>
        <v>3.6472</v>
      </c>
      <c r="O18" s="7">
        <f>ROUND(O17*Parameters!$B$4/Parameters!$B$5,4)</f>
        <v>0</v>
      </c>
      <c r="P18" s="7">
        <f>ROUND(P17*Parameters!$B$4/Parameters!$B$5,4)</f>
        <v>32.0212</v>
      </c>
      <c r="Q18" s="7">
        <f>ROUND(Q17*Parameters!$B$4/Parameters!$B$5,4)</f>
        <v>0.9808</v>
      </c>
      <c r="R18" s="7">
        <f>ROUND(R17*Parameters!$B$4/Parameters!$B$5,4)</f>
        <v>124.205</v>
      </c>
    </row>
    <row r="20" spans="1:18" x14ac:dyDescent="0.2">
      <c r="A20" t="s">
        <v>192</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20"/>
  <sheetViews>
    <sheetView workbookViewId="0"/>
  </sheetViews>
  <sheetFormatPr baseColWidth="10" defaultColWidth="8.83203125" defaultRowHeight="15" x14ac:dyDescent="0.2"/>
  <cols>
    <col min="1" max="1" width="24" customWidth="1"/>
    <col min="2" max="2" width="7" customWidth="1"/>
    <col min="3" max="3" width="18" customWidth="1"/>
    <col min="4" max="4" width="60" customWidth="1"/>
    <col min="5" max="6" width="12" customWidth="1"/>
    <col min="7" max="8" width="16" customWidth="1"/>
  </cols>
  <sheetData>
    <row r="1" spans="1:8" ht="17" x14ac:dyDescent="0.2">
      <c r="A1" s="1" t="s">
        <v>193</v>
      </c>
    </row>
    <row r="3" spans="1:8" x14ac:dyDescent="0.2">
      <c r="A3" s="2" t="s">
        <v>2</v>
      </c>
      <c r="B3" s="2" t="s">
        <v>4</v>
      </c>
      <c r="C3" s="2" t="s">
        <v>194</v>
      </c>
      <c r="D3" s="2" t="s">
        <v>195</v>
      </c>
      <c r="E3" s="2" t="s">
        <v>3</v>
      </c>
      <c r="F3" s="2" t="s">
        <v>66</v>
      </c>
      <c r="G3" s="2" t="s">
        <v>5</v>
      </c>
      <c r="H3" s="2" t="s">
        <v>196</v>
      </c>
    </row>
    <row r="4" spans="1:8" x14ac:dyDescent="0.2">
      <c r="A4" t="s">
        <v>11</v>
      </c>
      <c r="C4" s="7">
        <f>Nutrients!D17</f>
        <v>183.6712</v>
      </c>
      <c r="D4" t="s">
        <v>197</v>
      </c>
      <c r="E4" s="3">
        <f>IF(C4&lt;5,0,IF(C4&lt;=50,ROUND(C4/5,0)*5,ROUND(C4/10,0)*10))</f>
        <v>180</v>
      </c>
    </row>
    <row r="5" spans="1:8" x14ac:dyDescent="0.2">
      <c r="A5" t="s">
        <v>14</v>
      </c>
      <c r="B5" t="s">
        <v>15</v>
      </c>
      <c r="C5" s="7">
        <f>Nutrients!E17</f>
        <v>6.7614</v>
      </c>
      <c r="D5" t="s">
        <v>198</v>
      </c>
      <c r="E5" s="3">
        <f>IF(C5&lt;0.5,0,IF(C5&lt;5,ROUND(C5/0.5,0)*0.5,ROUND(C5,0)))</f>
        <v>7</v>
      </c>
      <c r="F5">
        <f>Parameters!B17</f>
        <v>78</v>
      </c>
      <c r="G5" s="4">
        <f>IF(ISNUMBER(E5),ROUND(E5/F5,2),ROUND(C5/F5,2))</f>
        <v>0.09</v>
      </c>
      <c r="H5" s="11">
        <f>ROUND(C5/F5,3)</f>
        <v>0.087</v>
      </c>
    </row>
    <row r="6" spans="1:8" x14ac:dyDescent="0.2">
      <c r="A6" t="s">
        <v>16</v>
      </c>
      <c r="B6" t="s">
        <v>15</v>
      </c>
      <c r="C6" s="7">
        <f>Nutrients!F17</f>
        <v>0.653</v>
      </c>
      <c r="D6" t="s">
        <v>198</v>
      </c>
      <c r="E6" s="3">
        <f>IF(C6&lt;0.5,0,IF(C6&lt;5,ROUND(C6/0.5,0)*0.5,ROUND(C6,0)))</f>
        <v>0.5</v>
      </c>
      <c r="F6">
        <f>Parameters!B18</f>
        <v>20</v>
      </c>
      <c r="G6" s="4">
        <f>IF(ISNUMBER(E6),ROUND(E6/F6,2),ROUND(C6/F6,2))</f>
        <v>0.03</v>
      </c>
      <c r="H6" s="11">
        <f>ROUND(C6/F6,3)</f>
        <v>0.033</v>
      </c>
    </row>
    <row r="7" spans="1:8" x14ac:dyDescent="0.2">
      <c r="A7" t="s">
        <v>17</v>
      </c>
      <c r="B7" t="s">
        <v>15</v>
      </c>
      <c r="C7" s="7">
        <f>Nutrients!G17</f>
        <v>0</v>
      </c>
      <c r="D7" t="s">
        <v>198</v>
      </c>
      <c r="E7" s="3">
        <f>IF(C7&lt;0.5,0,IF(C7&lt;5,ROUND(C7/0.5,0)*0.5,ROUND(C7,0)))</f>
        <v>0</v>
      </c>
    </row>
    <row r="8" spans="1:8" x14ac:dyDescent="0.2">
      <c r="A8" t="s">
        <v>18</v>
      </c>
      <c r="B8" t="s">
        <v>19</v>
      </c>
      <c r="C8" s="7">
        <f>Nutrients!H17</f>
        <v>0</v>
      </c>
      <c r="D8" t="s">
        <v>199</v>
      </c>
      <c r="E8" s="3">
        <f>IF(C8&lt;2,0,IF(C8&lt;=5,"less than 5",ROUND(C8/5,0)*5))</f>
        <v>0</v>
      </c>
      <c r="F8">
        <f>Parameters!B19</f>
        <v>300</v>
      </c>
      <c r="G8" s="4">
        <f>IF(ISNUMBER(E8),ROUND(E8/F8,2),ROUND(C8/F8,2))</f>
        <v>0</v>
      </c>
      <c r="H8" s="11">
        <f>ROUND(C8/F8,3)</f>
        <v>0</v>
      </c>
    </row>
    <row r="9" spans="1:8" x14ac:dyDescent="0.2">
      <c r="A9" t="s">
        <v>20</v>
      </c>
      <c r="B9" t="s">
        <v>19</v>
      </c>
      <c r="C9" s="7">
        <f>Nutrients!I17</f>
        <v>129.1111</v>
      </c>
      <c r="D9" t="s">
        <v>200</v>
      </c>
      <c r="E9" s="3">
        <f>IF(C9&lt;5,0,IF(C9&lt;=140,ROUND(C9/5,0)*5,ROUND(C9/10,0)*10))</f>
        <v>130</v>
      </c>
      <c r="F9">
        <f>Parameters!B20</f>
        <v>2300</v>
      </c>
      <c r="G9" s="4">
        <f>IF(ISNUMBER(E9),ROUND(E9/F9,2),ROUND(C9/F9,2))</f>
        <v>0.06</v>
      </c>
      <c r="H9" s="11">
        <f>ROUND(C9/F9,3)</f>
        <v>0.056</v>
      </c>
    </row>
    <row r="10" spans="1:8" x14ac:dyDescent="0.2">
      <c r="A10" t="s">
        <v>21</v>
      </c>
      <c r="B10" t="s">
        <v>15</v>
      </c>
      <c r="C10" s="7">
        <f>Nutrients!J17</f>
        <v>27.8143</v>
      </c>
      <c r="D10" t="s">
        <v>201</v>
      </c>
      <c r="E10" s="3">
        <f>IF(C10&lt;0.5,0,IF(C10&lt;1,"less than 1",ROUND(C10,0)))</f>
        <v>28</v>
      </c>
      <c r="F10">
        <f>Parameters!B21</f>
        <v>275</v>
      </c>
      <c r="G10" s="4">
        <f>IF(ISNUMBER(E10),ROUND(E10/F10,2),ROUND(C10/F10,2))</f>
        <v>0.1</v>
      </c>
      <c r="H10" s="11">
        <f>ROUND(C10/F10,3)</f>
        <v>0.101</v>
      </c>
    </row>
    <row r="11" spans="1:8" x14ac:dyDescent="0.2">
      <c r="A11" t="s">
        <v>22</v>
      </c>
      <c r="B11" t="s">
        <v>15</v>
      </c>
      <c r="C11" s="7">
        <f>Nutrients!K17</f>
        <v>2.6129</v>
      </c>
      <c r="D11" t="s">
        <v>201</v>
      </c>
      <c r="E11" s="3">
        <f>IF(C11&lt;0.5,0,IF(C11&lt;1,"less than 1",ROUND(C11,0)))</f>
        <v>3</v>
      </c>
      <c r="F11">
        <f>Parameters!B22</f>
        <v>28</v>
      </c>
      <c r="G11" s="4">
        <f>IF(ISNUMBER(E11),ROUND(E11/F11,2),ROUND(C11/F11,2))</f>
        <v>0.11</v>
      </c>
      <c r="H11" s="11">
        <f>ROUND(C11/F11,3)</f>
        <v>0.093</v>
      </c>
    </row>
    <row r="12" spans="1:8" x14ac:dyDescent="0.2">
      <c r="A12" t="s">
        <v>23</v>
      </c>
      <c r="B12" t="s">
        <v>15</v>
      </c>
      <c r="C12" s="7">
        <f>Nutrients!L17</f>
        <v>9.4978</v>
      </c>
      <c r="D12" t="s">
        <v>201</v>
      </c>
      <c r="E12" s="3">
        <f>IF(C12&lt;0.5,0,IF(C12&lt;1,"less than 1",ROUND(C12,0)))</f>
        <v>9</v>
      </c>
    </row>
    <row r="13" spans="1:8" x14ac:dyDescent="0.2">
      <c r="A13" t="s">
        <v>24</v>
      </c>
      <c r="B13" t="s">
        <v>15</v>
      </c>
      <c r="C13" s="7">
        <f>Nutrients!M17</f>
        <v>7.8514</v>
      </c>
      <c r="D13" t="s">
        <v>201</v>
      </c>
      <c r="E13" s="3">
        <f>IF(C13&lt;0.5,0,IF(C13&lt;1,"less than 1",ROUND(C13,0)))</f>
        <v>8</v>
      </c>
      <c r="F13">
        <f>Parameters!B23</f>
        <v>50</v>
      </c>
      <c r="G13" s="4">
        <f t="shared" ref="G13:G18" si="0">IF(ISNUMBER(E13),ROUND(E13/F13,2),ROUND(C13/F13,2))</f>
        <v>0.16</v>
      </c>
      <c r="H13" s="11">
        <f t="shared" ref="H13:H18" si="1">ROUND(C13/F13,3)</f>
        <v>0.157</v>
      </c>
    </row>
    <row r="14" spans="1:8" x14ac:dyDescent="0.2">
      <c r="A14" t="s">
        <v>25</v>
      </c>
      <c r="B14" t="s">
        <v>15</v>
      </c>
      <c r="C14" s="7">
        <f>Nutrients!N17</f>
        <v>3.8296</v>
      </c>
      <c r="D14" t="s">
        <v>201</v>
      </c>
      <c r="E14" s="3">
        <f>IF(C14&lt;0.5,0,IF(C14&lt;1,"less than 1",ROUND(C14,0)))</f>
        <v>4</v>
      </c>
      <c r="F14">
        <f>Parameters!B24</f>
        <v>50</v>
      </c>
      <c r="G14" s="4">
        <f t="shared" si="0"/>
        <v>0.08</v>
      </c>
      <c r="H14" s="11">
        <f t="shared" si="1"/>
        <v>0.077</v>
      </c>
    </row>
    <row r="15" spans="1:8" x14ac:dyDescent="0.2">
      <c r="A15" t="s">
        <v>26</v>
      </c>
      <c r="B15" t="s">
        <v>27</v>
      </c>
      <c r="C15" s="7">
        <f>Nutrients!O17</f>
        <v>0</v>
      </c>
      <c r="D15" t="s">
        <v>202</v>
      </c>
      <c r="E15" s="3">
        <f>IF(C15/F15&lt;0.02,0,ROUND(C15,1))</f>
        <v>0</v>
      </c>
      <c r="F15">
        <f>Parameters!B25</f>
        <v>20</v>
      </c>
      <c r="G15" s="4">
        <f t="shared" si="0"/>
        <v>0</v>
      </c>
      <c r="H15" s="11">
        <f t="shared" si="1"/>
        <v>0</v>
      </c>
    </row>
    <row r="16" spans="1:8" x14ac:dyDescent="0.2">
      <c r="A16" t="s">
        <v>28</v>
      </c>
      <c r="B16" t="s">
        <v>19</v>
      </c>
      <c r="C16" s="7">
        <f>Nutrients!P17</f>
        <v>33.6223</v>
      </c>
      <c r="D16" t="s">
        <v>203</v>
      </c>
      <c r="E16" s="3">
        <f>IF(C16/F16&lt;0.02,0,ROUND(C16/10,0)*10)</f>
        <v>30</v>
      </c>
      <c r="F16">
        <f>Parameters!B26</f>
        <v>1300</v>
      </c>
      <c r="G16" s="4">
        <f t="shared" si="0"/>
        <v>0.02</v>
      </c>
      <c r="H16" s="11">
        <f t="shared" si="1"/>
        <v>0.026</v>
      </c>
    </row>
    <row r="17" spans="1:8" x14ac:dyDescent="0.2">
      <c r="A17" t="s">
        <v>29</v>
      </c>
      <c r="B17" t="s">
        <v>19</v>
      </c>
      <c r="C17" s="7">
        <f>Nutrients!Q17</f>
        <v>1.0298</v>
      </c>
      <c r="D17" t="s">
        <v>204</v>
      </c>
      <c r="E17" s="3">
        <f>IF(C17/F17&lt;0.02,0,ROUND(C17,1))</f>
        <v>1</v>
      </c>
      <c r="F17">
        <f>Parameters!B27</f>
        <v>18</v>
      </c>
      <c r="G17" s="4">
        <f t="shared" si="0"/>
        <v>0.06</v>
      </c>
      <c r="H17" s="11">
        <f t="shared" si="1"/>
        <v>0.057</v>
      </c>
    </row>
    <row r="18" spans="1:8" x14ac:dyDescent="0.2">
      <c r="A18" t="s">
        <v>30</v>
      </c>
      <c r="B18" t="s">
        <v>19</v>
      </c>
      <c r="C18" s="7">
        <f>Nutrients!R17</f>
        <v>130.4153</v>
      </c>
      <c r="D18" t="s">
        <v>203</v>
      </c>
      <c r="E18" s="3">
        <f>IF(C18/F18&lt;0.02,0,ROUND(C18/10,0)*10)</f>
        <v>130</v>
      </c>
      <c r="F18">
        <f>Parameters!B28</f>
        <v>4700</v>
      </c>
      <c r="G18" s="4">
        <f t="shared" si="0"/>
        <v>0.03</v>
      </c>
      <c r="H18" s="11">
        <f t="shared" si="1"/>
        <v>0.028</v>
      </c>
    </row>
    <row r="20" spans="1:8" x14ac:dyDescent="0.2">
      <c r="A20" t="s">
        <v>205</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21"/>
  <sheetViews>
    <sheetView workbookViewId="0"/>
  </sheetViews>
  <sheetFormatPr baseColWidth="10" defaultColWidth="8.83203125" defaultRowHeight="15" x14ac:dyDescent="0.2"/>
  <cols>
    <col min="1" max="1" width="8" customWidth="1"/>
    <col min="2" max="2" width="26" customWidth="1"/>
    <col min="3" max="3" width="10" customWidth="1"/>
    <col min="4" max="4" width="32" customWidth="1"/>
    <col min="5" max="5" width="44" customWidth="1"/>
    <col min="6" max="6" width="14" customWidth="1"/>
  </cols>
  <sheetData>
    <row r="1" spans="1:6" ht="17" x14ac:dyDescent="0.2">
      <c r="A1" s="1" t="s">
        <v>206</v>
      </c>
    </row>
    <row r="3" spans="1:6" x14ac:dyDescent="0.2">
      <c r="A3" s="2" t="s">
        <v>98</v>
      </c>
      <c r="B3" s="2" t="s">
        <v>94</v>
      </c>
      <c r="C3" s="2" t="s">
        <v>92</v>
      </c>
      <c r="D3" s="2" t="s">
        <v>95</v>
      </c>
      <c r="E3" s="2" t="s">
        <v>207</v>
      </c>
      <c r="F3" s="2" t="s">
        <v>208</v>
      </c>
    </row>
    <row r="4" spans="1:6" x14ac:dyDescent="0.2">
      <c r="A4">
        <v>1</v>
      </c>
      <c r="B4" t="str">
        <f>Formula!E4</f>
        <v>whole grain rolled oats</v>
      </c>
      <c r="C4" s="9">
        <f>Formula!C4</f>
        <v>39.6</v>
      </c>
      <c r="D4" t="str">
        <f>IF(Formula!F4="","",Formula!F4)</f>
        <v/>
      </c>
      <c r="E4" t="str">
        <f t="shared" ref="E4:E15" si="0">IF(D4="",B4,B4&amp;" ("&amp;D4&amp;")")</f>
        <v>whole grain rolled oats</v>
      </c>
    </row>
    <row r="5" spans="1:6" x14ac:dyDescent="0.2">
      <c r="A5">
        <v>2</v>
      </c>
      <c r="B5" t="str">
        <f>Formula!E5</f>
        <v>brown rice syrup</v>
      </c>
      <c r="C5" s="9">
        <f>Formula!C5</f>
        <v>17.4</v>
      </c>
      <c r="D5" t="str">
        <f>IF(Formula!F5="","",Formula!F5)</f>
        <v/>
      </c>
      <c r="E5" t="str">
        <f t="shared" si="0"/>
        <v>brown rice syrup</v>
      </c>
    </row>
    <row r="6" spans="1:6" x14ac:dyDescent="0.2">
      <c r="A6">
        <v>3</v>
      </c>
      <c r="B6" t="str">
        <f>Formula!E6</f>
        <v>crisp rice</v>
      </c>
      <c r="C6" s="9">
        <f>Formula!C6</f>
        <v>12</v>
      </c>
      <c r="D6" t="str">
        <f>IF(Formula!F6="","",Formula!F6)</f>
        <v>rice flour, sugar, salt</v>
      </c>
      <c r="E6" t="str">
        <f t="shared" si="0"/>
        <v>crisp rice (rice flour, sugar, salt)</v>
      </c>
    </row>
    <row r="7" spans="1:6" x14ac:dyDescent="0.2">
      <c r="A7">
        <v>4</v>
      </c>
      <c r="B7" t="str">
        <f>Formula!E7</f>
        <v>honey</v>
      </c>
      <c r="C7" s="9">
        <f>Formula!C7</f>
        <v>10.2</v>
      </c>
      <c r="D7" t="str">
        <f>IF(Formula!F7="","",Formula!F7)</f>
        <v/>
      </c>
      <c r="E7" t="str">
        <f t="shared" si="0"/>
        <v>honey</v>
      </c>
    </row>
    <row r="8" spans="1:6" x14ac:dyDescent="0.2">
      <c r="A8">
        <v>5</v>
      </c>
      <c r="B8" t="str">
        <f>Formula!E8</f>
        <v>dried cherries</v>
      </c>
      <c r="C8" s="9">
        <f>Formula!C8</f>
        <v>9.6</v>
      </c>
      <c r="D8" t="str">
        <f>IF(Formula!F8="","",Formula!F8)</f>
        <v>cherries, sugar, sunflower oil</v>
      </c>
      <c r="E8" t="str">
        <f t="shared" si="0"/>
        <v>dried cherries (cherries, sugar, sunflower oil)</v>
      </c>
    </row>
    <row r="9" spans="1:6" x14ac:dyDescent="0.2">
      <c r="A9">
        <v>6</v>
      </c>
      <c r="B9" t="str">
        <f>Formula!E9</f>
        <v>almond butter</v>
      </c>
      <c r="C9" s="9">
        <f>Formula!C9</f>
        <v>8.4</v>
      </c>
      <c r="D9" t="str">
        <f>IF(Formula!F9="","",Formula!F9)</f>
        <v/>
      </c>
      <c r="E9" t="str">
        <f t="shared" si="0"/>
        <v>almond butter</v>
      </c>
      <c r="F9" t="s">
        <v>209</v>
      </c>
    </row>
    <row r="10" spans="1:6" x14ac:dyDescent="0.2">
      <c r="A10">
        <v>7</v>
      </c>
      <c r="B10" t="str">
        <f>Formula!E10</f>
        <v>sliced almonds</v>
      </c>
      <c r="C10" s="9">
        <f>Formula!C10</f>
        <v>7.8</v>
      </c>
      <c r="D10" t="str">
        <f>IF(Formula!F10="","",Formula!F10)</f>
        <v/>
      </c>
      <c r="E10" t="str">
        <f t="shared" si="0"/>
        <v>sliced almonds</v>
      </c>
      <c r="F10" t="s">
        <v>209</v>
      </c>
    </row>
    <row r="11" spans="1:6" x14ac:dyDescent="0.2">
      <c r="A11">
        <v>8</v>
      </c>
      <c r="B11" t="str">
        <f>Formula!E12</f>
        <v>sunflower oil</v>
      </c>
      <c r="C11" s="9">
        <f>Formula!C12</f>
        <v>5.4</v>
      </c>
      <c r="D11" t="str">
        <f>IF(Formula!F12="","",Formula!F12)</f>
        <v/>
      </c>
      <c r="E11" t="str">
        <f t="shared" si="0"/>
        <v>sunflower oil</v>
      </c>
    </row>
    <row r="12" spans="1:6" x14ac:dyDescent="0.2">
      <c r="A12">
        <v>9</v>
      </c>
      <c r="B12" t="str">
        <f>Formula!E13</f>
        <v>natural vanilla flavor</v>
      </c>
      <c r="C12" s="9">
        <f>Formula!C13</f>
        <v>1.56</v>
      </c>
      <c r="D12" t="str">
        <f>IF(Formula!F13="","",Formula!F13)</f>
        <v/>
      </c>
      <c r="E12" t="str">
        <f t="shared" si="0"/>
        <v>natural vanilla flavor</v>
      </c>
    </row>
    <row r="13" spans="1:6" x14ac:dyDescent="0.2">
      <c r="A13">
        <v>10</v>
      </c>
      <c r="B13" t="str">
        <f>Formula!E14</f>
        <v>cinnamon</v>
      </c>
      <c r="C13" s="9">
        <f>Formula!C14</f>
        <v>0.84</v>
      </c>
      <c r="D13" t="str">
        <f>IF(Formula!F14="","",Formula!F14)</f>
        <v/>
      </c>
      <c r="E13" t="str">
        <f t="shared" si="0"/>
        <v>cinnamon</v>
      </c>
    </row>
    <row r="14" spans="1:6" x14ac:dyDescent="0.2">
      <c r="A14">
        <v>11</v>
      </c>
      <c r="B14" t="str">
        <f>Formula!E15</f>
        <v>sea salt</v>
      </c>
      <c r="C14" s="9">
        <f>Formula!C15</f>
        <v>0.72</v>
      </c>
      <c r="D14" t="str">
        <f>IF(Formula!F15="","",Formula!F15)</f>
        <v/>
      </c>
      <c r="E14" t="str">
        <f t="shared" si="0"/>
        <v>sea salt</v>
      </c>
    </row>
    <row r="15" spans="1:6" x14ac:dyDescent="0.2">
      <c r="A15">
        <v>12</v>
      </c>
      <c r="B15" t="str">
        <f>Formula!E16</f>
        <v>soy lecithin</v>
      </c>
      <c r="C15" s="9">
        <f>Formula!C16</f>
        <v>0.48</v>
      </c>
      <c r="D15" t="str">
        <f>IF(Formula!F16="","",Formula!F16)</f>
        <v/>
      </c>
      <c r="E15" t="str">
        <f t="shared" si="0"/>
        <v>soy lecithin</v>
      </c>
      <c r="F15" t="s">
        <v>210</v>
      </c>
    </row>
    <row r="17" spans="1:2" x14ac:dyDescent="0.2">
      <c r="A17" s="6" t="s">
        <v>211</v>
      </c>
      <c r="B17" t="str">
        <f>UPPER(LEFT(E4&amp;", "&amp;E5&amp;", "&amp;E6&amp;", "&amp;E7&amp;", "&amp;E8&amp;", "&amp;E9&amp;", "&amp;E10&amp;", "&amp;E11&amp;", "&amp;E12&amp;", "&amp;E13&amp;", "&amp;E14&amp;", "&amp;E15,1))&amp;MID(E4&amp;", "&amp;E5&amp;", "&amp;E6&amp;", "&amp;E7&amp;", "&amp;E8&amp;", "&amp;E9&amp;", "&amp;E10&amp;", "&amp;E11&amp;", "&amp;E12&amp;", "&amp;E13&amp;", "&amp;E14&amp;", "&amp;E15,2,900)&amp;"."</f>
        <v>Whole grain rolled oats, brown rice syrup, crisp rice (rice flour, sugar, salt), honey, dried cherries (cherries, sugar, sunflower oil), almond butter, sliced almonds, sunflower oil, natural vanilla flavor, cinnamon, sea salt, soy lecithin.</v>
      </c>
    </row>
    <row r="18" spans="1:2" x14ac:dyDescent="0.2">
      <c r="A18" s="6" t="s">
        <v>212</v>
      </c>
      <c r="B18" t="str">
        <f>"Contains: "&amp;IF(COUNTIF(F4:F15,"almonds")&gt;0,"almonds","")&amp;IF(COUNTIF(F4:F15,"soy")&gt;0,", soy","")&amp;"."</f>
        <v>Contains: almonds, soy.</v>
      </c>
    </row>
    <row r="19" spans="1:2" x14ac:dyDescent="0.2">
      <c r="A19" t="s">
        <v>213</v>
      </c>
      <c r="B19">
        <f>COUNTA(B4:B15)</f>
        <v>12</v>
      </c>
    </row>
    <row r="21" spans="1:2" x14ac:dyDescent="0.2">
      <c r="A21" t="s">
        <v>214</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G14"/>
  <sheetViews>
    <sheetView workbookViewId="0"/>
  </sheetViews>
  <sheetFormatPr baseColWidth="10" defaultColWidth="8.83203125" defaultRowHeight="15" x14ac:dyDescent="0.2"/>
  <cols>
    <col min="1" max="1" width="28" customWidth="1"/>
    <col min="2" max="2" width="44" customWidth="1"/>
    <col min="3" max="3" width="12" customWidth="1"/>
    <col min="4" max="4" width="18" customWidth="1"/>
    <col min="5" max="5" width="14" customWidth="1"/>
    <col min="6" max="6" width="16" customWidth="1"/>
    <col min="7" max="7" width="70" customWidth="1"/>
  </cols>
  <sheetData>
    <row r="1" spans="1:7" ht="17" x14ac:dyDescent="0.2">
      <c r="A1" s="1" t="s">
        <v>215</v>
      </c>
    </row>
    <row r="2" spans="1:7" x14ac:dyDescent="0.2">
      <c r="A2" t="s">
        <v>216</v>
      </c>
    </row>
    <row r="3" spans="1:7" x14ac:dyDescent="0.2">
      <c r="A3" s="2" t="s">
        <v>217</v>
      </c>
      <c r="B3" s="2" t="s">
        <v>218</v>
      </c>
      <c r="C3" s="2" t="s">
        <v>219</v>
      </c>
      <c r="D3" s="2" t="s">
        <v>220</v>
      </c>
      <c r="E3" s="2" t="s">
        <v>221</v>
      </c>
      <c r="F3" s="2" t="s">
        <v>222</v>
      </c>
      <c r="G3" s="2" t="s">
        <v>223</v>
      </c>
    </row>
    <row r="4" spans="1:7" x14ac:dyDescent="0.2">
      <c r="A4" t="s">
        <v>224</v>
      </c>
      <c r="B4" t="s">
        <v>225</v>
      </c>
      <c r="C4" s="12">
        <f>Parameters!$B$11*100</f>
        <v>10</v>
      </c>
      <c r="D4" s="12">
        <f>ROUND(Nutrients!K18/Parameters!B22*100,1)</f>
        <v>8.9</v>
      </c>
      <c r="E4" s="12">
        <f>ROUND(Nutrients!K17/Parameters!B22*100,1)</f>
        <v>9.3</v>
      </c>
      <c r="F4" t="str">
        <f>IF(AND(D4&gt;=C4,E4&gt;=C4),"Supported","Not supported")</f>
        <v>Not supported</v>
      </c>
      <c r="G4" t="s">
        <v>226</v>
      </c>
    </row>
    <row r="5" spans="1:7" x14ac:dyDescent="0.2">
      <c r="A5" t="s">
        <v>227</v>
      </c>
      <c r="B5" t="s">
        <v>228</v>
      </c>
      <c r="C5" s="12">
        <f>Parameters!$B$13</f>
        <v>140</v>
      </c>
      <c r="D5" s="12">
        <f>ROUND(Nutrients!I18,1)</f>
        <v>123</v>
      </c>
      <c r="E5" s="12">
        <f>ROUND(Nutrients!I17,1)</f>
        <v>129.1</v>
      </c>
      <c r="F5" t="str">
        <f>IF(AND(D5&lt;=C5,E5&lt;=C5),"Supported","Not supported")</f>
        <v>Supported</v>
      </c>
      <c r="G5" t="s">
        <v>60</v>
      </c>
    </row>
    <row r="6" spans="1:7" x14ac:dyDescent="0.2">
      <c r="A6" t="s">
        <v>229</v>
      </c>
      <c r="B6" t="s">
        <v>230</v>
      </c>
      <c r="C6" s="8">
        <f>Parameters!$B$14</f>
        <v>8</v>
      </c>
      <c r="D6" s="8"/>
      <c r="E6" s="8">
        <f>ROUND(Formula!G4,2)</f>
        <v>15.5</v>
      </c>
      <c r="F6" t="str">
        <f>IF(E6&gt;=C6,"Supported","Not supported")</f>
        <v>Supported</v>
      </c>
      <c r="G6" t="s">
        <v>231</v>
      </c>
    </row>
    <row r="7" spans="1:7" x14ac:dyDescent="0.2">
      <c r="A7" t="s">
        <v>232</v>
      </c>
      <c r="B7" t="s">
        <v>233</v>
      </c>
      <c r="F7" t="str">
        <f>IF(COUNTIF(Formula!B4:B16,"*artificial*")=0,"Supported","Not supported")</f>
        <v>Supported</v>
      </c>
      <c r="G7" t="s">
        <v>234</v>
      </c>
    </row>
    <row r="8" spans="1:7" x14ac:dyDescent="0.2">
      <c r="A8" t="s">
        <v>235</v>
      </c>
      <c r="B8" t="s">
        <v>236</v>
      </c>
      <c r="C8" s="13"/>
      <c r="D8" s="13"/>
      <c r="E8" s="13">
        <f>Rounding!E13</f>
        <v>8</v>
      </c>
      <c r="F8" t="str">
        <f>IF(E8&gt;0,"Not supported","Supported")</f>
        <v>Not supported</v>
      </c>
      <c r="G8" t="s">
        <v>237</v>
      </c>
    </row>
    <row r="9" spans="1:7" x14ac:dyDescent="0.2">
      <c r="A9" t="s">
        <v>238</v>
      </c>
      <c r="B9" t="s">
        <v>239</v>
      </c>
      <c r="C9" s="8"/>
      <c r="D9" s="8"/>
      <c r="E9" s="8">
        <f>ROUND(Formula!G8,2)</f>
        <v>3.76</v>
      </c>
      <c r="F9" t="str">
        <f>IF(E9&gt;0,"Supported","Not supported")</f>
        <v>Supported</v>
      </c>
      <c r="G9" t="s">
        <v>240</v>
      </c>
    </row>
    <row r="11" spans="1:7" x14ac:dyDescent="0.2">
      <c r="A11" t="s">
        <v>241</v>
      </c>
      <c r="B11">
        <f>COUNTIF(F4:F9,"Supported")</f>
        <v>4</v>
      </c>
    </row>
    <row r="12" spans="1:7" x14ac:dyDescent="0.2">
      <c r="A12" t="s">
        <v>36</v>
      </c>
      <c r="B12">
        <f>COUNTIF(F4:F9,"Not supported")</f>
        <v>2</v>
      </c>
    </row>
    <row r="14" spans="1:7" x14ac:dyDescent="0.2">
      <c r="A14" t="s">
        <v>242</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9"/>
  <sheetViews>
    <sheetView workbookViewId="0"/>
  </sheetViews>
  <sheetFormatPr baseColWidth="10" defaultColWidth="8.83203125" defaultRowHeight="15" x14ac:dyDescent="0.2"/>
  <cols>
    <col min="1" max="1" width="120" customWidth="1"/>
  </cols>
  <sheetData>
    <row r="1" spans="1:1" ht="17" x14ac:dyDescent="0.2">
      <c r="A1" s="1" t="s">
        <v>243</v>
      </c>
    </row>
    <row r="3" spans="1:1" ht="64" x14ac:dyDescent="0.2">
      <c r="A3" s="14" t="s">
        <v>244</v>
      </c>
    </row>
    <row r="4" spans="1:1" ht="64" x14ac:dyDescent="0.2">
      <c r="A4" s="14" t="s">
        <v>245</v>
      </c>
    </row>
    <row r="5" spans="1:1" ht="64" x14ac:dyDescent="0.2">
      <c r="A5" s="14" t="s">
        <v>246</v>
      </c>
    </row>
    <row r="6" spans="1:1" ht="64" x14ac:dyDescent="0.2">
      <c r="A6" s="14" t="s">
        <v>247</v>
      </c>
    </row>
    <row r="7" spans="1:1" ht="80" x14ac:dyDescent="0.2">
      <c r="A7" s="14" t="s">
        <v>248</v>
      </c>
    </row>
    <row r="8" spans="1:1" ht="64" x14ac:dyDescent="0.2">
      <c r="A8" s="14" t="s">
        <v>249</v>
      </c>
    </row>
    <row r="9" spans="1:1" ht="96" x14ac:dyDescent="0.2">
      <c r="A9" s="14" t="s">
        <v>250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10</vt:i4>
      </vt:variant>
    </vt:vector>
  </HeadingPairs>
  <TitlesOfParts>
    <vt:vector size="10" baseType="lpstr">
      <vt:lpstr>Panel</vt:lpstr>
      <vt:lpstr>Parameters</vt:lpstr>
      <vt:lpstr>Pilot Batch Record</vt:lpstr>
      <vt:lpstr>Formula</vt:lpstr>
      <vt:lpstr>Specs</vt:lpstr>
      <vt:lpstr>Nutrients</vt:lpstr>
      <vt:lpstr>Rounding</vt:lpstr>
      <vt:lpstr>Ingredient Statement</vt:lpstr>
      <vt:lpstr>Claims</vt:lpstr>
      <vt:lpstr>Note to Priya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dc:creator xmlns:dc="http://purl.org/dc/elements/1.1/">Kolstad Oat Works</dc:creator>
  <dc:title xmlns:dc="http://purl.org/dc/elements/1.1/">Oat and Cherry Bar label review</dc:title>
  <dcterms:created xmlns:dcterms="http://purl.org/dc/terms/" xmlns:xsi="http://www.w3.org/2001/XMLSchema-instance" xsi:type="dcterms:W3CDTF">2026-10-14T08:22:10Z</dcterms:created>
  <dcterms:modified xmlns:dcterms="http://purl.org/dc/terms/" xmlns:xsi="http://www.w3.org/2001/XMLSchema-instance" xsi:type="dcterms:W3CDTF">2026-10-20T10:14:53Z</dcterms:modified>
  <cp:lastModifiedBy>Kolstad Oat Works</cp:lastModifiedBy>
</cp:coreProperties>
</file>