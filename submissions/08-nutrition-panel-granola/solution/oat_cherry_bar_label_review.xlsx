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xr:revisionPtr revIDLastSave="0" documentId="13_ncr:1_{ACC37190-4944-3149-92E1-0B404B9D152A}" xr6:coauthVersionLast="47" xr6:coauthVersionMax="47" xr10:uidLastSave="{00000000-0000-0000-0000-000000000000}"/>
  <bookViews>
    <workbookView xWindow="0" yWindow="600" windowWidth="21600" windowHeight="36520" xr2:uid="{00000000-000D-0000-FFFF-FFFF00000000}"/>
  </bookViews>
  <sheets>
    <sheet name="Panel" sheetId="1" r:id="rId1"/>
    <sheet name="Parameters" sheetId="2" r:id="rId2"/>
    <sheet name="Pilot Batch Record" sheetId="3" r:id="rId3"/>
    <sheet name="Formula" sheetId="4" r:id="rId4"/>
    <sheet name="Specs" sheetId="5" r:id="rId5"/>
    <sheet name="Nutrients" sheetId="6" r:id="rId6"/>
    <sheet name="Rounding" sheetId="7" r:id="rId7"/>
    <sheet name="Ingredient Statement" sheetId="8" r:id="rId8"/>
    <sheet name="Claims" sheetId="9" r:id="rId9"/>
    <sheet name="Inventory Check" sheetId="10" r:id="rId10"/>
    <sheet name="Note to Priya"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 i="10" l="1"/>
  <c r="F7" i="9"/>
  <c r="C6" i="9"/>
  <c r="C5" i="9"/>
  <c r="C4" i="9"/>
  <c r="B18" i="8"/>
  <c r="D15" i="8"/>
  <c r="E15" i="8" s="1"/>
  <c r="C15" i="8"/>
  <c r="D14" i="8"/>
  <c r="E14" i="8" s="1"/>
  <c r="C14" i="8"/>
  <c r="D13" i="8"/>
  <c r="E13" i="8" s="1"/>
  <c r="C13" i="8"/>
  <c r="D12" i="8"/>
  <c r="C12" i="8"/>
  <c r="D11" i="8"/>
  <c r="E11" i="8" s="1"/>
  <c r="C11" i="8"/>
  <c r="D10" i="8"/>
  <c r="E10" i="8" s="1"/>
  <c r="C10" i="8"/>
  <c r="D9" i="8"/>
  <c r="E9" i="8" s="1"/>
  <c r="C9" i="8"/>
  <c r="D8" i="8"/>
  <c r="E8" i="8" s="1"/>
  <c r="C8" i="8"/>
  <c r="D7" i="8"/>
  <c r="E7" i="8" s="1"/>
  <c r="C7" i="8"/>
  <c r="D6" i="8"/>
  <c r="E6" i="8" s="1"/>
  <c r="B11" i="10" s="1"/>
  <c r="C6" i="8"/>
  <c r="D5" i="8"/>
  <c r="E5" i="8" s="1"/>
  <c r="C5" i="8"/>
  <c r="D4" i="8"/>
  <c r="E4" i="8" s="1"/>
  <c r="C4" i="8"/>
  <c r="F18" i="7"/>
  <c r="F17" i="7"/>
  <c r="F16" i="7"/>
  <c r="F15" i="7"/>
  <c r="F14" i="7"/>
  <c r="F13" i="7"/>
  <c r="F11" i="7"/>
  <c r="F10" i="7"/>
  <c r="F9" i="7"/>
  <c r="F8" i="7"/>
  <c r="F6" i="7"/>
  <c r="F5" i="7"/>
  <c r="B16" i="6"/>
  <c r="A16" i="6"/>
  <c r="B15" i="6"/>
  <c r="A15" i="6"/>
  <c r="B14" i="6"/>
  <c r="A14" i="6"/>
  <c r="B13" i="6"/>
  <c r="A13" i="6"/>
  <c r="B12" i="6"/>
  <c r="A12" i="6"/>
  <c r="B11" i="6"/>
  <c r="A11" i="6"/>
  <c r="B10" i="6"/>
  <c r="A10" i="6"/>
  <c r="B9" i="6"/>
  <c r="A9" i="6"/>
  <c r="B8" i="6"/>
  <c r="A8" i="6"/>
  <c r="B7" i="6"/>
  <c r="A7" i="6"/>
  <c r="B6" i="6"/>
  <c r="A6" i="6"/>
  <c r="B5" i="6"/>
  <c r="A5" i="6"/>
  <c r="B4" i="6"/>
  <c r="A4" i="6"/>
  <c r="AJ16" i="5"/>
  <c r="AI16" i="5"/>
  <c r="AH16" i="5"/>
  <c r="AG16" i="5"/>
  <c r="AF16" i="5"/>
  <c r="AE16" i="5"/>
  <c r="AD16" i="5"/>
  <c r="AC16" i="5"/>
  <c r="AB16" i="5"/>
  <c r="AA16" i="5"/>
  <c r="Z16" i="5"/>
  <c r="Y16" i="5"/>
  <c r="X16" i="5"/>
  <c r="W16" i="5"/>
  <c r="V16" i="5"/>
  <c r="U16" i="5"/>
  <c r="AJ15" i="5"/>
  <c r="AI15" i="5"/>
  <c r="AH15" i="5"/>
  <c r="AG15" i="5"/>
  <c r="AF15" i="5"/>
  <c r="AE15" i="5"/>
  <c r="AD15" i="5"/>
  <c r="AC15" i="5"/>
  <c r="AB15" i="5"/>
  <c r="AA15" i="5"/>
  <c r="Z15" i="5"/>
  <c r="Y15" i="5"/>
  <c r="X15" i="5"/>
  <c r="W15" i="5"/>
  <c r="V15" i="5"/>
  <c r="U15" i="5"/>
  <c r="AJ14" i="5"/>
  <c r="AI14" i="5"/>
  <c r="AH14" i="5"/>
  <c r="AG14" i="5"/>
  <c r="AF14" i="5"/>
  <c r="AE14" i="5"/>
  <c r="AD14" i="5"/>
  <c r="AC14" i="5"/>
  <c r="AB14" i="5"/>
  <c r="AA14" i="5"/>
  <c r="Z14" i="5"/>
  <c r="Y14" i="5"/>
  <c r="X14" i="5"/>
  <c r="W14" i="5"/>
  <c r="V14" i="5"/>
  <c r="U14" i="5"/>
  <c r="AJ13" i="5"/>
  <c r="AI13" i="5"/>
  <c r="AH13" i="5"/>
  <c r="AG13" i="5"/>
  <c r="AF13" i="5"/>
  <c r="AE13" i="5"/>
  <c r="AD13" i="5"/>
  <c r="AC13" i="5"/>
  <c r="AB13" i="5"/>
  <c r="AA13" i="5"/>
  <c r="Z13" i="5"/>
  <c r="Y13" i="5"/>
  <c r="X13" i="5"/>
  <c r="W13" i="5"/>
  <c r="V13" i="5"/>
  <c r="U13" i="5"/>
  <c r="AJ12" i="5"/>
  <c r="AI12" i="5"/>
  <c r="AH12" i="5"/>
  <c r="AG12" i="5"/>
  <c r="AF12" i="5"/>
  <c r="AE12" i="5"/>
  <c r="AD12" i="5"/>
  <c r="AC12" i="5"/>
  <c r="AB12" i="5"/>
  <c r="AA12" i="5"/>
  <c r="Z12" i="5"/>
  <c r="Y12" i="5"/>
  <c r="X12" i="5"/>
  <c r="W12" i="5"/>
  <c r="V12" i="5"/>
  <c r="U12" i="5"/>
  <c r="AJ11" i="5"/>
  <c r="AI11" i="5"/>
  <c r="AH11" i="5"/>
  <c r="AG11" i="5"/>
  <c r="AF11" i="5"/>
  <c r="AE11" i="5"/>
  <c r="AD11" i="5"/>
  <c r="AC11" i="5"/>
  <c r="AB11" i="5"/>
  <c r="AA11" i="5"/>
  <c r="Z11" i="5"/>
  <c r="Y11" i="5"/>
  <c r="X11" i="5"/>
  <c r="W11" i="5"/>
  <c r="V11" i="5"/>
  <c r="U11" i="5"/>
  <c r="AJ10" i="5"/>
  <c r="AI10" i="5"/>
  <c r="AH10" i="5"/>
  <c r="AG10" i="5"/>
  <c r="AF10" i="5"/>
  <c r="AE10" i="5"/>
  <c r="AD10" i="5"/>
  <c r="AC10" i="5"/>
  <c r="AB10" i="5"/>
  <c r="AA10" i="5"/>
  <c r="Z10" i="5"/>
  <c r="Y10" i="5"/>
  <c r="X10" i="5"/>
  <c r="W10" i="5"/>
  <c r="V10" i="5"/>
  <c r="U10" i="5"/>
  <c r="AJ9" i="5"/>
  <c r="AI9" i="5"/>
  <c r="AH9" i="5"/>
  <c r="AG9" i="5"/>
  <c r="AF9" i="5"/>
  <c r="AE9" i="5"/>
  <c r="AD9" i="5"/>
  <c r="AC9" i="5"/>
  <c r="AB9" i="5"/>
  <c r="AA9" i="5"/>
  <c r="Z9" i="5"/>
  <c r="Y9" i="5"/>
  <c r="X9" i="5"/>
  <c r="W9" i="5"/>
  <c r="V9" i="5"/>
  <c r="U9" i="5"/>
  <c r="AJ8" i="5"/>
  <c r="AI8" i="5"/>
  <c r="AH8" i="5"/>
  <c r="AG8" i="5"/>
  <c r="AF8" i="5"/>
  <c r="AE8" i="5"/>
  <c r="AD8" i="5"/>
  <c r="AC8" i="5"/>
  <c r="AB8" i="5"/>
  <c r="AA8" i="5"/>
  <c r="Z8" i="5"/>
  <c r="Y8" i="5"/>
  <c r="X8" i="5"/>
  <c r="W8" i="5"/>
  <c r="V8" i="5"/>
  <c r="U8" i="5"/>
  <c r="AJ7" i="5"/>
  <c r="AI7" i="5"/>
  <c r="AH7" i="5"/>
  <c r="AG7" i="5"/>
  <c r="AF7" i="5"/>
  <c r="AE7" i="5"/>
  <c r="AD7" i="5"/>
  <c r="AC7" i="5"/>
  <c r="AB7" i="5"/>
  <c r="AA7" i="5"/>
  <c r="Z7" i="5"/>
  <c r="Y7" i="5"/>
  <c r="X7" i="5"/>
  <c r="W7" i="5"/>
  <c r="V7" i="5"/>
  <c r="U7" i="5"/>
  <c r="AJ6" i="5"/>
  <c r="AI6" i="5"/>
  <c r="AH6" i="5"/>
  <c r="AG6" i="5"/>
  <c r="AF6" i="5"/>
  <c r="AE6" i="5"/>
  <c r="AD6" i="5"/>
  <c r="AC6" i="5"/>
  <c r="AB6" i="5"/>
  <c r="AA6" i="5"/>
  <c r="Z6" i="5"/>
  <c r="Y6" i="5"/>
  <c r="X6" i="5"/>
  <c r="W6" i="5"/>
  <c r="V6" i="5"/>
  <c r="U6" i="5"/>
  <c r="AJ5" i="5"/>
  <c r="AI5" i="5"/>
  <c r="AH5" i="5"/>
  <c r="AG5" i="5"/>
  <c r="AF5" i="5"/>
  <c r="AE5" i="5"/>
  <c r="AD5" i="5"/>
  <c r="AC5" i="5"/>
  <c r="AB5" i="5"/>
  <c r="AA5" i="5"/>
  <c r="Z5" i="5"/>
  <c r="Y5" i="5"/>
  <c r="X5" i="5"/>
  <c r="W5" i="5"/>
  <c r="V5" i="5"/>
  <c r="U5" i="5"/>
  <c r="AJ4" i="5"/>
  <c r="AI4" i="5"/>
  <c r="AH4" i="5"/>
  <c r="AG4" i="5"/>
  <c r="AF4" i="5"/>
  <c r="AE4" i="5"/>
  <c r="AD4" i="5"/>
  <c r="AC4" i="5"/>
  <c r="AB4" i="5"/>
  <c r="AA4" i="5"/>
  <c r="Z4" i="5"/>
  <c r="Y4" i="5"/>
  <c r="X4" i="5"/>
  <c r="W4" i="5"/>
  <c r="V4" i="5"/>
  <c r="U4" i="5"/>
  <c r="C17" i="4"/>
  <c r="I16" i="4"/>
  <c r="E16" i="4"/>
  <c r="B15" i="8" s="1"/>
  <c r="D16" i="4"/>
  <c r="I15" i="4"/>
  <c r="E15" i="4"/>
  <c r="B14" i="8" s="1"/>
  <c r="D15" i="4"/>
  <c r="I14" i="4"/>
  <c r="E14" i="4"/>
  <c r="B13" i="8" s="1"/>
  <c r="D14" i="4"/>
  <c r="I13" i="4"/>
  <c r="E13" i="4"/>
  <c r="B12" i="8" s="1"/>
  <c r="D13" i="4"/>
  <c r="I12" i="4"/>
  <c r="E12" i="4"/>
  <c r="B11" i="8" s="1"/>
  <c r="D12" i="4"/>
  <c r="I11" i="4"/>
  <c r="D11" i="4"/>
  <c r="I10" i="4"/>
  <c r="E10" i="4"/>
  <c r="B10" i="8" s="1"/>
  <c r="D10" i="4"/>
  <c r="I9" i="4"/>
  <c r="E9" i="4"/>
  <c r="B9" i="8" s="1"/>
  <c r="D9" i="4"/>
  <c r="I8" i="4"/>
  <c r="E8" i="4"/>
  <c r="B8" i="8" s="1"/>
  <c r="D8" i="4"/>
  <c r="I7" i="4"/>
  <c r="E7" i="4"/>
  <c r="B7" i="8" s="1"/>
  <c r="D7" i="4"/>
  <c r="I6" i="4"/>
  <c r="E6" i="4"/>
  <c r="B6" i="8" s="1"/>
  <c r="D6" i="4"/>
  <c r="I5" i="4"/>
  <c r="E5" i="4"/>
  <c r="B5" i="8" s="1"/>
  <c r="D5" i="4"/>
  <c r="I4" i="4"/>
  <c r="E4" i="4"/>
  <c r="B4" i="8" s="1"/>
  <c r="D4" i="4"/>
  <c r="B7" i="2"/>
  <c r="B6" i="2"/>
  <c r="B5" i="2"/>
  <c r="B23" i="1"/>
  <c r="B5" i="1"/>
  <c r="G11" i="4" l="1"/>
  <c r="C11" i="6" s="1"/>
  <c r="G16" i="4"/>
  <c r="C16" i="6" s="1"/>
  <c r="H12" i="4"/>
  <c r="H8" i="4"/>
  <c r="G8" i="4"/>
  <c r="H7" i="4"/>
  <c r="G7" i="4"/>
  <c r="C7" i="6" s="1"/>
  <c r="H6" i="4"/>
  <c r="G6" i="4"/>
  <c r="C6" i="6" s="1"/>
  <c r="H4" i="4"/>
  <c r="G4" i="4"/>
  <c r="G14" i="4"/>
  <c r="C14" i="6" s="1"/>
  <c r="H14" i="4"/>
  <c r="B8" i="2"/>
  <c r="H15" i="4"/>
  <c r="H13" i="4"/>
  <c r="G13" i="4"/>
  <c r="C13" i="6" s="1"/>
  <c r="G12" i="4"/>
  <c r="C12" i="6" s="1"/>
  <c r="H10" i="4"/>
  <c r="G10" i="4"/>
  <c r="C10" i="6" s="1"/>
  <c r="H9" i="4"/>
  <c r="G9" i="4"/>
  <c r="C9" i="6" s="1"/>
  <c r="H5" i="4"/>
  <c r="G5" i="4"/>
  <c r="C5" i="6" s="1"/>
  <c r="G15" i="4"/>
  <c r="C15" i="6" s="1"/>
  <c r="H16" i="4"/>
  <c r="H11" i="4"/>
  <c r="B30" i="2"/>
  <c r="B9" i="2"/>
  <c r="B10" i="2"/>
  <c r="B14" i="10"/>
  <c r="B27" i="1" s="1"/>
  <c r="B17" i="8"/>
  <c r="B22" i="1" s="1"/>
  <c r="B19" i="8"/>
  <c r="E12" i="8"/>
  <c r="D11" i="6" l="1"/>
  <c r="E11" i="6"/>
  <c r="F11" i="6"/>
  <c r="G11" i="6"/>
  <c r="H11" i="6"/>
  <c r="I11" i="6"/>
  <c r="J11" i="6"/>
  <c r="K11" i="6"/>
  <c r="L11" i="6"/>
  <c r="M11" i="6"/>
  <c r="N11" i="6"/>
  <c r="O11" i="6"/>
  <c r="P11" i="6"/>
  <c r="Q11" i="6"/>
  <c r="R11" i="6"/>
  <c r="D16" i="6"/>
  <c r="E16" i="6"/>
  <c r="F16" i="6"/>
  <c r="G16" i="6"/>
  <c r="H16" i="6"/>
  <c r="I16" i="6"/>
  <c r="J16" i="6"/>
  <c r="K16" i="6"/>
  <c r="L16" i="6"/>
  <c r="M16" i="6"/>
  <c r="N16" i="6"/>
  <c r="O16" i="6"/>
  <c r="P16" i="6"/>
  <c r="Q16" i="6"/>
  <c r="R16" i="6"/>
  <c r="E9" i="9"/>
  <c r="F9" i="9" s="1"/>
  <c r="C8" i="6"/>
  <c r="D7" i="6"/>
  <c r="E7" i="6"/>
  <c r="F7" i="6"/>
  <c r="G7" i="6"/>
  <c r="H7" i="6"/>
  <c r="I7" i="6"/>
  <c r="J7" i="6"/>
  <c r="K7" i="6"/>
  <c r="L7" i="6"/>
  <c r="M7" i="6"/>
  <c r="N7" i="6"/>
  <c r="O7" i="6"/>
  <c r="P7" i="6"/>
  <c r="Q7" i="6"/>
  <c r="R7" i="6"/>
  <c r="D6" i="6"/>
  <c r="E6" i="6"/>
  <c r="F6" i="6"/>
  <c r="G6" i="6"/>
  <c r="H6" i="6"/>
  <c r="I6" i="6"/>
  <c r="J6" i="6"/>
  <c r="K6" i="6"/>
  <c r="L6" i="6"/>
  <c r="M6" i="6"/>
  <c r="N6" i="6"/>
  <c r="O6" i="6"/>
  <c r="P6" i="6"/>
  <c r="Q6" i="6"/>
  <c r="R6" i="6"/>
  <c r="E6" i="9"/>
  <c r="F6" i="9" s="1"/>
  <c r="G17" i="4"/>
  <c r="C4" i="6"/>
  <c r="D14" i="6"/>
  <c r="E14" i="6"/>
  <c r="F14" i="6"/>
  <c r="G14" i="6"/>
  <c r="H14" i="6"/>
  <c r="I14" i="6"/>
  <c r="J14" i="6"/>
  <c r="K14" i="6"/>
  <c r="L14" i="6"/>
  <c r="M14" i="6"/>
  <c r="N14" i="6"/>
  <c r="O14" i="6"/>
  <c r="P14" i="6"/>
  <c r="Q14" i="6"/>
  <c r="R14" i="6"/>
  <c r="D13" i="6"/>
  <c r="E13" i="6"/>
  <c r="F13" i="6"/>
  <c r="G13" i="6"/>
  <c r="H13" i="6"/>
  <c r="I13" i="6"/>
  <c r="J13" i="6"/>
  <c r="K13" i="6"/>
  <c r="L13" i="6"/>
  <c r="M13" i="6"/>
  <c r="N13" i="6"/>
  <c r="O13" i="6"/>
  <c r="P13" i="6"/>
  <c r="Q13" i="6"/>
  <c r="R13" i="6"/>
  <c r="D12" i="6"/>
  <c r="E12" i="6"/>
  <c r="F12" i="6"/>
  <c r="G12" i="6"/>
  <c r="H12" i="6"/>
  <c r="I12" i="6"/>
  <c r="J12" i="6"/>
  <c r="K12" i="6"/>
  <c r="L12" i="6"/>
  <c r="M12" i="6"/>
  <c r="N12" i="6"/>
  <c r="O12" i="6"/>
  <c r="P12" i="6"/>
  <c r="Q12" i="6"/>
  <c r="R12" i="6"/>
  <c r="D10" i="6"/>
  <c r="E10" i="6"/>
  <c r="F10" i="6"/>
  <c r="G10" i="6"/>
  <c r="H10" i="6"/>
  <c r="I10" i="6"/>
  <c r="J10" i="6"/>
  <c r="K10" i="6"/>
  <c r="L10" i="6"/>
  <c r="M10" i="6"/>
  <c r="N10" i="6"/>
  <c r="O10" i="6"/>
  <c r="P10" i="6"/>
  <c r="Q10" i="6"/>
  <c r="R10" i="6"/>
  <c r="D9" i="6"/>
  <c r="E9" i="6"/>
  <c r="F9" i="6"/>
  <c r="G9" i="6"/>
  <c r="H9" i="6"/>
  <c r="I9" i="6"/>
  <c r="J9" i="6"/>
  <c r="K9" i="6"/>
  <c r="L9" i="6"/>
  <c r="M9" i="6"/>
  <c r="N9" i="6"/>
  <c r="O9" i="6"/>
  <c r="P9" i="6"/>
  <c r="Q9" i="6"/>
  <c r="R9" i="6"/>
  <c r="D5" i="6"/>
  <c r="E5" i="6"/>
  <c r="F5" i="6"/>
  <c r="G5" i="6"/>
  <c r="H5" i="6"/>
  <c r="I5" i="6"/>
  <c r="J5" i="6"/>
  <c r="K5" i="6"/>
  <c r="L5" i="6"/>
  <c r="M5" i="6"/>
  <c r="N5" i="6"/>
  <c r="O5" i="6"/>
  <c r="P5" i="6"/>
  <c r="Q5" i="6"/>
  <c r="R5" i="6"/>
  <c r="D15" i="6"/>
  <c r="E15" i="6"/>
  <c r="F15" i="6"/>
  <c r="G15" i="6"/>
  <c r="H15" i="6"/>
  <c r="I15" i="6"/>
  <c r="J15" i="6"/>
  <c r="K15" i="6"/>
  <c r="L15" i="6"/>
  <c r="M15" i="6"/>
  <c r="N15" i="6"/>
  <c r="O15" i="6"/>
  <c r="P15" i="6"/>
  <c r="Q15" i="6"/>
  <c r="R15" i="6"/>
  <c r="H17" i="4"/>
  <c r="D8" i="6" l="1"/>
  <c r="E8" i="6"/>
  <c r="F8" i="6"/>
  <c r="G8" i="6"/>
  <c r="H8" i="6"/>
  <c r="I8" i="6"/>
  <c r="J8" i="6"/>
  <c r="K8" i="6"/>
  <c r="L8" i="6"/>
  <c r="M8" i="6"/>
  <c r="N8" i="6"/>
  <c r="O8" i="6"/>
  <c r="P8" i="6"/>
  <c r="Q8" i="6"/>
  <c r="R8" i="6"/>
  <c r="D4" i="6"/>
  <c r="D17" i="6" s="1"/>
  <c r="E4" i="6"/>
  <c r="E17" i="6" s="1"/>
  <c r="F4" i="6"/>
  <c r="F17" i="6" s="1"/>
  <c r="G4" i="6"/>
  <c r="G17" i="6" s="1"/>
  <c r="H4" i="6"/>
  <c r="I4" i="6"/>
  <c r="J4" i="6"/>
  <c r="K4" i="6"/>
  <c r="L4" i="6"/>
  <c r="M4" i="6"/>
  <c r="N4" i="6"/>
  <c r="O4" i="6"/>
  <c r="P4" i="6"/>
  <c r="Q4" i="6"/>
  <c r="R4" i="6"/>
  <c r="C17" i="6"/>
  <c r="D18" i="6" l="1"/>
  <c r="C4" i="7"/>
  <c r="E4" i="7" s="1"/>
  <c r="B7" i="1" s="1"/>
  <c r="E18" i="6"/>
  <c r="C5" i="7"/>
  <c r="F18" i="6"/>
  <c r="C6" i="7"/>
  <c r="G18" i="6"/>
  <c r="C7" i="7"/>
  <c r="E7" i="7" s="1"/>
  <c r="B10" i="1" s="1"/>
  <c r="H17" i="6"/>
  <c r="I17" i="6"/>
  <c r="J17" i="6"/>
  <c r="K17" i="6"/>
  <c r="M17" i="6"/>
  <c r="N17" i="6"/>
  <c r="O17" i="6"/>
  <c r="P17" i="6"/>
  <c r="Q17" i="6"/>
  <c r="R17" i="6"/>
  <c r="L17" i="6"/>
  <c r="E5" i="7" l="1"/>
  <c r="H5" i="7"/>
  <c r="E6" i="7"/>
  <c r="H6" i="7"/>
  <c r="C8" i="7"/>
  <c r="H18" i="6"/>
  <c r="C8" i="10"/>
  <c r="B8" i="10"/>
  <c r="B10" i="10" s="1"/>
  <c r="E5" i="9"/>
  <c r="C9" i="7"/>
  <c r="I18" i="6"/>
  <c r="D5" i="9" s="1"/>
  <c r="F5" i="9" s="1"/>
  <c r="C10" i="7"/>
  <c r="J18" i="6"/>
  <c r="E4" i="9"/>
  <c r="C11" i="7"/>
  <c r="K18" i="6"/>
  <c r="D4" i="9" s="1"/>
  <c r="C13" i="7"/>
  <c r="M18" i="6"/>
  <c r="C14" i="7"/>
  <c r="N18" i="6"/>
  <c r="C15" i="7"/>
  <c r="O18" i="6"/>
  <c r="C16" i="7"/>
  <c r="P18" i="6"/>
  <c r="C17" i="7"/>
  <c r="Q18" i="6"/>
  <c r="C18" i="7"/>
  <c r="R18" i="6"/>
  <c r="C12" i="7"/>
  <c r="E12" i="7" s="1"/>
  <c r="B15" i="1" s="1"/>
  <c r="L18" i="6"/>
  <c r="G5" i="7" l="1"/>
  <c r="D8" i="1" s="1"/>
  <c r="B8" i="1"/>
  <c r="G6" i="7"/>
  <c r="D9" i="1" s="1"/>
  <c r="B9" i="1"/>
  <c r="E8" i="7"/>
  <c r="H8" i="7"/>
  <c r="C9" i="10"/>
  <c r="C10" i="10"/>
  <c r="B15" i="10" s="1"/>
  <c r="B28" i="1" s="1"/>
  <c r="E9" i="7"/>
  <c r="H9" i="7"/>
  <c r="E10" i="7"/>
  <c r="H10" i="7"/>
  <c r="E11" i="7"/>
  <c r="H11" i="7"/>
  <c r="E13" i="7"/>
  <c r="H13" i="7"/>
  <c r="E14" i="7"/>
  <c r="H14" i="7"/>
  <c r="E15" i="7"/>
  <c r="H15" i="7"/>
  <c r="E16" i="7"/>
  <c r="H16" i="7"/>
  <c r="E17" i="7"/>
  <c r="H17" i="7"/>
  <c r="E18" i="7"/>
  <c r="H18" i="7"/>
  <c r="F4" i="9"/>
  <c r="G8" i="7" l="1"/>
  <c r="D11" i="1" s="1"/>
  <c r="B11" i="1"/>
  <c r="G9" i="7"/>
  <c r="D12" i="1" s="1"/>
  <c r="B9" i="10"/>
  <c r="B13" i="10" s="1"/>
  <c r="B26" i="1" s="1"/>
  <c r="B12" i="1"/>
  <c r="G10" i="7"/>
  <c r="D13" i="1" s="1"/>
  <c r="B13" i="1"/>
  <c r="G11" i="7"/>
  <c r="D14" i="1" s="1"/>
  <c r="B14" i="1"/>
  <c r="G13" i="7"/>
  <c r="D16" i="1" s="1"/>
  <c r="E8" i="9"/>
  <c r="F8" i="9" s="1"/>
  <c r="B12" i="9" s="1"/>
  <c r="B25" i="1" s="1"/>
  <c r="B16" i="1"/>
  <c r="G14" i="7"/>
  <c r="D17" i="1" s="1"/>
  <c r="B17" i="1"/>
  <c r="G15" i="7"/>
  <c r="D18" i="1" s="1"/>
  <c r="B18" i="1"/>
  <c r="G16" i="7"/>
  <c r="D19" i="1" s="1"/>
  <c r="B19" i="1"/>
  <c r="G17" i="7"/>
  <c r="D20" i="1" s="1"/>
  <c r="B20" i="1"/>
  <c r="G18" i="7"/>
  <c r="D21" i="1" s="1"/>
  <c r="B21" i="1"/>
  <c r="B11" i="9"/>
  <c r="B24" i="1" s="1"/>
</calcChain>
</file>

<file path=xl/sharedStrings.xml><?xml version="1.0" encoding="utf-8"?>
<sst xmlns="http://schemas.openxmlformats.org/spreadsheetml/2006/main" count="426" uniqueCount="269">
  <si>
    <t>Nutrition Facts, Oat and Cherry Bar, formula OCB-26-03, as the wrapper will print</t>
  </si>
  <si>
    <t>Prepared for Priya Raman, brand manager; label review prepared October 20, 2026</t>
  </si>
  <si>
    <t>Line</t>
  </si>
  <si>
    <t>Declared</t>
  </si>
  <si>
    <t>Unit</t>
  </si>
  <si>
    <t>Percent daily value</t>
  </si>
  <si>
    <t>Read from</t>
  </si>
  <si>
    <t>Serving size</t>
  </si>
  <si>
    <t>Parameters</t>
  </si>
  <si>
    <t>Servings per container</t>
  </si>
  <si>
    <t>Product brief, one bar per wrapper</t>
  </si>
  <si>
    <t>Calories</t>
  </si>
  <si>
    <t>kcal</t>
  </si>
  <si>
    <t>Rounding</t>
  </si>
  <si>
    <t>Total Fat</t>
  </si>
  <si>
    <t>g</t>
  </si>
  <si>
    <t>Saturated Fat</t>
  </si>
  <si>
    <t>Trans Fat</t>
  </si>
  <si>
    <t>Cholesterol</t>
  </si>
  <si>
    <t>mg</t>
  </si>
  <si>
    <t>Sodium</t>
  </si>
  <si>
    <t>Total Carbohydrate</t>
  </si>
  <si>
    <t>Dietary Fiber</t>
  </si>
  <si>
    <t>Total Sugars</t>
  </si>
  <si>
    <t>Includes Added Sugars</t>
  </si>
  <si>
    <t>Protein</t>
  </si>
  <si>
    <t>Vitamin D</t>
  </si>
  <si>
    <t>mcg</t>
  </si>
  <si>
    <t>Calcium</t>
  </si>
  <si>
    <t>Iron</t>
  </si>
  <si>
    <t>Potassium</t>
  </si>
  <si>
    <t>Ingredients</t>
  </si>
  <si>
    <t>Ingredient Statement</t>
  </si>
  <si>
    <t>Allergens</t>
  </si>
  <si>
    <t>Claims supported in the brief</t>
  </si>
  <si>
    <t>Claims</t>
  </si>
  <si>
    <t>Claims not supported</t>
  </si>
  <si>
    <t>Panel holds for all launch inventory</t>
  </si>
  <si>
    <t>Inventory Check</t>
  </si>
  <si>
    <t>Ingredient statement holds for all launch inventory</t>
  </si>
  <si>
    <t>Low sodium flag holds for all launch inventory</t>
  </si>
  <si>
    <t>The footnote prints as the standard daily value statement; values read from the tab named beside each line, and the Rounding tab shows each unrounded figure beside its declared value.</t>
  </si>
  <si>
    <t>Parameters the review applies, from SOP QA-14 and the pilot batch record</t>
  </si>
  <si>
    <t>Parameter</t>
  </si>
  <si>
    <t>Value</t>
  </si>
  <si>
    <t>Source</t>
  </si>
  <si>
    <t>Reference amount customarily consumed, bars (g)</t>
  </si>
  <si>
    <t>SOP QA-14 section 1.3</t>
  </si>
  <si>
    <t>Target bar net weight, the declared serving (g)</t>
  </si>
  <si>
    <t>Pilot batch record; SOP 1.3</t>
  </si>
  <si>
    <t>Batch input weight (kg)</t>
  </si>
  <si>
    <t>Pilot batch record</t>
  </si>
  <si>
    <t>Finished batch weight, net of trim (kg)</t>
  </si>
  <si>
    <t>Pilot batch record scale ticket less trim; SOP 1.1</t>
  </si>
  <si>
    <t>Yield, finished over input</t>
  </si>
  <si>
    <t>SOP 1.1</t>
  </si>
  <si>
    <t>Grams of formula carried into one serving</t>
  </si>
  <si>
    <t>Serving over finished weight times input</t>
  </si>
  <si>
    <t>Serving as a share of the reference amount</t>
  </si>
  <si>
    <t>SOP 1.3, one unit where 67% to 200% of RACC</t>
  </si>
  <si>
    <t>Good source threshold, share of daily value</t>
  </si>
  <si>
    <t>SOP 5.1</t>
  </si>
  <si>
    <t>Excellent source threshold, share of daily value</t>
  </si>
  <si>
    <t>Low sodium ceiling (mg)</t>
  </si>
  <si>
    <t>SOP 5.2</t>
  </si>
  <si>
    <t>Whole grain statement floor per serving (g)</t>
  </si>
  <si>
    <t>SOP 5.3</t>
  </si>
  <si>
    <t>Daily value table</t>
  </si>
  <si>
    <t>SOP 3.1</t>
  </si>
  <si>
    <t>Nutrient</t>
  </si>
  <si>
    <t>Daily value</t>
  </si>
  <si>
    <t>Bars cut times the target weight (g), for reference</t>
  </si>
  <si>
    <t>Not the yield basis; SOP 1.1 takes the scale ticket net of trim</t>
  </si>
  <si>
    <t>Pilot batch record, copied from formula_ocb_26_03.xlsx</t>
  </si>
  <si>
    <t>ITEM</t>
  </si>
  <si>
    <t>VALUE</t>
  </si>
  <si>
    <t>SOURCE</t>
  </si>
  <si>
    <t>Scale ticket, all ingredients including water</t>
  </si>
  <si>
    <t>Bake, 165 C, 22 minutes; cool 40 minutes</t>
  </si>
  <si>
    <t>Process log</t>
  </si>
  <si>
    <t>Finished slab weight after cooling (kg)</t>
  </si>
  <si>
    <t>Scale ticket</t>
  </si>
  <si>
    <t>Trim removed (kg)</t>
  </si>
  <si>
    <t>Edge trim, reworked into next batch, not part of yield</t>
  </si>
  <si>
    <t>Scale ticket less trim</t>
  </si>
  <si>
    <t>Bars cut</t>
  </si>
  <si>
    <t>Counter</t>
  </si>
  <si>
    <t>Average bar weight, 30-bar sample (g)</t>
  </si>
  <si>
    <t>QA check weigh</t>
  </si>
  <si>
    <t>Target bar net weight (g)</t>
  </si>
  <si>
    <t>Product brief</t>
  </si>
  <si>
    <t>Moisture, finished bar (%)</t>
  </si>
  <si>
    <t>QA lab, oven method</t>
  </si>
  <si>
    <t>Water activity, finished bar</t>
  </si>
  <si>
    <t>QA lab</t>
  </si>
  <si>
    <t>Formula OCB-26-03, copied from formula_ocb_26_03.xlsx, with grams of each ingredient carried into one serving and one reference amount</t>
  </si>
  <si>
    <t>INGREDIENT_CODE</t>
  </si>
  <si>
    <t>INGREDIENT</t>
  </si>
  <si>
    <t>BATCH_KG</t>
  </si>
  <si>
    <t>PCT_OF_BATCH</t>
  </si>
  <si>
    <t>DECLARED_NAME</t>
  </si>
  <si>
    <t>SUB_INGREDIENTS</t>
  </si>
  <si>
    <t>G_PER_SERVING</t>
  </si>
  <si>
    <t>G_PER_RACC</t>
  </si>
  <si>
    <t>ORDER</t>
  </si>
  <si>
    <t>RM-1042</t>
  </si>
  <si>
    <t>Whole grain rolled oats</t>
  </si>
  <si>
    <t>RM-2210</t>
  </si>
  <si>
    <t>Brown rice syrup</t>
  </si>
  <si>
    <t>RM-1187</t>
  </si>
  <si>
    <t>Crisp rice</t>
  </si>
  <si>
    <t>rice, sugar, barley malt extract, salt</t>
  </si>
  <si>
    <t>RM-2205</t>
  </si>
  <si>
    <t>Clover honey</t>
  </si>
  <si>
    <t>RM-3301</t>
  </si>
  <si>
    <t>Infused dried cherries</t>
  </si>
  <si>
    <t>tart cherries, sugar, sunflower oil</t>
  </si>
  <si>
    <t>RM-3120</t>
  </si>
  <si>
    <t>Roasted almond butter</t>
  </si>
  <si>
    <t>RM-3115</t>
  </si>
  <si>
    <t>Sliced almonds</t>
  </si>
  <si>
    <t>RM-4010</t>
  </si>
  <si>
    <t>Water</t>
  </si>
  <si>
    <t>(water, not declared)</t>
  </si>
  <si>
    <t>RM-4102</t>
  </si>
  <si>
    <t>High oleic sunflower oil</t>
  </si>
  <si>
    <t>RM-5020</t>
  </si>
  <si>
    <t>Vanilla extract</t>
  </si>
  <si>
    <t>vanilla bean extractives in water and alcohol, sugar, natural flavor</t>
  </si>
  <si>
    <t>RM-5031</t>
  </si>
  <si>
    <t>Ground cinnamon</t>
  </si>
  <si>
    <t>RM-5040</t>
  </si>
  <si>
    <t>Sea salt</t>
  </si>
  <si>
    <t>sea salt, calcium silicate</t>
  </si>
  <si>
    <t>RM-5055</t>
  </si>
  <si>
    <t>Soy lecithin</t>
  </si>
  <si>
    <t>Batch total</t>
  </si>
  <si>
    <t>Grams per serving are batch kilograms over the finished batch weight times the serving weight, per SOP 1.1 and 1.3; the water leaves in the bake, so the sum of the grams exceeds the serving weight by the water and volatiles lost.</t>
  </si>
  <si>
    <t>DECLARED_NAME is the common name on the formula in lower case under SOP 4.1; SUB_INGREDIENTS are typed from specification S-1187 revision 7 for the crisp rice, S-3301 revision 5 for the cherries, S-5020 revision 2 for the vanilla extract and S-5040 revision 1 for the sea salt, in the order each lists them.</t>
  </si>
  <si>
    <t>Supplier nutrient specifications from ingredient_nutrient_specs.csv and the specifications in force, and the same values normalised to 100 g per SOP 1.2</t>
  </si>
  <si>
    <t>BASIS_G</t>
  </si>
  <si>
    <t>CALORIES_KCAL</t>
  </si>
  <si>
    <t>TOTAL_FAT_G</t>
  </si>
  <si>
    <t>SAT_FAT_G</t>
  </si>
  <si>
    <t>TRANS_FAT_G</t>
  </si>
  <si>
    <t>CHOLESTEROL_MG</t>
  </si>
  <si>
    <t>SODIUM_MG</t>
  </si>
  <si>
    <t>TOTAL_CARB_G</t>
  </si>
  <si>
    <t>FIBER_G</t>
  </si>
  <si>
    <t>TOTAL_SUGARS_G</t>
  </si>
  <si>
    <t>ADDED_SUGARS_G</t>
  </si>
  <si>
    <t>PROTEIN_G</t>
  </si>
  <si>
    <t>VITAMIN_D_MCG</t>
  </si>
  <si>
    <t>CALCIUM_MG</t>
  </si>
  <si>
    <t>IRON_MG</t>
  </si>
  <si>
    <t>POTASSIUM_MG</t>
  </si>
  <si>
    <t>CODE_100</t>
  </si>
  <si>
    <t>CALORIES_KCAL_PER100</t>
  </si>
  <si>
    <t>TOTAL_FAT_G_PER100</t>
  </si>
  <si>
    <t>SAT_FAT_G_PER100</t>
  </si>
  <si>
    <t>TRANS_FAT_G_PER100</t>
  </si>
  <si>
    <t>CHOLESTEROL_MG_PER100</t>
  </si>
  <si>
    <t>SODIUM_MG_PER100</t>
  </si>
  <si>
    <t>TOTAL_CARB_G_PER100</t>
  </si>
  <si>
    <t>FIBER_G_PER100</t>
  </si>
  <si>
    <t>TOTAL_SUGARS_G_PER100</t>
  </si>
  <si>
    <t>ADDED_SUGARS_G_PER100</t>
  </si>
  <si>
    <t>PROTEIN_G_PER100</t>
  </si>
  <si>
    <t>VITAMIN_D_MCG_PER100</t>
  </si>
  <si>
    <t>CALCIUM_MG_PER100</t>
  </si>
  <si>
    <t>IRON_MG_PER100</t>
  </si>
  <si>
    <t>POTASSIUM_MG_PER100</t>
  </si>
  <si>
    <t>Supplier spec S-1042 rev 4</t>
  </si>
  <si>
    <t>Supplier spec S-2210 rev 3</t>
  </si>
  <si>
    <t>Supplier spec S-1187 rev 7</t>
  </si>
  <si>
    <t>Supplier spec S-2205 rev 3</t>
  </si>
  <si>
    <t>Supplier spec S-3301 rev 5</t>
  </si>
  <si>
    <t>Supplier spec S-3120 rev 2</t>
  </si>
  <si>
    <t>Supplier spec S-3115 rev 6</t>
  </si>
  <si>
    <t>Municipal water per plant analysis</t>
  </si>
  <si>
    <t>Supplier spec S-4102 rev 3</t>
  </si>
  <si>
    <t>Supplier spec S-5020 rev 2</t>
  </si>
  <si>
    <t>Supplier spec S-5031 rev 2</t>
  </si>
  <si>
    <t>Supplier spec S-5040 rev 1</t>
  </si>
  <si>
    <t>Supplier spec S-5055 rev 4</t>
  </si>
  <si>
    <t>BASIS_G is the weight each specification states its values on. The nutrient sheet marks the crisp rice and the almond butter as stated per serving; specification S-1187 is stated per 30 g serving and specification S-3120 per 32 g serving, and both are converted to 100 g in the right-hand block before use.</t>
  </si>
  <si>
    <t>The cherries, brown rice syrup and vanilla extract rows carry their specifications in force (S-3301 revision 5, S-2210 revision 3 and S-5020 revision 2) in place of the nutrient sheet rows at revisions 4, 2 and 1, which state total sugars at 58.0 g with no added sugars figure, sodium at 43 mg, and no added sugar.</t>
  </si>
  <si>
    <t>Nutrient contribution of each ingredient to one serving, grams in the serving times the per-100 g specification over 100</t>
  </si>
  <si>
    <t>Per serving, unrounded</t>
  </si>
  <si>
    <t>Per reference amount, unrounded</t>
  </si>
  <si>
    <t>Grams per serving, the per-100 g specification values and each contribution are carried to four decimal places, and the per serving totals are the sums of the contributions rounded to four decimal places; the per reference amount row scales the per serving total by 40 over 42.</t>
  </si>
  <si>
    <t>Declared values under SOP QA-14 section 2 and percent daily values under section 3, beside the unrounded figures</t>
  </si>
  <si>
    <t>Unrounded per serving</t>
  </si>
  <si>
    <t>Rounding rule applied</t>
  </si>
  <si>
    <t>Percent from unrounded</t>
  </si>
  <si>
    <t>2.1: under 5 is 0; 5 to 50 to the nearest 5; above 50 to the nearest 10</t>
  </si>
  <si>
    <t>2.2: under 0.5 is 0; under 5 to the nearest 0.5; 5 or more to the nearest 1</t>
  </si>
  <si>
    <t>2.3: under 2 is 0; 2 to 5 is less than 5; above 5 to the nearest 5</t>
  </si>
  <si>
    <t>2.4: under 5 is 0; 5 to 140 to the nearest 5; above 140 to the nearest 10</t>
  </si>
  <si>
    <t>2.5: under 0.5 is 0; 0.5 to under 1 is less than 1; 1 or more to the nearest 1</t>
  </si>
  <si>
    <t>2.6: nearest 0.1 mcg; under 2% of the daily value is 0</t>
  </si>
  <si>
    <t>2.6: nearest 10 mg; under 2% of the daily value is 0</t>
  </si>
  <si>
    <t>2.6: nearest 0.1 mg; under 2% of the daily value is 0</t>
  </si>
  <si>
    <t>Percent daily value is computed from the declared, rounded amount and shown to the nearest whole percent, per SOP 3.1; the last column shows the unrounded share for reference only.</t>
  </si>
  <si>
    <t>Ingredient statement assembled in descending order of formula weight under SOP 4.1, with the Contains statement under 4.2</t>
  </si>
  <si>
    <t>LISTED_AS</t>
  </si>
  <si>
    <t>ALLERGEN</t>
  </si>
  <si>
    <t>almonds</t>
  </si>
  <si>
    <t>soy</t>
  </si>
  <si>
    <t>Ingredient statement</t>
  </si>
  <si>
    <t>Contains statement</t>
  </si>
  <si>
    <t>Ingredients declared</t>
  </si>
  <si>
    <t>Water is left off under SOP 4.1 because it is removed in the bake. The almonds are named as the specific tree nut under 4.2, and the soy lecithin carries the soy declaration. The barley malt extract in the crisp rice is a gluten source and not a major food allergen, and specification S-1187 states that none is present in the product, so the Contains statement stays at almonds and soy. Specification S-3120 states the almond butter as dry roasted almonds alone, so it prints as a single ingredient. Specification S-5020 revision 2 lists three sub-ingredients for the vanilla extract, so it prints as a compound ingredient despite the brief's line on compound items. Specification S-5040 lists calcium silicate after the sea salt, so the salt prints as a compound ingredient as well.</t>
  </si>
  <si>
    <t>Each claim in the product brief tested under SOP QA-14 section 5 on the unrounded amount per reference amount and per serving</t>
  </si>
  <si>
    <t>Fiber is shown as percent of the daily value; sodium in mg to a tenth; whole grain and cherries in grams per serving to a hundredth.</t>
  </si>
  <si>
    <t>Claim</t>
  </si>
  <si>
    <t>Test</t>
  </si>
  <si>
    <t>Threshold</t>
  </si>
  <si>
    <t>Per reference amount</t>
  </si>
  <si>
    <t>Per serving</t>
  </si>
  <si>
    <t>Result</t>
  </si>
  <si>
    <t>Basis</t>
  </si>
  <si>
    <t>Good source of fiber</t>
  </si>
  <si>
    <t>Fiber as percent of the 28 g daily value, both bases at or above the threshold</t>
  </si>
  <si>
    <t>SOP 5.1; the panel declares 3 g at 11% because the declared value rounds up from 2.815 g, but the claim is tested on the unrounded amount on both bases</t>
  </si>
  <si>
    <t>Low sodium</t>
  </si>
  <si>
    <t>Sodium in mg, both bases at or below the ceiling</t>
  </si>
  <si>
    <t>SOP 5.1 and 5.2; specification S-2210 revision 3 at 2 mg of sodium per 100 g governs the syrup, and on the nutrient sheet row or on a bar-count yield the serving would exceed the ceiling</t>
  </si>
  <si>
    <t>Made with whole grain oats</t>
  </si>
  <si>
    <t>Grams of whole grain rolled oats per serving at or above the floor</t>
  </si>
  <si>
    <t>SOP 5.3, a company statement; the oats alone are counted, and the brown rice syrup, made from whole grain brown rice per S-2210, is a derivative the rule excludes</t>
  </si>
  <si>
    <t>No artificial flavors</t>
  </si>
  <si>
    <t>No artificial flavor in the formula</t>
  </si>
  <si>
    <t>Formula OCB-26-03 carries vanilla extract and barley malt extract as its only flavorings; specification S-5020 states natural vanillin and a natural flavor with no artificial flavor</t>
  </si>
  <si>
    <t>No added sugar</t>
  </si>
  <si>
    <t>No sugar, syrup, honey or other sugar-bearing ingredient added</t>
  </si>
  <si>
    <t>SOP 5.2; brown rice syrup, honey, sugar-infused cherries, the sweetened vanilla extract and the sugar in the crisp rice are added, and the panel declares the added sugars shown</t>
  </si>
  <si>
    <t>Real fruit</t>
  </si>
  <si>
    <t>A fruit ingredient present in the formula</t>
  </si>
  <si>
    <t>Dried tart cherries per specification S-3301, grams per serving shown; a company statement</t>
  </si>
  <si>
    <t>Claims supported</t>
  </si>
  <si>
    <t>Per reference amount is the 40 g reference amount customarily consumed; per serving is the 42 g bar. Section 5.1 requires both to pass.</t>
  </si>
  <si>
    <t>Launch inventory check: whether the panel, the ingredient statement and the low sodium flag hold for every crisp rice lot on hand</t>
  </si>
  <si>
    <t>Lot group</t>
  </si>
  <si>
    <t>Pack dates</t>
  </si>
  <si>
    <t>Quantity (kg)</t>
  </si>
  <si>
    <t>S-1187 revision</t>
  </si>
  <si>
    <t>Sodium per 30 g serving (mg)</t>
  </si>
  <si>
    <t>Sub-ingredients declared</t>
  </si>
  <si>
    <t>Pilot and later lots</t>
  </si>
  <si>
    <t>November and December 2025</t>
  </si>
  <si>
    <t>September 2025 lots</t>
  </si>
  <si>
    <t>September 2025</t>
  </si>
  <si>
    <t>rice, sugar, salt, malt flavor</t>
  </si>
  <si>
    <t>Sources: the product brief's receiving log line, S-1187 revision 7 and its note on revision 6</t>
  </si>
  <si>
    <t>Measure</t>
  </si>
  <si>
    <t>Sodium per serving (mg)</t>
  </si>
  <si>
    <t>Sodium declared (mg)</t>
  </si>
  <si>
    <t>Low sodium, per serving against the ceiling</t>
  </si>
  <si>
    <t>Crisp rice as it prints</t>
  </si>
  <si>
    <t>Revision 7 governs the pilot and the lots packed after October 1, 2025. The September 2025 lots carry the revision 6 declaration and the revision 6 sodium stated in the S-1187 note on the superseded revision, and the sodium per serving on those lots replaces the crisp rice contribution alone, every other ingredient unchanged.</t>
  </si>
  <si>
    <t>Note to Priya Raman on the Oat and Cherry Bar label review</t>
  </si>
  <si>
    <t>Priya, this is the label review for the Oat and Cherry Bar, formula OCB-26-03. The panel on the first tab is what prints, and every declared value on it reads from the Rounding tab, which reads from the Nutrients tab, which reads from the Formula and Specs tabs; nothing on the panel is typed in. The serving is one bar at the 42 gram target net weight under SOP QA-14 section 1.3, not the 42.1 gram pilot average, and one bar is one serving because 42 grams sits between 67 and 200 percent of the 40 gram reference amount. The yield rests on the scale ticket net of trim, 107.28 kg, under section 1.1. The 2,520 bars cut times the target weight give 105,840 g, and that figure is not the yield basis; on it the sodium per serving would cross the ceiling.</t>
  </si>
  <si>
    <t>Two things in the inputs change the numbers beyond the specification revisions below, and they are worth knowing before legal asks. The nutrient sheet marks the crisp rice and the almond butter as stated per serving and gives no serving weight. Specification S-1187 states the crisp rice per 30 g serving, and specification S-3120 states the almond butter per 32 g serving. The Specs tab converts both to 100 g before use; taken as per 100 g they would understate the sodium from the crisp rice and the fat from the almond butter by more than two thirds. The pilot batch lost 12.72 kg in the bake, so every nutrient is carried into a finished batch weight of 107.28 kg at a yield of 0.8940. A bar at 42 grams carries the nutrients of 46.98 grams of formula.</t>
  </si>
  <si>
    <t>The nutrient sheet is out of date against three specifications in force, and section 1.2 says the specification in force governs. Its cherries row is still S-3301 revision 4, with total sugars at 58.0 g per 100 g and no added sugars figure; revision 5 puts 30.0 g of the 60.0 g of sugars per 100 g as added, the sucrose taken up in the infusion. Its brown rice syrup row is still S-2210 revision 2 at 43 mg of sodium per 100 g, and revision 3 states 2 mg after the plant move. Its vanilla extract row is still S-5020 revision 1 with no added sugar, and revision 2 states 12.7 g of added sugar per 100 g. With the syrup, the honey, the cherries and the vanilla the bar carries 7.929 g of added sugars unrounded, declared as 8 g at 16 percent of the daily value, against 9.490 g of total sugars declared as 9 g. Taken from the nutrient sheet rows, the added sugars line would print 7 g, and the sodium per serving would exceed 140 mg. The percent daily values are computed from the declared, rounded amount under section 3.1, which is why the added sugars line shows 16 percent and not 15.9.</t>
  </si>
  <si>
    <t>The ingredient statement lists twelve ingredients in descending order of formula weight with water left off under section 4.1, each under its common name on the formula, and it reads: Whole grain rolled oats, brown rice syrup, crisp rice (rice, sugar, barley malt extract, salt), clover honey, infused dried cherries (tart cherries, sugar, sunflower oil), roasted almond butter, sliced almonds, high oleic sunflower oil, vanilla extract (vanilla bean extractives in water and alcohol, sugar, natural flavor), ground cinnamon, sea salt (sea salt, calcium silicate), soy lecithin. Four compound ingredients carry the sub-ingredients their specifications list, S-1187 revision 7 for the crisp rice, S-3301 revision 5 for the cherries, S-5020 revision 2 for the vanilla extract and S-5040 revision 1 for the sea salt. Purchasing's line in the brief that the cherries and the crisp rice are the only compound items does not hold on two counts: S-5020 describes a two-fold extract with sugar and a natural flavor, and S-5040 lists calcium silicate as an anticaking agent after the salt. The Contains statement reads Contains almonds and soy; the barley malt extract in the crisp rice is a gluten source and not a major food allergen, and S-1187 states that none is present in the product.</t>
  </si>
  <si>
    <t>On the claims. Good source of fiber is not supported, and it is close. The panel declares 3 g of fiber at 11 percent of the daily value, because the declared value rounds up from 2.823 g, but section 5.1 tests the claim on the unrounded amount per reference amount and per serving. The bar carries 2.823 g per 42 gram serving, which is 10.1 percent of the daily value and clears. It carries 2.689 g per 40 g reference amount, which is 9.6 percent and does not, and section 5.1 requires both bases. Low sodium is supported at 131.8 mg per reference amount and 138.4 mg per serving against the 140 mg ceiling. It holds only because the syrup is read at revision 3 and the yield at the scale ticket; on the nutrient sheet's 43 mg or on the bar-count weight the serving would exceed the ceiling.</t>
  </si>
  <si>
    <t>Made with whole grain oats is not supported. The oats alone carry 14.80 g of whole grain into the bar against the 15 gram floor in section 5.3, and the brown rice syrup, which S-2210 describes as made from whole grain brown rice, is a derivative of a whole grain that section 5.3 excludes; counted in, it would lift the figure to 21.61 g, and that is the reading section 5.3 forbids. No artificial flavors is supported; the flavorings in the formula are the vanilla extract, which specification S-5020 states carries natural vanillin and a natural flavor only, and the barley malt extract inside the crisp rice. Real fruit is supported on the dried tart cherries, 3.76 g per bar. No added sugar is not supported and cannot be: the formula adds brown rice syrup, honey, sugar-infused cherries, a sweetened vanilla extract and a crisp rice that carries sugar of its own, and the panel declares 8 g of added sugars, so section 5.2 rules the flag out however it is worded. Two lines sit on a boundary. Calcium prints as 0 mg at 0 percent: the bar carries 25.389 mg, which is 1.95 percent of the daily value, and section 2.6 makes the 2 percent test on the unrounded amount before rounding; rounded first it would print 30 mg at 2 percent. Saturated fat prints as 0 g: the bar carries 0.498 g, under the 0.5 gram line in section 2.2 by two thousandths of a gram, so any rounding before the final sum would print 0.5 g.</t>
  </si>
  <si>
    <t>Things for you to decide or take to a supplier before the copy locks. First, the fiber claim comes off the front panel unless product development reopens the frozen formula; it clears per serving and misses per reference amount by 0.11 g, so a small lift in the oats would carry it. Second, the no added sugar flag comes off; the sales lead should hear the 8 g figure rather than a softer claim. Third, the whole grain statement comes off as the formula stands, 0.20 g short of the floor on the oats alone. Fourth, the September 2025 crisp rice lots: purchasing's receiving log puts 1,800 kg of the launch inventory in lots packed under revision 6, which carry the declaration rice, sugar, salt, malt flavor and 140 mg of sodium per 30 g. On those lots the bar carries 145.3 mg of sodium per serving, the panel would print 150 mg, the statement would read malt flavor, and the low sodium flag fails, so none of the three holds for all launch inventory. Those lots either go to another product or the wrapper waits for them to be used up, and that is your call with purchasing. Fifth, purchasing should reissue the nutrient sheet with the cherries, the syrup and the vanilla at their revisions in force and with the serving weights beside the two per serving rows, and correct the brief's line on compound items for the vanilla and the salt. Sixth, the Contains statement rests on the formula and the specifications, and wheat, barley and peanuts do not belong in it. S-1187 says the crisp rice packing line also runs a wheat flake cereal, and S-3120 says the almond butter line runs peanut butter on alternate weeks. QA should decide whether a shared-line advisory prints under the Contains statement before the wrapper goes. The workbook cites every specification revision it used on the Specs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</si>
</sst>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
    <numFmt numFmtId="165" formatCode="0.000"/>
    <numFmt numFmtId="166" formatCode="0.0%"/>
    <numFmt numFmtId="167" formatCode="0.0"/>
    <numFmt numFmtId="168" formatCode="0.00000"/>
  </numFmts>
  <fonts count="3" x14ac:knownFonts="1">
    <font>
      <sz val="11"/>
      <color theme="1"/>
      <name val="Calibri"/>
      <family val="2"/>
      <scheme val="minor"/>
    </font>
    <font>
      <b/>
      <sz val="13"/>
      <name val="Calibri"/>
      <family val="2"/>
    </font>
    <font>
      <b/>
      <sz val="11"/>
      <name val="Calibri"/>
      <family val="2"/>
    </font>
  </fonts>
  <fills count="3">
    <fill>
      <patternFill patternType="none"/>
    </fill>
    <fill>
      <patternFill patternType="gray125"/>
    </fill>
    <fill>
      <patternFill patternType="solid">
        <fgColor rgb="FFE8E2CF"/>
      </patternFill>
    </fill>
  </fills>
  <borders count="1">
    <border>
      <left/>
      <right/>
      <top/>
      <bottom/>
      <diagonal/>
    </border>
  </borders>
  <cellStyleXfs count="1">
    <xf numFmtId="0" fontId="0" fillId="0" borderId="0"/>
  </cellStyleXfs>
  <cellXfs count="18">
    <xf numFmtId="0" fontId="0" fillId="0" borderId="0" xfId="0"/>
    <xf numFmtId="0" fontId="1" fillId="0" borderId="0" xfId="0" applyFont="1"/>
    <xf numFmtId="0" fontId="2" fillId="2" borderId="0" xfId="0" applyFont="1" applyFill="1"/>
    <xf numFmtId="0" fontId="0" fillId="0" borderId="0" xfId="0" applyAlignment="1">
      <alignment horizontal="right"/>
    </xf>
    <xf numFmtId="9" fontId="0" fillId="0" borderId="0" xfId="0" applyNumberFormat="1"/>
    <xf numFmtId="0" fontId="0" fillId="0" borderId="0" xfId="0" applyAlignment="1">
      <alignment indent="1"/>
    </xf>
    <xf numFmtId="0" fontId="2" fillId="0" borderId="0" xfId="0" applyFont="1"/>
    <xf numFmtId="164" fontId="0" fillId="0" borderId="0" xfId="0" applyNumberFormat="1"/>
    <xf numFmtId="2" fontId="0" fillId="0" borderId="0" xfId="0" applyNumberFormat="1"/>
    <xf numFmtId="165" fontId="0" fillId="0" borderId="0" xfId="0" applyNumberFormat="1"/>
    <xf numFmtId="166" fontId="0" fillId="0" borderId="0" xfId="0" applyNumberFormat="1"/>
    <xf numFmtId="167" fontId="0" fillId="0" borderId="0" xfId="0" applyNumberFormat="1"/>
    <xf numFmtId="1" fontId="0" fillId="0" borderId="0" xfId="0" applyNumberFormat="1"/>
    <xf numFmtId="0" fontId="0" fillId="0" borderId="0" xfId="0" applyAlignment="1">
      <alignment vertical="top" wrapText="1"/>
    </xf>
    <xf numFmtId="168" fontId="0" fillId="0" borderId="0" xfId="0" applyNumberFormat="1"/>
    <xf numFmtId="3" fontId="0" fillId="0" borderId="0" xfId="0" applyNumberFormat="1"/>
    <xf numFmtId="0" fontId="0" fillId="0" borderId="0" xfId="0"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0"/>
  <sheetViews>
    <sheetView tabSelected="1" workbookViewId="0"/>
  </sheetViews>
  <sheetFormatPr baseColWidth="10" defaultColWidth="8.83203125" defaultRowHeight="15" x14ac:dyDescent="0.2"/>
  <cols>
    <col min="1" max="1" width="30" customWidth="1"/>
    <col min="2" max="2" width="14" customWidth="1"/>
    <col min="3" max="3" width="8" customWidth="1"/>
    <col min="4" max="4" width="18" customWidth="1"/>
    <col min="5" max="5" width="22" customWidth="1"/>
  </cols>
  <sheetData>
    <row r="1" spans="1:5" ht="17" customHeight="1" x14ac:dyDescent="0.2">
      <c r="A1" s="1" t="s">
        <v>0</v>
      </c>
    </row>
    <row r="2" spans="1:5" x14ac:dyDescent="0.2">
      <c r="A2" t="s">
        <v>1</v>
      </c>
    </row>
    <row r="4" spans="1:5" x14ac:dyDescent="0.2">
      <c r="A4" s="2" t="s">
        <v>2</v>
      </c>
      <c r="B4" s="2" t="s">
        <v>3</v>
      </c>
      <c r="C4" s="2" t="s">
        <v>4</v>
      </c>
      <c r="D4" s="2" t="s">
        <v>5</v>
      </c>
      <c r="E4" s="2" t="s">
        <v>6</v>
      </c>
    </row>
    <row r="5" spans="1:5" x14ac:dyDescent="0.2">
      <c r="A5" t="s">
        <v>7</v>
      </c>
      <c r="B5" t="str">
        <f>"1 bar ("&amp;Parameters!$B$5&amp;"g)"</f>
        <v>1 bar (42g)</v>
      </c>
      <c r="E5" t="s">
        <v>8</v>
      </c>
    </row>
    <row r="6" spans="1:5" x14ac:dyDescent="0.2">
      <c r="A6" t="s">
        <v>9</v>
      </c>
      <c r="B6">
        <v>1</v>
      </c>
      <c r="E6" t="s">
        <v>10</v>
      </c>
    </row>
    <row r="7" spans="1:5" x14ac:dyDescent="0.2">
      <c r="A7" t="s">
        <v>11</v>
      </c>
      <c r="B7" s="3">
        <f>Rounding!E4</f>
        <v>180</v>
      </c>
      <c r="C7" t="s">
        <v>12</v>
      </c>
      <c r="E7" t="s">
        <v>13</v>
      </c>
    </row>
    <row r="8" spans="1:5" x14ac:dyDescent="0.2">
      <c r="A8" t="s">
        <v>14</v>
      </c>
      <c r="B8" s="3">
        <f>Rounding!E5</f>
        <v>6</v>
      </c>
      <c r="C8" t="s">
        <v>15</v>
      </c>
      <c r="D8" s="4">
        <f>Rounding!G5</f>
        <v>0.08</v>
      </c>
      <c r="E8" t="s">
        <v>13</v>
      </c>
    </row>
    <row r="9" spans="1:5" x14ac:dyDescent="0.2">
      <c r="A9" s="5" t="s">
        <v>16</v>
      </c>
      <c r="B9" s="3">
        <f>Rounding!E6</f>
        <v>0</v>
      </c>
      <c r="C9" t="s">
        <v>15</v>
      </c>
      <c r="D9" s="4">
        <f>Rounding!G6</f>
        <v>0</v>
      </c>
      <c r="E9" t="s">
        <v>13</v>
      </c>
    </row>
    <row r="10" spans="1:5" x14ac:dyDescent="0.2">
      <c r="A10" s="5" t="s">
        <v>17</v>
      </c>
      <c r="B10" s="3">
        <f>Rounding!E7</f>
        <v>0</v>
      </c>
      <c r="C10" t="s">
        <v>15</v>
      </c>
      <c r="E10" t="s">
        <v>13</v>
      </c>
    </row>
    <row r="11" spans="1:5" x14ac:dyDescent="0.2">
      <c r="A11" t="s">
        <v>18</v>
      </c>
      <c r="B11" s="3">
        <f>Rounding!E8</f>
        <v>0</v>
      </c>
      <c r="C11" t="s">
        <v>19</v>
      </c>
      <c r="D11" s="4">
        <f>Rounding!G8</f>
        <v>0</v>
      </c>
      <c r="E11" t="s">
        <v>13</v>
      </c>
    </row>
    <row r="12" spans="1:5" x14ac:dyDescent="0.2">
      <c r="A12" t="s">
        <v>20</v>
      </c>
      <c r="B12" s="3">
        <f>Rounding!E9</f>
        <v>140</v>
      </c>
      <c r="C12" t="s">
        <v>19</v>
      </c>
      <c r="D12" s="4">
        <f>Rounding!G9</f>
        <v>0.06</v>
      </c>
      <c r="E12" t="s">
        <v>13</v>
      </c>
    </row>
    <row r="13" spans="1:5" x14ac:dyDescent="0.2">
      <c r="A13" t="s">
        <v>21</v>
      </c>
      <c r="B13" s="3">
        <f>Rounding!E10</f>
        <v>27</v>
      </c>
      <c r="C13" t="s">
        <v>15</v>
      </c>
      <c r="D13" s="4">
        <f>Rounding!G10</f>
        <v>0.1</v>
      </c>
      <c r="E13" t="s">
        <v>13</v>
      </c>
    </row>
    <row r="14" spans="1:5" x14ac:dyDescent="0.2">
      <c r="A14" s="5" t="s">
        <v>22</v>
      </c>
      <c r="B14" s="3">
        <f>Rounding!E11</f>
        <v>3</v>
      </c>
      <c r="C14" t="s">
        <v>15</v>
      </c>
      <c r="D14" s="4">
        <f>Rounding!G11</f>
        <v>0.11</v>
      </c>
      <c r="E14" t="s">
        <v>13</v>
      </c>
    </row>
    <row r="15" spans="1:5" x14ac:dyDescent="0.2">
      <c r="A15" s="5" t="s">
        <v>23</v>
      </c>
      <c r="B15" s="3">
        <f>Rounding!E12</f>
        <v>9</v>
      </c>
      <c r="C15" t="s">
        <v>15</v>
      </c>
      <c r="E15" t="s">
        <v>13</v>
      </c>
    </row>
    <row r="16" spans="1:5" x14ac:dyDescent="0.2">
      <c r="A16" s="5" t="s">
        <v>24</v>
      </c>
      <c r="B16" s="3">
        <f>Rounding!E13</f>
        <v>8</v>
      </c>
      <c r="C16" t="s">
        <v>15</v>
      </c>
      <c r="D16" s="4">
        <f>Rounding!G13</f>
        <v>0.16</v>
      </c>
      <c r="E16" t="s">
        <v>13</v>
      </c>
    </row>
    <row r="17" spans="1:5" x14ac:dyDescent="0.2">
      <c r="A17" t="s">
        <v>25</v>
      </c>
      <c r="B17" s="3">
        <f>Rounding!E14</f>
        <v>4</v>
      </c>
      <c r="C17" t="s">
        <v>15</v>
      </c>
      <c r="D17" s="4">
        <f>Rounding!G14</f>
        <v>0.08</v>
      </c>
      <c r="E17" t="s">
        <v>13</v>
      </c>
    </row>
    <row r="18" spans="1:5" x14ac:dyDescent="0.2">
      <c r="A18" t="s">
        <v>26</v>
      </c>
      <c r="B18" s="3">
        <f>Rounding!E15</f>
        <v>0</v>
      </c>
      <c r="C18" t="s">
        <v>27</v>
      </c>
      <c r="D18" s="4">
        <f>Rounding!G15</f>
        <v>0</v>
      </c>
      <c r="E18" t="s">
        <v>13</v>
      </c>
    </row>
    <row r="19" spans="1:5" x14ac:dyDescent="0.2">
      <c r="A19" t="s">
        <v>28</v>
      </c>
      <c r="B19" s="3">
        <f>Rounding!E16</f>
        <v>0</v>
      </c>
      <c r="C19" t="s">
        <v>19</v>
      </c>
      <c r="D19" s="4">
        <f>Rounding!G16</f>
        <v>0</v>
      </c>
      <c r="E19" t="s">
        <v>13</v>
      </c>
    </row>
    <row r="20" spans="1:5" x14ac:dyDescent="0.2">
      <c r="A20" t="s">
        <v>29</v>
      </c>
      <c r="B20" s="3">
        <f>Rounding!E17</f>
        <v>1</v>
      </c>
      <c r="C20" t="s">
        <v>19</v>
      </c>
      <c r="D20" s="4">
        <f>Rounding!G17</f>
        <v>0.06</v>
      </c>
      <c r="E20" t="s">
        <v>13</v>
      </c>
    </row>
    <row r="21" spans="1:5" x14ac:dyDescent="0.2">
      <c r="A21" t="s">
        <v>30</v>
      </c>
      <c r="B21" s="3">
        <f>Rounding!E18</f>
        <v>130</v>
      </c>
      <c r="C21" t="s">
        <v>19</v>
      </c>
      <c r="D21" s="4">
        <f>Rounding!G18</f>
        <v>0.03</v>
      </c>
      <c r="E21" t="s">
        <v>13</v>
      </c>
    </row>
    <row r="22" spans="1:5" x14ac:dyDescent="0.2">
      <c r="A22" s="6" t="s">
        <v>31</v>
      </c>
      <c r="B22" t="str">
        <f>'Ingredient Statement'!B17</f>
        <v>Whole grain rolled oats, brown rice syrup, crisp rice (rice, sugar, barley malt extract, salt), clover honey, infused dried cherries (tart cherries, sugar, sunflower oil), roasted almond butter, sliced almonds, high oleic sunflower oil, vanilla extract (vanilla bean extractives in water and alcohol, sugar, natural flavor), ground cinnamon, sea salt (sea salt, calcium silicate), soy lecithin.</v>
      </c>
      <c r="E22" t="s">
        <v>32</v>
      </c>
    </row>
    <row r="23" spans="1:5" x14ac:dyDescent="0.2">
      <c r="A23" s="6" t="s">
        <v>33</v>
      </c>
      <c r="B23" t="str">
        <f>'Ingredient Statement'!B18</f>
        <v>Contains: almonds, soy.</v>
      </c>
      <c r="E23" t="s">
        <v>32</v>
      </c>
    </row>
    <row r="24" spans="1:5" x14ac:dyDescent="0.2">
      <c r="A24" t="s">
        <v>34</v>
      </c>
      <c r="B24">
        <f>Claims!B11</f>
        <v>3</v>
      </c>
      <c r="E24" t="s">
        <v>35</v>
      </c>
    </row>
    <row r="25" spans="1:5" x14ac:dyDescent="0.2">
      <c r="A25" t="s">
        <v>36</v>
      </c>
      <c r="B25">
        <f>Claims!B12</f>
        <v>3</v>
      </c>
      <c r="E25" t="s">
        <v>35</v>
      </c>
    </row>
    <row r="26" spans="1:5" x14ac:dyDescent="0.2">
      <c r="A26" t="s">
        <v>37</v>
      </c>
      <c r="B26" t="str">
        <f>'Inventory Check'!B13</f>
        <v>No</v>
      </c>
      <c r="E26" t="s">
        <v>38</v>
      </c>
    </row>
    <row r="27" spans="1:5" x14ac:dyDescent="0.2">
      <c r="A27" t="s">
        <v>39</v>
      </c>
      <c r="B27" t="str">
        <f>'Inventory Check'!B14</f>
        <v>No</v>
      </c>
      <c r="E27" t="s">
        <v>38</v>
      </c>
    </row>
    <row r="28" spans="1:5" x14ac:dyDescent="0.2">
      <c r="A28" t="s">
        <v>40</v>
      </c>
      <c r="B28" t="str">
        <f>'Inventory Check'!B15</f>
        <v>No</v>
      </c>
      <c r="E28" t="s">
        <v>38</v>
      </c>
    </row>
    <row r="30" spans="1:5" x14ac:dyDescent="0.2">
      <c r="A30" t="s">
        <v>41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0"/>
  <sheetViews>
    <sheetView workbookViewId="0"/>
  </sheetViews>
  <sheetFormatPr baseColWidth="10" defaultColWidth="8.83203125" defaultRowHeight="15" x14ac:dyDescent="0.2"/>
  <cols>
    <col min="1" max="1" width="52" customWidth="1"/>
    <col min="2" max="2" width="14" customWidth="1"/>
    <col min="3" max="3" width="50" customWidth="1"/>
  </cols>
  <sheetData>
    <row r="1" spans="1:3" ht="17" customHeight="1" x14ac:dyDescent="0.2">
      <c r="A1" s="1" t="s">
        <v>42</v>
      </c>
    </row>
    <row r="3" spans="1:3" x14ac:dyDescent="0.2">
      <c r="A3" s="2" t="s">
        <v>43</v>
      </c>
      <c r="B3" s="2" t="s">
        <v>44</v>
      </c>
      <c r="C3" s="2" t="s">
        <v>45</v>
      </c>
    </row>
    <row r="4" spans="1:3" x14ac:dyDescent="0.2">
      <c r="A4" t="s">
        <v>46</v>
      </c>
      <c r="B4">
        <v>40</v>
      </c>
      <c r="C4" t="s">
        <v>47</v>
      </c>
    </row>
    <row r="5" spans="1:3" x14ac:dyDescent="0.2">
      <c r="A5" t="s">
        <v>48</v>
      </c>
      <c r="B5">
        <f>'Pilot Batch Record'!B11</f>
        <v>42</v>
      </c>
      <c r="C5" t="s">
        <v>49</v>
      </c>
    </row>
    <row r="6" spans="1:3" x14ac:dyDescent="0.2">
      <c r="A6" t="s">
        <v>50</v>
      </c>
      <c r="B6">
        <f>'Pilot Batch Record'!B4</f>
        <v>120</v>
      </c>
      <c r="C6" t="s">
        <v>51</v>
      </c>
    </row>
    <row r="7" spans="1:3" x14ac:dyDescent="0.2">
      <c r="A7" t="s">
        <v>52</v>
      </c>
      <c r="B7">
        <f>'Pilot Batch Record'!B8</f>
        <v>107.28</v>
      </c>
      <c r="C7" t="s">
        <v>53</v>
      </c>
    </row>
    <row r="8" spans="1:3" x14ac:dyDescent="0.2">
      <c r="A8" t="s">
        <v>54</v>
      </c>
      <c r="B8" s="7">
        <f>ROUND(B7/B6,4)</f>
        <v>0.894</v>
      </c>
      <c r="C8" t="s">
        <v>55</v>
      </c>
    </row>
    <row r="9" spans="1:3" x14ac:dyDescent="0.2">
      <c r="A9" t="s">
        <v>56</v>
      </c>
      <c r="B9" s="8">
        <f>ROUND(B5/B7*B6,2)</f>
        <v>46.98</v>
      </c>
      <c r="C9" t="s">
        <v>57</v>
      </c>
    </row>
    <row r="10" spans="1:3" x14ac:dyDescent="0.2">
      <c r="A10" t="s">
        <v>58</v>
      </c>
      <c r="B10" s="7">
        <f>ROUND(B5/B4,4)</f>
        <v>1.05</v>
      </c>
      <c r="C10" t="s">
        <v>59</v>
      </c>
    </row>
    <row r="11" spans="1:3" x14ac:dyDescent="0.2">
      <c r="A11" t="s">
        <v>60</v>
      </c>
      <c r="B11" s="4">
        <v>0.1</v>
      </c>
      <c r="C11" t="s">
        <v>61</v>
      </c>
    </row>
    <row r="12" spans="1:3" x14ac:dyDescent="0.2">
      <c r="A12" t="s">
        <v>62</v>
      </c>
      <c r="B12" s="4">
        <v>0.2</v>
      </c>
      <c r="C12" t="s">
        <v>61</v>
      </c>
    </row>
    <row r="13" spans="1:3" x14ac:dyDescent="0.2">
      <c r="A13" t="s">
        <v>63</v>
      </c>
      <c r="B13">
        <v>140</v>
      </c>
      <c r="C13" t="s">
        <v>64</v>
      </c>
    </row>
    <row r="14" spans="1:3" x14ac:dyDescent="0.2">
      <c r="A14" t="s">
        <v>65</v>
      </c>
      <c r="B14">
        <v>15</v>
      </c>
      <c r="C14" t="s">
        <v>66</v>
      </c>
    </row>
    <row r="15" spans="1:3" x14ac:dyDescent="0.2">
      <c r="A15" t="s">
        <v>67</v>
      </c>
      <c r="C15" t="s">
        <v>68</v>
      </c>
    </row>
    <row r="16" spans="1:3" x14ac:dyDescent="0.2">
      <c r="A16" s="2" t="s">
        <v>69</v>
      </c>
      <c r="B16" s="2" t="s">
        <v>70</v>
      </c>
      <c r="C16" s="2" t="s">
        <v>4</v>
      </c>
    </row>
    <row r="17" spans="1:3" x14ac:dyDescent="0.2">
      <c r="A17" t="s">
        <v>14</v>
      </c>
      <c r="B17">
        <v>78</v>
      </c>
      <c r="C17" t="s">
        <v>15</v>
      </c>
    </row>
    <row r="18" spans="1:3" x14ac:dyDescent="0.2">
      <c r="A18" t="s">
        <v>16</v>
      </c>
      <c r="B18">
        <v>20</v>
      </c>
      <c r="C18" t="s">
        <v>15</v>
      </c>
    </row>
    <row r="19" spans="1:3" x14ac:dyDescent="0.2">
      <c r="A19" t="s">
        <v>18</v>
      </c>
      <c r="B19">
        <v>300</v>
      </c>
      <c r="C19" t="s">
        <v>19</v>
      </c>
    </row>
    <row r="20" spans="1:3" x14ac:dyDescent="0.2">
      <c r="A20" t="s">
        <v>20</v>
      </c>
      <c r="B20">
        <v>2300</v>
      </c>
      <c r="C20" t="s">
        <v>19</v>
      </c>
    </row>
    <row r="21" spans="1:3" x14ac:dyDescent="0.2">
      <c r="A21" t="s">
        <v>21</v>
      </c>
      <c r="B21">
        <v>275</v>
      </c>
      <c r="C21" t="s">
        <v>15</v>
      </c>
    </row>
    <row r="22" spans="1:3" x14ac:dyDescent="0.2">
      <c r="A22" t="s">
        <v>22</v>
      </c>
      <c r="B22">
        <v>28</v>
      </c>
      <c r="C22" t="s">
        <v>15</v>
      </c>
    </row>
    <row r="23" spans="1:3" x14ac:dyDescent="0.2">
      <c r="A23" t="s">
        <v>24</v>
      </c>
      <c r="B23">
        <v>50</v>
      </c>
      <c r="C23" t="s">
        <v>15</v>
      </c>
    </row>
    <row r="24" spans="1:3" x14ac:dyDescent="0.2">
      <c r="A24" t="s">
        <v>25</v>
      </c>
      <c r="B24">
        <v>50</v>
      </c>
      <c r="C24" t="s">
        <v>15</v>
      </c>
    </row>
    <row r="25" spans="1:3" x14ac:dyDescent="0.2">
      <c r="A25" t="s">
        <v>26</v>
      </c>
      <c r="B25">
        <v>20</v>
      </c>
      <c r="C25" t="s">
        <v>27</v>
      </c>
    </row>
    <row r="26" spans="1:3" x14ac:dyDescent="0.2">
      <c r="A26" t="s">
        <v>28</v>
      </c>
      <c r="B26">
        <v>1300</v>
      </c>
      <c r="C26" t="s">
        <v>19</v>
      </c>
    </row>
    <row r="27" spans="1:3" x14ac:dyDescent="0.2">
      <c r="A27" t="s">
        <v>29</v>
      </c>
      <c r="B27">
        <v>18</v>
      </c>
      <c r="C27" t="s">
        <v>19</v>
      </c>
    </row>
    <row r="28" spans="1:3" x14ac:dyDescent="0.2">
      <c r="A28" t="s">
        <v>30</v>
      </c>
      <c r="B28">
        <v>4700</v>
      </c>
      <c r="C28" t="s">
        <v>19</v>
      </c>
    </row>
    <row r="30" spans="1:3" x14ac:dyDescent="0.2">
      <c r="A30" t="s">
        <v>71</v>
      </c>
      <c r="B30" s="15">
        <f>'Pilot Batch Record'!B9*B5</f>
        <v>105840</v>
      </c>
      <c r="C30" t="s">
        <v>72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3"/>
  <sheetViews>
    <sheetView workbookViewId="0"/>
  </sheetViews>
  <sheetFormatPr baseColWidth="10" defaultColWidth="8.83203125" defaultRowHeight="15" x14ac:dyDescent="0.2"/>
  <cols>
    <col min="1" max="1" width="44" customWidth="1"/>
    <col min="2" max="2" width="12" customWidth="1"/>
    <col min="3" max="3" width="52" customWidth="1"/>
  </cols>
  <sheetData>
    <row r="1" spans="1:3" ht="17" customHeight="1" x14ac:dyDescent="0.2">
      <c r="A1" s="1" t="s">
        <v>73</v>
      </c>
    </row>
    <row r="3" spans="1:3" x14ac:dyDescent="0.2">
      <c r="A3" s="2" t="s">
        <v>74</v>
      </c>
      <c r="B3" s="2" t="s">
        <v>75</v>
      </c>
      <c r="C3" s="2" t="s">
        <v>76</v>
      </c>
    </row>
    <row r="4" spans="1:3" x14ac:dyDescent="0.2">
      <c r="A4" t="s">
        <v>50</v>
      </c>
      <c r="B4">
        <v>120</v>
      </c>
      <c r="C4" t="s">
        <v>77</v>
      </c>
    </row>
    <row r="5" spans="1:3" x14ac:dyDescent="0.2">
      <c r="A5" t="s">
        <v>78</v>
      </c>
      <c r="C5" t="s">
        <v>79</v>
      </c>
    </row>
    <row r="6" spans="1:3" x14ac:dyDescent="0.2">
      <c r="A6" t="s">
        <v>80</v>
      </c>
      <c r="B6">
        <v>108.14</v>
      </c>
      <c r="C6" t="s">
        <v>81</v>
      </c>
    </row>
    <row r="7" spans="1:3" x14ac:dyDescent="0.2">
      <c r="A7" t="s">
        <v>82</v>
      </c>
      <c r="B7">
        <v>0.86</v>
      </c>
      <c r="C7" t="s">
        <v>83</v>
      </c>
    </row>
    <row r="8" spans="1:3" x14ac:dyDescent="0.2">
      <c r="A8" t="s">
        <v>52</v>
      </c>
      <c r="B8">
        <v>107.28</v>
      </c>
      <c r="C8" t="s">
        <v>84</v>
      </c>
    </row>
    <row r="9" spans="1:3" x14ac:dyDescent="0.2">
      <c r="A9" t="s">
        <v>85</v>
      </c>
      <c r="B9">
        <v>2520</v>
      </c>
      <c r="C9" t="s">
        <v>86</v>
      </c>
    </row>
    <row r="10" spans="1:3" x14ac:dyDescent="0.2">
      <c r="A10" t="s">
        <v>87</v>
      </c>
      <c r="B10">
        <v>42.1</v>
      </c>
      <c r="C10" t="s">
        <v>88</v>
      </c>
    </row>
    <row r="11" spans="1:3" x14ac:dyDescent="0.2">
      <c r="A11" t="s">
        <v>89</v>
      </c>
      <c r="B11">
        <v>42</v>
      </c>
      <c r="C11" t="s">
        <v>90</v>
      </c>
    </row>
    <row r="12" spans="1:3" x14ac:dyDescent="0.2">
      <c r="A12" t="s">
        <v>91</v>
      </c>
      <c r="B12">
        <v>8.6</v>
      </c>
      <c r="C12" t="s">
        <v>92</v>
      </c>
    </row>
    <row r="13" spans="1:3" x14ac:dyDescent="0.2">
      <c r="A13" t="s">
        <v>93</v>
      </c>
      <c r="B13">
        <v>0.58</v>
      </c>
      <c r="C13" t="s">
        <v>94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0"/>
  <sheetViews>
    <sheetView workbookViewId="0"/>
  </sheetViews>
  <sheetFormatPr baseColWidth="10" defaultColWidth="8.83203125" defaultRowHeight="15" x14ac:dyDescent="0.2"/>
  <cols>
    <col min="1" max="1" width="16" customWidth="1"/>
    <col min="2" max="2" width="26" customWidth="1"/>
    <col min="3" max="3" width="10" customWidth="1"/>
    <col min="4" max="4" width="12" customWidth="1"/>
    <col min="5" max="5" width="24" customWidth="1"/>
    <col min="6" max="6" width="30" customWidth="1"/>
    <col min="7" max="7" width="13" customWidth="1"/>
    <col min="8" max="8" width="12" customWidth="1"/>
    <col min="9" max="9" width="8" customWidth="1"/>
  </cols>
  <sheetData>
    <row r="1" spans="1:9" ht="17" customHeight="1" x14ac:dyDescent="0.2">
      <c r="A1" s="1" t="s">
        <v>95</v>
      </c>
    </row>
    <row r="3" spans="1:9" x14ac:dyDescent="0.2">
      <c r="A3" s="2" t="s">
        <v>96</v>
      </c>
      <c r="B3" s="2" t="s">
        <v>97</v>
      </c>
      <c r="C3" s="2" t="s">
        <v>98</v>
      </c>
      <c r="D3" s="2" t="s">
        <v>99</v>
      </c>
      <c r="E3" s="2" t="s">
        <v>100</v>
      </c>
      <c r="F3" s="2" t="s">
        <v>101</v>
      </c>
      <c r="G3" s="2" t="s">
        <v>102</v>
      </c>
      <c r="H3" s="2" t="s">
        <v>103</v>
      </c>
      <c r="I3" s="2" t="s">
        <v>104</v>
      </c>
    </row>
    <row r="4" spans="1:9" x14ac:dyDescent="0.2">
      <c r="A4" t="s">
        <v>105</v>
      </c>
      <c r="B4" t="s">
        <v>106</v>
      </c>
      <c r="C4" s="9">
        <v>37.8</v>
      </c>
      <c r="D4" s="14">
        <f t="shared" ref="D4:D16" si="0">ROUND(C4/$C$17,5)</f>
        <v>0.315</v>
      </c>
      <c r="E4" t="str">
        <f t="shared" ref="E4:E10" si="1">LOWER(B4)</f>
        <v>whole grain rolled oats</v>
      </c>
      <c r="G4" s="7">
        <f>ROUND(C4/Parameters!$B$7*Parameters!$B$5,4)</f>
        <v>14.7987</v>
      </c>
      <c r="H4" s="7">
        <f>ROUND(C4/Parameters!$B$7*Parameters!$B$4,4)</f>
        <v>14.094</v>
      </c>
      <c r="I4">
        <f t="shared" ref="I4:I16" si="2">RANK(C4,$C$4:$C$16)</f>
        <v>1</v>
      </c>
    </row>
    <row r="5" spans="1:9" x14ac:dyDescent="0.2">
      <c r="A5" t="s">
        <v>107</v>
      </c>
      <c r="B5" t="s">
        <v>108</v>
      </c>
      <c r="C5" s="9">
        <v>17.4</v>
      </c>
      <c r="D5" s="14">
        <f t="shared" si="0"/>
        <v>0.145</v>
      </c>
      <c r="E5" t="str">
        <f t="shared" si="1"/>
        <v>brown rice syrup</v>
      </c>
      <c r="G5" s="7">
        <f>ROUND(C5/Parameters!$B$7*Parameters!$B$5,4)</f>
        <v>6.8121</v>
      </c>
      <c r="H5" s="7">
        <f>ROUND(C5/Parameters!$B$7*Parameters!$B$4,4)</f>
        <v>6.4877</v>
      </c>
      <c r="I5">
        <f t="shared" si="2"/>
        <v>2</v>
      </c>
    </row>
    <row r="6" spans="1:9" x14ac:dyDescent="0.2">
      <c r="A6" t="s">
        <v>109</v>
      </c>
      <c r="B6" t="s">
        <v>110</v>
      </c>
      <c r="C6" s="9">
        <v>12</v>
      </c>
      <c r="D6" s="14">
        <f t="shared" si="0"/>
        <v>0.1</v>
      </c>
      <c r="E6" t="str">
        <f t="shared" si="1"/>
        <v>crisp rice</v>
      </c>
      <c r="F6" t="s">
        <v>111</v>
      </c>
      <c r="G6" s="7">
        <f>ROUND(C6/Parameters!$B$7*Parameters!$B$5,4)</f>
        <v>4.698</v>
      </c>
      <c r="H6" s="7">
        <f>ROUND(C6/Parameters!$B$7*Parameters!$B$4,4)</f>
        <v>4.4743</v>
      </c>
      <c r="I6">
        <f t="shared" si="2"/>
        <v>3</v>
      </c>
    </row>
    <row r="7" spans="1:9" x14ac:dyDescent="0.2">
      <c r="A7" t="s">
        <v>112</v>
      </c>
      <c r="B7" t="s">
        <v>113</v>
      </c>
      <c r="C7" s="9">
        <v>10.2</v>
      </c>
      <c r="D7" s="14">
        <f t="shared" si="0"/>
        <v>0.085</v>
      </c>
      <c r="E7" t="str">
        <f t="shared" si="1"/>
        <v>clover honey</v>
      </c>
      <c r="G7" s="7">
        <f>ROUND(C7/Parameters!$B$7*Parameters!$B$5,4)</f>
        <v>3.9933</v>
      </c>
      <c r="H7" s="7">
        <f>ROUND(C7/Parameters!$B$7*Parameters!$B$4,4)</f>
        <v>3.8031</v>
      </c>
      <c r="I7">
        <f t="shared" si="2"/>
        <v>4</v>
      </c>
    </row>
    <row r="8" spans="1:9" x14ac:dyDescent="0.2">
      <c r="A8" t="s">
        <v>114</v>
      </c>
      <c r="B8" t="s">
        <v>115</v>
      </c>
      <c r="C8" s="9">
        <v>9.6</v>
      </c>
      <c r="D8" s="14">
        <f t="shared" si="0"/>
        <v>0.08</v>
      </c>
      <c r="E8" t="str">
        <f t="shared" si="1"/>
        <v>infused dried cherries</v>
      </c>
      <c r="F8" t="s">
        <v>116</v>
      </c>
      <c r="G8" s="7">
        <f>ROUND(C8/Parameters!$B$7*Parameters!$B$5,4)</f>
        <v>3.7584</v>
      </c>
      <c r="H8" s="7">
        <f>ROUND(C8/Parameters!$B$7*Parameters!$B$4,4)</f>
        <v>3.5794</v>
      </c>
      <c r="I8">
        <f t="shared" si="2"/>
        <v>5</v>
      </c>
    </row>
    <row r="9" spans="1:9" x14ac:dyDescent="0.2">
      <c r="A9" t="s">
        <v>117</v>
      </c>
      <c r="B9" t="s">
        <v>118</v>
      </c>
      <c r="C9" s="9">
        <v>8.4</v>
      </c>
      <c r="D9" s="14">
        <f t="shared" si="0"/>
        <v>0.07</v>
      </c>
      <c r="E9" t="str">
        <f t="shared" si="1"/>
        <v>roasted almond butter</v>
      </c>
      <c r="G9" s="7">
        <f>ROUND(C9/Parameters!$B$7*Parameters!$B$5,4)</f>
        <v>3.2886</v>
      </c>
      <c r="H9" s="7">
        <f>ROUND(C9/Parameters!$B$7*Parameters!$B$4,4)</f>
        <v>3.132</v>
      </c>
      <c r="I9">
        <f t="shared" si="2"/>
        <v>7</v>
      </c>
    </row>
    <row r="10" spans="1:9" x14ac:dyDescent="0.2">
      <c r="A10" t="s">
        <v>119</v>
      </c>
      <c r="B10" t="s">
        <v>120</v>
      </c>
      <c r="C10" s="9">
        <v>7.8</v>
      </c>
      <c r="D10" s="14">
        <f t="shared" si="0"/>
        <v>0.065</v>
      </c>
      <c r="E10" t="str">
        <f t="shared" si="1"/>
        <v>sliced almonds</v>
      </c>
      <c r="G10" s="7">
        <f>ROUND(C10/Parameters!$B$7*Parameters!$B$5,4)</f>
        <v>3.0537</v>
      </c>
      <c r="H10" s="7">
        <f>ROUND(C10/Parameters!$B$7*Parameters!$B$4,4)</f>
        <v>2.9083</v>
      </c>
      <c r="I10">
        <f t="shared" si="2"/>
        <v>8</v>
      </c>
    </row>
    <row r="11" spans="1:9" x14ac:dyDescent="0.2">
      <c r="A11" t="s">
        <v>121</v>
      </c>
      <c r="B11" t="s">
        <v>122</v>
      </c>
      <c r="C11" s="9">
        <v>9.12</v>
      </c>
      <c r="D11" s="14">
        <f t="shared" si="0"/>
        <v>0.076</v>
      </c>
      <c r="E11" t="s">
        <v>123</v>
      </c>
      <c r="G11" s="7">
        <f>ROUND(C11/Parameters!$B$7*Parameters!$B$5,4)</f>
        <v>3.5705</v>
      </c>
      <c r="H11" s="7">
        <f>ROUND(C11/Parameters!$B$7*Parameters!$B$4,4)</f>
        <v>3.4004</v>
      </c>
      <c r="I11">
        <f t="shared" si="2"/>
        <v>6</v>
      </c>
    </row>
    <row r="12" spans="1:9" x14ac:dyDescent="0.2">
      <c r="A12" t="s">
        <v>124</v>
      </c>
      <c r="B12" t="s">
        <v>125</v>
      </c>
      <c r="C12" s="9">
        <v>4</v>
      </c>
      <c r="D12" s="14">
        <f t="shared" si="0"/>
        <v>0.03333</v>
      </c>
      <c r="E12" t="str">
        <f>LOWER(B12)</f>
        <v>high oleic sunflower oil</v>
      </c>
      <c r="G12" s="7">
        <f>ROUND(C12/Parameters!$B$7*Parameters!$B$5,4)</f>
        <v>1.566</v>
      </c>
      <c r="H12" s="7">
        <f>ROUND(C12/Parameters!$B$7*Parameters!$B$4,4)</f>
        <v>1.4914</v>
      </c>
      <c r="I12">
        <f t="shared" si="2"/>
        <v>9</v>
      </c>
    </row>
    <row r="13" spans="1:9" x14ac:dyDescent="0.2">
      <c r="A13" t="s">
        <v>126</v>
      </c>
      <c r="B13" t="s">
        <v>127</v>
      </c>
      <c r="C13" s="9">
        <v>1.56</v>
      </c>
      <c r="D13" s="14">
        <f t="shared" si="0"/>
        <v>0.013</v>
      </c>
      <c r="E13" t="str">
        <f>LOWER(B13)</f>
        <v>vanilla extract</v>
      </c>
      <c r="F13" t="s">
        <v>128</v>
      </c>
      <c r="G13" s="7">
        <f>ROUND(C13/Parameters!$B$7*Parameters!$B$5,4)</f>
        <v>0.6107</v>
      </c>
      <c r="H13" s="7">
        <f>ROUND(C13/Parameters!$B$7*Parameters!$B$4,4)</f>
        <v>0.5817</v>
      </c>
      <c r="I13">
        <f t="shared" si="2"/>
        <v>10</v>
      </c>
    </row>
    <row r="14" spans="1:9" x14ac:dyDescent="0.2">
      <c r="A14" t="s">
        <v>129</v>
      </c>
      <c r="B14" t="s">
        <v>130</v>
      </c>
      <c r="C14" s="9">
        <v>0.84</v>
      </c>
      <c r="D14" s="14">
        <f t="shared" si="0"/>
        <v>0.007</v>
      </c>
      <c r="E14" t="str">
        <f>LOWER(B14)</f>
        <v>ground cinnamon</v>
      </c>
      <c r="G14" s="7">
        <f>ROUND(C14/Parameters!$B$7*Parameters!$B$5,4)</f>
        <v>0.3289</v>
      </c>
      <c r="H14" s="7">
        <f>ROUND(C14/Parameters!$B$7*Parameters!$B$4,4)</f>
        <v>0.3132</v>
      </c>
      <c r="I14">
        <f t="shared" si="2"/>
        <v>11</v>
      </c>
    </row>
    <row r="15" spans="1:9" x14ac:dyDescent="0.2">
      <c r="A15" t="s">
        <v>131</v>
      </c>
      <c r="B15" t="s">
        <v>132</v>
      </c>
      <c r="C15" s="9">
        <v>0.8</v>
      </c>
      <c r="D15" s="14">
        <f t="shared" si="0"/>
        <v>0.00667</v>
      </c>
      <c r="E15" t="str">
        <f>LOWER(B15)</f>
        <v>sea salt</v>
      </c>
      <c r="F15" t="s">
        <v>133</v>
      </c>
      <c r="G15" s="7">
        <f>ROUND(C15/Parameters!$B$7*Parameters!$B$5,4)</f>
        <v>0.3132</v>
      </c>
      <c r="H15" s="7">
        <f>ROUND(C15/Parameters!$B$7*Parameters!$B$4,4)</f>
        <v>0.2983</v>
      </c>
      <c r="I15">
        <f t="shared" si="2"/>
        <v>12</v>
      </c>
    </row>
    <row r="16" spans="1:9" x14ac:dyDescent="0.2">
      <c r="A16" t="s">
        <v>134</v>
      </c>
      <c r="B16" t="s">
        <v>135</v>
      </c>
      <c r="C16" s="9">
        <v>0.48</v>
      </c>
      <c r="D16" s="14">
        <f t="shared" si="0"/>
        <v>0.004</v>
      </c>
      <c r="E16" t="str">
        <f>LOWER(B16)</f>
        <v>soy lecithin</v>
      </c>
      <c r="G16" s="7">
        <f>ROUND(C16/Parameters!$B$7*Parameters!$B$5,4)</f>
        <v>0.1879</v>
      </c>
      <c r="H16" s="7">
        <f>ROUND(C16/Parameters!$B$7*Parameters!$B$4,4)</f>
        <v>0.179</v>
      </c>
      <c r="I16">
        <f t="shared" si="2"/>
        <v>13</v>
      </c>
    </row>
    <row r="17" spans="1:8" x14ac:dyDescent="0.2">
      <c r="A17" s="6" t="s">
        <v>136</v>
      </c>
      <c r="C17" s="9">
        <f>ROUND(SUM(C4:C16),3)</f>
        <v>120</v>
      </c>
      <c r="G17" s="7">
        <f>SUM(G4:G16)</f>
        <v>46.98</v>
      </c>
      <c r="H17" s="7">
        <f>SUM(H4:H16)</f>
        <v>44.7428</v>
      </c>
    </row>
    <row r="19" spans="1:8" x14ac:dyDescent="0.2">
      <c r="A19" t="s">
        <v>137</v>
      </c>
    </row>
    <row r="20" spans="1:8" x14ac:dyDescent="0.2">
      <c r="A20" t="s">
        <v>138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19"/>
  <sheetViews>
    <sheetView workbookViewId="0"/>
  </sheetViews>
  <sheetFormatPr baseColWidth="10" defaultColWidth="8.83203125" defaultRowHeight="15" x14ac:dyDescent="0.2"/>
  <cols>
    <col min="1" max="1" width="16" customWidth="1"/>
    <col min="2" max="2" width="26" customWidth="1"/>
    <col min="3" max="3" width="9" customWidth="1"/>
    <col min="4" max="18" width="11" customWidth="1"/>
    <col min="19" max="19" width="40" customWidth="1"/>
    <col min="21" max="36" width="12" customWidth="1"/>
  </cols>
  <sheetData>
    <row r="1" spans="1:36" ht="17" customHeight="1" x14ac:dyDescent="0.2">
      <c r="A1" s="1" t="s">
        <v>139</v>
      </c>
    </row>
    <row r="3" spans="1:36" x14ac:dyDescent="0.2">
      <c r="A3" s="2" t="s">
        <v>96</v>
      </c>
      <c r="B3" s="2" t="s">
        <v>97</v>
      </c>
      <c r="C3" s="2" t="s">
        <v>140</v>
      </c>
      <c r="D3" s="2" t="s">
        <v>141</v>
      </c>
      <c r="E3" s="2" t="s">
        <v>142</v>
      </c>
      <c r="F3" s="2" t="s">
        <v>143</v>
      </c>
      <c r="G3" s="2" t="s">
        <v>144</v>
      </c>
      <c r="H3" s="2" t="s">
        <v>145</v>
      </c>
      <c r="I3" s="2" t="s">
        <v>146</v>
      </c>
      <c r="J3" s="2" t="s">
        <v>147</v>
      </c>
      <c r="K3" s="2" t="s">
        <v>148</v>
      </c>
      <c r="L3" s="2" t="s">
        <v>149</v>
      </c>
      <c r="M3" s="2" t="s">
        <v>150</v>
      </c>
      <c r="N3" s="2" t="s">
        <v>151</v>
      </c>
      <c r="O3" s="2" t="s">
        <v>152</v>
      </c>
      <c r="P3" s="2" t="s">
        <v>153</v>
      </c>
      <c r="Q3" s="2" t="s">
        <v>154</v>
      </c>
      <c r="R3" s="2" t="s">
        <v>155</v>
      </c>
      <c r="S3" s="2" t="s">
        <v>76</v>
      </c>
      <c r="U3" s="2" t="s">
        <v>156</v>
      </c>
      <c r="V3" s="2" t="s">
        <v>157</v>
      </c>
      <c r="W3" s="2" t="s">
        <v>158</v>
      </c>
      <c r="X3" s="2" t="s">
        <v>159</v>
      </c>
      <c r="Y3" s="2" t="s">
        <v>160</v>
      </c>
      <c r="Z3" s="2" t="s">
        <v>161</v>
      </c>
      <c r="AA3" s="2" t="s">
        <v>162</v>
      </c>
      <c r="AB3" s="2" t="s">
        <v>163</v>
      </c>
      <c r="AC3" s="2" t="s">
        <v>164</v>
      </c>
      <c r="AD3" s="2" t="s">
        <v>165</v>
      </c>
      <c r="AE3" s="2" t="s">
        <v>166</v>
      </c>
      <c r="AF3" s="2" t="s">
        <v>167</v>
      </c>
      <c r="AG3" s="2" t="s">
        <v>168</v>
      </c>
      <c r="AH3" s="2" t="s">
        <v>169</v>
      </c>
      <c r="AI3" s="2" t="s">
        <v>170</v>
      </c>
      <c r="AJ3" s="2" t="s">
        <v>171</v>
      </c>
    </row>
    <row r="4" spans="1:36" x14ac:dyDescent="0.2">
      <c r="A4" t="s">
        <v>105</v>
      </c>
      <c r="B4" t="s">
        <v>106</v>
      </c>
      <c r="C4">
        <v>100</v>
      </c>
      <c r="D4">
        <v>379</v>
      </c>
      <c r="E4">
        <v>6.5</v>
      </c>
      <c r="F4">
        <v>0.7</v>
      </c>
      <c r="G4">
        <v>0</v>
      </c>
      <c r="H4">
        <v>0</v>
      </c>
      <c r="I4">
        <v>6</v>
      </c>
      <c r="J4">
        <v>67.7</v>
      </c>
      <c r="K4">
        <v>12</v>
      </c>
      <c r="L4">
        <v>1</v>
      </c>
      <c r="M4">
        <v>0</v>
      </c>
      <c r="N4">
        <v>13.2</v>
      </c>
      <c r="O4">
        <v>0</v>
      </c>
      <c r="P4">
        <v>45</v>
      </c>
      <c r="Q4">
        <v>4.25</v>
      </c>
      <c r="R4">
        <v>362</v>
      </c>
      <c r="S4" t="s">
        <v>172</v>
      </c>
      <c r="U4" t="str">
        <f t="shared" ref="U4:U16" si="0">A4</f>
        <v>RM-1042</v>
      </c>
      <c r="V4" s="7">
        <f t="shared" ref="V4:V16" si="1">ROUND(D4/$C4*100,4)</f>
        <v>379</v>
      </c>
      <c r="W4" s="7">
        <f t="shared" ref="W4:W16" si="2">ROUND(E4/$C4*100,4)</f>
        <v>6.5</v>
      </c>
      <c r="X4" s="7">
        <f t="shared" ref="X4:X16" si="3">ROUND(F4/$C4*100,4)</f>
        <v>0.7</v>
      </c>
      <c r="Y4" s="7">
        <f t="shared" ref="Y4:Y16" si="4">ROUND(G4/$C4*100,4)</f>
        <v>0</v>
      </c>
      <c r="Z4" s="7">
        <f t="shared" ref="Z4:Z16" si="5">ROUND(H4/$C4*100,4)</f>
        <v>0</v>
      </c>
      <c r="AA4" s="7">
        <f t="shared" ref="AA4:AA16" si="6">ROUND(I4/$C4*100,4)</f>
        <v>6</v>
      </c>
      <c r="AB4" s="7">
        <f t="shared" ref="AB4:AB16" si="7">ROUND(J4/$C4*100,4)</f>
        <v>67.7</v>
      </c>
      <c r="AC4" s="7">
        <f t="shared" ref="AC4:AC16" si="8">ROUND(K4/$C4*100,4)</f>
        <v>12</v>
      </c>
      <c r="AD4" s="7">
        <f t="shared" ref="AD4:AD16" si="9">ROUND(L4/$C4*100,4)</f>
        <v>1</v>
      </c>
      <c r="AE4" s="7">
        <f t="shared" ref="AE4:AE16" si="10">ROUND(M4/$C4*100,4)</f>
        <v>0</v>
      </c>
      <c r="AF4" s="7">
        <f t="shared" ref="AF4:AF16" si="11">ROUND(N4/$C4*100,4)</f>
        <v>13.2</v>
      </c>
      <c r="AG4" s="7">
        <f t="shared" ref="AG4:AG16" si="12">ROUND(O4/$C4*100,4)</f>
        <v>0</v>
      </c>
      <c r="AH4" s="7">
        <f t="shared" ref="AH4:AH16" si="13">ROUND(P4/$C4*100,4)</f>
        <v>45</v>
      </c>
      <c r="AI4" s="7">
        <f t="shared" ref="AI4:AI16" si="14">ROUND(Q4/$C4*100,4)</f>
        <v>4.25</v>
      </c>
      <c r="AJ4" s="7">
        <f t="shared" ref="AJ4:AJ16" si="15">ROUND(R4/$C4*100,4)</f>
        <v>362</v>
      </c>
    </row>
    <row r="5" spans="1:36" x14ac:dyDescent="0.2">
      <c r="A5" t="s">
        <v>107</v>
      </c>
      <c r="B5" t="s">
        <v>108</v>
      </c>
      <c r="C5">
        <v>100</v>
      </c>
      <c r="D5">
        <v>316</v>
      </c>
      <c r="E5">
        <v>0.2</v>
      </c>
      <c r="F5">
        <v>0</v>
      </c>
      <c r="G5">
        <v>0</v>
      </c>
      <c r="H5">
        <v>0</v>
      </c>
      <c r="I5">
        <v>2</v>
      </c>
      <c r="J5">
        <v>78</v>
      </c>
      <c r="K5">
        <v>0</v>
      </c>
      <c r="L5">
        <v>44.6</v>
      </c>
      <c r="M5">
        <v>44.6</v>
      </c>
      <c r="N5">
        <v>0.5</v>
      </c>
      <c r="O5">
        <v>0</v>
      </c>
      <c r="P5">
        <v>12</v>
      </c>
      <c r="Q5">
        <v>0.1</v>
      </c>
      <c r="R5">
        <v>62</v>
      </c>
      <c r="S5" t="s">
        <v>173</v>
      </c>
      <c r="U5" t="str">
        <f t="shared" si="0"/>
        <v>RM-2210</v>
      </c>
      <c r="V5" s="7">
        <f t="shared" si="1"/>
        <v>316</v>
      </c>
      <c r="W5" s="7">
        <f t="shared" si="2"/>
        <v>0.2</v>
      </c>
      <c r="X5" s="7">
        <f t="shared" si="3"/>
        <v>0</v>
      </c>
      <c r="Y5" s="7">
        <f t="shared" si="4"/>
        <v>0</v>
      </c>
      <c r="Z5" s="7">
        <f t="shared" si="5"/>
        <v>0</v>
      </c>
      <c r="AA5" s="7">
        <f t="shared" si="6"/>
        <v>2</v>
      </c>
      <c r="AB5" s="7">
        <f t="shared" si="7"/>
        <v>78</v>
      </c>
      <c r="AC5" s="7">
        <f t="shared" si="8"/>
        <v>0</v>
      </c>
      <c r="AD5" s="7">
        <f t="shared" si="9"/>
        <v>44.6</v>
      </c>
      <c r="AE5" s="7">
        <f t="shared" si="10"/>
        <v>44.6</v>
      </c>
      <c r="AF5" s="7">
        <f t="shared" si="11"/>
        <v>0.5</v>
      </c>
      <c r="AG5" s="7">
        <f t="shared" si="12"/>
        <v>0</v>
      </c>
      <c r="AH5" s="7">
        <f t="shared" si="13"/>
        <v>12</v>
      </c>
      <c r="AI5" s="7">
        <f t="shared" si="14"/>
        <v>0.1</v>
      </c>
      <c r="AJ5" s="7">
        <f t="shared" si="15"/>
        <v>62</v>
      </c>
    </row>
    <row r="6" spans="1:36" x14ac:dyDescent="0.2">
      <c r="A6" t="s">
        <v>109</v>
      </c>
      <c r="B6" t="s">
        <v>110</v>
      </c>
      <c r="C6">
        <v>30</v>
      </c>
      <c r="D6">
        <v>116</v>
      </c>
      <c r="E6">
        <v>0.3</v>
      </c>
      <c r="F6">
        <v>0.1</v>
      </c>
      <c r="G6">
        <v>0</v>
      </c>
      <c r="H6">
        <v>0</v>
      </c>
      <c r="I6">
        <v>96</v>
      </c>
      <c r="J6">
        <v>26.1</v>
      </c>
      <c r="K6">
        <v>0.2</v>
      </c>
      <c r="L6">
        <v>2.6</v>
      </c>
      <c r="M6">
        <v>2.6</v>
      </c>
      <c r="N6">
        <v>2.1</v>
      </c>
      <c r="O6">
        <v>0</v>
      </c>
      <c r="P6">
        <v>3</v>
      </c>
      <c r="Q6">
        <v>0.36</v>
      </c>
      <c r="R6">
        <v>28</v>
      </c>
      <c r="S6" t="s">
        <v>174</v>
      </c>
      <c r="U6" t="str">
        <f t="shared" si="0"/>
        <v>RM-1187</v>
      </c>
      <c r="V6" s="7">
        <f t="shared" si="1"/>
        <v>386.6667</v>
      </c>
      <c r="W6" s="7">
        <f t="shared" si="2"/>
        <v>1</v>
      </c>
      <c r="X6" s="7">
        <f t="shared" si="3"/>
        <v>0.3333</v>
      </c>
      <c r="Y6" s="7">
        <f t="shared" si="4"/>
        <v>0</v>
      </c>
      <c r="Z6" s="7">
        <f t="shared" si="5"/>
        <v>0</v>
      </c>
      <c r="AA6" s="7">
        <f t="shared" si="6"/>
        <v>320</v>
      </c>
      <c r="AB6" s="7">
        <f t="shared" si="7"/>
        <v>87</v>
      </c>
      <c r="AC6" s="7">
        <f t="shared" si="8"/>
        <v>0.6667</v>
      </c>
      <c r="AD6" s="7">
        <f t="shared" si="9"/>
        <v>8.6667</v>
      </c>
      <c r="AE6" s="7">
        <f t="shared" si="10"/>
        <v>8.6667</v>
      </c>
      <c r="AF6" s="7">
        <f t="shared" si="11"/>
        <v>7</v>
      </c>
      <c r="AG6" s="7">
        <f t="shared" si="12"/>
        <v>0</v>
      </c>
      <c r="AH6" s="7">
        <f t="shared" si="13"/>
        <v>10</v>
      </c>
      <c r="AI6" s="7">
        <f t="shared" si="14"/>
        <v>1.2</v>
      </c>
      <c r="AJ6" s="7">
        <f t="shared" si="15"/>
        <v>93.3333</v>
      </c>
    </row>
    <row r="7" spans="1:36" x14ac:dyDescent="0.2">
      <c r="A7" t="s">
        <v>112</v>
      </c>
      <c r="B7" t="s">
        <v>113</v>
      </c>
      <c r="C7">
        <v>100</v>
      </c>
      <c r="D7">
        <v>304</v>
      </c>
      <c r="E7">
        <v>0</v>
      </c>
      <c r="F7">
        <v>0</v>
      </c>
      <c r="G7">
        <v>0</v>
      </c>
      <c r="H7">
        <v>0</v>
      </c>
      <c r="I7">
        <v>4</v>
      </c>
      <c r="J7">
        <v>82.4</v>
      </c>
      <c r="K7">
        <v>0.2</v>
      </c>
      <c r="L7">
        <v>82.1</v>
      </c>
      <c r="M7">
        <v>82.1</v>
      </c>
      <c r="N7">
        <v>0.3</v>
      </c>
      <c r="O7">
        <v>0</v>
      </c>
      <c r="P7">
        <v>6</v>
      </c>
      <c r="Q7">
        <v>0.42</v>
      </c>
      <c r="R7">
        <v>52</v>
      </c>
      <c r="S7" t="s">
        <v>175</v>
      </c>
      <c r="U7" t="str">
        <f t="shared" si="0"/>
        <v>RM-2205</v>
      </c>
      <c r="V7" s="7">
        <f t="shared" si="1"/>
        <v>304</v>
      </c>
      <c r="W7" s="7">
        <f t="shared" si="2"/>
        <v>0</v>
      </c>
      <c r="X7" s="7">
        <f t="shared" si="3"/>
        <v>0</v>
      </c>
      <c r="Y7" s="7">
        <f t="shared" si="4"/>
        <v>0</v>
      </c>
      <c r="Z7" s="7">
        <f t="shared" si="5"/>
        <v>0</v>
      </c>
      <c r="AA7" s="7">
        <f t="shared" si="6"/>
        <v>4</v>
      </c>
      <c r="AB7" s="7">
        <f t="shared" si="7"/>
        <v>82.4</v>
      </c>
      <c r="AC7" s="7">
        <f t="shared" si="8"/>
        <v>0.2</v>
      </c>
      <c r="AD7" s="7">
        <f t="shared" si="9"/>
        <v>82.1</v>
      </c>
      <c r="AE7" s="7">
        <f t="shared" si="10"/>
        <v>82.1</v>
      </c>
      <c r="AF7" s="7">
        <f t="shared" si="11"/>
        <v>0.3</v>
      </c>
      <c r="AG7" s="7">
        <f t="shared" si="12"/>
        <v>0</v>
      </c>
      <c r="AH7" s="7">
        <f t="shared" si="13"/>
        <v>6</v>
      </c>
      <c r="AI7" s="7">
        <f t="shared" si="14"/>
        <v>0.42</v>
      </c>
      <c r="AJ7" s="7">
        <f t="shared" si="15"/>
        <v>52</v>
      </c>
    </row>
    <row r="8" spans="1:36" x14ac:dyDescent="0.2">
      <c r="A8" t="s">
        <v>114</v>
      </c>
      <c r="B8" t="s">
        <v>115</v>
      </c>
      <c r="C8">
        <v>100</v>
      </c>
      <c r="D8">
        <v>333</v>
      </c>
      <c r="E8">
        <v>1</v>
      </c>
      <c r="F8">
        <v>0.1</v>
      </c>
      <c r="G8">
        <v>0</v>
      </c>
      <c r="H8">
        <v>0</v>
      </c>
      <c r="I8">
        <v>12</v>
      </c>
      <c r="J8">
        <v>80</v>
      </c>
      <c r="K8">
        <v>3</v>
      </c>
      <c r="L8">
        <v>60</v>
      </c>
      <c r="M8">
        <v>30</v>
      </c>
      <c r="N8">
        <v>1.5</v>
      </c>
      <c r="O8">
        <v>0</v>
      </c>
      <c r="P8">
        <v>26</v>
      </c>
      <c r="Q8">
        <v>0.9</v>
      </c>
      <c r="R8">
        <v>380</v>
      </c>
      <c r="S8" t="s">
        <v>176</v>
      </c>
      <c r="U8" t="str">
        <f t="shared" si="0"/>
        <v>RM-3301</v>
      </c>
      <c r="V8" s="7">
        <f t="shared" si="1"/>
        <v>333</v>
      </c>
      <c r="W8" s="7">
        <f t="shared" si="2"/>
        <v>1</v>
      </c>
      <c r="X8" s="7">
        <f t="shared" si="3"/>
        <v>0.1</v>
      </c>
      <c r="Y8" s="7">
        <f t="shared" si="4"/>
        <v>0</v>
      </c>
      <c r="Z8" s="7">
        <f t="shared" si="5"/>
        <v>0</v>
      </c>
      <c r="AA8" s="7">
        <f t="shared" si="6"/>
        <v>12</v>
      </c>
      <c r="AB8" s="7">
        <f t="shared" si="7"/>
        <v>80</v>
      </c>
      <c r="AC8" s="7">
        <f t="shared" si="8"/>
        <v>3</v>
      </c>
      <c r="AD8" s="7">
        <f t="shared" si="9"/>
        <v>60</v>
      </c>
      <c r="AE8" s="7">
        <f t="shared" si="10"/>
        <v>30</v>
      </c>
      <c r="AF8" s="7">
        <f t="shared" si="11"/>
        <v>1.5</v>
      </c>
      <c r="AG8" s="7">
        <f t="shared" si="12"/>
        <v>0</v>
      </c>
      <c r="AH8" s="7">
        <f t="shared" si="13"/>
        <v>26</v>
      </c>
      <c r="AI8" s="7">
        <f t="shared" si="14"/>
        <v>0.9</v>
      </c>
      <c r="AJ8" s="7">
        <f t="shared" si="15"/>
        <v>380</v>
      </c>
    </row>
    <row r="9" spans="1:36" x14ac:dyDescent="0.2">
      <c r="A9" t="s">
        <v>117</v>
      </c>
      <c r="B9" t="s">
        <v>118</v>
      </c>
      <c r="C9">
        <v>32</v>
      </c>
      <c r="D9">
        <v>196</v>
      </c>
      <c r="E9">
        <v>17.8</v>
      </c>
      <c r="F9">
        <v>1</v>
      </c>
      <c r="G9">
        <v>0</v>
      </c>
      <c r="H9">
        <v>0</v>
      </c>
      <c r="I9">
        <v>2</v>
      </c>
      <c r="J9">
        <v>6</v>
      </c>
      <c r="K9">
        <v>3.3</v>
      </c>
      <c r="L9">
        <v>1.4</v>
      </c>
      <c r="M9">
        <v>0</v>
      </c>
      <c r="N9">
        <v>6.7</v>
      </c>
      <c r="O9">
        <v>0</v>
      </c>
      <c r="P9">
        <v>65</v>
      </c>
      <c r="Q9">
        <v>1.12</v>
      </c>
      <c r="R9">
        <v>239</v>
      </c>
      <c r="S9" t="s">
        <v>177</v>
      </c>
      <c r="U9" t="str">
        <f t="shared" si="0"/>
        <v>RM-3120</v>
      </c>
      <c r="V9" s="7">
        <f t="shared" si="1"/>
        <v>612.5</v>
      </c>
      <c r="W9" s="7">
        <f t="shared" si="2"/>
        <v>55.625</v>
      </c>
      <c r="X9" s="7">
        <f t="shared" si="3"/>
        <v>3.125</v>
      </c>
      <c r="Y9" s="7">
        <f t="shared" si="4"/>
        <v>0</v>
      </c>
      <c r="Z9" s="7">
        <f t="shared" si="5"/>
        <v>0</v>
      </c>
      <c r="AA9" s="7">
        <f t="shared" si="6"/>
        <v>6.25</v>
      </c>
      <c r="AB9" s="7">
        <f t="shared" si="7"/>
        <v>18.75</v>
      </c>
      <c r="AC9" s="7">
        <f t="shared" si="8"/>
        <v>10.3125</v>
      </c>
      <c r="AD9" s="7">
        <f t="shared" si="9"/>
        <v>4.375</v>
      </c>
      <c r="AE9" s="7">
        <f t="shared" si="10"/>
        <v>0</v>
      </c>
      <c r="AF9" s="7">
        <f t="shared" si="11"/>
        <v>20.9375</v>
      </c>
      <c r="AG9" s="7">
        <f t="shared" si="12"/>
        <v>0</v>
      </c>
      <c r="AH9" s="7">
        <f t="shared" si="13"/>
        <v>203.125</v>
      </c>
      <c r="AI9" s="7">
        <f t="shared" si="14"/>
        <v>3.5</v>
      </c>
      <c r="AJ9" s="7">
        <f t="shared" si="15"/>
        <v>746.875</v>
      </c>
    </row>
    <row r="10" spans="1:36" x14ac:dyDescent="0.2">
      <c r="A10" t="s">
        <v>119</v>
      </c>
      <c r="B10" t="s">
        <v>120</v>
      </c>
      <c r="C10">
        <v>100</v>
      </c>
      <c r="D10">
        <v>579</v>
      </c>
      <c r="E10">
        <v>49.9</v>
      </c>
      <c r="F10">
        <v>3.6</v>
      </c>
      <c r="G10">
        <v>0</v>
      </c>
      <c r="H10">
        <v>0</v>
      </c>
      <c r="I10">
        <v>1</v>
      </c>
      <c r="J10">
        <v>21.6</v>
      </c>
      <c r="K10">
        <v>12.5</v>
      </c>
      <c r="L10">
        <v>4.4</v>
      </c>
      <c r="M10">
        <v>0</v>
      </c>
      <c r="N10">
        <v>21.2</v>
      </c>
      <c r="O10">
        <v>0</v>
      </c>
      <c r="P10">
        <v>200</v>
      </c>
      <c r="Q10">
        <v>3.71</v>
      </c>
      <c r="R10">
        <v>733</v>
      </c>
      <c r="S10" t="s">
        <v>178</v>
      </c>
      <c r="U10" t="str">
        <f t="shared" si="0"/>
        <v>RM-3115</v>
      </c>
      <c r="V10" s="7">
        <f t="shared" si="1"/>
        <v>579</v>
      </c>
      <c r="W10" s="7">
        <f t="shared" si="2"/>
        <v>49.9</v>
      </c>
      <c r="X10" s="7">
        <f t="shared" si="3"/>
        <v>3.6</v>
      </c>
      <c r="Y10" s="7">
        <f t="shared" si="4"/>
        <v>0</v>
      </c>
      <c r="Z10" s="7">
        <f t="shared" si="5"/>
        <v>0</v>
      </c>
      <c r="AA10" s="7">
        <f t="shared" si="6"/>
        <v>1</v>
      </c>
      <c r="AB10" s="7">
        <f t="shared" si="7"/>
        <v>21.6</v>
      </c>
      <c r="AC10" s="7">
        <f t="shared" si="8"/>
        <v>12.5</v>
      </c>
      <c r="AD10" s="7">
        <f t="shared" si="9"/>
        <v>4.4</v>
      </c>
      <c r="AE10" s="7">
        <f t="shared" si="10"/>
        <v>0</v>
      </c>
      <c r="AF10" s="7">
        <f t="shared" si="11"/>
        <v>21.2</v>
      </c>
      <c r="AG10" s="7">
        <f t="shared" si="12"/>
        <v>0</v>
      </c>
      <c r="AH10" s="7">
        <f t="shared" si="13"/>
        <v>200</v>
      </c>
      <c r="AI10" s="7">
        <f t="shared" si="14"/>
        <v>3.71</v>
      </c>
      <c r="AJ10" s="7">
        <f t="shared" si="15"/>
        <v>733</v>
      </c>
    </row>
    <row r="11" spans="1:36" x14ac:dyDescent="0.2">
      <c r="A11" t="s">
        <v>121</v>
      </c>
      <c r="B11" t="s">
        <v>122</v>
      </c>
      <c r="C11">
        <v>100</v>
      </c>
      <c r="D11">
        <v>0</v>
      </c>
      <c r="E11">
        <v>0</v>
      </c>
      <c r="F11">
        <v>0</v>
      </c>
      <c r="G11">
        <v>0</v>
      </c>
      <c r="H11">
        <v>0</v>
      </c>
      <c r="I11">
        <v>0</v>
      </c>
      <c r="J11">
        <v>0</v>
      </c>
      <c r="K11">
        <v>0</v>
      </c>
      <c r="L11">
        <v>0</v>
      </c>
      <c r="M11">
        <v>0</v>
      </c>
      <c r="N11">
        <v>0</v>
      </c>
      <c r="O11">
        <v>0</v>
      </c>
      <c r="P11">
        <v>0</v>
      </c>
      <c r="Q11">
        <v>0</v>
      </c>
      <c r="R11">
        <v>0</v>
      </c>
      <c r="S11" t="s">
        <v>179</v>
      </c>
      <c r="U11" t="str">
        <f t="shared" si="0"/>
        <v>RM-4010</v>
      </c>
      <c r="V11" s="7">
        <f t="shared" si="1"/>
        <v>0</v>
      </c>
      <c r="W11" s="7">
        <f t="shared" si="2"/>
        <v>0</v>
      </c>
      <c r="X11" s="7">
        <f t="shared" si="3"/>
        <v>0</v>
      </c>
      <c r="Y11" s="7">
        <f t="shared" si="4"/>
        <v>0</v>
      </c>
      <c r="Z11" s="7">
        <f t="shared" si="5"/>
        <v>0</v>
      </c>
      <c r="AA11" s="7">
        <f t="shared" si="6"/>
        <v>0</v>
      </c>
      <c r="AB11" s="7">
        <f t="shared" si="7"/>
        <v>0</v>
      </c>
      <c r="AC11" s="7">
        <f t="shared" si="8"/>
        <v>0</v>
      </c>
      <c r="AD11" s="7">
        <f t="shared" si="9"/>
        <v>0</v>
      </c>
      <c r="AE11" s="7">
        <f t="shared" si="10"/>
        <v>0</v>
      </c>
      <c r="AF11" s="7">
        <f t="shared" si="11"/>
        <v>0</v>
      </c>
      <c r="AG11" s="7">
        <f t="shared" si="12"/>
        <v>0</v>
      </c>
      <c r="AH11" s="7">
        <f t="shared" si="13"/>
        <v>0</v>
      </c>
      <c r="AI11" s="7">
        <f t="shared" si="14"/>
        <v>0</v>
      </c>
      <c r="AJ11" s="7">
        <f t="shared" si="15"/>
        <v>0</v>
      </c>
    </row>
    <row r="12" spans="1:36" x14ac:dyDescent="0.2">
      <c r="A12" t="s">
        <v>124</v>
      </c>
      <c r="B12" t="s">
        <v>125</v>
      </c>
      <c r="C12">
        <v>100</v>
      </c>
      <c r="D12">
        <v>884</v>
      </c>
      <c r="E12">
        <v>100</v>
      </c>
      <c r="F12">
        <v>8.5</v>
      </c>
      <c r="G12">
        <v>0</v>
      </c>
      <c r="H12">
        <v>0</v>
      </c>
      <c r="I12">
        <v>0</v>
      </c>
      <c r="J12">
        <v>0</v>
      </c>
      <c r="K12">
        <v>0</v>
      </c>
      <c r="L12">
        <v>0</v>
      </c>
      <c r="M12">
        <v>0</v>
      </c>
      <c r="N12">
        <v>0</v>
      </c>
      <c r="O12">
        <v>0</v>
      </c>
      <c r="P12">
        <v>0</v>
      </c>
      <c r="Q12">
        <v>0</v>
      </c>
      <c r="R12">
        <v>0</v>
      </c>
      <c r="S12" t="s">
        <v>180</v>
      </c>
      <c r="U12" t="str">
        <f t="shared" si="0"/>
        <v>RM-4102</v>
      </c>
      <c r="V12" s="7">
        <f t="shared" si="1"/>
        <v>884</v>
      </c>
      <c r="W12" s="7">
        <f t="shared" si="2"/>
        <v>100</v>
      </c>
      <c r="X12" s="7">
        <f t="shared" si="3"/>
        <v>8.5</v>
      </c>
      <c r="Y12" s="7">
        <f t="shared" si="4"/>
        <v>0</v>
      </c>
      <c r="Z12" s="7">
        <f t="shared" si="5"/>
        <v>0</v>
      </c>
      <c r="AA12" s="7">
        <f t="shared" si="6"/>
        <v>0</v>
      </c>
      <c r="AB12" s="7">
        <f t="shared" si="7"/>
        <v>0</v>
      </c>
      <c r="AC12" s="7">
        <f t="shared" si="8"/>
        <v>0</v>
      </c>
      <c r="AD12" s="7">
        <f t="shared" si="9"/>
        <v>0</v>
      </c>
      <c r="AE12" s="7">
        <f t="shared" si="10"/>
        <v>0</v>
      </c>
      <c r="AF12" s="7">
        <f t="shared" si="11"/>
        <v>0</v>
      </c>
      <c r="AG12" s="7">
        <f t="shared" si="12"/>
        <v>0</v>
      </c>
      <c r="AH12" s="7">
        <f t="shared" si="13"/>
        <v>0</v>
      </c>
      <c r="AI12" s="7">
        <f t="shared" si="14"/>
        <v>0</v>
      </c>
      <c r="AJ12" s="7">
        <f t="shared" si="15"/>
        <v>0</v>
      </c>
    </row>
    <row r="13" spans="1:36" x14ac:dyDescent="0.2">
      <c r="A13" t="s">
        <v>126</v>
      </c>
      <c r="B13" t="s">
        <v>127</v>
      </c>
      <c r="C13">
        <v>100</v>
      </c>
      <c r="D13">
        <v>288</v>
      </c>
      <c r="E13">
        <v>0.1</v>
      </c>
      <c r="F13">
        <v>0</v>
      </c>
      <c r="G13">
        <v>0</v>
      </c>
      <c r="H13">
        <v>0</v>
      </c>
      <c r="I13">
        <v>9</v>
      </c>
      <c r="J13">
        <v>12.7</v>
      </c>
      <c r="K13">
        <v>0</v>
      </c>
      <c r="L13">
        <v>12.7</v>
      </c>
      <c r="M13">
        <v>12.7</v>
      </c>
      <c r="N13">
        <v>0.1</v>
      </c>
      <c r="O13">
        <v>0</v>
      </c>
      <c r="P13">
        <v>11</v>
      </c>
      <c r="Q13">
        <v>0.12</v>
      </c>
      <c r="R13">
        <v>148</v>
      </c>
      <c r="S13" t="s">
        <v>181</v>
      </c>
      <c r="U13" t="str">
        <f t="shared" si="0"/>
        <v>RM-5020</v>
      </c>
      <c r="V13" s="7">
        <f t="shared" si="1"/>
        <v>288</v>
      </c>
      <c r="W13" s="7">
        <f t="shared" si="2"/>
        <v>0.1</v>
      </c>
      <c r="X13" s="7">
        <f t="shared" si="3"/>
        <v>0</v>
      </c>
      <c r="Y13" s="7">
        <f t="shared" si="4"/>
        <v>0</v>
      </c>
      <c r="Z13" s="7">
        <f t="shared" si="5"/>
        <v>0</v>
      </c>
      <c r="AA13" s="7">
        <f t="shared" si="6"/>
        <v>9</v>
      </c>
      <c r="AB13" s="7">
        <f t="shared" si="7"/>
        <v>12.7</v>
      </c>
      <c r="AC13" s="7">
        <f t="shared" si="8"/>
        <v>0</v>
      </c>
      <c r="AD13" s="7">
        <f t="shared" si="9"/>
        <v>12.7</v>
      </c>
      <c r="AE13" s="7">
        <f t="shared" si="10"/>
        <v>12.7</v>
      </c>
      <c r="AF13" s="7">
        <f t="shared" si="11"/>
        <v>0.1</v>
      </c>
      <c r="AG13" s="7">
        <f t="shared" si="12"/>
        <v>0</v>
      </c>
      <c r="AH13" s="7">
        <f t="shared" si="13"/>
        <v>11</v>
      </c>
      <c r="AI13" s="7">
        <f t="shared" si="14"/>
        <v>0.12</v>
      </c>
      <c r="AJ13" s="7">
        <f t="shared" si="15"/>
        <v>148</v>
      </c>
    </row>
    <row r="14" spans="1:36" x14ac:dyDescent="0.2">
      <c r="A14" t="s">
        <v>129</v>
      </c>
      <c r="B14" t="s">
        <v>130</v>
      </c>
      <c r="C14">
        <v>100</v>
      </c>
      <c r="D14">
        <v>247</v>
      </c>
      <c r="E14">
        <v>1.2</v>
      </c>
      <c r="F14">
        <v>0.3</v>
      </c>
      <c r="G14">
        <v>0</v>
      </c>
      <c r="H14">
        <v>0</v>
      </c>
      <c r="I14">
        <v>10</v>
      </c>
      <c r="J14">
        <v>80.6</v>
      </c>
      <c r="K14">
        <v>53.1</v>
      </c>
      <c r="L14">
        <v>2.2</v>
      </c>
      <c r="M14">
        <v>0</v>
      </c>
      <c r="N14">
        <v>4</v>
      </c>
      <c r="O14">
        <v>0</v>
      </c>
      <c r="P14">
        <v>1002</v>
      </c>
      <c r="Q14">
        <v>8.32</v>
      </c>
      <c r="R14">
        <v>431</v>
      </c>
      <c r="S14" t="s">
        <v>182</v>
      </c>
      <c r="U14" t="str">
        <f t="shared" si="0"/>
        <v>RM-5031</v>
      </c>
      <c r="V14" s="7">
        <f t="shared" si="1"/>
        <v>247</v>
      </c>
      <c r="W14" s="7">
        <f t="shared" si="2"/>
        <v>1.2</v>
      </c>
      <c r="X14" s="7">
        <f t="shared" si="3"/>
        <v>0.3</v>
      </c>
      <c r="Y14" s="7">
        <f t="shared" si="4"/>
        <v>0</v>
      </c>
      <c r="Z14" s="7">
        <f t="shared" si="5"/>
        <v>0</v>
      </c>
      <c r="AA14" s="7">
        <f t="shared" si="6"/>
        <v>10</v>
      </c>
      <c r="AB14" s="7">
        <f t="shared" si="7"/>
        <v>80.6</v>
      </c>
      <c r="AC14" s="7">
        <f t="shared" si="8"/>
        <v>53.1</v>
      </c>
      <c r="AD14" s="7">
        <f t="shared" si="9"/>
        <v>2.2</v>
      </c>
      <c r="AE14" s="7">
        <f t="shared" si="10"/>
        <v>0</v>
      </c>
      <c r="AF14" s="7">
        <f t="shared" si="11"/>
        <v>4</v>
      </c>
      <c r="AG14" s="7">
        <f t="shared" si="12"/>
        <v>0</v>
      </c>
      <c r="AH14" s="7">
        <f t="shared" si="13"/>
        <v>1002</v>
      </c>
      <c r="AI14" s="7">
        <f t="shared" si="14"/>
        <v>8.32</v>
      </c>
      <c r="AJ14" s="7">
        <f t="shared" si="15"/>
        <v>431</v>
      </c>
    </row>
    <row r="15" spans="1:36" x14ac:dyDescent="0.2">
      <c r="A15" t="s">
        <v>131</v>
      </c>
      <c r="B15" t="s">
        <v>132</v>
      </c>
      <c r="C15">
        <v>100</v>
      </c>
      <c r="D15">
        <v>0</v>
      </c>
      <c r="E15">
        <v>0</v>
      </c>
      <c r="F15">
        <v>0</v>
      </c>
      <c r="G15">
        <v>0</v>
      </c>
      <c r="H15">
        <v>0</v>
      </c>
      <c r="I15">
        <v>38758</v>
      </c>
      <c r="J15">
        <v>0</v>
      </c>
      <c r="K15">
        <v>0</v>
      </c>
      <c r="L15">
        <v>0</v>
      </c>
      <c r="M15">
        <v>0</v>
      </c>
      <c r="N15">
        <v>0</v>
      </c>
      <c r="O15">
        <v>0</v>
      </c>
      <c r="P15">
        <v>24</v>
      </c>
      <c r="Q15">
        <v>0.33</v>
      </c>
      <c r="R15">
        <v>8</v>
      </c>
      <c r="S15" t="s">
        <v>183</v>
      </c>
      <c r="U15" t="str">
        <f t="shared" si="0"/>
        <v>RM-5040</v>
      </c>
      <c r="V15" s="7">
        <f t="shared" si="1"/>
        <v>0</v>
      </c>
      <c r="W15" s="7">
        <f t="shared" si="2"/>
        <v>0</v>
      </c>
      <c r="X15" s="7">
        <f t="shared" si="3"/>
        <v>0</v>
      </c>
      <c r="Y15" s="7">
        <f t="shared" si="4"/>
        <v>0</v>
      </c>
      <c r="Z15" s="7">
        <f t="shared" si="5"/>
        <v>0</v>
      </c>
      <c r="AA15" s="7">
        <f t="shared" si="6"/>
        <v>38758</v>
      </c>
      <c r="AB15" s="7">
        <f t="shared" si="7"/>
        <v>0</v>
      </c>
      <c r="AC15" s="7">
        <f t="shared" si="8"/>
        <v>0</v>
      </c>
      <c r="AD15" s="7">
        <f t="shared" si="9"/>
        <v>0</v>
      </c>
      <c r="AE15" s="7">
        <f t="shared" si="10"/>
        <v>0</v>
      </c>
      <c r="AF15" s="7">
        <f t="shared" si="11"/>
        <v>0</v>
      </c>
      <c r="AG15" s="7">
        <f t="shared" si="12"/>
        <v>0</v>
      </c>
      <c r="AH15" s="7">
        <f t="shared" si="13"/>
        <v>24</v>
      </c>
      <c r="AI15" s="7">
        <f t="shared" si="14"/>
        <v>0.33</v>
      </c>
      <c r="AJ15" s="7">
        <f t="shared" si="15"/>
        <v>8</v>
      </c>
    </row>
    <row r="16" spans="1:36" x14ac:dyDescent="0.2">
      <c r="A16" t="s">
        <v>134</v>
      </c>
      <c r="B16" t="s">
        <v>135</v>
      </c>
      <c r="C16">
        <v>100</v>
      </c>
      <c r="D16">
        <v>763</v>
      </c>
      <c r="E16">
        <v>100</v>
      </c>
      <c r="F16">
        <v>15</v>
      </c>
      <c r="G16">
        <v>0</v>
      </c>
      <c r="H16">
        <v>0</v>
      </c>
      <c r="I16">
        <v>0</v>
      </c>
      <c r="J16">
        <v>0</v>
      </c>
      <c r="K16">
        <v>0</v>
      </c>
      <c r="L16">
        <v>0</v>
      </c>
      <c r="M16">
        <v>0</v>
      </c>
      <c r="N16">
        <v>0</v>
      </c>
      <c r="O16">
        <v>0</v>
      </c>
      <c r="P16">
        <v>0</v>
      </c>
      <c r="Q16">
        <v>0</v>
      </c>
      <c r="R16">
        <v>0</v>
      </c>
      <c r="S16" t="s">
        <v>184</v>
      </c>
      <c r="U16" t="str">
        <f t="shared" si="0"/>
        <v>RM-5055</v>
      </c>
      <c r="V16" s="7">
        <f t="shared" si="1"/>
        <v>763</v>
      </c>
      <c r="W16" s="7">
        <f t="shared" si="2"/>
        <v>100</v>
      </c>
      <c r="X16" s="7">
        <f t="shared" si="3"/>
        <v>15</v>
      </c>
      <c r="Y16" s="7">
        <f t="shared" si="4"/>
        <v>0</v>
      </c>
      <c r="Z16" s="7">
        <f t="shared" si="5"/>
        <v>0</v>
      </c>
      <c r="AA16" s="7">
        <f t="shared" si="6"/>
        <v>0</v>
      </c>
      <c r="AB16" s="7">
        <f t="shared" si="7"/>
        <v>0</v>
      </c>
      <c r="AC16" s="7">
        <f t="shared" si="8"/>
        <v>0</v>
      </c>
      <c r="AD16" s="7">
        <f t="shared" si="9"/>
        <v>0</v>
      </c>
      <c r="AE16" s="7">
        <f t="shared" si="10"/>
        <v>0</v>
      </c>
      <c r="AF16" s="7">
        <f t="shared" si="11"/>
        <v>0</v>
      </c>
      <c r="AG16" s="7">
        <f t="shared" si="12"/>
        <v>0</v>
      </c>
      <c r="AH16" s="7">
        <f t="shared" si="13"/>
        <v>0</v>
      </c>
      <c r="AI16" s="7">
        <f t="shared" si="14"/>
        <v>0</v>
      </c>
      <c r="AJ16" s="7">
        <f t="shared" si="15"/>
        <v>0</v>
      </c>
    </row>
    <row r="18" spans="1:1" x14ac:dyDescent="0.2">
      <c r="A18" t="s">
        <v>185</v>
      </c>
    </row>
    <row r="19" spans="1:1" x14ac:dyDescent="0.2">
      <c r="A19" t="s">
        <v>186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20"/>
  <sheetViews>
    <sheetView workbookViewId="0"/>
  </sheetViews>
  <sheetFormatPr baseColWidth="10" defaultColWidth="8.83203125" defaultRowHeight="15" x14ac:dyDescent="0.2"/>
  <cols>
    <col min="1" max="1" width="16" customWidth="1"/>
    <col min="2" max="2" width="26" customWidth="1"/>
    <col min="3" max="3" width="13" customWidth="1"/>
    <col min="4" max="18" width="12" customWidth="1"/>
  </cols>
  <sheetData>
    <row r="1" spans="1:18" ht="17" customHeight="1" x14ac:dyDescent="0.2">
      <c r="A1" s="1" t="s">
        <v>187</v>
      </c>
    </row>
    <row r="3" spans="1:18" x14ac:dyDescent="0.2">
      <c r="A3" s="2" t="s">
        <v>96</v>
      </c>
      <c r="B3" s="2" t="s">
        <v>97</v>
      </c>
      <c r="C3" s="2" t="s">
        <v>102</v>
      </c>
      <c r="D3" s="2" t="s">
        <v>141</v>
      </c>
      <c r="E3" s="2" t="s">
        <v>142</v>
      </c>
      <c r="F3" s="2" t="s">
        <v>143</v>
      </c>
      <c r="G3" s="2" t="s">
        <v>144</v>
      </c>
      <c r="H3" s="2" t="s">
        <v>145</v>
      </c>
      <c r="I3" s="2" t="s">
        <v>146</v>
      </c>
      <c r="J3" s="2" t="s">
        <v>147</v>
      </c>
      <c r="K3" s="2" t="s">
        <v>148</v>
      </c>
      <c r="L3" s="2" t="s">
        <v>149</v>
      </c>
      <c r="M3" s="2" t="s">
        <v>150</v>
      </c>
      <c r="N3" s="2" t="s">
        <v>151</v>
      </c>
      <c r="O3" s="2" t="s">
        <v>152</v>
      </c>
      <c r="P3" s="2" t="s">
        <v>153</v>
      </c>
      <c r="Q3" s="2" t="s">
        <v>154</v>
      </c>
      <c r="R3" s="2" t="s">
        <v>155</v>
      </c>
    </row>
    <row r="4" spans="1:18" x14ac:dyDescent="0.2">
      <c r="A4" t="str">
        <f>Formula!A4</f>
        <v>RM-1042</v>
      </c>
      <c r="B4" t="str">
        <f>Formula!B4</f>
        <v>Whole grain rolled oats</v>
      </c>
      <c r="C4" s="7">
        <f>Formula!G4</f>
        <v>14.7987</v>
      </c>
      <c r="D4" s="7">
        <f>ROUND($C4/100*Specs!V4,4)</f>
        <v>56.0871</v>
      </c>
      <c r="E4" s="7">
        <f>ROUND($C4/100*Specs!W4,4)</f>
        <v>0.9619</v>
      </c>
      <c r="F4" s="7">
        <f>ROUND($C4/100*Specs!X4,4)</f>
        <v>0.1036</v>
      </c>
      <c r="G4" s="7">
        <f>ROUND($C4/100*Specs!Y4,4)</f>
        <v>0</v>
      </c>
      <c r="H4" s="7">
        <f>ROUND($C4/100*Specs!Z4,4)</f>
        <v>0</v>
      </c>
      <c r="I4" s="7">
        <f>ROUND($C4/100*Specs!AA4,4)</f>
        <v>0.8879</v>
      </c>
      <c r="J4" s="7">
        <f>ROUND($C4/100*Specs!AB4,4)</f>
        <v>10.0187</v>
      </c>
      <c r="K4" s="7">
        <f>ROUND($C4/100*Specs!AC4,4)</f>
        <v>1.7758</v>
      </c>
      <c r="L4" s="7">
        <f>ROUND($C4/100*Specs!AD4,4)</f>
        <v>0.148</v>
      </c>
      <c r="M4" s="7">
        <f>ROUND($C4/100*Specs!AE4,4)</f>
        <v>0</v>
      </c>
      <c r="N4" s="7">
        <f>ROUND($C4/100*Specs!AF4,4)</f>
        <v>1.9534</v>
      </c>
      <c r="O4" s="7">
        <f>ROUND($C4/100*Specs!AG4,4)</f>
        <v>0</v>
      </c>
      <c r="P4" s="7">
        <f>ROUND($C4/100*Specs!AH4,4)</f>
        <v>6.6594</v>
      </c>
      <c r="Q4" s="7">
        <f>ROUND($C4/100*Specs!AI4,4)</f>
        <v>0.6289</v>
      </c>
      <c r="R4" s="7">
        <f>ROUND($C4/100*Specs!AJ4,4)</f>
        <v>53.5713</v>
      </c>
    </row>
    <row r="5" spans="1:18" x14ac:dyDescent="0.2">
      <c r="A5" t="str">
        <f>Formula!A5</f>
        <v>RM-2210</v>
      </c>
      <c r="B5" t="str">
        <f>Formula!B5</f>
        <v>Brown rice syrup</v>
      </c>
      <c r="C5" s="7">
        <f>Formula!G5</f>
        <v>6.8121</v>
      </c>
      <c r="D5" s="7">
        <f>ROUND($C5/100*Specs!V5,4)</f>
        <v>21.5262</v>
      </c>
      <c r="E5" s="7">
        <f>ROUND($C5/100*Specs!W5,4)</f>
        <v>0.0136</v>
      </c>
      <c r="F5" s="7">
        <f>ROUND($C5/100*Specs!X5,4)</f>
        <v>0</v>
      </c>
      <c r="G5" s="7">
        <f>ROUND($C5/100*Specs!Y5,4)</f>
        <v>0</v>
      </c>
      <c r="H5" s="7">
        <f>ROUND($C5/100*Specs!Z5,4)</f>
        <v>0</v>
      </c>
      <c r="I5" s="7">
        <f>ROUND($C5/100*Specs!AA5,4)</f>
        <v>0.1362</v>
      </c>
      <c r="J5" s="7">
        <f>ROUND($C5/100*Specs!AB5,4)</f>
        <v>5.3134</v>
      </c>
      <c r="K5" s="7">
        <f>ROUND($C5/100*Specs!AC5,4)</f>
        <v>0</v>
      </c>
      <c r="L5" s="7">
        <f>ROUND($C5/100*Specs!AD5,4)</f>
        <v>3.0382</v>
      </c>
      <c r="M5" s="7">
        <f>ROUND($C5/100*Specs!AE5,4)</f>
        <v>3.0382</v>
      </c>
      <c r="N5" s="7">
        <f>ROUND($C5/100*Specs!AF5,4)</f>
        <v>0.0341</v>
      </c>
      <c r="O5" s="7">
        <f>ROUND($C5/100*Specs!AG5,4)</f>
        <v>0</v>
      </c>
      <c r="P5" s="7">
        <f>ROUND($C5/100*Specs!AH5,4)</f>
        <v>0.8175</v>
      </c>
      <c r="Q5" s="7">
        <f>ROUND($C5/100*Specs!AI5,4)</f>
        <v>0.0068</v>
      </c>
      <c r="R5" s="7">
        <f>ROUND($C5/100*Specs!AJ5,4)</f>
        <v>4.2235</v>
      </c>
    </row>
    <row r="6" spans="1:18" x14ac:dyDescent="0.2">
      <c r="A6" t="str">
        <f>Formula!A6</f>
        <v>RM-1187</v>
      </c>
      <c r="B6" t="str">
        <f>Formula!B6</f>
        <v>Crisp rice</v>
      </c>
      <c r="C6" s="7">
        <f>Formula!G6</f>
        <v>4.698</v>
      </c>
      <c r="D6" s="7">
        <f>ROUND($C6/100*Specs!V6,4)</f>
        <v>18.1656</v>
      </c>
      <c r="E6" s="7">
        <f>ROUND($C6/100*Specs!W6,4)</f>
        <v>0.047</v>
      </c>
      <c r="F6" s="7">
        <f>ROUND($C6/100*Specs!X6,4)</f>
        <v>0.0157</v>
      </c>
      <c r="G6" s="7">
        <f>ROUND($C6/100*Specs!Y6,4)</f>
        <v>0</v>
      </c>
      <c r="H6" s="7">
        <f>ROUND($C6/100*Specs!Z6,4)</f>
        <v>0</v>
      </c>
      <c r="I6" s="7">
        <f>ROUND($C6/100*Specs!AA6,4)</f>
        <v>15.0336</v>
      </c>
      <c r="J6" s="7">
        <f>ROUND($C6/100*Specs!AB6,4)</f>
        <v>4.0873</v>
      </c>
      <c r="K6" s="7">
        <f>ROUND($C6/100*Specs!AC6,4)</f>
        <v>0.0313</v>
      </c>
      <c r="L6" s="7">
        <f>ROUND($C6/100*Specs!AD6,4)</f>
        <v>0.4072</v>
      </c>
      <c r="M6" s="7">
        <f>ROUND($C6/100*Specs!AE6,4)</f>
        <v>0.4072</v>
      </c>
      <c r="N6" s="7">
        <f>ROUND($C6/100*Specs!AF6,4)</f>
        <v>0.3289</v>
      </c>
      <c r="O6" s="7">
        <f>ROUND($C6/100*Specs!AG6,4)</f>
        <v>0</v>
      </c>
      <c r="P6" s="7">
        <f>ROUND($C6/100*Specs!AH6,4)</f>
        <v>0.4698</v>
      </c>
      <c r="Q6" s="7">
        <f>ROUND($C6/100*Specs!AI6,4)</f>
        <v>0.0564</v>
      </c>
      <c r="R6" s="7">
        <f>ROUND($C6/100*Specs!AJ6,4)</f>
        <v>4.3848</v>
      </c>
    </row>
    <row r="7" spans="1:18" x14ac:dyDescent="0.2">
      <c r="A7" t="str">
        <f>Formula!A7</f>
        <v>RM-2205</v>
      </c>
      <c r="B7" t="str">
        <f>Formula!B7</f>
        <v>Clover honey</v>
      </c>
      <c r="C7" s="7">
        <f>Formula!G7</f>
        <v>3.9933</v>
      </c>
      <c r="D7" s="7">
        <f>ROUND($C7/100*Specs!V7,4)</f>
        <v>12.1396</v>
      </c>
      <c r="E7" s="7">
        <f>ROUND($C7/100*Specs!W7,4)</f>
        <v>0</v>
      </c>
      <c r="F7" s="7">
        <f>ROUND($C7/100*Specs!X7,4)</f>
        <v>0</v>
      </c>
      <c r="G7" s="7">
        <f>ROUND($C7/100*Specs!Y7,4)</f>
        <v>0</v>
      </c>
      <c r="H7" s="7">
        <f>ROUND($C7/100*Specs!Z7,4)</f>
        <v>0</v>
      </c>
      <c r="I7" s="7">
        <f>ROUND($C7/100*Specs!AA7,4)</f>
        <v>0.1597</v>
      </c>
      <c r="J7" s="7">
        <f>ROUND($C7/100*Specs!AB7,4)</f>
        <v>3.2905</v>
      </c>
      <c r="K7" s="7">
        <f>ROUND($C7/100*Specs!AC7,4)</f>
        <v>0.008</v>
      </c>
      <c r="L7" s="7">
        <f>ROUND($C7/100*Specs!AD7,4)</f>
        <v>3.2785</v>
      </c>
      <c r="M7" s="7">
        <f>ROUND($C7/100*Specs!AE7,4)</f>
        <v>3.2785</v>
      </c>
      <c r="N7" s="7">
        <f>ROUND($C7/100*Specs!AF7,4)</f>
        <v>0.012</v>
      </c>
      <c r="O7" s="7">
        <f>ROUND($C7/100*Specs!AG7,4)</f>
        <v>0</v>
      </c>
      <c r="P7" s="7">
        <f>ROUND($C7/100*Specs!AH7,4)</f>
        <v>0.2396</v>
      </c>
      <c r="Q7" s="7">
        <f>ROUND($C7/100*Specs!AI7,4)</f>
        <v>0.0168</v>
      </c>
      <c r="R7" s="7">
        <f>ROUND($C7/100*Specs!AJ7,4)</f>
        <v>2.0765</v>
      </c>
    </row>
    <row r="8" spans="1:18" x14ac:dyDescent="0.2">
      <c r="A8" t="str">
        <f>Formula!A8</f>
        <v>RM-3301</v>
      </c>
      <c r="B8" t="str">
        <f>Formula!B8</f>
        <v>Infused dried cherries</v>
      </c>
      <c r="C8" s="7">
        <f>Formula!G8</f>
        <v>3.7584</v>
      </c>
      <c r="D8" s="7">
        <f>ROUND($C8/100*Specs!V8,4)</f>
        <v>12.5155</v>
      </c>
      <c r="E8" s="7">
        <f>ROUND($C8/100*Specs!W8,4)</f>
        <v>0.0376</v>
      </c>
      <c r="F8" s="7">
        <f>ROUND($C8/100*Specs!X8,4)</f>
        <v>0.0038</v>
      </c>
      <c r="G8" s="7">
        <f>ROUND($C8/100*Specs!Y8,4)</f>
        <v>0</v>
      </c>
      <c r="H8" s="7">
        <f>ROUND($C8/100*Specs!Z8,4)</f>
        <v>0</v>
      </c>
      <c r="I8" s="7">
        <f>ROUND($C8/100*Specs!AA8,4)</f>
        <v>0.451</v>
      </c>
      <c r="J8" s="7">
        <f>ROUND($C8/100*Specs!AB8,4)</f>
        <v>3.0067</v>
      </c>
      <c r="K8" s="7">
        <f>ROUND($C8/100*Specs!AC8,4)</f>
        <v>0.1128</v>
      </c>
      <c r="L8" s="7">
        <f>ROUND($C8/100*Specs!AD8,4)</f>
        <v>2.255</v>
      </c>
      <c r="M8" s="7">
        <f>ROUND($C8/100*Specs!AE8,4)</f>
        <v>1.1275</v>
      </c>
      <c r="N8" s="7">
        <f>ROUND($C8/100*Specs!AF8,4)</f>
        <v>0.0564</v>
      </c>
      <c r="O8" s="7">
        <f>ROUND($C8/100*Specs!AG8,4)</f>
        <v>0</v>
      </c>
      <c r="P8" s="7">
        <f>ROUND($C8/100*Specs!AH8,4)</f>
        <v>0.9772</v>
      </c>
      <c r="Q8" s="7">
        <f>ROUND($C8/100*Specs!AI8,4)</f>
        <v>0.0338</v>
      </c>
      <c r="R8" s="7">
        <f>ROUND($C8/100*Specs!AJ8,4)</f>
        <v>14.2819</v>
      </c>
    </row>
    <row r="9" spans="1:18" x14ac:dyDescent="0.2">
      <c r="A9" t="str">
        <f>Formula!A9</f>
        <v>RM-3120</v>
      </c>
      <c r="B9" t="str">
        <f>Formula!B9</f>
        <v>Roasted almond butter</v>
      </c>
      <c r="C9" s="7">
        <f>Formula!G9</f>
        <v>3.2886</v>
      </c>
      <c r="D9" s="7">
        <f>ROUND($C9/100*Specs!V9,4)</f>
        <v>20.1427</v>
      </c>
      <c r="E9" s="7">
        <f>ROUND($C9/100*Specs!W9,4)</f>
        <v>1.8293</v>
      </c>
      <c r="F9" s="7">
        <f>ROUND($C9/100*Specs!X9,4)</f>
        <v>0.1028</v>
      </c>
      <c r="G9" s="7">
        <f>ROUND($C9/100*Specs!Y9,4)</f>
        <v>0</v>
      </c>
      <c r="H9" s="7">
        <f>ROUND($C9/100*Specs!Z9,4)</f>
        <v>0</v>
      </c>
      <c r="I9" s="7">
        <f>ROUND($C9/100*Specs!AA9,4)</f>
        <v>0.2055</v>
      </c>
      <c r="J9" s="7">
        <f>ROUND($C9/100*Specs!AB9,4)</f>
        <v>0.6166</v>
      </c>
      <c r="K9" s="7">
        <f>ROUND($C9/100*Specs!AC9,4)</f>
        <v>0.3391</v>
      </c>
      <c r="L9" s="7">
        <f>ROUND($C9/100*Specs!AD9,4)</f>
        <v>0.1439</v>
      </c>
      <c r="M9" s="7">
        <f>ROUND($C9/100*Specs!AE9,4)</f>
        <v>0</v>
      </c>
      <c r="N9" s="7">
        <f>ROUND($C9/100*Specs!AF9,4)</f>
        <v>0.6886</v>
      </c>
      <c r="O9" s="7">
        <f>ROUND($C9/100*Specs!AG9,4)</f>
        <v>0</v>
      </c>
      <c r="P9" s="7">
        <f>ROUND($C9/100*Specs!AH9,4)</f>
        <v>6.68</v>
      </c>
      <c r="Q9" s="7">
        <f>ROUND($C9/100*Specs!AI9,4)</f>
        <v>0.1151</v>
      </c>
      <c r="R9" s="7">
        <f>ROUND($C9/100*Specs!AJ9,4)</f>
        <v>24.5617</v>
      </c>
    </row>
    <row r="10" spans="1:18" x14ac:dyDescent="0.2">
      <c r="A10" t="str">
        <f>Formula!A10</f>
        <v>RM-3115</v>
      </c>
      <c r="B10" t="str">
        <f>Formula!B10</f>
        <v>Sliced almonds</v>
      </c>
      <c r="C10" s="7">
        <f>Formula!G10</f>
        <v>3.0537</v>
      </c>
      <c r="D10" s="7">
        <f>ROUND($C10/100*Specs!V10,4)</f>
        <v>17.6809</v>
      </c>
      <c r="E10" s="7">
        <f>ROUND($C10/100*Specs!W10,4)</f>
        <v>1.5238</v>
      </c>
      <c r="F10" s="7">
        <f>ROUND($C10/100*Specs!X10,4)</f>
        <v>0.1099</v>
      </c>
      <c r="G10" s="7">
        <f>ROUND($C10/100*Specs!Y10,4)</f>
        <v>0</v>
      </c>
      <c r="H10" s="7">
        <f>ROUND($C10/100*Specs!Z10,4)</f>
        <v>0</v>
      </c>
      <c r="I10" s="7">
        <f>ROUND($C10/100*Specs!AA10,4)</f>
        <v>0.0305</v>
      </c>
      <c r="J10" s="7">
        <f>ROUND($C10/100*Specs!AB10,4)</f>
        <v>0.6596</v>
      </c>
      <c r="K10" s="7">
        <f>ROUND($C10/100*Specs!AC10,4)</f>
        <v>0.3817</v>
      </c>
      <c r="L10" s="7">
        <f>ROUND($C10/100*Specs!AD10,4)</f>
        <v>0.1344</v>
      </c>
      <c r="M10" s="7">
        <f>ROUND($C10/100*Specs!AE10,4)</f>
        <v>0</v>
      </c>
      <c r="N10" s="7">
        <f>ROUND($C10/100*Specs!AF10,4)</f>
        <v>0.6474</v>
      </c>
      <c r="O10" s="7">
        <f>ROUND($C10/100*Specs!AG10,4)</f>
        <v>0</v>
      </c>
      <c r="P10" s="7">
        <f>ROUND($C10/100*Specs!AH10,4)</f>
        <v>6.1074</v>
      </c>
      <c r="Q10" s="7">
        <f>ROUND($C10/100*Specs!AI10,4)</f>
        <v>0.1133</v>
      </c>
      <c r="R10" s="7">
        <f>ROUND($C10/100*Specs!AJ10,4)</f>
        <v>22.3836</v>
      </c>
    </row>
    <row r="11" spans="1:18" x14ac:dyDescent="0.2">
      <c r="A11" t="str">
        <f>Formula!A11</f>
        <v>RM-4010</v>
      </c>
      <c r="B11" t="str">
        <f>Formula!B11</f>
        <v>Water</v>
      </c>
      <c r="C11" s="7">
        <f>Formula!G11</f>
        <v>3.5705</v>
      </c>
      <c r="D11" s="7">
        <f>ROUND($C11/100*Specs!V11,4)</f>
        <v>0</v>
      </c>
      <c r="E11" s="7">
        <f>ROUND($C11/100*Specs!W11,4)</f>
        <v>0</v>
      </c>
      <c r="F11" s="7">
        <f>ROUND($C11/100*Specs!X11,4)</f>
        <v>0</v>
      </c>
      <c r="G11" s="7">
        <f>ROUND($C11/100*Specs!Y11,4)</f>
        <v>0</v>
      </c>
      <c r="H11" s="7">
        <f>ROUND($C11/100*Specs!Z11,4)</f>
        <v>0</v>
      </c>
      <c r="I11" s="7">
        <f>ROUND($C11/100*Specs!AA11,4)</f>
        <v>0</v>
      </c>
      <c r="J11" s="7">
        <f>ROUND($C11/100*Specs!AB11,4)</f>
        <v>0</v>
      </c>
      <c r="K11" s="7">
        <f>ROUND($C11/100*Specs!AC11,4)</f>
        <v>0</v>
      </c>
      <c r="L11" s="7">
        <f>ROUND($C11/100*Specs!AD11,4)</f>
        <v>0</v>
      </c>
      <c r="M11" s="7">
        <f>ROUND($C11/100*Specs!AE11,4)</f>
        <v>0</v>
      </c>
      <c r="N11" s="7">
        <f>ROUND($C11/100*Specs!AF11,4)</f>
        <v>0</v>
      </c>
      <c r="O11" s="7">
        <f>ROUND($C11/100*Specs!AG11,4)</f>
        <v>0</v>
      </c>
      <c r="P11" s="7">
        <f>ROUND($C11/100*Specs!AH11,4)</f>
        <v>0</v>
      </c>
      <c r="Q11" s="7">
        <f>ROUND($C11/100*Specs!AI11,4)</f>
        <v>0</v>
      </c>
      <c r="R11" s="7">
        <f>ROUND($C11/100*Specs!AJ11,4)</f>
        <v>0</v>
      </c>
    </row>
    <row r="12" spans="1:18" x14ac:dyDescent="0.2">
      <c r="A12" t="str">
        <f>Formula!A12</f>
        <v>RM-4102</v>
      </c>
      <c r="B12" t="str">
        <f>Formula!B12</f>
        <v>High oleic sunflower oil</v>
      </c>
      <c r="C12" s="7">
        <f>Formula!G12</f>
        <v>1.566</v>
      </c>
      <c r="D12" s="7">
        <f>ROUND($C12/100*Specs!V12,4)</f>
        <v>13.8434</v>
      </c>
      <c r="E12" s="7">
        <f>ROUND($C12/100*Specs!W12,4)</f>
        <v>1.566</v>
      </c>
      <c r="F12" s="7">
        <f>ROUND($C12/100*Specs!X12,4)</f>
        <v>0.1331</v>
      </c>
      <c r="G12" s="7">
        <f>ROUND($C12/100*Specs!Y12,4)</f>
        <v>0</v>
      </c>
      <c r="H12" s="7">
        <f>ROUND($C12/100*Specs!Z12,4)</f>
        <v>0</v>
      </c>
      <c r="I12" s="7">
        <f>ROUND($C12/100*Specs!AA12,4)</f>
        <v>0</v>
      </c>
      <c r="J12" s="7">
        <f>ROUND($C12/100*Specs!AB12,4)</f>
        <v>0</v>
      </c>
      <c r="K12" s="7">
        <f>ROUND($C12/100*Specs!AC12,4)</f>
        <v>0</v>
      </c>
      <c r="L12" s="7">
        <f>ROUND($C12/100*Specs!AD12,4)</f>
        <v>0</v>
      </c>
      <c r="M12" s="7">
        <f>ROUND($C12/100*Specs!AE12,4)</f>
        <v>0</v>
      </c>
      <c r="N12" s="7">
        <f>ROUND($C12/100*Specs!AF12,4)</f>
        <v>0</v>
      </c>
      <c r="O12" s="7">
        <f>ROUND($C12/100*Specs!AG12,4)</f>
        <v>0</v>
      </c>
      <c r="P12" s="7">
        <f>ROUND($C12/100*Specs!AH12,4)</f>
        <v>0</v>
      </c>
      <c r="Q12" s="7">
        <f>ROUND($C12/100*Specs!AI12,4)</f>
        <v>0</v>
      </c>
      <c r="R12" s="7">
        <f>ROUND($C12/100*Specs!AJ12,4)</f>
        <v>0</v>
      </c>
    </row>
    <row r="13" spans="1:18" x14ac:dyDescent="0.2">
      <c r="A13" t="str">
        <f>Formula!A13</f>
        <v>RM-5020</v>
      </c>
      <c r="B13" t="str">
        <f>Formula!B13</f>
        <v>Vanilla extract</v>
      </c>
      <c r="C13" s="7">
        <f>Formula!G13</f>
        <v>0.6107</v>
      </c>
      <c r="D13" s="7">
        <f>ROUND($C13/100*Specs!V13,4)</f>
        <v>1.7588</v>
      </c>
      <c r="E13" s="7">
        <f>ROUND($C13/100*Specs!W13,4)</f>
        <v>0.0006</v>
      </c>
      <c r="F13" s="7">
        <f>ROUND($C13/100*Specs!X13,4)</f>
        <v>0</v>
      </c>
      <c r="G13" s="7">
        <f>ROUND($C13/100*Specs!Y13,4)</f>
        <v>0</v>
      </c>
      <c r="H13" s="7">
        <f>ROUND($C13/100*Specs!Z13,4)</f>
        <v>0</v>
      </c>
      <c r="I13" s="7">
        <f>ROUND($C13/100*Specs!AA13,4)</f>
        <v>0.055</v>
      </c>
      <c r="J13" s="7">
        <f>ROUND($C13/100*Specs!AB13,4)</f>
        <v>0.0776</v>
      </c>
      <c r="K13" s="7">
        <f>ROUND($C13/100*Specs!AC13,4)</f>
        <v>0</v>
      </c>
      <c r="L13" s="7">
        <f>ROUND($C13/100*Specs!AD13,4)</f>
        <v>0.0776</v>
      </c>
      <c r="M13" s="7">
        <f>ROUND($C13/100*Specs!AE13,4)</f>
        <v>0.0776</v>
      </c>
      <c r="N13" s="7">
        <f>ROUND($C13/100*Specs!AF13,4)</f>
        <v>0.0006</v>
      </c>
      <c r="O13" s="7">
        <f>ROUND($C13/100*Specs!AG13,4)</f>
        <v>0</v>
      </c>
      <c r="P13" s="7">
        <f>ROUND($C13/100*Specs!AH13,4)</f>
        <v>0.0672</v>
      </c>
      <c r="Q13" s="7">
        <f>ROUND($C13/100*Specs!AI13,4)</f>
        <v>0.0007</v>
      </c>
      <c r="R13" s="7">
        <f>ROUND($C13/100*Specs!AJ13,4)</f>
        <v>0.9038</v>
      </c>
    </row>
    <row r="14" spans="1:18" x14ac:dyDescent="0.2">
      <c r="A14" t="str">
        <f>Formula!A14</f>
        <v>RM-5031</v>
      </c>
      <c r="B14" t="str">
        <f>Formula!B14</f>
        <v>Ground cinnamon</v>
      </c>
      <c r="C14" s="7">
        <f>Formula!G14</f>
        <v>0.3289</v>
      </c>
      <c r="D14" s="7">
        <f>ROUND($C14/100*Specs!V14,4)</f>
        <v>0.8124</v>
      </c>
      <c r="E14" s="7">
        <f>ROUND($C14/100*Specs!W14,4)</f>
        <v>0.0039</v>
      </c>
      <c r="F14" s="7">
        <f>ROUND($C14/100*Specs!X14,4)</f>
        <v>1E-3</v>
      </c>
      <c r="G14" s="7">
        <f>ROUND($C14/100*Specs!Y14,4)</f>
        <v>0</v>
      </c>
      <c r="H14" s="7">
        <f>ROUND($C14/100*Specs!Z14,4)</f>
        <v>0</v>
      </c>
      <c r="I14" s="7">
        <f>ROUND($C14/100*Specs!AA14,4)</f>
        <v>0.0329</v>
      </c>
      <c r="J14" s="7">
        <f>ROUND($C14/100*Specs!AB14,4)</f>
        <v>0.2651</v>
      </c>
      <c r="K14" s="7">
        <f>ROUND($C14/100*Specs!AC14,4)</f>
        <v>0.1746</v>
      </c>
      <c r="L14" s="7">
        <f>ROUND($C14/100*Specs!AD14,4)</f>
        <v>0.0072</v>
      </c>
      <c r="M14" s="7">
        <f>ROUND($C14/100*Specs!AE14,4)</f>
        <v>0</v>
      </c>
      <c r="N14" s="7">
        <f>ROUND($C14/100*Specs!AF14,4)</f>
        <v>0.0132</v>
      </c>
      <c r="O14" s="7">
        <f>ROUND($C14/100*Specs!AG14,4)</f>
        <v>0</v>
      </c>
      <c r="P14" s="7">
        <f>ROUND($C14/100*Specs!AH14,4)</f>
        <v>3.2956</v>
      </c>
      <c r="Q14" s="7">
        <f>ROUND($C14/100*Specs!AI14,4)</f>
        <v>0.0274</v>
      </c>
      <c r="R14" s="7">
        <f>ROUND($C14/100*Specs!AJ14,4)</f>
        <v>1.4176</v>
      </c>
    </row>
    <row r="15" spans="1:18" x14ac:dyDescent="0.2">
      <c r="A15" t="str">
        <f>Formula!A15</f>
        <v>RM-5040</v>
      </c>
      <c r="B15" t="str">
        <f>Formula!B15</f>
        <v>Sea salt</v>
      </c>
      <c r="C15" s="7">
        <f>Formula!G15</f>
        <v>0.3132</v>
      </c>
      <c r="D15" s="7">
        <f>ROUND($C15/100*Specs!V15,4)</f>
        <v>0</v>
      </c>
      <c r="E15" s="7">
        <f>ROUND($C15/100*Specs!W15,4)</f>
        <v>0</v>
      </c>
      <c r="F15" s="7">
        <f>ROUND($C15/100*Specs!X15,4)</f>
        <v>0</v>
      </c>
      <c r="G15" s="7">
        <f>ROUND($C15/100*Specs!Y15,4)</f>
        <v>0</v>
      </c>
      <c r="H15" s="7">
        <f>ROUND($C15/100*Specs!Z15,4)</f>
        <v>0</v>
      </c>
      <c r="I15" s="7">
        <f>ROUND($C15/100*Specs!AA15,4)</f>
        <v>121.3901</v>
      </c>
      <c r="J15" s="7">
        <f>ROUND($C15/100*Specs!AB15,4)</f>
        <v>0</v>
      </c>
      <c r="K15" s="7">
        <f>ROUND($C15/100*Specs!AC15,4)</f>
        <v>0</v>
      </c>
      <c r="L15" s="7">
        <f>ROUND($C15/100*Specs!AD15,4)</f>
        <v>0</v>
      </c>
      <c r="M15" s="7">
        <f>ROUND($C15/100*Specs!AE15,4)</f>
        <v>0</v>
      </c>
      <c r="N15" s="7">
        <f>ROUND($C15/100*Specs!AF15,4)</f>
        <v>0</v>
      </c>
      <c r="O15" s="7">
        <f>ROUND($C15/100*Specs!AG15,4)</f>
        <v>0</v>
      </c>
      <c r="P15" s="7">
        <f>ROUND($C15/100*Specs!AH15,4)</f>
        <v>0.0752</v>
      </c>
      <c r="Q15" s="7">
        <f>ROUND($C15/100*Specs!AI15,4)</f>
        <v>1E-3</v>
      </c>
      <c r="R15" s="7">
        <f>ROUND($C15/100*Specs!AJ15,4)</f>
        <v>0.0251</v>
      </c>
    </row>
    <row r="16" spans="1:18" x14ac:dyDescent="0.2">
      <c r="A16" t="str">
        <f>Formula!A16</f>
        <v>RM-5055</v>
      </c>
      <c r="B16" t="str">
        <f>Formula!B16</f>
        <v>Soy lecithin</v>
      </c>
      <c r="C16" s="7">
        <f>Formula!G16</f>
        <v>0.1879</v>
      </c>
      <c r="D16" s="7">
        <f>ROUND($C16/100*Specs!V16,4)</f>
        <v>1.4337</v>
      </c>
      <c r="E16" s="7">
        <f>ROUND($C16/100*Specs!W16,4)</f>
        <v>0.1879</v>
      </c>
      <c r="F16" s="7">
        <f>ROUND($C16/100*Specs!X16,4)</f>
        <v>0.0282</v>
      </c>
      <c r="G16" s="7">
        <f>ROUND($C16/100*Specs!Y16,4)</f>
        <v>0</v>
      </c>
      <c r="H16" s="7">
        <f>ROUND($C16/100*Specs!Z16,4)</f>
        <v>0</v>
      </c>
      <c r="I16" s="7">
        <f>ROUND($C16/100*Specs!AA16,4)</f>
        <v>0</v>
      </c>
      <c r="J16" s="7">
        <f>ROUND($C16/100*Specs!AB16,4)</f>
        <v>0</v>
      </c>
      <c r="K16" s="7">
        <f>ROUND($C16/100*Specs!AC16,4)</f>
        <v>0</v>
      </c>
      <c r="L16" s="7">
        <f>ROUND($C16/100*Specs!AD16,4)</f>
        <v>0</v>
      </c>
      <c r="M16" s="7">
        <f>ROUND($C16/100*Specs!AE16,4)</f>
        <v>0</v>
      </c>
      <c r="N16" s="7">
        <f>ROUND($C16/100*Specs!AF16,4)</f>
        <v>0</v>
      </c>
      <c r="O16" s="7">
        <f>ROUND($C16/100*Specs!AG16,4)</f>
        <v>0</v>
      </c>
      <c r="P16" s="7">
        <f>ROUND($C16/100*Specs!AH16,4)</f>
        <v>0</v>
      </c>
      <c r="Q16" s="7">
        <f>ROUND($C16/100*Specs!AI16,4)</f>
        <v>0</v>
      </c>
      <c r="R16" s="7">
        <f>ROUND($C16/100*Specs!AJ16,4)</f>
        <v>0</v>
      </c>
    </row>
    <row r="17" spans="1:18" x14ac:dyDescent="0.2">
      <c r="A17" s="6" t="s">
        <v>188</v>
      </c>
      <c r="C17" s="7">
        <f>ROUND(SUM(C4:C16),4)</f>
        <v>46.98</v>
      </c>
      <c r="D17" s="7">
        <f t="shared" ref="D17:R17" si="0">SUM(D4:D16)</f>
        <v>176.1059</v>
      </c>
      <c r="E17" s="7">
        <f t="shared" si="0"/>
        <v>6.1716</v>
      </c>
      <c r="F17" s="7">
        <f t="shared" si="0"/>
        <v>0.4981</v>
      </c>
      <c r="G17" s="7">
        <f t="shared" si="0"/>
        <v>0</v>
      </c>
      <c r="H17" s="7">
        <f t="shared" si="0"/>
        <v>0</v>
      </c>
      <c r="I17" s="7">
        <f t="shared" si="0"/>
        <v>138.3824</v>
      </c>
      <c r="J17" s="7">
        <f t="shared" si="0"/>
        <v>27.3355</v>
      </c>
      <c r="K17" s="7">
        <f t="shared" si="0"/>
        <v>2.8233</v>
      </c>
      <c r="L17" s="7">
        <f t="shared" si="0"/>
        <v>9.49</v>
      </c>
      <c r="M17" s="7">
        <f t="shared" si="0"/>
        <v>7.929</v>
      </c>
      <c r="N17" s="7">
        <f t="shared" si="0"/>
        <v>3.7346</v>
      </c>
      <c r="O17" s="7">
        <f t="shared" si="0"/>
        <v>0</v>
      </c>
      <c r="P17" s="7">
        <f t="shared" si="0"/>
        <v>25.3889</v>
      </c>
      <c r="Q17" s="7">
        <f t="shared" si="0"/>
        <v>1.0002</v>
      </c>
      <c r="R17" s="7">
        <f t="shared" si="0"/>
        <v>127.8298</v>
      </c>
    </row>
    <row r="18" spans="1:18" x14ac:dyDescent="0.2">
      <c r="A18" s="6" t="s">
        <v>189</v>
      </c>
      <c r="D18" s="7">
        <f>ROUND(D17*Parameters!$B$4/Parameters!$B$5,4)</f>
        <v>167.7199</v>
      </c>
      <c r="E18" s="7">
        <f>ROUND(E17*Parameters!$B$4/Parameters!$B$5,4)</f>
        <v>5.8777</v>
      </c>
      <c r="F18" s="7">
        <f>ROUND(F17*Parameters!$B$4/Parameters!$B$5,4)</f>
        <v>0.4744</v>
      </c>
      <c r="G18" s="7">
        <f>ROUND(G17*Parameters!$B$4/Parameters!$B$5,4)</f>
        <v>0</v>
      </c>
      <c r="H18" s="7">
        <f>ROUND(H17*Parameters!$B$4/Parameters!$B$5,4)</f>
        <v>0</v>
      </c>
      <c r="I18" s="7">
        <f>ROUND(I17*Parameters!$B$4/Parameters!$B$5,4)</f>
        <v>131.7928</v>
      </c>
      <c r="J18" s="7">
        <f>ROUND(J17*Parameters!$B$4/Parameters!$B$5,4)</f>
        <v>26.0338</v>
      </c>
      <c r="K18" s="7">
        <f>ROUND(K17*Parameters!$B$4/Parameters!$B$5,4)</f>
        <v>2.6889</v>
      </c>
      <c r="L18" s="7">
        <f>ROUND(L17*Parameters!$B$4/Parameters!$B$5,4)</f>
        <v>9.0381</v>
      </c>
      <c r="M18" s="7">
        <f>ROUND(M17*Parameters!$B$4/Parameters!$B$5,4)</f>
        <v>7.5514</v>
      </c>
      <c r="N18" s="7">
        <f>ROUND(N17*Parameters!$B$4/Parameters!$B$5,4)</f>
        <v>3.5568</v>
      </c>
      <c r="O18" s="7">
        <f>ROUND(O17*Parameters!$B$4/Parameters!$B$5,4)</f>
        <v>0</v>
      </c>
      <c r="P18" s="7">
        <f>ROUND(P17*Parameters!$B$4/Parameters!$B$5,4)</f>
        <v>24.1799</v>
      </c>
      <c r="Q18" s="7">
        <f>ROUND(Q17*Parameters!$B$4/Parameters!$B$5,4)</f>
        <v>0.9526</v>
      </c>
      <c r="R18" s="7">
        <f>ROUND(R17*Parameters!$B$4/Parameters!$B$5,4)</f>
        <v>121.7427</v>
      </c>
    </row>
    <row r="20" spans="1:18" x14ac:dyDescent="0.2">
      <c r="A20" t="s">
        <v>190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0"/>
  <sheetViews>
    <sheetView workbookViewId="0"/>
  </sheetViews>
  <sheetFormatPr baseColWidth="10" defaultColWidth="8.83203125" defaultRowHeight="15" x14ac:dyDescent="0.2"/>
  <cols>
    <col min="1" max="1" width="24" customWidth="1"/>
    <col min="2" max="2" width="7" customWidth="1"/>
    <col min="3" max="3" width="18" customWidth="1"/>
    <col min="4" max="4" width="60" customWidth="1"/>
    <col min="5" max="6" width="12" customWidth="1"/>
    <col min="7" max="8" width="16" customWidth="1"/>
  </cols>
  <sheetData>
    <row r="1" spans="1:8" ht="17" customHeight="1" x14ac:dyDescent="0.2">
      <c r="A1" s="1" t="s">
        <v>191</v>
      </c>
    </row>
    <row r="3" spans="1:8" x14ac:dyDescent="0.2">
      <c r="A3" s="2" t="s">
        <v>2</v>
      </c>
      <c r="B3" s="2" t="s">
        <v>4</v>
      </c>
      <c r="C3" s="2" t="s">
        <v>192</v>
      </c>
      <c r="D3" s="2" t="s">
        <v>193</v>
      </c>
      <c r="E3" s="2" t="s">
        <v>3</v>
      </c>
      <c r="F3" s="2" t="s">
        <v>70</v>
      </c>
      <c r="G3" s="2" t="s">
        <v>5</v>
      </c>
      <c r="H3" s="2" t="s">
        <v>194</v>
      </c>
    </row>
    <row r="4" spans="1:8" x14ac:dyDescent="0.2">
      <c r="A4" t="s">
        <v>11</v>
      </c>
      <c r="C4" s="7">
        <f>Nutrients!D17</f>
        <v>176.1059</v>
      </c>
      <c r="D4" t="s">
        <v>195</v>
      </c>
      <c r="E4" s="3">
        <f>IF(C4&lt;5,0,IF(C4&lt;=50,ROUND(C4/5,0)*5,ROUND(C4/10,0)*10))</f>
        <v>180</v>
      </c>
    </row>
    <row r="5" spans="1:8" x14ac:dyDescent="0.2">
      <c r="A5" t="s">
        <v>14</v>
      </c>
      <c r="B5" t="s">
        <v>15</v>
      </c>
      <c r="C5" s="7">
        <f>Nutrients!E17</f>
        <v>6.1716</v>
      </c>
      <c r="D5" t="s">
        <v>196</v>
      </c>
      <c r="E5" s="3">
        <f>IF(C5&lt;0.5,0,IF(C5&lt;5,ROUND(C5/0.5,0)*0.5,ROUND(C5,0)))</f>
        <v>6</v>
      </c>
      <c r="F5">
        <f>Parameters!B17</f>
        <v>78</v>
      </c>
      <c r="G5" s="4">
        <f>IF(ISNUMBER(E5),ROUND(E5/F5,2),ROUND(C5/F5,2))</f>
        <v>0.08</v>
      </c>
      <c r="H5" s="10">
        <f>ROUND(C5/F5,3)</f>
        <v>0.079</v>
      </c>
    </row>
    <row r="6" spans="1:8" x14ac:dyDescent="0.2">
      <c r="A6" t="s">
        <v>16</v>
      </c>
      <c r="B6" t="s">
        <v>15</v>
      </c>
      <c r="C6" s="7">
        <f>Nutrients!F17</f>
        <v>0.4981</v>
      </c>
      <c r="D6" t="s">
        <v>196</v>
      </c>
      <c r="E6" s="3">
        <f>IF(C6&lt;0.5,0,IF(C6&lt;5,ROUND(C6/0.5,0)*0.5,ROUND(C6,0)))</f>
        <v>0</v>
      </c>
      <c r="F6">
        <f>Parameters!B18</f>
        <v>20</v>
      </c>
      <c r="G6" s="4">
        <f>IF(ISNUMBER(E6),ROUND(E6/F6,2),ROUND(C6/F6,2))</f>
        <v>0</v>
      </c>
      <c r="H6" s="10">
        <f>ROUND(C6/F6,3)</f>
        <v>0.025</v>
      </c>
    </row>
    <row r="7" spans="1:8" x14ac:dyDescent="0.2">
      <c r="A7" t="s">
        <v>17</v>
      </c>
      <c r="B7" t="s">
        <v>15</v>
      </c>
      <c r="C7" s="7">
        <f>Nutrients!G17</f>
        <v>0</v>
      </c>
      <c r="D7" t="s">
        <v>196</v>
      </c>
      <c r="E7" s="3">
        <f>IF(C7&lt;0.5,0,IF(C7&lt;5,ROUND(C7/0.5,0)*0.5,ROUND(C7,0)))</f>
        <v>0</v>
      </c>
    </row>
    <row r="8" spans="1:8" x14ac:dyDescent="0.2">
      <c r="A8" t="s">
        <v>18</v>
      </c>
      <c r="B8" t="s">
        <v>19</v>
      </c>
      <c r="C8" s="7">
        <f>Nutrients!H17</f>
        <v>0</v>
      </c>
      <c r="D8" t="s">
        <v>197</v>
      </c>
      <c r="E8" s="3">
        <f>IF(C8&lt;2,0,IF(C8&lt;=5,"less than 5",ROUND(C8/5,0)*5))</f>
        <v>0</v>
      </c>
      <c r="F8">
        <f>Parameters!B19</f>
        <v>300</v>
      </c>
      <c r="G8" s="4">
        <f>IF(ISNUMBER(E8),ROUND(E8/F8,2),ROUND(C8/F8,2))</f>
        <v>0</v>
      </c>
      <c r="H8" s="10">
        <f>ROUND(C8/F8,3)</f>
        <v>0</v>
      </c>
    </row>
    <row r="9" spans="1:8" x14ac:dyDescent="0.2">
      <c r="A9" t="s">
        <v>20</v>
      </c>
      <c r="B9" t="s">
        <v>19</v>
      </c>
      <c r="C9" s="7">
        <f>Nutrients!I17</f>
        <v>138.3824</v>
      </c>
      <c r="D9" t="s">
        <v>198</v>
      </c>
      <c r="E9" s="3">
        <f>IF(C9&lt;5,0,IF(C9&lt;=140,ROUND(C9/5,0)*5,ROUND(C9/10,0)*10))</f>
        <v>140</v>
      </c>
      <c r="F9">
        <f>Parameters!B20</f>
        <v>2300</v>
      </c>
      <c r="G9" s="4">
        <f>IF(ISNUMBER(E9),ROUND(E9/F9,2),ROUND(C9/F9,2))</f>
        <v>0.06</v>
      </c>
      <c r="H9" s="10">
        <f>ROUND(C9/F9,3)</f>
        <v>0.06</v>
      </c>
    </row>
    <row r="10" spans="1:8" x14ac:dyDescent="0.2">
      <c r="A10" t="s">
        <v>21</v>
      </c>
      <c r="B10" t="s">
        <v>15</v>
      </c>
      <c r="C10" s="7">
        <f>Nutrients!J17</f>
        <v>27.3355</v>
      </c>
      <c r="D10" t="s">
        <v>199</v>
      </c>
      <c r="E10" s="3">
        <f>IF(C10&lt;0.5,0,IF(C10&lt;1,"less than 1",ROUND(C10,0)))</f>
        <v>27</v>
      </c>
      <c r="F10">
        <f>Parameters!B21</f>
        <v>275</v>
      </c>
      <c r="G10" s="4">
        <f>IF(ISNUMBER(E10),ROUND(E10/F10,2),ROUND(C10/F10,2))</f>
        <v>0.1</v>
      </c>
      <c r="H10" s="10">
        <f>ROUND(C10/F10,3)</f>
        <v>0.099</v>
      </c>
    </row>
    <row r="11" spans="1:8" x14ac:dyDescent="0.2">
      <c r="A11" t="s">
        <v>22</v>
      </c>
      <c r="B11" t="s">
        <v>15</v>
      </c>
      <c r="C11" s="7">
        <f>Nutrients!K17</f>
        <v>2.8233</v>
      </c>
      <c r="D11" t="s">
        <v>199</v>
      </c>
      <c r="E11" s="3">
        <f>IF(C11&lt;0.5,0,IF(C11&lt;1,"less than 1",ROUND(C11,0)))</f>
        <v>3</v>
      </c>
      <c r="F11">
        <f>Parameters!B22</f>
        <v>28</v>
      </c>
      <c r="G11" s="4">
        <f>IF(ISNUMBER(E11),ROUND(E11/F11,2),ROUND(C11/F11,2))</f>
        <v>0.11</v>
      </c>
      <c r="H11" s="10">
        <f>ROUND(C11/F11,3)</f>
        <v>0.101</v>
      </c>
    </row>
    <row r="12" spans="1:8" x14ac:dyDescent="0.2">
      <c r="A12" t="s">
        <v>23</v>
      </c>
      <c r="B12" t="s">
        <v>15</v>
      </c>
      <c r="C12" s="7">
        <f>Nutrients!L17</f>
        <v>9.49</v>
      </c>
      <c r="D12" t="s">
        <v>199</v>
      </c>
      <c r="E12" s="3">
        <f>IF(C12&lt;0.5,0,IF(C12&lt;1,"less than 1",ROUND(C12,0)))</f>
        <v>9</v>
      </c>
    </row>
    <row r="13" spans="1:8" x14ac:dyDescent="0.2">
      <c r="A13" t="s">
        <v>24</v>
      </c>
      <c r="B13" t="s">
        <v>15</v>
      </c>
      <c r="C13" s="7">
        <f>Nutrients!M17</f>
        <v>7.929</v>
      </c>
      <c r="D13" t="s">
        <v>199</v>
      </c>
      <c r="E13" s="3">
        <f>IF(C13&lt;0.5,0,IF(C13&lt;1,"less than 1",ROUND(C13,0)))</f>
        <v>8</v>
      </c>
      <c r="F13">
        <f>Parameters!B23</f>
        <v>50</v>
      </c>
      <c r="G13" s="4">
        <f t="shared" ref="G13:G18" si="0">IF(ISNUMBER(E13),ROUND(E13/F13,2),ROUND(C13/F13,2))</f>
        <v>0.16</v>
      </c>
      <c r="H13" s="10">
        <f t="shared" ref="H13:H18" si="1">ROUND(C13/F13,3)</f>
        <v>0.159</v>
      </c>
    </row>
    <row r="14" spans="1:8" x14ac:dyDescent="0.2">
      <c r="A14" t="s">
        <v>25</v>
      </c>
      <c r="B14" t="s">
        <v>15</v>
      </c>
      <c r="C14" s="7">
        <f>Nutrients!N17</f>
        <v>3.7346</v>
      </c>
      <c r="D14" t="s">
        <v>199</v>
      </c>
      <c r="E14" s="3">
        <f>IF(C14&lt;0.5,0,IF(C14&lt;1,"less than 1",ROUND(C14,0)))</f>
        <v>4</v>
      </c>
      <c r="F14">
        <f>Parameters!B24</f>
        <v>50</v>
      </c>
      <c r="G14" s="4">
        <f t="shared" si="0"/>
        <v>0.08</v>
      </c>
      <c r="H14" s="10">
        <f t="shared" si="1"/>
        <v>0.075</v>
      </c>
    </row>
    <row r="15" spans="1:8" x14ac:dyDescent="0.2">
      <c r="A15" t="s">
        <v>26</v>
      </c>
      <c r="B15" t="s">
        <v>27</v>
      </c>
      <c r="C15" s="7">
        <f>Nutrients!O17</f>
        <v>0</v>
      </c>
      <c r="D15" t="s">
        <v>200</v>
      </c>
      <c r="E15" s="3">
        <f>IF(C15/F15&lt;0.02,0,ROUND(C15,1))</f>
        <v>0</v>
      </c>
      <c r="F15">
        <f>Parameters!B25</f>
        <v>20</v>
      </c>
      <c r="G15" s="4">
        <f t="shared" si="0"/>
        <v>0</v>
      </c>
      <c r="H15" s="10">
        <f t="shared" si="1"/>
        <v>0</v>
      </c>
    </row>
    <row r="16" spans="1:8" x14ac:dyDescent="0.2">
      <c r="A16" t="s">
        <v>28</v>
      </c>
      <c r="B16" t="s">
        <v>19</v>
      </c>
      <c r="C16" s="7">
        <f>Nutrients!P17</f>
        <v>25.3889</v>
      </c>
      <c r="D16" t="s">
        <v>201</v>
      </c>
      <c r="E16" s="3">
        <f>IF(C16/F16&lt;0.02,0,ROUND(C16/10,0)*10)</f>
        <v>0</v>
      </c>
      <c r="F16">
        <f>Parameters!B26</f>
        <v>1300</v>
      </c>
      <c r="G16" s="4">
        <f t="shared" si="0"/>
        <v>0</v>
      </c>
      <c r="H16" s="10">
        <f t="shared" si="1"/>
        <v>0.02</v>
      </c>
    </row>
    <row r="17" spans="1:8" x14ac:dyDescent="0.2">
      <c r="A17" t="s">
        <v>29</v>
      </c>
      <c r="B17" t="s">
        <v>19</v>
      </c>
      <c r="C17" s="7">
        <f>Nutrients!Q17</f>
        <v>1.0002</v>
      </c>
      <c r="D17" t="s">
        <v>202</v>
      </c>
      <c r="E17" s="3">
        <f>IF(C17/F17&lt;0.02,0,ROUND(C17,1))</f>
        <v>1</v>
      </c>
      <c r="F17">
        <f>Parameters!B27</f>
        <v>18</v>
      </c>
      <c r="G17" s="4">
        <f t="shared" si="0"/>
        <v>0.06</v>
      </c>
      <c r="H17" s="10">
        <f t="shared" si="1"/>
        <v>0.056</v>
      </c>
    </row>
    <row r="18" spans="1:8" x14ac:dyDescent="0.2">
      <c r="A18" t="s">
        <v>30</v>
      </c>
      <c r="B18" t="s">
        <v>19</v>
      </c>
      <c r="C18" s="7">
        <f>Nutrients!R17</f>
        <v>127.8298</v>
      </c>
      <c r="D18" t="s">
        <v>201</v>
      </c>
      <c r="E18" s="3">
        <f>IF(C18/F18&lt;0.02,0,ROUND(C18/10,0)*10)</f>
        <v>130</v>
      </c>
      <c r="F18">
        <f>Parameters!B28</f>
        <v>4700</v>
      </c>
      <c r="G18" s="4">
        <f t="shared" si="0"/>
        <v>0.03</v>
      </c>
      <c r="H18" s="10">
        <f t="shared" si="1"/>
        <v>0.027</v>
      </c>
    </row>
    <row r="20" spans="1:8" x14ac:dyDescent="0.2">
      <c r="A20" t="s">
        <v>203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1"/>
  <sheetViews>
    <sheetView workbookViewId="0"/>
  </sheetViews>
  <sheetFormatPr baseColWidth="10" defaultColWidth="8.83203125" defaultRowHeight="15" x14ac:dyDescent="0.2"/>
  <cols>
    <col min="1" max="1" width="8" customWidth="1"/>
    <col min="2" max="2" width="26" customWidth="1"/>
    <col min="3" max="3" width="10" customWidth="1"/>
    <col min="4" max="4" width="32" customWidth="1"/>
    <col min="5" max="5" width="44" customWidth="1"/>
    <col min="6" max="6" width="14" customWidth="1"/>
  </cols>
  <sheetData>
    <row r="1" spans="1:6" ht="17" customHeight="1" x14ac:dyDescent="0.2">
      <c r="A1" s="1" t="s">
        <v>204</v>
      </c>
    </row>
    <row r="3" spans="1:6" x14ac:dyDescent="0.2">
      <c r="A3" s="2" t="s">
        <v>104</v>
      </c>
      <c r="B3" s="2" t="s">
        <v>100</v>
      </c>
      <c r="C3" s="2" t="s">
        <v>98</v>
      </c>
      <c r="D3" s="2" t="s">
        <v>101</v>
      </c>
      <c r="E3" s="2" t="s">
        <v>205</v>
      </c>
      <c r="F3" s="2" t="s">
        <v>206</v>
      </c>
    </row>
    <row r="4" spans="1:6" x14ac:dyDescent="0.2">
      <c r="A4">
        <v>1</v>
      </c>
      <c r="B4" t="str">
        <f>Formula!E4</f>
        <v>whole grain rolled oats</v>
      </c>
      <c r="C4" s="9">
        <f>Formula!C4</f>
        <v>37.8</v>
      </c>
      <c r="D4" t="str">
        <f>IF(Formula!F4="","",Formula!F4)</f>
        <v/>
      </c>
      <c r="E4" t="str">
        <f t="shared" ref="E4:E15" si="0">IF(D4="",B4,B4&amp;" ("&amp;D4&amp;")")</f>
        <v>whole grain rolled oats</v>
      </c>
    </row>
    <row r="5" spans="1:6" x14ac:dyDescent="0.2">
      <c r="A5">
        <v>2</v>
      </c>
      <c r="B5" t="str">
        <f>Formula!E5</f>
        <v>brown rice syrup</v>
      </c>
      <c r="C5" s="9">
        <f>Formula!C5</f>
        <v>17.4</v>
      </c>
      <c r="D5" t="str">
        <f>IF(Formula!F5="","",Formula!F5)</f>
        <v/>
      </c>
      <c r="E5" t="str">
        <f t="shared" si="0"/>
        <v>brown rice syrup</v>
      </c>
    </row>
    <row r="6" spans="1:6" x14ac:dyDescent="0.2">
      <c r="A6">
        <v>3</v>
      </c>
      <c r="B6" t="str">
        <f>Formula!E6</f>
        <v>crisp rice</v>
      </c>
      <c r="C6" s="9">
        <f>Formula!C6</f>
        <v>12</v>
      </c>
      <c r="D6" t="str">
        <f>IF(Formula!F6="","",Formula!F6)</f>
        <v>rice, sugar, barley malt extract, salt</v>
      </c>
      <c r="E6" t="str">
        <f t="shared" si="0"/>
        <v>crisp rice (rice, sugar, barley malt extract, salt)</v>
      </c>
    </row>
    <row r="7" spans="1:6" x14ac:dyDescent="0.2">
      <c r="A7">
        <v>4</v>
      </c>
      <c r="B7" t="str">
        <f>Formula!E7</f>
        <v>clover honey</v>
      </c>
      <c r="C7" s="9">
        <f>Formula!C7</f>
        <v>10.2</v>
      </c>
      <c r="D7" t="str">
        <f>IF(Formula!F7="","",Formula!F7)</f>
        <v/>
      </c>
      <c r="E7" t="str">
        <f t="shared" si="0"/>
        <v>clover honey</v>
      </c>
    </row>
    <row r="8" spans="1:6" x14ac:dyDescent="0.2">
      <c r="A8">
        <v>5</v>
      </c>
      <c r="B8" t="str">
        <f>Formula!E8</f>
        <v>infused dried cherries</v>
      </c>
      <c r="C8" s="9">
        <f>Formula!C8</f>
        <v>9.6</v>
      </c>
      <c r="D8" t="str">
        <f>IF(Formula!F8="","",Formula!F8)</f>
        <v>tart cherries, sugar, sunflower oil</v>
      </c>
      <c r="E8" t="str">
        <f t="shared" si="0"/>
        <v>infused dried cherries (tart cherries, sugar, sunflower oil)</v>
      </c>
    </row>
    <row r="9" spans="1:6" x14ac:dyDescent="0.2">
      <c r="A9">
        <v>6</v>
      </c>
      <c r="B9" t="str">
        <f>Formula!E9</f>
        <v>roasted almond butter</v>
      </c>
      <c r="C9" s="9">
        <f>Formula!C9</f>
        <v>8.4</v>
      </c>
      <c r="D9" t="str">
        <f>IF(Formula!F9="","",Formula!F9)</f>
        <v/>
      </c>
      <c r="E9" t="str">
        <f t="shared" si="0"/>
        <v>roasted almond butter</v>
      </c>
      <c r="F9" t="s">
        <v>207</v>
      </c>
    </row>
    <row r="10" spans="1:6" x14ac:dyDescent="0.2">
      <c r="A10">
        <v>7</v>
      </c>
      <c r="B10" t="str">
        <f>Formula!E10</f>
        <v>sliced almonds</v>
      </c>
      <c r="C10" s="9">
        <f>Formula!C10</f>
        <v>7.8</v>
      </c>
      <c r="D10" t="str">
        <f>IF(Formula!F10="","",Formula!F10)</f>
        <v/>
      </c>
      <c r="E10" t="str">
        <f t="shared" si="0"/>
        <v>sliced almonds</v>
      </c>
      <c r="F10" t="s">
        <v>207</v>
      </c>
    </row>
    <row r="11" spans="1:6" x14ac:dyDescent="0.2">
      <c r="A11">
        <v>8</v>
      </c>
      <c r="B11" t="str">
        <f>Formula!E12</f>
        <v>high oleic sunflower oil</v>
      </c>
      <c r="C11" s="9">
        <f>Formula!C12</f>
        <v>4</v>
      </c>
      <c r="D11" t="str">
        <f>IF(Formula!F12="","",Formula!F12)</f>
        <v/>
      </c>
      <c r="E11" t="str">
        <f t="shared" si="0"/>
        <v>high oleic sunflower oil</v>
      </c>
    </row>
    <row r="12" spans="1:6" x14ac:dyDescent="0.2">
      <c r="A12">
        <v>9</v>
      </c>
      <c r="B12" t="str">
        <f>Formula!E13</f>
        <v>vanilla extract</v>
      </c>
      <c r="C12" s="9">
        <f>Formula!C13</f>
        <v>1.56</v>
      </c>
      <c r="D12" t="str">
        <f>IF(Formula!F13="","",Formula!F13)</f>
        <v>vanilla bean extractives in water and alcohol, sugar, natural flavor</v>
      </c>
      <c r="E12" t="str">
        <f t="shared" si="0"/>
        <v>vanilla extract (vanilla bean extractives in water and alcohol, sugar, natural flavor)</v>
      </c>
    </row>
    <row r="13" spans="1:6" x14ac:dyDescent="0.2">
      <c r="A13">
        <v>10</v>
      </c>
      <c r="B13" t="str">
        <f>Formula!E14</f>
        <v>ground cinnamon</v>
      </c>
      <c r="C13" s="9">
        <f>Formula!C14</f>
        <v>0.84</v>
      </c>
      <c r="D13" t="str">
        <f>IF(Formula!F14="","",Formula!F14)</f>
        <v/>
      </c>
      <c r="E13" t="str">
        <f t="shared" si="0"/>
        <v>ground cinnamon</v>
      </c>
    </row>
    <row r="14" spans="1:6" x14ac:dyDescent="0.2">
      <c r="A14">
        <v>11</v>
      </c>
      <c r="B14" t="str">
        <f>Formula!E15</f>
        <v>sea salt</v>
      </c>
      <c r="C14" s="9">
        <f>Formula!C15</f>
        <v>0.8</v>
      </c>
      <c r="D14" t="str">
        <f>IF(Formula!F15="","",Formula!F15)</f>
        <v>sea salt, calcium silicate</v>
      </c>
      <c r="E14" t="str">
        <f t="shared" si="0"/>
        <v>sea salt (sea salt, calcium silicate)</v>
      </c>
    </row>
    <row r="15" spans="1:6" x14ac:dyDescent="0.2">
      <c r="A15">
        <v>12</v>
      </c>
      <c r="B15" t="str">
        <f>Formula!E16</f>
        <v>soy lecithin</v>
      </c>
      <c r="C15" s="9">
        <f>Formula!C16</f>
        <v>0.48</v>
      </c>
      <c r="D15" t="str">
        <f>IF(Formula!F16="","",Formula!F16)</f>
        <v/>
      </c>
      <c r="E15" t="str">
        <f t="shared" si="0"/>
        <v>soy lecithin</v>
      </c>
      <c r="F15" t="s">
        <v>208</v>
      </c>
    </row>
    <row r="17" spans="1:2" x14ac:dyDescent="0.2">
      <c r="A17" s="6" t="s">
        <v>209</v>
      </c>
      <c r="B17" t="str">
        <f>UPPER(LEFT(E4&amp;", "&amp;E5&amp;", "&amp;E6&amp;", "&amp;E7&amp;", "&amp;E8&amp;", "&amp;E9&amp;", "&amp;E10&amp;", "&amp;E11&amp;", "&amp;E12&amp;", "&amp;E13&amp;", "&amp;E14&amp;", "&amp;E15,1))&amp;MID(E4&amp;", "&amp;E5&amp;", "&amp;E6&amp;", "&amp;E7&amp;", "&amp;E8&amp;", "&amp;E9&amp;", "&amp;E10&amp;", "&amp;E11&amp;", "&amp;E12&amp;", "&amp;E13&amp;", "&amp;E14&amp;", "&amp;E15,2,900)&amp;"."</f>
        <v>Whole grain rolled oats, brown rice syrup, crisp rice (rice, sugar, barley malt extract, salt), clover honey, infused dried cherries (tart cherries, sugar, sunflower oil), roasted almond butter, sliced almonds, high oleic sunflower oil, vanilla extract (vanilla bean extractives in water and alcohol, sugar, natural flavor), ground cinnamon, sea salt (sea salt, calcium silicate), soy lecithin.</v>
      </c>
    </row>
    <row r="18" spans="1:2" x14ac:dyDescent="0.2">
      <c r="A18" s="6" t="s">
        <v>210</v>
      </c>
      <c r="B18" t="str">
        <f>"Contains: "&amp;IF(COUNTIF(F4:F15,"almonds")&gt;0,"almonds","")&amp;IF(COUNTIF(F4:F15,"soy")&gt;0,", soy","")&amp;"."</f>
        <v>Contains: almonds, soy.</v>
      </c>
    </row>
    <row r="19" spans="1:2" x14ac:dyDescent="0.2">
      <c r="A19" t="s">
        <v>211</v>
      </c>
      <c r="B19">
        <f>COUNTA(B4:B15)</f>
        <v>12</v>
      </c>
    </row>
    <row r="21" spans="1:2" x14ac:dyDescent="0.2">
      <c r="A21" t="s">
        <v>212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4"/>
  <sheetViews>
    <sheetView workbookViewId="0"/>
  </sheetViews>
  <sheetFormatPr baseColWidth="10" defaultColWidth="8.83203125" defaultRowHeight="15" x14ac:dyDescent="0.2"/>
  <cols>
    <col min="1" max="1" width="28" customWidth="1"/>
    <col min="2" max="2" width="44" customWidth="1"/>
    <col min="3" max="3" width="12" customWidth="1"/>
    <col min="4" max="4" width="18" customWidth="1"/>
    <col min="5" max="5" width="14" customWidth="1"/>
    <col min="6" max="6" width="16" customWidth="1"/>
    <col min="7" max="7" width="70" customWidth="1"/>
  </cols>
  <sheetData>
    <row r="1" spans="1:7" ht="17" customHeight="1" x14ac:dyDescent="0.2">
      <c r="A1" s="1" t="s">
        <v>213</v>
      </c>
    </row>
    <row r="2" spans="1:7" x14ac:dyDescent="0.2">
      <c r="A2" t="s">
        <v>214</v>
      </c>
    </row>
    <row r="3" spans="1:7" x14ac:dyDescent="0.2">
      <c r="A3" s="2" t="s">
        <v>215</v>
      </c>
      <c r="B3" s="2" t="s">
        <v>216</v>
      </c>
      <c r="C3" s="2" t="s">
        <v>217</v>
      </c>
      <c r="D3" s="2" t="s">
        <v>218</v>
      </c>
      <c r="E3" s="2" t="s">
        <v>219</v>
      </c>
      <c r="F3" s="2" t="s">
        <v>220</v>
      </c>
      <c r="G3" s="2" t="s">
        <v>221</v>
      </c>
    </row>
    <row r="4" spans="1:7" x14ac:dyDescent="0.2">
      <c r="A4" t="s">
        <v>222</v>
      </c>
      <c r="B4" t="s">
        <v>223</v>
      </c>
      <c r="C4" s="11">
        <f>Parameters!$B$11*100</f>
        <v>10</v>
      </c>
      <c r="D4" s="11">
        <f>ROUND(Nutrients!K18/Parameters!B22*100,1)</f>
        <v>9.6</v>
      </c>
      <c r="E4" s="11">
        <f>ROUND(Nutrients!K17/Parameters!B22*100,1)</f>
        <v>10.1</v>
      </c>
      <c r="F4" t="str">
        <f>IF(AND(D4&gt;=C4,E4&gt;=C4),"Supported","Not supported")</f>
        <v>Not supported</v>
      </c>
      <c r="G4" t="s">
        <v>224</v>
      </c>
    </row>
    <row r="5" spans="1:7" x14ac:dyDescent="0.2">
      <c r="A5" t="s">
        <v>225</v>
      </c>
      <c r="B5" t="s">
        <v>226</v>
      </c>
      <c r="C5" s="11">
        <f>Parameters!$B$13</f>
        <v>140</v>
      </c>
      <c r="D5" s="11">
        <f>ROUND(Nutrients!I18,1)</f>
        <v>131.8</v>
      </c>
      <c r="E5" s="11">
        <f>ROUND(Nutrients!I17,1)</f>
        <v>138.4</v>
      </c>
      <c r="F5" t="str">
        <f>IF(AND(D5&lt;=C5,E5&lt;=C5),"Supported","Not supported")</f>
        <v>Supported</v>
      </c>
      <c r="G5" t="s">
        <v>227</v>
      </c>
    </row>
    <row r="6" spans="1:7" x14ac:dyDescent="0.2">
      <c r="A6" t="s">
        <v>228</v>
      </c>
      <c r="B6" t="s">
        <v>229</v>
      </c>
      <c r="C6" s="8">
        <f>Parameters!$B$14</f>
        <v>15</v>
      </c>
      <c r="D6" s="8"/>
      <c r="E6" s="8">
        <f>ROUND(Formula!G4,2)</f>
        <v>14.8</v>
      </c>
      <c r="F6" t="str">
        <f>IF(E6&gt;=C6,"Supported","Not supported")</f>
        <v>Not supported</v>
      </c>
      <c r="G6" t="s">
        <v>230</v>
      </c>
    </row>
    <row r="7" spans="1:7" x14ac:dyDescent="0.2">
      <c r="A7" t="s">
        <v>231</v>
      </c>
      <c r="B7" t="s">
        <v>232</v>
      </c>
      <c r="F7" t="str">
        <f>IF(COUNTIF(Formula!B4:B16,"*artificial*")=0,"Supported","Not supported")</f>
        <v>Supported</v>
      </c>
      <c r="G7" t="s">
        <v>233</v>
      </c>
    </row>
    <row r="8" spans="1:7" x14ac:dyDescent="0.2">
      <c r="A8" t="s">
        <v>234</v>
      </c>
      <c r="B8" t="s">
        <v>235</v>
      </c>
      <c r="C8" s="12"/>
      <c r="D8" s="12"/>
      <c r="E8" s="12">
        <f>Rounding!E13</f>
        <v>8</v>
      </c>
      <c r="F8" t="str">
        <f>IF(E8&gt;0,"Not supported","Supported")</f>
        <v>Not supported</v>
      </c>
      <c r="G8" t="s">
        <v>236</v>
      </c>
    </row>
    <row r="9" spans="1:7" x14ac:dyDescent="0.2">
      <c r="A9" t="s">
        <v>237</v>
      </c>
      <c r="B9" t="s">
        <v>238</v>
      </c>
      <c r="C9" s="8"/>
      <c r="D9" s="8"/>
      <c r="E9" s="8">
        <f>ROUND(Formula!G8,2)</f>
        <v>3.76</v>
      </c>
      <c r="F9" t="str">
        <f>IF(E9&gt;0,"Supported","Not supported")</f>
        <v>Supported</v>
      </c>
      <c r="G9" t="s">
        <v>239</v>
      </c>
    </row>
    <row r="11" spans="1:7" x14ac:dyDescent="0.2">
      <c r="A11" t="s">
        <v>240</v>
      </c>
      <c r="B11">
        <f>COUNTIF(F4:F9,"Supported")</f>
        <v>3</v>
      </c>
    </row>
    <row r="12" spans="1:7" x14ac:dyDescent="0.2">
      <c r="A12" t="s">
        <v>36</v>
      </c>
      <c r="B12">
        <f>COUNTIF(F4:F9,"Not supported")</f>
        <v>3</v>
      </c>
    </row>
    <row r="14" spans="1:7" x14ac:dyDescent="0.2">
      <c r="A14" t="s">
        <v>241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7"/>
  <sheetViews>
    <sheetView workbookViewId="0"/>
  </sheetViews>
  <sheetFormatPr baseColWidth="10" defaultColWidth="8.83203125" defaultRowHeight="15" x14ac:dyDescent="0.2"/>
  <cols>
    <col min="1" max="1" width="44" customWidth="1"/>
    <col min="2" max="2" width="30" customWidth="1"/>
    <col min="3" max="3" width="22" customWidth="1"/>
    <col min="4" max="4" width="16" customWidth="1"/>
    <col min="5" max="5" width="26" customWidth="1"/>
    <col min="6" max="6" width="40" customWidth="1"/>
  </cols>
  <sheetData>
    <row r="1" spans="1:6" ht="17" customHeight="1" x14ac:dyDescent="0.2">
      <c r="A1" s="1" t="s">
        <v>242</v>
      </c>
    </row>
    <row r="3" spans="1:6" x14ac:dyDescent="0.2">
      <c r="A3" s="6" t="s">
        <v>243</v>
      </c>
      <c r="B3" s="6" t="s">
        <v>244</v>
      </c>
      <c r="C3" s="6" t="s">
        <v>245</v>
      </c>
      <c r="D3" s="6" t="s">
        <v>246</v>
      </c>
      <c r="E3" s="6" t="s">
        <v>247</v>
      </c>
      <c r="F3" s="6" t="s">
        <v>248</v>
      </c>
    </row>
    <row r="4" spans="1:6" x14ac:dyDescent="0.2">
      <c r="A4" t="s">
        <v>249</v>
      </c>
      <c r="B4" t="s">
        <v>250</v>
      </c>
      <c r="C4">
        <v>4200</v>
      </c>
      <c r="D4">
        <v>7</v>
      </c>
      <c r="E4">
        <v>96</v>
      </c>
      <c r="F4" t="s">
        <v>111</v>
      </c>
    </row>
    <row r="5" spans="1:6" x14ac:dyDescent="0.2">
      <c r="A5" t="s">
        <v>251</v>
      </c>
      <c r="B5" t="s">
        <v>252</v>
      </c>
      <c r="C5">
        <v>1800</v>
      </c>
      <c r="D5">
        <v>6</v>
      </c>
      <c r="E5">
        <v>140</v>
      </c>
      <c r="F5" t="s">
        <v>253</v>
      </c>
    </row>
    <row r="6" spans="1:6" x14ac:dyDescent="0.2">
      <c r="A6" t="s">
        <v>254</v>
      </c>
    </row>
    <row r="7" spans="1:6" x14ac:dyDescent="0.2">
      <c r="A7" s="6" t="s">
        <v>255</v>
      </c>
      <c r="B7" s="6" t="s">
        <v>249</v>
      </c>
      <c r="C7" s="6" t="s">
        <v>251</v>
      </c>
    </row>
    <row r="8" spans="1:6" x14ac:dyDescent="0.2">
      <c r="A8" t="s">
        <v>256</v>
      </c>
      <c r="B8">
        <f>Nutrients!I17</f>
        <v>138.3824</v>
      </c>
      <c r="C8">
        <f>ROUND(Nutrients!I17-Nutrients!I6+ROUND(Nutrients!C6/100*ROUND(E5/30*100,4),4),4)</f>
        <v>145.2728</v>
      </c>
    </row>
    <row r="9" spans="1:6" x14ac:dyDescent="0.2">
      <c r="A9" t="s">
        <v>257</v>
      </c>
      <c r="B9">
        <f>Rounding!E9</f>
        <v>140</v>
      </c>
      <c r="C9">
        <f>IF(C8&lt;5,0,IF(C8&lt;=140,ROUND(C8/5,0)*5,ROUND(C8/10,0)*10))</f>
        <v>150</v>
      </c>
    </row>
    <row r="10" spans="1:6" x14ac:dyDescent="0.2">
      <c r="A10" t="s">
        <v>258</v>
      </c>
      <c r="B10" t="str">
        <f>IF(B8&lt;=Parameters!B13,"Supported","Not supported")</f>
        <v>Supported</v>
      </c>
      <c r="C10" t="str">
        <f>IF(C8&lt;=Parameters!B13,"Supported","Not supported")</f>
        <v>Not supported</v>
      </c>
    </row>
    <row r="11" spans="1:6" x14ac:dyDescent="0.2">
      <c r="A11" t="s">
        <v>259</v>
      </c>
      <c r="B11" t="str">
        <f>'Ingredient Statement'!E6</f>
        <v>crisp rice (rice, sugar, barley malt extract, salt)</v>
      </c>
      <c r="C11" t="str">
        <f>"crisp rice ("&amp;F5&amp;")"</f>
        <v>crisp rice (rice, sugar, salt, malt flavor)</v>
      </c>
    </row>
    <row r="13" spans="1:6" x14ac:dyDescent="0.2">
      <c r="A13" t="s">
        <v>37</v>
      </c>
      <c r="B13" t="str">
        <f>IF(C9=B9,"Yes","No")</f>
        <v>No</v>
      </c>
    </row>
    <row r="14" spans="1:6" x14ac:dyDescent="0.2">
      <c r="A14" t="s">
        <v>39</v>
      </c>
      <c r="B14" t="str">
        <f>IF(C11=B11,"Yes","No")</f>
        <v>No</v>
      </c>
    </row>
    <row r="15" spans="1:6" x14ac:dyDescent="0.2">
      <c r="A15" t="s">
        <v>40</v>
      </c>
      <c r="B15" t="str">
        <f>IF(AND(B10="Supported",C10="Supported"),"Yes","No")</f>
        <v>No</v>
      </c>
    </row>
    <row r="17" spans="1:6" ht="48" customHeight="1" x14ac:dyDescent="0.2">
      <c r="A17" s="16" t="s">
        <v>260</v>
      </c>
      <c r="B17" s="17"/>
      <c r="C17" s="17"/>
      <c r="D17" s="17"/>
      <c r="E17" s="17"/>
      <c r="F17" s="17"/>
    </row>
  </sheetData>
  <mergeCells count="1">
    <mergeCell ref="A17:F17"/>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9"/>
  <sheetViews>
    <sheetView workbookViewId="0"/>
  </sheetViews>
  <sheetFormatPr baseColWidth="10" defaultColWidth="8.83203125" defaultRowHeight="15" x14ac:dyDescent="0.2"/>
  <cols>
    <col min="1" max="1" width="120" customWidth="1"/>
  </cols>
  <sheetData>
    <row r="1" spans="1:1" ht="17" customHeight="1" x14ac:dyDescent="0.2">
      <c r="A1" s="1" t="s">
        <v>261</v>
      </c>
    </row>
    <row r="3" spans="1:1" ht="64" customHeight="1" x14ac:dyDescent="0.2">
      <c r="A3" s="13" t="s">
        <v>262</v>
      </c>
    </row>
    <row r="4" spans="1:1" ht="64" customHeight="1" x14ac:dyDescent="0.2">
      <c r="A4" s="13" t="s">
        <v>263</v>
      </c>
    </row>
    <row r="5" spans="1:1" ht="64" customHeight="1" x14ac:dyDescent="0.2">
      <c r="A5" s="13" t="s">
        <v>264</v>
      </c>
    </row>
    <row r="6" spans="1:1" ht="64" customHeight="1" x14ac:dyDescent="0.2">
      <c r="A6" s="13" t="s">
        <v>265</v>
      </c>
    </row>
    <row r="7" spans="1:1" ht="80" customHeight="1" x14ac:dyDescent="0.2">
      <c r="A7" s="13" t="s">
        <v>266</v>
      </c>
    </row>
    <row r="8" spans="1:1" ht="64" customHeight="1" x14ac:dyDescent="0.2">
      <c r="A8" s="13" t="s">
        <v>267</v>
      </c>
    </row>
    <row r="9" spans="1:1" ht="96" customHeight="1" x14ac:dyDescent="0.2">
      <c r="A9" s="13" t="s">
        <v>268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Panel</vt:lpstr>
      <vt:lpstr>Parameters</vt:lpstr>
      <vt:lpstr>Pilot Batch Record</vt:lpstr>
      <vt:lpstr>Formula</vt:lpstr>
      <vt:lpstr>Specs</vt:lpstr>
      <vt:lpstr>Nutrients</vt:lpstr>
      <vt:lpstr>Rounding</vt:lpstr>
      <vt:lpstr>Ingredient Statement</vt:lpstr>
      <vt:lpstr>Claims</vt:lpstr>
      <vt:lpstr>Inventory Check</vt:lpstr>
      <vt:lpstr>Note to Priya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dc:creator xmlns:dc="http://purl.org/dc/elements/1.1/">Kolstad Oat Works</dc:creator>
  <dc:title xmlns:dc="http://purl.org/dc/elements/1.1/">Oat and Cherry Bar label review</dc:title>
  <dcterms:created xmlns:dcterms="http://purl.org/dc/terms/" xmlns:xsi="http://www.w3.org/2001/XMLSchema-instance" xsi:type="dcterms:W3CDTF">2026-10-14T08:22:10Z</dcterms:created>
  <dcterms:modified xmlns:dcterms="http://purl.org/dc/terms/" xmlns:xsi="http://www.w3.org/2001/XMLSchema-instance" xsi:type="dcterms:W3CDTF">2026-10-20T10:14:53Z</dcterms:modified>
  <cp:lastModifiedBy>Kolstad Oat Works</cp:lastModifiedBy>
</cp:coreProperties>
</file>