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13_ncr:1_{F07C31D6-C92D-6B4F-B142-C80472866BA1}" xr6:coauthVersionLast="47" xr6:coauthVersionMax="47" xr10:uidLastSave="{00000000-0000-0000-0000-000000000000}"/>
  <bookViews>
    <workbookView xWindow="0" yWindow="600" windowWidth="21600" windowHeight="36520" xr2:uid="{00000000-000D-0000-FFFF-FFFF00000000}"/>
  </bookViews>
  <sheets>
    <sheet name="Formula" sheetId="1" r:id="rId1"/>
    <sheet name="Pilot Batch Reco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D16" i="1" l="1"/>
  <c r="D14" i="1"/>
  <c r="D12" i="1"/>
  <c r="D11" i="1"/>
  <c r="D9" i="1"/>
  <c r="D7" i="1"/>
  <c r="D5" i="1"/>
  <c r="D17" i="1"/>
  <c r="D15" i="1"/>
  <c r="D13" i="1"/>
  <c r="D10" i="1"/>
  <c r="D8" i="1"/>
  <c r="D6" i="1"/>
  <c r="D18" i="1" l="1"/>
</calcChain>
</file>

<file path=xl/sharedStrings.xml><?xml version="1.0" encoding="utf-8"?>
<sst xmlns="http://schemas.openxmlformats.org/spreadsheetml/2006/main" count="71" uniqueCount="62">
  <si>
    <t>Kolstad Oat Works, product development formula, Oat and Cherry Bar, formula OCB-26-03</t>
  </si>
  <si>
    <t>Pilot batch 120.000 kg, formula weights as scaled for the pilot plant; approved for pilot run September 18, 2026</t>
  </si>
  <si>
    <t>INGREDIENT_CODE</t>
  </si>
  <si>
    <t>INGREDIENT</t>
  </si>
  <si>
    <t>BATCH_KG</t>
  </si>
  <si>
    <t>PCT_OF_BATCH</t>
  </si>
  <si>
    <t>STAGE</t>
  </si>
  <si>
    <t>RM-1042</t>
  </si>
  <si>
    <t>Whole grain rolled oats</t>
  </si>
  <si>
    <t>Dry blend</t>
  </si>
  <si>
    <t>RM-2210</t>
  </si>
  <si>
    <t>Brown rice syrup</t>
  </si>
  <si>
    <t>Binder, heated</t>
  </si>
  <si>
    <t>RM-1187</t>
  </si>
  <si>
    <t>Crisp rice</t>
  </si>
  <si>
    <t>RM-2205</t>
  </si>
  <si>
    <t>Clover honey</t>
  </si>
  <si>
    <t>RM-3301</t>
  </si>
  <si>
    <t>Infused dried cherries</t>
  </si>
  <si>
    <t>Dry blend, after binder</t>
  </si>
  <si>
    <t>RM-3120</t>
  </si>
  <si>
    <t>Roasted almond butter</t>
  </si>
  <si>
    <t>RM-3115</t>
  </si>
  <si>
    <t>Sliced almonds</t>
  </si>
  <si>
    <t>RM-4010</t>
  </si>
  <si>
    <t>Water</t>
  </si>
  <si>
    <t>RM-4102</t>
  </si>
  <si>
    <t>High oleic sunflower oil</t>
  </si>
  <si>
    <t>RM-5020</t>
  </si>
  <si>
    <t>Vanilla extract</t>
  </si>
  <si>
    <t>Binder, off heat</t>
  </si>
  <si>
    <t>RM-5031</t>
  </si>
  <si>
    <t>Ground cinnamon</t>
  </si>
  <si>
    <t>RM-5040</t>
  </si>
  <si>
    <t>Sea salt</t>
  </si>
  <si>
    <t>RM-5055</t>
  </si>
  <si>
    <t>Soy lecithin</t>
  </si>
  <si>
    <t>Batch total</t>
  </si>
  <si>
    <t>Pilot batch record, formula OCB-26-03, run September 18, 2026, pilot plant line 2</t>
  </si>
  <si>
    <t>ITEM</t>
  </si>
  <si>
    <t>VALUE</t>
  </si>
  <si>
    <t>SOURCE</t>
  </si>
  <si>
    <t>Batch input weight (kg)</t>
  </si>
  <si>
    <t>Scale ticket, all ingredients including water</t>
  </si>
  <si>
    <t>Bake, 165 C, 22 minutes; cool 40 minutes</t>
  </si>
  <si>
    <t>Process log</t>
  </si>
  <si>
    <t>Finished slab weight after cooling (kg)</t>
  </si>
  <si>
    <t>Scale ticket</t>
  </si>
  <si>
    <t>Trim removed (kg)</t>
  </si>
  <si>
    <t>Edge trim, reworked into next batch, not part of yield</t>
  </si>
  <si>
    <t>Finished batch weight, net of trim (kg)</t>
  </si>
  <si>
    <t>Scale ticket less trim</t>
  </si>
  <si>
    <t>Bars cut</t>
  </si>
  <si>
    <t>Counter</t>
  </si>
  <si>
    <t>Average bar weight, 30-bar sample (g)</t>
  </si>
  <si>
    <t>QA check weigh</t>
  </si>
  <si>
    <t>Target bar net weight (g)</t>
  </si>
  <si>
    <t>Product brief</t>
  </si>
  <si>
    <t>Moisture, finished bar (%)</t>
  </si>
  <si>
    <t>QA lab, oven method</t>
  </si>
  <si>
    <t>Water activity, finished bar</t>
  </si>
  <si>
    <t>QA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</si>
</sst>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2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baseColWidth="10" defaultColWidth="8.83203125" defaultRowHeight="15" x14ac:dyDescent="0.2"/>
  <cols>
    <col min="1" max="1" width="18" customWidth="1"/>
    <col min="2" max="2" width="30" customWidth="1"/>
    <col min="5" max="5" width="24" customWidth="1"/>
  </cols>
  <sheetData>
    <row r="1" spans="1:5" ht="16" customHeight="1" x14ac:dyDescent="0.2">
      <c r="A1" s="1" t="s">
        <v>0</v>
      </c>
    </row>
    <row r="2" spans="1:5" x14ac:dyDescent="0.2">
      <c r="A2" t="s">
        <v>1</v>
      </c>
    </row>
    <row r="4" spans="1:5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">
      <c r="A5" t="s">
        <v>7</v>
      </c>
      <c r="B5" t="s">
        <v>8</v>
      </c>
      <c r="C5" s="3">
        <v>39.6</v>
      </c>
      <c r="D5" s="4">
        <f t="shared" ref="D5:D17" si="0">C5/$C$18</f>
        <v>0.33</v>
      </c>
      <c r="E5" t="s">
        <v>9</v>
      </c>
    </row>
    <row r="6" spans="1:5" x14ac:dyDescent="0.2">
      <c r="A6" t="s">
        <v>10</v>
      </c>
      <c r="B6" t="s">
        <v>11</v>
      </c>
      <c r="C6" s="3">
        <v>17.4</v>
      </c>
      <c r="D6" s="4">
        <f t="shared" si="0"/>
        <v>0.145</v>
      </c>
      <c r="E6" t="s">
        <v>12</v>
      </c>
    </row>
    <row r="7" spans="1:5" x14ac:dyDescent="0.2">
      <c r="A7" t="s">
        <v>13</v>
      </c>
      <c r="B7" t="s">
        <v>14</v>
      </c>
      <c r="C7" s="3">
        <v>12</v>
      </c>
      <c r="D7" s="4">
        <f t="shared" si="0"/>
        <v>0.1</v>
      </c>
      <c r="E7" t="s">
        <v>9</v>
      </c>
    </row>
    <row r="8" spans="1:5" x14ac:dyDescent="0.2">
      <c r="A8" t="s">
        <v>15</v>
      </c>
      <c r="B8" t="s">
        <v>16</v>
      </c>
      <c r="C8" s="3">
        <v>10.2</v>
      </c>
      <c r="D8" s="4">
        <f t="shared" si="0"/>
        <v>0.085</v>
      </c>
      <c r="E8" t="s">
        <v>12</v>
      </c>
    </row>
    <row r="9" spans="1:5" x14ac:dyDescent="0.2">
      <c r="A9" t="s">
        <v>17</v>
      </c>
      <c r="B9" t="s">
        <v>18</v>
      </c>
      <c r="C9" s="3">
        <v>9.6</v>
      </c>
      <c r="D9" s="4">
        <f t="shared" si="0"/>
        <v>0.08</v>
      </c>
      <c r="E9" t="s">
        <v>19</v>
      </c>
    </row>
    <row r="10" spans="1:5" x14ac:dyDescent="0.2">
      <c r="A10" t="s">
        <v>20</v>
      </c>
      <c r="B10" t="s">
        <v>21</v>
      </c>
      <c r="C10" s="3">
        <v>8.4</v>
      </c>
      <c r="D10" s="4">
        <f t="shared" si="0"/>
        <v>0.07</v>
      </c>
      <c r="E10" t="s">
        <v>12</v>
      </c>
    </row>
    <row r="11" spans="1:5" x14ac:dyDescent="0.2">
      <c r="A11" t="s">
        <v>22</v>
      </c>
      <c r="B11" t="s">
        <v>23</v>
      </c>
      <c r="C11" s="3">
        <v>7.8</v>
      </c>
      <c r="D11" s="4">
        <f t="shared" si="0"/>
        <v>0.065</v>
      </c>
      <c r="E11" t="s">
        <v>9</v>
      </c>
    </row>
    <row r="12" spans="1:5" x14ac:dyDescent="0.2">
      <c r="A12" t="s">
        <v>24</v>
      </c>
      <c r="B12" t="s">
        <v>25</v>
      </c>
      <c r="C12" s="3">
        <v>5.91</v>
      </c>
      <c r="D12" s="4">
        <f t="shared" si="0"/>
        <v>0.04925</v>
      </c>
      <c r="E12" t="s">
        <v>12</v>
      </c>
    </row>
    <row r="13" spans="1:5" x14ac:dyDescent="0.2">
      <c r="A13" t="s">
        <v>26</v>
      </c>
      <c r="B13" t="s">
        <v>27</v>
      </c>
      <c r="C13" s="3">
        <v>5.4</v>
      </c>
      <c r="D13" s="4">
        <f t="shared" si="0"/>
        <v>0.045</v>
      </c>
      <c r="E13" t="s">
        <v>12</v>
      </c>
    </row>
    <row r="14" spans="1:5" x14ac:dyDescent="0.2">
      <c r="A14" t="s">
        <v>28</v>
      </c>
      <c r="B14" t="s">
        <v>29</v>
      </c>
      <c r="C14" s="3">
        <v>1.56</v>
      </c>
      <c r="D14" s="4">
        <f t="shared" si="0"/>
        <v>0.013</v>
      </c>
      <c r="E14" t="s">
        <v>30</v>
      </c>
    </row>
    <row r="15" spans="1:5" x14ac:dyDescent="0.2">
      <c r="A15" t="s">
        <v>31</v>
      </c>
      <c r="B15" t="s">
        <v>32</v>
      </c>
      <c r="C15" s="3">
        <v>0.84</v>
      </c>
      <c r="D15" s="4">
        <f t="shared" si="0"/>
        <v>0.007</v>
      </c>
      <c r="E15" t="s">
        <v>9</v>
      </c>
    </row>
    <row r="16" spans="1:5" x14ac:dyDescent="0.2">
      <c r="A16" t="s">
        <v>33</v>
      </c>
      <c r="B16" t="s">
        <v>34</v>
      </c>
      <c r="C16" s="3">
        <v>0.81</v>
      </c>
      <c r="D16" s="4">
        <f t="shared" si="0"/>
        <v>0.00675</v>
      </c>
      <c r="E16" t="s">
        <v>9</v>
      </c>
    </row>
    <row r="17" spans="1:5" x14ac:dyDescent="0.2">
      <c r="A17" t="s">
        <v>35</v>
      </c>
      <c r="B17" t="s">
        <v>36</v>
      </c>
      <c r="C17" s="3">
        <v>0.48</v>
      </c>
      <c r="D17" s="4">
        <f t="shared" si="0"/>
        <v>0.004</v>
      </c>
      <c r="E17" t="s">
        <v>30</v>
      </c>
    </row>
    <row r="18" spans="1:5" x14ac:dyDescent="0.2">
      <c r="A18" s="5" t="s">
        <v>37</v>
      </c>
      <c r="C18" s="3">
        <f>ROUND(SUM(C5:C17),3)</f>
        <v>120</v>
      </c>
      <c r="D18" s="4">
        <f>SUM(D5:D17)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 x14ac:dyDescent="0.2"/>
  <cols>
    <col min="1" max="1" width="44" customWidth="1"/>
    <col min="3" max="3" width="52" customWidth="1"/>
  </cols>
  <sheetData>
    <row r="1" spans="1:3" ht="16" customHeight="1" x14ac:dyDescent="0.2">
      <c r="A1" s="1" t="s">
        <v>38</v>
      </c>
    </row>
    <row r="3" spans="1:3" x14ac:dyDescent="0.2">
      <c r="A3" s="2" t="s">
        <v>39</v>
      </c>
      <c r="B3" s="2" t="s">
        <v>40</v>
      </c>
      <c r="C3" s="2" t="s">
        <v>41</v>
      </c>
    </row>
    <row r="4" spans="1:3" x14ac:dyDescent="0.2">
      <c r="A4" t="s">
        <v>42</v>
      </c>
      <c r="B4">
        <v>120</v>
      </c>
      <c r="C4" t="s">
        <v>43</v>
      </c>
    </row>
    <row r="5" spans="1:3" x14ac:dyDescent="0.2">
      <c r="A5" t="s">
        <v>44</v>
      </c>
      <c r="C5" t="s">
        <v>45</v>
      </c>
    </row>
    <row r="6" spans="1:3" x14ac:dyDescent="0.2">
      <c r="A6" t="s">
        <v>46</v>
      </c>
      <c r="B6">
        <v>108.14</v>
      </c>
      <c r="C6" t="s">
        <v>47</v>
      </c>
    </row>
    <row r="7" spans="1:3" x14ac:dyDescent="0.2">
      <c r="A7" t="s">
        <v>48</v>
      </c>
      <c r="B7">
        <v>0.86</v>
      </c>
      <c r="C7" t="s">
        <v>49</v>
      </c>
    </row>
    <row r="8" spans="1:3" x14ac:dyDescent="0.2">
      <c r="A8" t="s">
        <v>50</v>
      </c>
      <c r="B8">
        <v>107.28</v>
      </c>
      <c r="C8" t="s">
        <v>51</v>
      </c>
    </row>
    <row r="9" spans="1:3" x14ac:dyDescent="0.2">
      <c r="A9" t="s">
        <v>52</v>
      </c>
      <c r="B9">
        <v>2548</v>
      </c>
      <c r="C9" t="s">
        <v>53</v>
      </c>
    </row>
    <row r="10" spans="1:3" x14ac:dyDescent="0.2">
      <c r="A10" t="s">
        <v>54</v>
      </c>
      <c r="B10">
        <v>42.1</v>
      </c>
      <c r="C10" t="s">
        <v>55</v>
      </c>
    </row>
    <row r="11" spans="1:3" x14ac:dyDescent="0.2">
      <c r="A11" t="s">
        <v>56</v>
      </c>
      <c r="B11">
        <v>42</v>
      </c>
      <c r="C11" t="s">
        <v>57</v>
      </c>
    </row>
    <row r="12" spans="1:3" x14ac:dyDescent="0.2">
      <c r="A12" t="s">
        <v>58</v>
      </c>
      <c r="B12">
        <v>8.6</v>
      </c>
      <c r="C12" t="s">
        <v>59</v>
      </c>
    </row>
    <row r="13" spans="1:3" x14ac:dyDescent="0.2">
      <c r="A13" t="s">
        <v>60</v>
      </c>
      <c r="B13">
        <v>0.58</v>
      </c>
      <c r="C13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</vt:lpstr>
      <vt:lpstr>Pilot Batch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Kolstad Oat Works</dc:creator>
  <dc:title xmlns:dc="http://purl.org/dc/elements/1.1/">Formula OCB-26-03</dc:title>
  <dcterms:created xmlns:dcterms="http://purl.org/dc/terms/" xmlns:xsi="http://www.w3.org/2001/XMLSchema-instance" xsi:type="dcterms:W3CDTF">2026-09-11T13:40:22Z</dcterms:created>
  <dcterms:modified xmlns:dcterms="http://purl.org/dc/terms/" xmlns:xsi="http://www.w3.org/2001/XMLSchema-instance" xsi:type="dcterms:W3CDTF">2026-09-21T16:05:37Z</dcterms:modified>
  <cp:lastModifiedBy>Kolstad Oat Works</cp:lastModifiedBy>
</cp:coreProperties>
</file>