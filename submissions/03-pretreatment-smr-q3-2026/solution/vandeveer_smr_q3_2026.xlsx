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0264311B-AF3B-724C-AC7C-977B44DD0F87}" xr6:coauthVersionLast="47" xr6:coauthVersionMax="47" xr10:uidLastSave="{00000000-0000-0000-0000-000000000000}"/>
  <bookViews>
    <workbookView xWindow="0" yWindow="600" windowWidth="21600" windowHeight="36520" xr2:uid="{00000000-000D-0000-FFFF-FFFF00000000}"/>
  </bookViews>
  <sheets>
    <sheet name="SMR Q3" sheetId="1" r:id="rId1"/>
    <sheet name="Parameters" sheetId="2" r:id="rId2"/>
    <sheet name="Lab Data" sheetId="3" r:id="rId3"/>
    <sheet name="Monthly Stats" sheetId="4" r:id="rId4"/>
    <sheet name="SNC Review" sheetId="5" r:id="rId5"/>
    <sheet name="Flow Q3" sheetId="6" r:id="rId6"/>
    <sheet name="Notifications" sheetId="7" r:id="rId7"/>
    <sheet name="Note to Gord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7" l="1"/>
  <c r="B31" i="7"/>
  <c r="B30" i="7"/>
  <c r="B29" i="7"/>
  <c r="B28" i="7"/>
  <c r="D97" i="6"/>
  <c r="E97" i="6" s="1"/>
  <c r="D96" i="6"/>
  <c r="E96" i="6" s="1"/>
  <c r="D95" i="6"/>
  <c r="E95" i="6" s="1"/>
  <c r="D94" i="6"/>
  <c r="E94" i="6" s="1"/>
  <c r="D93" i="6"/>
  <c r="E93" i="6" s="1"/>
  <c r="D92" i="6"/>
  <c r="E92" i="6" s="1"/>
  <c r="D91" i="6"/>
  <c r="E91" i="6" s="1"/>
  <c r="D90" i="6"/>
  <c r="E90" i="6" s="1"/>
  <c r="D89" i="6"/>
  <c r="E89" i="6" s="1"/>
  <c r="D88" i="6"/>
  <c r="E88" i="6" s="1"/>
  <c r="D87" i="6"/>
  <c r="E87" i="6" s="1"/>
  <c r="D86" i="6"/>
  <c r="E86" i="6" s="1"/>
  <c r="D85" i="6"/>
  <c r="E85" i="6" s="1"/>
  <c r="D84" i="6"/>
  <c r="E84" i="6" s="1"/>
  <c r="D83" i="6"/>
  <c r="E83" i="6" s="1"/>
  <c r="D82" i="6"/>
  <c r="E82" i="6" s="1"/>
  <c r="D81" i="6"/>
  <c r="E81" i="6" s="1"/>
  <c r="D80" i="6"/>
  <c r="E80" i="6" s="1"/>
  <c r="D79" i="6"/>
  <c r="E79" i="6" s="1"/>
  <c r="D78" i="6"/>
  <c r="E78" i="6" s="1"/>
  <c r="D77" i="6"/>
  <c r="E77" i="6" s="1"/>
  <c r="D76" i="6"/>
  <c r="D75" i="6"/>
  <c r="E75" i="6" s="1"/>
  <c r="D74" i="6"/>
  <c r="E74" i="6" s="1"/>
  <c r="D73" i="6"/>
  <c r="E73" i="6" s="1"/>
  <c r="D72" i="6"/>
  <c r="E72" i="6" s="1"/>
  <c r="D71" i="6"/>
  <c r="E71" i="6" s="1"/>
  <c r="D70" i="6"/>
  <c r="E70" i="6" s="1"/>
  <c r="D69" i="6"/>
  <c r="E69" i="6" s="1"/>
  <c r="D68" i="6"/>
  <c r="D67" i="6"/>
  <c r="E67" i="6" s="1"/>
  <c r="D66" i="6"/>
  <c r="E66" i="6" s="1"/>
  <c r="D65" i="6"/>
  <c r="E65" i="6" s="1"/>
  <c r="D64" i="6"/>
  <c r="E64" i="6" s="1"/>
  <c r="D63" i="6"/>
  <c r="E63" i="6" s="1"/>
  <c r="D62" i="6"/>
  <c r="E62" i="6" s="1"/>
  <c r="D61" i="6"/>
  <c r="E61" i="6" s="1"/>
  <c r="D60" i="6"/>
  <c r="E60" i="6" s="1"/>
  <c r="D59" i="6"/>
  <c r="E59" i="6" s="1"/>
  <c r="D58" i="6"/>
  <c r="E58" i="6" s="1"/>
  <c r="D57" i="6"/>
  <c r="E57" i="6" s="1"/>
  <c r="D56" i="6"/>
  <c r="E56" i="6" s="1"/>
  <c r="D55" i="6"/>
  <c r="E55" i="6" s="1"/>
  <c r="D54" i="6"/>
  <c r="E54" i="6" s="1"/>
  <c r="D53" i="6"/>
  <c r="E53" i="6" s="1"/>
  <c r="D52" i="6"/>
  <c r="E52" i="6" s="1"/>
  <c r="D51" i="6"/>
  <c r="E51" i="6" s="1"/>
  <c r="D50" i="6"/>
  <c r="E50" i="6" s="1"/>
  <c r="D49" i="6"/>
  <c r="E49" i="6" s="1"/>
  <c r="D48" i="6"/>
  <c r="E48" i="6" s="1"/>
  <c r="D47" i="6"/>
  <c r="E47" i="6" s="1"/>
  <c r="D46" i="6"/>
  <c r="E46" i="6" s="1"/>
  <c r="D45" i="6"/>
  <c r="E45" i="6" s="1"/>
  <c r="D44" i="6"/>
  <c r="E44" i="6" s="1"/>
  <c r="D43" i="6"/>
  <c r="E43" i="6" s="1"/>
  <c r="D42" i="6"/>
  <c r="E42" i="6" s="1"/>
  <c r="D41" i="6"/>
  <c r="E41" i="6" s="1"/>
  <c r="D40" i="6"/>
  <c r="E40" i="6" s="1"/>
  <c r="D39" i="6"/>
  <c r="E39" i="6" s="1"/>
  <c r="D38" i="6"/>
  <c r="E38" i="6" s="1"/>
  <c r="D37" i="6"/>
  <c r="D36" i="6"/>
  <c r="E36" i="6" s="1"/>
  <c r="D35" i="6"/>
  <c r="E35" i="6" s="1"/>
  <c r="D34" i="6"/>
  <c r="E34" i="6" s="1"/>
  <c r="D33" i="6"/>
  <c r="E33" i="6" s="1"/>
  <c r="D32" i="6"/>
  <c r="E32" i="6" s="1"/>
  <c r="D31" i="6"/>
  <c r="E31" i="6" s="1"/>
  <c r="D30" i="6"/>
  <c r="E30" i="6" s="1"/>
  <c r="D29" i="6"/>
  <c r="E29" i="6" s="1"/>
  <c r="D28" i="6"/>
  <c r="E28" i="6" s="1"/>
  <c r="D27" i="6"/>
  <c r="E27" i="6" s="1"/>
  <c r="D26" i="6"/>
  <c r="E26" i="6" s="1"/>
  <c r="D25" i="6"/>
  <c r="E25" i="6" s="1"/>
  <c r="D24" i="6"/>
  <c r="E24" i="6" s="1"/>
  <c r="D23" i="6"/>
  <c r="E23" i="6" s="1"/>
  <c r="D22" i="6"/>
  <c r="E22" i="6" s="1"/>
  <c r="D20" i="6"/>
  <c r="E20" i="6" s="1"/>
  <c r="D19" i="6"/>
  <c r="E19" i="6" s="1"/>
  <c r="D18" i="6"/>
  <c r="E18" i="6" s="1"/>
  <c r="D17" i="6"/>
  <c r="D16" i="6"/>
  <c r="E16" i="6" s="1"/>
  <c r="D15" i="6"/>
  <c r="E15" i="6" s="1"/>
  <c r="D14" i="6"/>
  <c r="E14" i="6" s="1"/>
  <c r="D13" i="6"/>
  <c r="E13" i="6" s="1"/>
  <c r="D12" i="6"/>
  <c r="E12" i="6" s="1"/>
  <c r="D11" i="6"/>
  <c r="E11" i="6" s="1"/>
  <c r="D10" i="6"/>
  <c r="E10" i="6" s="1"/>
  <c r="D9" i="6"/>
  <c r="E9" i="6" s="1"/>
  <c r="D8" i="6"/>
  <c r="E8" i="6" s="1"/>
  <c r="D7" i="6"/>
  <c r="E7" i="6" s="1"/>
  <c r="D6" i="6"/>
  <c r="E6" i="6" s="1"/>
  <c r="D5" i="6"/>
  <c r="E5" i="6" s="1"/>
  <c r="F34" i="5"/>
  <c r="F33" i="5"/>
  <c r="N10" i="5"/>
  <c r="M10" i="5"/>
  <c r="D10" i="5"/>
  <c r="C10" i="5"/>
  <c r="N9" i="5"/>
  <c r="M9" i="5"/>
  <c r="D9" i="5"/>
  <c r="C9" i="5"/>
  <c r="N8" i="5"/>
  <c r="M8" i="5"/>
  <c r="D8" i="5"/>
  <c r="C8" i="5"/>
  <c r="N7" i="5"/>
  <c r="M7" i="5"/>
  <c r="D7" i="5"/>
  <c r="C7" i="5"/>
  <c r="N6" i="5"/>
  <c r="M6" i="5"/>
  <c r="D6" i="5"/>
  <c r="C6" i="5"/>
  <c r="N5" i="5"/>
  <c r="M5" i="5"/>
  <c r="D5" i="5"/>
  <c r="C5" i="5"/>
  <c r="F22" i="4"/>
  <c r="E35" i="1" s="1"/>
  <c r="D22" i="4"/>
  <c r="C35" i="1" s="1"/>
  <c r="C22" i="4"/>
  <c r="B35" i="1" s="1"/>
  <c r="F21" i="4"/>
  <c r="E34" i="1" s="1"/>
  <c r="D21" i="4"/>
  <c r="C34" i="1" s="1"/>
  <c r="C21" i="4"/>
  <c r="B34" i="1" s="1"/>
  <c r="F20" i="4"/>
  <c r="E33" i="1" s="1"/>
  <c r="D20" i="4"/>
  <c r="C33" i="1" s="1"/>
  <c r="C20" i="4"/>
  <c r="B33" i="1" s="1"/>
  <c r="F19" i="4"/>
  <c r="E32" i="1" s="1"/>
  <c r="D19" i="4"/>
  <c r="C32" i="1" s="1"/>
  <c r="C19" i="4"/>
  <c r="B32" i="1" s="1"/>
  <c r="F18" i="4"/>
  <c r="E31" i="1" s="1"/>
  <c r="D18" i="4"/>
  <c r="C31" i="1" s="1"/>
  <c r="C18" i="4"/>
  <c r="B31" i="1" s="1"/>
  <c r="F17" i="4"/>
  <c r="E30" i="1" s="1"/>
  <c r="D17" i="4"/>
  <c r="C30" i="1" s="1"/>
  <c r="C17" i="4"/>
  <c r="B30" i="1" s="1"/>
  <c r="F16" i="4"/>
  <c r="E24" i="1" s="1"/>
  <c r="D16" i="4"/>
  <c r="C24" i="1" s="1"/>
  <c r="C16" i="4"/>
  <c r="B24" i="1" s="1"/>
  <c r="F15" i="4"/>
  <c r="D15" i="4"/>
  <c r="C15" i="4"/>
  <c r="F14" i="4"/>
  <c r="D14" i="4"/>
  <c r="C14" i="4"/>
  <c r="F13" i="4"/>
  <c r="D13" i="4"/>
  <c r="C13" i="4"/>
  <c r="F12" i="4"/>
  <c r="D12" i="4"/>
  <c r="C12" i="4"/>
  <c r="F11" i="4"/>
  <c r="D11" i="4"/>
  <c r="C11" i="4"/>
  <c r="F10" i="4"/>
  <c r="D10" i="4"/>
  <c r="C10" i="4"/>
  <c r="F9" i="4"/>
  <c r="D9" i="4"/>
  <c r="C9" i="4"/>
  <c r="F8" i="4"/>
  <c r="D8" i="4"/>
  <c r="C8" i="4"/>
  <c r="F7" i="4"/>
  <c r="D7" i="4"/>
  <c r="C7" i="4"/>
  <c r="F6" i="4"/>
  <c r="D6" i="4"/>
  <c r="C6" i="4"/>
  <c r="F5" i="4"/>
  <c r="D5" i="4"/>
  <c r="C5" i="4"/>
  <c r="BY23" i="3"/>
  <c r="BX23" i="3"/>
  <c r="BP23" i="3"/>
  <c r="BG23" i="3"/>
  <c r="AX23" i="3"/>
  <c r="AO23" i="3"/>
  <c r="AF23" i="3"/>
  <c r="W23" i="3"/>
  <c r="N23" i="3"/>
  <c r="P23" i="3" s="1"/>
  <c r="I23" i="3"/>
  <c r="G23" i="3"/>
  <c r="BZ22" i="3"/>
  <c r="N22" i="3" s="1"/>
  <c r="P22" i="3" s="1"/>
  <c r="BN22" i="3" s="1"/>
  <c r="BY22" i="3"/>
  <c r="BX22" i="3"/>
  <c r="J22" i="3" s="1"/>
  <c r="BP22" i="3"/>
  <c r="BG22" i="3"/>
  <c r="AX22" i="3"/>
  <c r="AO22" i="3"/>
  <c r="AF22" i="3"/>
  <c r="W22" i="3"/>
  <c r="I22" i="3"/>
  <c r="G22" i="3"/>
  <c r="BZ21" i="3"/>
  <c r="BY21" i="3"/>
  <c r="BX21" i="3"/>
  <c r="BP21" i="3"/>
  <c r="BG21" i="3"/>
  <c r="AX21" i="3"/>
  <c r="AO21" i="3"/>
  <c r="AF21" i="3"/>
  <c r="W21" i="3"/>
  <c r="O21" i="3"/>
  <c r="N21" i="3"/>
  <c r="P21" i="3" s="1"/>
  <c r="M21" i="3"/>
  <c r="I21" i="3"/>
  <c r="G21" i="3"/>
  <c r="BZ20" i="3"/>
  <c r="BY20" i="3"/>
  <c r="BX20" i="3"/>
  <c r="BP20" i="3"/>
  <c r="BG20" i="3"/>
  <c r="AX20" i="3"/>
  <c r="AO20" i="3"/>
  <c r="AF20" i="3"/>
  <c r="W20" i="3"/>
  <c r="O20" i="3"/>
  <c r="N20" i="3"/>
  <c r="P20" i="3" s="1"/>
  <c r="M20" i="3"/>
  <c r="I20" i="3"/>
  <c r="G20" i="3"/>
  <c r="BX19" i="3"/>
  <c r="BP19" i="3"/>
  <c r="BG19" i="3"/>
  <c r="AX19" i="3"/>
  <c r="AO19" i="3"/>
  <c r="AF19" i="3"/>
  <c r="W19" i="3"/>
  <c r="O19" i="3"/>
  <c r="N19" i="3"/>
  <c r="P19" i="3" s="1"/>
  <c r="M19" i="3"/>
  <c r="I19" i="3"/>
  <c r="G19" i="3"/>
  <c r="BY18" i="3"/>
  <c r="BX18" i="3"/>
  <c r="BP18" i="3"/>
  <c r="BG18" i="3"/>
  <c r="AX18" i="3"/>
  <c r="AO18" i="3"/>
  <c r="AF18" i="3"/>
  <c r="W18" i="3"/>
  <c r="O18" i="3"/>
  <c r="N18" i="3"/>
  <c r="P18" i="3" s="1"/>
  <c r="M18" i="3"/>
  <c r="I18" i="3"/>
  <c r="G18" i="3"/>
  <c r="BZ17" i="3"/>
  <c r="N17" i="3" s="1"/>
  <c r="P17" i="3" s="1"/>
  <c r="BN17" i="3" s="1"/>
  <c r="BY17" i="3"/>
  <c r="BX17" i="3"/>
  <c r="J17" i="3" s="1"/>
  <c r="BP17" i="3"/>
  <c r="BG17" i="3"/>
  <c r="AX17" i="3"/>
  <c r="AO17" i="3"/>
  <c r="AF17" i="3"/>
  <c r="W17" i="3"/>
  <c r="I17" i="3"/>
  <c r="G17" i="3"/>
  <c r="BZ16" i="3"/>
  <c r="BY16" i="3"/>
  <c r="BX16" i="3"/>
  <c r="BP16" i="3"/>
  <c r="BG16" i="3"/>
  <c r="AX16" i="3"/>
  <c r="AO16" i="3"/>
  <c r="AF16" i="3"/>
  <c r="W16" i="3"/>
  <c r="O16" i="3"/>
  <c r="N16" i="3"/>
  <c r="P16" i="3" s="1"/>
  <c r="M16" i="3"/>
  <c r="I16" i="3"/>
  <c r="G16" i="3"/>
  <c r="BZ15" i="3"/>
  <c r="BY15" i="3"/>
  <c r="BX15" i="3"/>
  <c r="BP15" i="3"/>
  <c r="BG15" i="3"/>
  <c r="AX15" i="3"/>
  <c r="AO15" i="3"/>
  <c r="AF15" i="3"/>
  <c r="W15" i="3"/>
  <c r="O15" i="3"/>
  <c r="N15" i="3"/>
  <c r="P15" i="3" s="1"/>
  <c r="M15" i="3"/>
  <c r="I15" i="3"/>
  <c r="G15" i="3"/>
  <c r="BZ14" i="3"/>
  <c r="BY14" i="3"/>
  <c r="BX14" i="3"/>
  <c r="BP14" i="3"/>
  <c r="BG14" i="3"/>
  <c r="AX14" i="3"/>
  <c r="AO14" i="3"/>
  <c r="AF14" i="3"/>
  <c r="W14" i="3"/>
  <c r="N14" i="3"/>
  <c r="P14" i="3" s="1"/>
  <c r="I14" i="3"/>
  <c r="G14" i="3"/>
  <c r="BX13" i="3"/>
  <c r="J13" i="3" s="1"/>
  <c r="BP13" i="3"/>
  <c r="BG13" i="3"/>
  <c r="BE13" i="3"/>
  <c r="AX13" i="3"/>
  <c r="AV13" i="3"/>
  <c r="AO13" i="3"/>
  <c r="AM13" i="3"/>
  <c r="AF13" i="3"/>
  <c r="AD13" i="3"/>
  <c r="W13" i="3"/>
  <c r="U13" i="3"/>
  <c r="O13" i="3"/>
  <c r="N13" i="3"/>
  <c r="P13" i="3" s="1"/>
  <c r="BN13" i="3" s="1"/>
  <c r="M13" i="3"/>
  <c r="I13" i="3"/>
  <c r="G13" i="3"/>
  <c r="BZ12" i="3"/>
  <c r="BY12" i="3"/>
  <c r="BX12" i="3"/>
  <c r="BP12" i="3"/>
  <c r="BG12" i="3"/>
  <c r="AX12" i="3"/>
  <c r="AO12" i="3"/>
  <c r="AF12" i="3"/>
  <c r="W12" i="3"/>
  <c r="O12" i="3"/>
  <c r="N12" i="3"/>
  <c r="P12" i="3" s="1"/>
  <c r="M12" i="3"/>
  <c r="I12" i="3"/>
  <c r="G12" i="3"/>
  <c r="BZ11" i="3"/>
  <c r="BY11" i="3"/>
  <c r="BX11" i="3"/>
  <c r="BP11" i="3"/>
  <c r="BG11" i="3"/>
  <c r="AX11" i="3"/>
  <c r="AO11" i="3"/>
  <c r="AF11" i="3"/>
  <c r="W11" i="3"/>
  <c r="O11" i="3"/>
  <c r="N11" i="3"/>
  <c r="P11" i="3" s="1"/>
  <c r="M11" i="3"/>
  <c r="I11" i="3"/>
  <c r="G11" i="3"/>
  <c r="BX10" i="3"/>
  <c r="BP10" i="3"/>
  <c r="BG10" i="3"/>
  <c r="AX10" i="3"/>
  <c r="AO10" i="3"/>
  <c r="AF10" i="3"/>
  <c r="W10" i="3"/>
  <c r="O10" i="3"/>
  <c r="N10" i="3"/>
  <c r="P10" i="3" s="1"/>
  <c r="M10" i="3"/>
  <c r="I10" i="3"/>
  <c r="G10" i="3"/>
  <c r="BZ9" i="3"/>
  <c r="BY9" i="3"/>
  <c r="BX9" i="3"/>
  <c r="BP9" i="3"/>
  <c r="BG9" i="3"/>
  <c r="AX9" i="3"/>
  <c r="AO9" i="3"/>
  <c r="AF9" i="3"/>
  <c r="W9" i="3"/>
  <c r="O9" i="3"/>
  <c r="N9" i="3"/>
  <c r="P9" i="3" s="1"/>
  <c r="M9" i="3"/>
  <c r="I9" i="3"/>
  <c r="G9" i="3"/>
  <c r="BZ8" i="3"/>
  <c r="N8" i="3" s="1"/>
  <c r="P8" i="3" s="1"/>
  <c r="BN8" i="3" s="1"/>
  <c r="BY8" i="3"/>
  <c r="BX8" i="3"/>
  <c r="J8" i="3" s="1"/>
  <c r="BP8" i="3"/>
  <c r="BG8" i="3"/>
  <c r="AX8" i="3"/>
  <c r="AO8" i="3"/>
  <c r="AF8" i="3"/>
  <c r="W8" i="3"/>
  <c r="I8" i="3"/>
  <c r="G8" i="3"/>
  <c r="BZ7" i="3"/>
  <c r="BY7" i="3"/>
  <c r="BX7" i="3"/>
  <c r="BP7" i="3"/>
  <c r="BG7" i="3"/>
  <c r="AX7" i="3"/>
  <c r="AO7" i="3"/>
  <c r="AF7" i="3"/>
  <c r="W7" i="3"/>
  <c r="O7" i="3"/>
  <c r="N7" i="3"/>
  <c r="P7" i="3" s="1"/>
  <c r="M7" i="3"/>
  <c r="I7" i="3"/>
  <c r="G7" i="3"/>
  <c r="BZ6" i="3"/>
  <c r="BY6" i="3"/>
  <c r="BX6" i="3"/>
  <c r="BP6" i="3"/>
  <c r="BG6" i="3"/>
  <c r="AX6" i="3"/>
  <c r="AO6" i="3"/>
  <c r="AF6" i="3"/>
  <c r="W6" i="3"/>
  <c r="O6" i="3"/>
  <c r="N6" i="3"/>
  <c r="P6" i="3" s="1"/>
  <c r="M6" i="3"/>
  <c r="I6" i="3"/>
  <c r="G6" i="3"/>
  <c r="BZ5" i="3"/>
  <c r="BY5" i="3"/>
  <c r="BX5" i="3"/>
  <c r="BP5" i="3"/>
  <c r="BG5" i="3"/>
  <c r="AX5" i="3"/>
  <c r="AO5" i="3"/>
  <c r="AF5" i="3"/>
  <c r="W5" i="3"/>
  <c r="O5" i="3"/>
  <c r="N5" i="3"/>
  <c r="P5" i="3" s="1"/>
  <c r="M5" i="3"/>
  <c r="I5" i="3"/>
  <c r="G5" i="3"/>
  <c r="B29" i="2"/>
  <c r="B28" i="2"/>
  <c r="B76" i="1"/>
  <c r="B75" i="1"/>
  <c r="C58" i="1"/>
  <c r="C53" i="1"/>
  <c r="C50" i="1"/>
  <c r="C47" i="1"/>
  <c r="C41" i="1"/>
  <c r="B37" i="1"/>
  <c r="G36" i="1"/>
  <c r="F36" i="1"/>
  <c r="E36" i="1"/>
  <c r="B26" i="1"/>
  <c r="E25" i="1"/>
  <c r="E23" i="1"/>
  <c r="C23" i="1"/>
  <c r="B23" i="1"/>
  <c r="E22" i="1"/>
  <c r="C22" i="1"/>
  <c r="B22" i="1"/>
  <c r="E21" i="1"/>
  <c r="C21" i="1"/>
  <c r="B21" i="1"/>
  <c r="E20" i="1"/>
  <c r="C20" i="1"/>
  <c r="B20" i="1"/>
  <c r="E19" i="1"/>
  <c r="C19" i="1"/>
  <c r="B19" i="1"/>
  <c r="B15" i="1"/>
  <c r="E14" i="1"/>
  <c r="E13" i="1"/>
  <c r="C13" i="1"/>
  <c r="B13" i="1"/>
  <c r="E12" i="1"/>
  <c r="C12" i="1"/>
  <c r="B12" i="1"/>
  <c r="E11" i="1"/>
  <c r="C11" i="1"/>
  <c r="B11" i="1"/>
  <c r="E10" i="1"/>
  <c r="C10" i="1"/>
  <c r="B10" i="1"/>
  <c r="E9" i="1"/>
  <c r="C9" i="1"/>
  <c r="B9" i="1"/>
  <c r="E8" i="1"/>
  <c r="C8" i="1"/>
  <c r="B8" i="1"/>
  <c r="E76" i="6" l="1"/>
  <c r="B107" i="6"/>
  <c r="B109" i="6" s="1"/>
  <c r="C60" i="1" s="1"/>
  <c r="E68" i="6"/>
  <c r="C102" i="6" s="1"/>
  <c r="B102" i="6"/>
  <c r="B110" i="6" s="1"/>
  <c r="G37" i="1" s="1"/>
  <c r="I37" i="1" s="1"/>
  <c r="D102" i="6"/>
  <c r="B101" i="6"/>
  <c r="D101" i="6"/>
  <c r="E37" i="6"/>
  <c r="C101" i="6" s="1"/>
  <c r="D104" i="6"/>
  <c r="D100" i="6"/>
  <c r="E17" i="6"/>
  <c r="C100" i="6" s="1"/>
  <c r="B100" i="6"/>
  <c r="G15" i="1" s="1"/>
  <c r="I15" i="1" s="1"/>
  <c r="E10" i="5"/>
  <c r="E9" i="5"/>
  <c r="E8" i="5"/>
  <c r="E7" i="5"/>
  <c r="E6" i="5"/>
  <c r="E5" i="5"/>
  <c r="M23" i="3"/>
  <c r="O23" i="3"/>
  <c r="BN23" i="3"/>
  <c r="U23" i="3"/>
  <c r="BE23" i="3"/>
  <c r="AV23" i="3"/>
  <c r="AM23" i="3"/>
  <c r="AD23" i="3"/>
  <c r="M22" i="3"/>
  <c r="O22" i="3"/>
  <c r="V22" i="3"/>
  <c r="AE22" i="3"/>
  <c r="AN22" i="3"/>
  <c r="AW22" i="3"/>
  <c r="BF22" i="3"/>
  <c r="BO22" i="3"/>
  <c r="AV21" i="3"/>
  <c r="D36" i="1"/>
  <c r="AM21" i="3"/>
  <c r="U21" i="3"/>
  <c r="AD21" i="3"/>
  <c r="BN21" i="3"/>
  <c r="E22" i="4" s="1"/>
  <c r="BE21" i="3"/>
  <c r="AM20" i="3"/>
  <c r="AV20" i="3"/>
  <c r="BE20" i="3"/>
  <c r="BN20" i="3"/>
  <c r="AD20" i="3"/>
  <c r="U20" i="3"/>
  <c r="U19" i="3"/>
  <c r="AD19" i="3"/>
  <c r="AM19" i="3"/>
  <c r="AV19" i="3"/>
  <c r="BE19" i="3"/>
  <c r="BN19" i="3"/>
  <c r="AM18" i="3"/>
  <c r="U18" i="3"/>
  <c r="AV18" i="3"/>
  <c r="BE18" i="3"/>
  <c r="BN18" i="3"/>
  <c r="AD18" i="3"/>
  <c r="M17" i="3"/>
  <c r="O17" i="3"/>
  <c r="V17" i="3"/>
  <c r="AE17" i="3"/>
  <c r="AN17" i="3"/>
  <c r="BO17" i="3"/>
  <c r="AD16" i="3"/>
  <c r="U16" i="3"/>
  <c r="G25" i="1"/>
  <c r="F25" i="1"/>
  <c r="D25" i="1"/>
  <c r="BN16" i="3"/>
  <c r="BE16" i="3"/>
  <c r="AV16" i="3"/>
  <c r="AM16" i="3"/>
  <c r="U15" i="3"/>
  <c r="AD15" i="3"/>
  <c r="BE15" i="3"/>
  <c r="BN15" i="3"/>
  <c r="AV15" i="3"/>
  <c r="AM15" i="3"/>
  <c r="O14" i="3"/>
  <c r="M14" i="3"/>
  <c r="AM14" i="3"/>
  <c r="E7" i="4" s="1"/>
  <c r="AD14" i="3"/>
  <c r="E6" i="4" s="1"/>
  <c r="D14" i="1"/>
  <c r="F14" i="1"/>
  <c r="G14" i="1"/>
  <c r="U14" i="3"/>
  <c r="E5" i="4" s="1"/>
  <c r="AV14" i="3"/>
  <c r="E8" i="4" s="1"/>
  <c r="BE14" i="3"/>
  <c r="E9" i="4" s="1"/>
  <c r="BN14" i="3"/>
  <c r="E10" i="4" s="1"/>
  <c r="AN13" i="3"/>
  <c r="AW13" i="3"/>
  <c r="AE13" i="3"/>
  <c r="BF13" i="3"/>
  <c r="BO13" i="3"/>
  <c r="V13" i="3"/>
  <c r="BN12" i="3"/>
  <c r="AM12" i="3"/>
  <c r="U12" i="3"/>
  <c r="AD12" i="3"/>
  <c r="BE12" i="3"/>
  <c r="AV12" i="3"/>
  <c r="AM11" i="3"/>
  <c r="BN11" i="3"/>
  <c r="AV11" i="3"/>
  <c r="U11" i="3"/>
  <c r="BE11" i="3"/>
  <c r="AD11" i="3"/>
  <c r="AD10" i="3"/>
  <c r="U10" i="3"/>
  <c r="AM10" i="3"/>
  <c r="BE10" i="3"/>
  <c r="AV10" i="3"/>
  <c r="BN10" i="3"/>
  <c r="AD9" i="3"/>
  <c r="BN9" i="3"/>
  <c r="BE9" i="3"/>
  <c r="U9" i="3"/>
  <c r="AV9" i="3"/>
  <c r="AM9" i="3"/>
  <c r="O8" i="3"/>
  <c r="M8" i="3"/>
  <c r="AE8" i="3"/>
  <c r="AN8" i="3"/>
  <c r="AW8" i="3"/>
  <c r="BF8" i="3"/>
  <c r="BO8" i="3"/>
  <c r="AV8" i="3"/>
  <c r="AM8" i="3"/>
  <c r="AD8" i="3"/>
  <c r="U8" i="3"/>
  <c r="U7" i="3"/>
  <c r="AD7" i="3"/>
  <c r="AM7" i="3"/>
  <c r="AV7" i="3"/>
  <c r="BE7" i="3"/>
  <c r="BN7" i="3"/>
  <c r="AV6" i="3"/>
  <c r="U6" i="3"/>
  <c r="AM6" i="3"/>
  <c r="AD6" i="3"/>
  <c r="BE6" i="3"/>
  <c r="BN6" i="3"/>
  <c r="AM5" i="3"/>
  <c r="BE5" i="3"/>
  <c r="U5" i="3"/>
  <c r="BN5" i="3"/>
  <c r="AV5" i="3"/>
  <c r="AD5" i="3"/>
  <c r="J15" i="3"/>
  <c r="J12" i="3"/>
  <c r="J9" i="3"/>
  <c r="J16" i="3"/>
  <c r="J18" i="3"/>
  <c r="J21" i="3"/>
  <c r="J19" i="3"/>
  <c r="J23" i="3"/>
  <c r="J11" i="3"/>
  <c r="J20" i="3"/>
  <c r="J7" i="3"/>
  <c r="J14" i="3"/>
  <c r="J6" i="3"/>
  <c r="J10" i="3"/>
  <c r="J5" i="3"/>
  <c r="G26" i="1" l="1"/>
  <c r="I26" i="1" s="1"/>
  <c r="C48" i="1"/>
  <c r="U22" i="3"/>
  <c r="E17" i="4" s="1"/>
  <c r="AD22" i="3"/>
  <c r="E18" i="4" s="1"/>
  <c r="AM22" i="3"/>
  <c r="E19" i="4" s="1"/>
  <c r="AV22" i="3"/>
  <c r="E20" i="4" s="1"/>
  <c r="BE22" i="3"/>
  <c r="E21" i="4" s="1"/>
  <c r="X22" i="3"/>
  <c r="Y22" i="3"/>
  <c r="AG22" i="3"/>
  <c r="AH22" i="3"/>
  <c r="AP22" i="3"/>
  <c r="AQ22" i="3"/>
  <c r="AY22" i="3"/>
  <c r="AZ22" i="3"/>
  <c r="BH22" i="3"/>
  <c r="BI22" i="3"/>
  <c r="BQ22" i="3"/>
  <c r="BR22" i="3"/>
  <c r="G20" i="4"/>
  <c r="F33" i="1" s="1"/>
  <c r="H20" i="4"/>
  <c r="G33" i="1" s="1"/>
  <c r="I20" i="4"/>
  <c r="H33" i="1" s="1"/>
  <c r="J20" i="4"/>
  <c r="I33" i="1" s="1"/>
  <c r="L20" i="4"/>
  <c r="K20" i="4" s="1"/>
  <c r="J33" i="1" s="1"/>
  <c r="D33" i="1"/>
  <c r="G19" i="4"/>
  <c r="F32" i="1" s="1"/>
  <c r="G22" i="4"/>
  <c r="H22" i="4"/>
  <c r="L22" i="4"/>
  <c r="K22" i="4" s="1"/>
  <c r="J35" i="1" s="1"/>
  <c r="D35" i="1"/>
  <c r="Y17" i="3"/>
  <c r="AH17" i="3"/>
  <c r="AQ17" i="3"/>
  <c r="BR17" i="3"/>
  <c r="G7" i="4"/>
  <c r="H7" i="4"/>
  <c r="I7" i="4"/>
  <c r="H10" i="1" s="1"/>
  <c r="L7" i="4"/>
  <c r="K7" i="4" s="1"/>
  <c r="J10" i="1" s="1"/>
  <c r="D10" i="1"/>
  <c r="C43" i="1"/>
  <c r="G6" i="4"/>
  <c r="F9" i="1" s="1"/>
  <c r="H6" i="4"/>
  <c r="I6" i="4"/>
  <c r="H9" i="1" s="1"/>
  <c r="L6" i="4"/>
  <c r="K6" i="4" s="1"/>
  <c r="J9" i="1" s="1"/>
  <c r="D9" i="1"/>
  <c r="G5" i="4"/>
  <c r="F8" i="1" s="1"/>
  <c r="H5" i="4"/>
  <c r="I5" i="4"/>
  <c r="H8" i="1" s="1"/>
  <c r="L5" i="4"/>
  <c r="K5" i="4" s="1"/>
  <c r="J8" i="1" s="1"/>
  <c r="D8" i="1"/>
  <c r="G8" i="4"/>
  <c r="F11" i="1" s="1"/>
  <c r="H8" i="4"/>
  <c r="I8" i="4"/>
  <c r="H11" i="1" s="1"/>
  <c r="L8" i="4"/>
  <c r="K8" i="4" s="1"/>
  <c r="J11" i="1" s="1"/>
  <c r="D11" i="1"/>
  <c r="G9" i="4"/>
  <c r="F12" i="1" s="1"/>
  <c r="H9" i="4"/>
  <c r="G12" i="1" s="1"/>
  <c r="I9" i="4"/>
  <c r="H12" i="1" s="1"/>
  <c r="J9" i="4"/>
  <c r="I12" i="1" s="1"/>
  <c r="L9" i="4"/>
  <c r="K9" i="4" s="1"/>
  <c r="J12" i="1" s="1"/>
  <c r="D12" i="1"/>
  <c r="C44" i="1"/>
  <c r="G10" i="4"/>
  <c r="F13" i="1" s="1"/>
  <c r="H10" i="4"/>
  <c r="G13" i="1" s="1"/>
  <c r="I10" i="4"/>
  <c r="H13" i="1" s="1"/>
  <c r="J10" i="4"/>
  <c r="I13" i="1" s="1"/>
  <c r="L10" i="4"/>
  <c r="K10" i="4" s="1"/>
  <c r="J13" i="1" s="1"/>
  <c r="D13" i="1"/>
  <c r="AP13" i="3"/>
  <c r="AQ13" i="3"/>
  <c r="AY13" i="3"/>
  <c r="AZ13" i="3"/>
  <c r="AG13" i="3"/>
  <c r="AH13" i="3"/>
  <c r="BH13" i="3"/>
  <c r="BI13" i="3"/>
  <c r="BQ13" i="3"/>
  <c r="BR13" i="3"/>
  <c r="X13" i="3"/>
  <c r="Y13" i="3"/>
  <c r="AG8" i="3"/>
  <c r="AH8" i="3"/>
  <c r="AP8" i="3"/>
  <c r="AQ8" i="3"/>
  <c r="AY8" i="3"/>
  <c r="AZ8" i="3"/>
  <c r="BI8" i="3"/>
  <c r="BH8" i="3"/>
  <c r="BQ8" i="3"/>
  <c r="BR8" i="3"/>
  <c r="AN15" i="3"/>
  <c r="AW15" i="3"/>
  <c r="BF15" i="3"/>
  <c r="V15" i="3"/>
  <c r="AE15" i="3"/>
  <c r="BO15" i="3"/>
  <c r="V12" i="3"/>
  <c r="AE12" i="3"/>
  <c r="AN12" i="3"/>
  <c r="AW12" i="3"/>
  <c r="BF12" i="3"/>
  <c r="BO12" i="3"/>
  <c r="AN9" i="3"/>
  <c r="BO9" i="3"/>
  <c r="AE9" i="3"/>
  <c r="AW9" i="3"/>
  <c r="V9" i="3"/>
  <c r="BF9" i="3"/>
  <c r="V16" i="3"/>
  <c r="AE16" i="3"/>
  <c r="AN16" i="3"/>
  <c r="AW16" i="3"/>
  <c r="BF16" i="3"/>
  <c r="BO16" i="3"/>
  <c r="AE18" i="3"/>
  <c r="AG17" i="3" s="1"/>
  <c r="AW18" i="3"/>
  <c r="BO18" i="3"/>
  <c r="BQ17" i="3" s="1"/>
  <c r="AN18" i="3"/>
  <c r="AP17" i="3" s="1"/>
  <c r="BF18" i="3"/>
  <c r="V18" i="3"/>
  <c r="X17" i="3" s="1"/>
  <c r="V21" i="3"/>
  <c r="AE21" i="3"/>
  <c r="AN21" i="3"/>
  <c r="AW21" i="3"/>
  <c r="BF21" i="3"/>
  <c r="BO21" i="3"/>
  <c r="V19" i="3"/>
  <c r="AW19" i="3"/>
  <c r="BF19" i="3"/>
  <c r="BO19" i="3"/>
  <c r="AE19" i="3"/>
  <c r="AN19" i="3"/>
  <c r="V23" i="3"/>
  <c r="AE23" i="3"/>
  <c r="AN23" i="3"/>
  <c r="AW23" i="3"/>
  <c r="BF23" i="3"/>
  <c r="BO23" i="3"/>
  <c r="BF11" i="3"/>
  <c r="BO11" i="3"/>
  <c r="V11" i="3"/>
  <c r="AE11" i="3"/>
  <c r="AN11" i="3"/>
  <c r="AW11" i="3"/>
  <c r="V20" i="3"/>
  <c r="AE20" i="3"/>
  <c r="AN20" i="3"/>
  <c r="AW20" i="3"/>
  <c r="BF20" i="3"/>
  <c r="BO20" i="3"/>
  <c r="V7" i="3"/>
  <c r="AE7" i="3"/>
  <c r="AN7" i="3"/>
  <c r="AW7" i="3"/>
  <c r="BF7" i="3"/>
  <c r="BO7" i="3"/>
  <c r="AE14" i="3"/>
  <c r="AN14" i="3"/>
  <c r="BF14" i="3"/>
  <c r="BO14" i="3"/>
  <c r="V14" i="3"/>
  <c r="AW14" i="3"/>
  <c r="AE6" i="3"/>
  <c r="BO6" i="3"/>
  <c r="V6" i="3"/>
  <c r="AN6" i="3"/>
  <c r="BF6" i="3"/>
  <c r="AW6" i="3"/>
  <c r="AN10" i="3"/>
  <c r="V10" i="3"/>
  <c r="AE10" i="3"/>
  <c r="AW10" i="3"/>
  <c r="BF10" i="3"/>
  <c r="BO10" i="3"/>
  <c r="AN5" i="3"/>
  <c r="AW5" i="3"/>
  <c r="V5" i="3"/>
  <c r="AE5" i="3"/>
  <c r="BF5" i="3"/>
  <c r="BO5" i="3"/>
  <c r="E16" i="4"/>
  <c r="BE17" i="3"/>
  <c r="E15" i="4" s="1"/>
  <c r="AW17" i="3"/>
  <c r="BF17" i="3"/>
  <c r="U17" i="3"/>
  <c r="E11" i="4" s="1"/>
  <c r="AD17" i="3"/>
  <c r="E12" i="4" s="1"/>
  <c r="AM17" i="3"/>
  <c r="E13" i="4" s="1"/>
  <c r="AV17" i="3"/>
  <c r="E14" i="4" s="1"/>
  <c r="BE8" i="3"/>
  <c r="V8" i="3"/>
  <c r="F10" i="1" l="1"/>
  <c r="C42" i="1"/>
  <c r="AP15" i="3"/>
  <c r="AQ15" i="3"/>
  <c r="AZ15" i="3"/>
  <c r="AY15" i="3"/>
  <c r="BH15" i="3"/>
  <c r="BI15" i="3"/>
  <c r="X15" i="3"/>
  <c r="Y15" i="3"/>
  <c r="AG15" i="3"/>
  <c r="AH15" i="3"/>
  <c r="BQ15" i="3"/>
  <c r="BR15" i="3"/>
  <c r="X12" i="3"/>
  <c r="Y12" i="3"/>
  <c r="AG12" i="3"/>
  <c r="AH12" i="3"/>
  <c r="AP12" i="3"/>
  <c r="AQ12" i="3"/>
  <c r="AY12" i="3"/>
  <c r="AZ12" i="3"/>
  <c r="BH12" i="3"/>
  <c r="BI12" i="3"/>
  <c r="BQ12" i="3"/>
  <c r="BR12" i="3"/>
  <c r="AQ9" i="3"/>
  <c r="AP9" i="3"/>
  <c r="BQ9" i="3"/>
  <c r="BR9" i="3"/>
  <c r="AH9" i="3"/>
  <c r="AG9" i="3"/>
  <c r="AY9" i="3"/>
  <c r="AZ9" i="3"/>
  <c r="X9" i="3"/>
  <c r="Y9" i="3"/>
  <c r="BH9" i="3"/>
  <c r="BI9" i="3"/>
  <c r="X16" i="3"/>
  <c r="Y16" i="3"/>
  <c r="AG16" i="3"/>
  <c r="AH16" i="3"/>
  <c r="AP16" i="3"/>
  <c r="AQ16" i="3"/>
  <c r="AY16" i="3"/>
  <c r="AZ16" i="3"/>
  <c r="BH16" i="3"/>
  <c r="BI16" i="3"/>
  <c r="BQ16" i="3"/>
  <c r="BR16" i="3"/>
  <c r="AH18" i="3"/>
  <c r="AG18" i="3"/>
  <c r="AY18" i="3"/>
  <c r="AZ18" i="3"/>
  <c r="BQ18" i="3"/>
  <c r="BR18" i="3"/>
  <c r="AP18" i="3"/>
  <c r="AQ18" i="3"/>
  <c r="BH18" i="3"/>
  <c r="BI18" i="3"/>
  <c r="X18" i="3"/>
  <c r="Y18" i="3"/>
  <c r="X21" i="3"/>
  <c r="Y21" i="3"/>
  <c r="AG21" i="3"/>
  <c r="AH21" i="3"/>
  <c r="AP21" i="3"/>
  <c r="AQ21" i="3"/>
  <c r="AY21" i="3"/>
  <c r="AZ21" i="3"/>
  <c r="BH21" i="3"/>
  <c r="BI21" i="3"/>
  <c r="BQ21" i="3"/>
  <c r="BR21" i="3"/>
  <c r="X19" i="3"/>
  <c r="Y19" i="3"/>
  <c r="AY19" i="3"/>
  <c r="AZ19" i="3"/>
  <c r="BH19" i="3"/>
  <c r="BI19" i="3"/>
  <c r="BQ19" i="3"/>
  <c r="BR19" i="3"/>
  <c r="AG19" i="3"/>
  <c r="AH19" i="3"/>
  <c r="AP19" i="3"/>
  <c r="AQ19" i="3"/>
  <c r="X23" i="3"/>
  <c r="Y23" i="3"/>
  <c r="AG23" i="3"/>
  <c r="AH23" i="3"/>
  <c r="AP23" i="3"/>
  <c r="AQ23" i="3"/>
  <c r="AY23" i="3"/>
  <c r="AZ23" i="3"/>
  <c r="BH23" i="3"/>
  <c r="BI23" i="3"/>
  <c r="BQ23" i="3"/>
  <c r="BR23" i="3"/>
  <c r="BI11" i="3"/>
  <c r="BH11" i="3"/>
  <c r="BQ11" i="3"/>
  <c r="BR11" i="3"/>
  <c r="X11" i="3"/>
  <c r="Y11" i="3"/>
  <c r="AH11" i="3"/>
  <c r="AG11" i="3"/>
  <c r="AP11" i="3"/>
  <c r="AQ11" i="3"/>
  <c r="AZ11" i="3"/>
  <c r="AY11" i="3"/>
  <c r="X20" i="3"/>
  <c r="Y20" i="3"/>
  <c r="AG20" i="3"/>
  <c r="AH20" i="3"/>
  <c r="AP20" i="3"/>
  <c r="AQ20" i="3"/>
  <c r="AY20" i="3"/>
  <c r="AZ20" i="3"/>
  <c r="BH20" i="3"/>
  <c r="BI20" i="3"/>
  <c r="BQ20" i="3"/>
  <c r="BR20" i="3"/>
  <c r="X7" i="3"/>
  <c r="Y7" i="3"/>
  <c r="AG7" i="3"/>
  <c r="AH7" i="3"/>
  <c r="AP7" i="3"/>
  <c r="AQ7" i="3"/>
  <c r="AY7" i="3"/>
  <c r="AZ7" i="3"/>
  <c r="BH7" i="3"/>
  <c r="BI7" i="3"/>
  <c r="BQ7" i="3"/>
  <c r="BR7" i="3"/>
  <c r="AG14" i="3"/>
  <c r="AH14" i="3"/>
  <c r="AP14" i="3"/>
  <c r="AQ14" i="3"/>
  <c r="BH14" i="3"/>
  <c r="BI14" i="3"/>
  <c r="BQ14" i="3"/>
  <c r="BR14" i="3"/>
  <c r="X14" i="3"/>
  <c r="Y14" i="3"/>
  <c r="AY14" i="3"/>
  <c r="AZ14" i="3"/>
  <c r="AG6" i="3"/>
  <c r="AH6" i="3"/>
  <c r="BQ6" i="3"/>
  <c r="BR6" i="3"/>
  <c r="X6" i="3"/>
  <c r="Y6" i="3"/>
  <c r="AQ6" i="3"/>
  <c r="AP6" i="3"/>
  <c r="BH6" i="3"/>
  <c r="BI6" i="3"/>
  <c r="AY6" i="3"/>
  <c r="AZ6" i="3"/>
  <c r="AP10" i="3"/>
  <c r="AQ10" i="3"/>
  <c r="Y10" i="3"/>
  <c r="X10" i="3"/>
  <c r="AH10" i="3"/>
  <c r="AG10" i="3"/>
  <c r="AY10" i="3"/>
  <c r="AZ10" i="3"/>
  <c r="BI10" i="3"/>
  <c r="BH10" i="3"/>
  <c r="BQ10" i="3"/>
  <c r="BR10" i="3"/>
  <c r="AQ5" i="3"/>
  <c r="B7" i="5" s="1"/>
  <c r="B67" i="1" s="1"/>
  <c r="AP5" i="3"/>
  <c r="AZ5" i="3"/>
  <c r="AY5" i="3"/>
  <c r="Y5" i="3"/>
  <c r="X5" i="3"/>
  <c r="AG5" i="3"/>
  <c r="AH5" i="3"/>
  <c r="B6" i="5" s="1"/>
  <c r="BH5" i="3"/>
  <c r="BI5" i="3"/>
  <c r="BQ5" i="3"/>
  <c r="BR5" i="3"/>
  <c r="B10" i="5" s="1"/>
  <c r="D24" i="1"/>
  <c r="L16" i="4"/>
  <c r="H16" i="4"/>
  <c r="G16" i="4"/>
  <c r="D23" i="1"/>
  <c r="L15" i="4"/>
  <c r="K15" i="4" s="1"/>
  <c r="J23" i="1" s="1"/>
  <c r="H15" i="4"/>
  <c r="G15" i="4"/>
  <c r="AZ17" i="3"/>
  <c r="AY17" i="3"/>
  <c r="BI17" i="3"/>
  <c r="BH17" i="3"/>
  <c r="D19" i="1"/>
  <c r="L11" i="4"/>
  <c r="K11" i="4" s="1"/>
  <c r="J19" i="1" s="1"/>
  <c r="H11" i="4"/>
  <c r="G11" i="4"/>
  <c r="D20" i="1"/>
  <c r="L12" i="4"/>
  <c r="K12" i="4" s="1"/>
  <c r="J20" i="1" s="1"/>
  <c r="H12" i="4"/>
  <c r="G12" i="4"/>
  <c r="D21" i="1"/>
  <c r="L13" i="4"/>
  <c r="K13" i="4" s="1"/>
  <c r="J21" i="1" s="1"/>
  <c r="H13" i="4"/>
  <c r="G13" i="4"/>
  <c r="I13" i="4" s="1"/>
  <c r="H21" i="1" s="1"/>
  <c r="D22" i="1"/>
  <c r="L14" i="4"/>
  <c r="K14" i="4" s="1"/>
  <c r="J22" i="1" s="1"/>
  <c r="H14" i="4"/>
  <c r="G14" i="4"/>
  <c r="Y8" i="3"/>
  <c r="X8" i="3"/>
  <c r="G17" i="4"/>
  <c r="F30" i="1" s="1"/>
  <c r="H17" i="4"/>
  <c r="I17" i="4"/>
  <c r="H30" i="1" s="1"/>
  <c r="L17" i="4"/>
  <c r="K17" i="4" s="1"/>
  <c r="J30" i="1" s="1"/>
  <c r="D30" i="1"/>
  <c r="D31" i="1"/>
  <c r="G18" i="4"/>
  <c r="F31" i="1" s="1"/>
  <c r="H18" i="4"/>
  <c r="G31" i="1" s="1"/>
  <c r="I18" i="4"/>
  <c r="H31" i="1" s="1"/>
  <c r="J18" i="4"/>
  <c r="I31" i="1" s="1"/>
  <c r="L18" i="4"/>
  <c r="K18" i="4" s="1"/>
  <c r="J31" i="1" s="1"/>
  <c r="H19" i="4"/>
  <c r="I19" i="4"/>
  <c r="H32" i="1" s="1"/>
  <c r="L19" i="4"/>
  <c r="K19" i="4" s="1"/>
  <c r="J32" i="1" s="1"/>
  <c r="D32" i="1"/>
  <c r="L21" i="4"/>
  <c r="D34" i="1"/>
  <c r="G21" i="4"/>
  <c r="H21" i="4"/>
  <c r="I21" i="4"/>
  <c r="H34" i="1" s="1"/>
  <c r="K21" i="4"/>
  <c r="J34" i="1" s="1"/>
  <c r="F35" i="1"/>
  <c r="I22" i="4"/>
  <c r="H35" i="1" s="1"/>
  <c r="G35" i="1"/>
  <c r="J22" i="4"/>
  <c r="I35" i="1" s="1"/>
  <c r="G10" i="1"/>
  <c r="J7" i="4"/>
  <c r="I10" i="1" s="1"/>
  <c r="G9" i="1"/>
  <c r="J6" i="4"/>
  <c r="I9" i="1" s="1"/>
  <c r="G8" i="1"/>
  <c r="J5" i="4"/>
  <c r="I8" i="1" s="1"/>
  <c r="G11" i="1"/>
  <c r="J8" i="4"/>
  <c r="I11" i="1" s="1"/>
  <c r="H7" i="5" l="1"/>
  <c r="F7" i="5"/>
  <c r="G7" i="5" s="1"/>
  <c r="J7" i="5" s="1"/>
  <c r="F8" i="5"/>
  <c r="H8" i="5"/>
  <c r="I8" i="5" s="1"/>
  <c r="K8" i="5" s="1"/>
  <c r="F5" i="5"/>
  <c r="G5" i="5" s="1"/>
  <c r="J5" i="5" s="1"/>
  <c r="H5" i="5"/>
  <c r="I5" i="5" s="1"/>
  <c r="K5" i="5" s="1"/>
  <c r="H6" i="5"/>
  <c r="I6" i="5" s="1"/>
  <c r="K6" i="5" s="1"/>
  <c r="F6" i="5"/>
  <c r="G6" i="5" s="1"/>
  <c r="J6" i="5" s="1"/>
  <c r="L6" i="5" s="1"/>
  <c r="H9" i="5"/>
  <c r="F9" i="5"/>
  <c r="H10" i="5"/>
  <c r="I10" i="5" s="1"/>
  <c r="K10" i="5" s="1"/>
  <c r="F10" i="5"/>
  <c r="G10" i="5" s="1"/>
  <c r="J10" i="5" s="1"/>
  <c r="L10" i="5" s="1"/>
  <c r="F21" i="1"/>
  <c r="C54" i="1"/>
  <c r="C59" i="1"/>
  <c r="F34" i="1"/>
  <c r="B8" i="5"/>
  <c r="B5" i="5"/>
  <c r="B9" i="5"/>
  <c r="B71" i="1" s="1"/>
  <c r="C55" i="1"/>
  <c r="K16" i="4"/>
  <c r="J24" i="1" s="1"/>
  <c r="G24" i="1"/>
  <c r="J16" i="4"/>
  <c r="I24" i="1" s="1"/>
  <c r="F24" i="1"/>
  <c r="I16" i="4"/>
  <c r="H24" i="1" s="1"/>
  <c r="G23" i="1"/>
  <c r="J15" i="4"/>
  <c r="I23" i="1" s="1"/>
  <c r="F23" i="1"/>
  <c r="I15" i="4"/>
  <c r="H23" i="1" s="1"/>
  <c r="G19" i="1"/>
  <c r="J11" i="4"/>
  <c r="I19" i="1" s="1"/>
  <c r="F19" i="1"/>
  <c r="I11" i="4"/>
  <c r="H19" i="1" s="1"/>
  <c r="G20" i="1"/>
  <c r="J12" i="4"/>
  <c r="I20" i="1" s="1"/>
  <c r="F20" i="1"/>
  <c r="I12" i="4"/>
  <c r="H20" i="1" s="1"/>
  <c r="G21" i="1"/>
  <c r="J13" i="4"/>
  <c r="I21" i="1" s="1"/>
  <c r="G22" i="1"/>
  <c r="J14" i="4"/>
  <c r="I22" i="1" s="1"/>
  <c r="F22" i="1"/>
  <c r="I14" i="4"/>
  <c r="H22" i="1" s="1"/>
  <c r="G30" i="1"/>
  <c r="J17" i="4"/>
  <c r="I30" i="1" s="1"/>
  <c r="G32" i="1"/>
  <c r="J19" i="4"/>
  <c r="I32" i="1" s="1"/>
  <c r="G34" i="1"/>
  <c r="J21" i="4"/>
  <c r="I34" i="1" s="1"/>
  <c r="B68" i="1" l="1"/>
  <c r="I7" i="5"/>
  <c r="B72" i="1"/>
  <c r="I9" i="5"/>
  <c r="G9" i="5"/>
  <c r="J9" i="5" s="1"/>
  <c r="G8" i="5"/>
  <c r="J8" i="5" s="1"/>
  <c r="L8" i="5" s="1"/>
  <c r="L5" i="5"/>
  <c r="K7" i="5" l="1"/>
  <c r="L7" i="5" s="1"/>
  <c r="B69" i="1"/>
  <c r="K9" i="5"/>
  <c r="L9" i="5" s="1"/>
  <c r="B74" i="1" s="1"/>
  <c r="B73" i="1"/>
  <c r="B70" i="1" l="1"/>
  <c r="B36" i="5"/>
  <c r="B77" i="1" s="1"/>
</calcChain>
</file>

<file path=xl/sharedStrings.xml><?xml version="1.0" encoding="utf-8"?>
<sst xmlns="http://schemas.openxmlformats.org/spreadsheetml/2006/main" count="1184" uniqueCount="675">
  <si>
    <t>SELF-MONITORING REPORT, THIRD QUARTER 2026 (JULY 1 THROUGH SEPTEMBER 30, 2026)</t>
  </si>
  <si>
    <t>Permittee: Vandeveer Plating LLC, 2140 Chicago Drive SW, Wyoming, Michigan 49519</t>
  </si>
  <si>
    <t>Wastewater Discharge Permit No. IP-0421, City of Wyoming Clean Water Plant, Industrial Pretreatment Program</t>
  </si>
  <si>
    <t>Report prepared October 12, 2026 for the Plant Manager's signature. Sampling point: Outfall 001, pretreatment system effluent. Report format per Attachment B; due to the City by October 15, 2026 under Section 3.1.</t>
  </si>
  <si>
    <t>JULY 2026</t>
  </si>
  <si>
    <t>PARAMETER</t>
  </si>
  <si>
    <t>DAILY MAXIMUM LIMIT MG/L</t>
  </si>
  <si>
    <t>MONTHLY AVERAGE LIMIT MG/L</t>
  </si>
  <si>
    <t>VALID SAMPLES</t>
  </si>
  <si>
    <t>REQUIRED</t>
  </si>
  <si>
    <t>MONTHLY AVERAGE MG/L</t>
  </si>
  <si>
    <t>DAILY MAXIMUM MG/L</t>
  </si>
  <si>
    <t>MONTHLY AVERAGE MET</t>
  </si>
  <si>
    <t>DAILY MAXIMUM MET</t>
  </si>
  <si>
    <t>FREQUENCY MET</t>
  </si>
  <si>
    <t>Cadmium, total</t>
  </si>
  <si>
    <t>Chromium, total</t>
  </si>
  <si>
    <t>Copper, total</t>
  </si>
  <si>
    <t>Nickel, total</t>
  </si>
  <si>
    <t>Zinc, total</t>
  </si>
  <si>
    <t>Cyanide, total</t>
  </si>
  <si>
    <t>pH, standard units, Outfall 001 grabs at sampling</t>
  </si>
  <si>
    <t>6.0 to 9.0</t>
  </si>
  <si>
    <t>not applicable</t>
  </si>
  <si>
    <t>In-line meter: no excursion; the 9.0 high of 07/22/2026 is inside the range</t>
  </si>
  <si>
    <t>Met</t>
  </si>
  <si>
    <t>Flow, gallons per day</t>
  </si>
  <si>
    <t>daily</t>
  </si>
  <si>
    <t>AUGUST 2026</t>
  </si>
  <si>
    <t>In-line meter: one excursion, 08/20/2026, high reading 9.2</t>
  </si>
  <si>
    <t>Exceeded</t>
  </si>
  <si>
    <t>SEPTEMBER 2026</t>
  </si>
  <si>
    <t>In-line meter: one excursion, 09/17/2026; the 6.0 low of 09/11/2026 is inside the range</t>
  </si>
  <si>
    <t>VIOLATIONS IN THE QUARTER</t>
  </si>
  <si>
    <t>DATE</t>
  </si>
  <si>
    <t>PARAMETER OR CONDITION</t>
  </si>
  <si>
    <t>VALUE</t>
  </si>
  <si>
    <t>LIMITATION</t>
  </si>
  <si>
    <t>PERMIT SECTION</t>
  </si>
  <si>
    <t>CAUSE AS KNOWN</t>
  </si>
  <si>
    <t>07/21/2026</t>
  </si>
  <si>
    <t>Copper, daily maximum, sample VP-260721</t>
  </si>
  <si>
    <t>3.38 mg/L</t>
  </si>
  <si>
    <t>Part I</t>
  </si>
  <si>
    <t>Not established in the file; the August log shows copper work under way at the plant</t>
  </si>
  <si>
    <t>July 2026</t>
  </si>
  <si>
    <t>Copper, monthly average, one valid sample</t>
  </si>
  <si>
    <t>2.07 mg/L</t>
  </si>
  <si>
    <t>The 07/21/2026 result stands alone because the 07/07/2026 composite was not a valid sample</t>
  </si>
  <si>
    <t>Cadmium, chromium, copper and nickel, monitoring frequency</t>
  </si>
  <si>
    <t>2 valid samples, 10 days apart</t>
  </si>
  <si>
    <t>Section 2.1 and Section 2.3</t>
  </si>
  <si>
    <t>The 07/07/2026 composite stopped at 15:10 on 07/06/2026 with 9 aliquots, against at least twelve across the 24 hours; no replacement composite was collected in July</t>
  </si>
  <si>
    <t>Zinc, monitoring frequency, no valid sample</t>
  </si>
  <si>
    <t>The 07/07/2026 composite was not valid, and the laboratory has rejected the zinc result of 07/21/2026 after a failed calibration verification</t>
  </si>
  <si>
    <t>07/26/2026</t>
  </si>
  <si>
    <t>Repeat sampling result on the copper exceedance of 06/16/2026 not at the City within 30 days of the 06/26/2026 report</t>
  </si>
  <si>
    <t>first valid result 07/30/2026</t>
  </si>
  <si>
    <t>30 days</t>
  </si>
  <si>
    <t>Section 3.3</t>
  </si>
  <si>
    <t>The 07/07/2026 composite was not a valid sample, and the next copper result was the 07/21/2026 sample</t>
  </si>
  <si>
    <t>Repeat sampling result on the zinc exceedance of 06/16/2026 not at the City within 30 days of the 06/26/2026 report</t>
  </si>
  <si>
    <t>first valid result 08/27/2026</t>
  </si>
  <si>
    <t>The 07/07/2026 composite was not valid and the laboratory rejected the 07/21/2026 zinc, so the next zinc result was the 08/11/2026 sample</t>
  </si>
  <si>
    <t>08/11/2026</t>
  </si>
  <si>
    <t>Copper, daily maximum, sample VP-260811</t>
  </si>
  <si>
    <t>08/13/2026</t>
  </si>
  <si>
    <t>Flow, daily, worked from the totalizer register</t>
  </si>
  <si>
    <t>45,000 gallons per day</t>
  </si>
  <si>
    <t>Zinc line on two shifts with overtime per the log</t>
  </si>
  <si>
    <t>08/14/2026</t>
  </si>
  <si>
    <t>Telephone notice of the 08/13/2026 flow not made</t>
  </si>
  <si>
    <t>none made</t>
  </si>
  <si>
    <t>24 hours</t>
  </si>
  <si>
    <t>Section 3.2</t>
  </si>
  <si>
    <t>No call in the City's telephone log</t>
  </si>
  <si>
    <t>08/19/2026</t>
  </si>
  <si>
    <t>Copper, daily maximum, additional sample VP-260818</t>
  </si>
  <si>
    <t>08/20/2026</t>
  </si>
  <si>
    <t>pH, in-line meter, high reading for the day</t>
  </si>
  <si>
    <t>9.2</t>
  </si>
  <si>
    <t>Section 2.4 and Section 4.2</t>
  </si>
  <si>
    <t>Caustic feed valve serviced at 11:00 per the log; the time and duration are on the chart and not in the log</t>
  </si>
  <si>
    <t>08/21/2026</t>
  </si>
  <si>
    <t>Telephone notice and written report of the 08/20/2026 pH reading not made</t>
  </si>
  <si>
    <t>24 hours and 5 days</t>
  </si>
  <si>
    <t>No call in the City's telephone log and no written report among those the City holds</t>
  </si>
  <si>
    <t>08/25/2026</t>
  </si>
  <si>
    <t>Copper, daily maximum, sample VP-260825, Revision 1</t>
  </si>
  <si>
    <t>August 2026</t>
  </si>
  <si>
    <t>Copper, monthly average, three valid samples</t>
  </si>
  <si>
    <t>Same cause as the daily maximum exceedances</t>
  </si>
  <si>
    <t>Cyanide, monitoring frequency, days between the two valid samples</t>
  </si>
  <si>
    <t>10 days apart</t>
  </si>
  <si>
    <t>Cyanide of sample VP-260811 analyzed 08/26/2026, 15 days after collection, outside the 14-day holding time; the valid grabs are those of 08/19/2026 and 08/25/2026</t>
  </si>
  <si>
    <t>08/27/2026</t>
  </si>
  <si>
    <t>Telephone notice of the 3.45 mg/L copper on sample VP-260818 left as a voicemail at 17:05</t>
  </si>
  <si>
    <t>25 hours 25 minutes</t>
  </si>
  <si>
    <t>Report issued 08/26/2026 at 15:40; the voicemail is in the operator's log and not in the City's telephone log</t>
  </si>
  <si>
    <t>08/28/2026</t>
  </si>
  <si>
    <t>Telephone notice of the 4.33 mg/L copper on sample VP-260811 made at 16:10</t>
  </si>
  <si>
    <t>30 hours 40 minutes</t>
  </si>
  <si>
    <t>Report issued 08/27/2026 at 09:30</t>
  </si>
  <si>
    <t>09/09/2026</t>
  </si>
  <si>
    <t>Zinc, daily maximum, sample VP-260909</t>
  </si>
  <si>
    <t>2.61 mg/L</t>
  </si>
  <si>
    <t>Rinse tank RT-4 overflow during the composite</t>
  </si>
  <si>
    <t>September 2026</t>
  </si>
  <si>
    <t>Zinc, monthly average</t>
  </si>
  <si>
    <t>1.48 mg/L</t>
  </si>
  <si>
    <t>The 09/09/2026 result carries the month</t>
  </si>
  <si>
    <t>Flow, daily discharge, metered flow plus the volume around the meter</t>
  </si>
  <si>
    <t>Metered 43,650 gallons, with about 2,900 gallons of rinse water pumped to the sewer connection downstream of the totalizer</t>
  </si>
  <si>
    <t>Bypass of the pretreatment system, 07:50 for about 35 minutes</t>
  </si>
  <si>
    <t>2,900 gallons</t>
  </si>
  <si>
    <t>No bypass</t>
  </si>
  <si>
    <t>Section 4.1</t>
  </si>
  <si>
    <t>Level float on RT-4 stuck; float replaced 09/10/2026</t>
  </si>
  <si>
    <t>09/10/2026</t>
  </si>
  <si>
    <t>Telephone notice of the bypass made at 16:30</t>
  </si>
  <si>
    <t>32 hours 40 minutes</t>
  </si>
  <si>
    <t>Notice made the afternoon after the event</t>
  </si>
  <si>
    <t>09/15/2026</t>
  </si>
  <si>
    <t>Telephone notice of the 4.15 mg/L copper on sample VP-260825 not made</t>
  </si>
  <si>
    <t>Revision 1 issued 09/14/2026 at 10:15; no call in the City's telephone log</t>
  </si>
  <si>
    <t>09/17/2026</t>
  </si>
  <si>
    <t>pH, in-line meter, 14:10 to 14:55</t>
  </si>
  <si>
    <t>5.8</t>
  </si>
  <si>
    <t>Acid dump from the pickle tank; caustic feed increased, pH 6.9 by 15:00</t>
  </si>
  <si>
    <t>SIX-MONTH SIGNIFICANT NONCOMPLIANCE EVALUATION, APRIL THROUGH SEPTEMBER 2026</t>
  </si>
  <si>
    <t>Copper measurements in the period, one for each day with a valid result at Outfall 001</t>
  </si>
  <si>
    <t>Copper measurements above the technical review criterion threshold</t>
  </si>
  <si>
    <t>Copper share above the technical review criterion threshold, percent</t>
  </si>
  <si>
    <t>Copper significant noncompliance status</t>
  </si>
  <si>
    <t>Zinc measurements in the period, one for each day with a valid result at Outfall 001</t>
  </si>
  <si>
    <t>Zinc measurements above the technical review criterion threshold</t>
  </si>
  <si>
    <t>Zinc share above the technical review criterion threshold, percent</t>
  </si>
  <si>
    <t>Zinc significant noncompliance status</t>
  </si>
  <si>
    <t>Threshold for the technical review criterion test, percent</t>
  </si>
  <si>
    <t>First quarter report, days received after its due date</t>
  </si>
  <si>
    <t>Plant status for the six-month period</t>
  </si>
  <si>
    <t>No parameter reaches either percentage threshold; the evaluation tab carries every parameter. The first quarter report reached the City on 06/04/2026 against its 04/15/2026 due date, and the forty-fifth day fell inside the period, so the report arm of Section 3.4 is met. The second quarter report reached the City on 07/14/2026 against its 07/15/2026 due date.</t>
  </si>
  <si>
    <t>CERTIFICATION</t>
  </si>
  <si>
    <t>I certify under penalty of law that this document and all attachments were prepared under my direction or supervision in accordance with a system designed to assure that qualified personnel properly gather and evaluate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 and imprisonment for knowing violations.</t>
  </si>
  <si>
    <t>Authorized representative: ______________________________</t>
  </si>
  <si>
    <t>Name: Gordon Pfeiffer</t>
  </si>
  <si>
    <t>Title: Plant Manager</t>
  </si>
  <si>
    <t>Date: ______________</t>
  </si>
  <si>
    <t>Permit limitations and computation parameters, Wastewater Discharge Permit IP-0421</t>
  </si>
  <si>
    <t>MDL MG/L</t>
  </si>
  <si>
    <t>SOURCE</t>
  </si>
  <si>
    <t>Part I of the permit; MDL from the laboratory's Methods tab</t>
  </si>
  <si>
    <t>OTHER PARAMETER</t>
  </si>
  <si>
    <t>Daily flow limit, gallons per day</t>
  </si>
  <si>
    <t>Part I of the permit</t>
  </si>
  <si>
    <t>pH range, standard units, lower bound</t>
  </si>
  <si>
    <t>pH range, standard units, upper bound</t>
  </si>
  <si>
    <t>Required valid samples per parameter per month</t>
  </si>
  <si>
    <t>Section 2.1 of the permit</t>
  </si>
  <si>
    <t>Technical review criterion for metals and cyanide</t>
  </si>
  <si>
    <t>Section 3.4 of the permit</t>
  </si>
  <si>
    <t>Chronic significant noncompliance threshold, percent of measurements</t>
  </si>
  <si>
    <t>Technical review criterion significant noncompliance threshold, percent of measurements</t>
  </si>
  <si>
    <t>Telephone notice, hours after becoming aware</t>
  </si>
  <si>
    <t>Section 3.2 of the permit</t>
  </si>
  <si>
    <t>Written report, days after the event</t>
  </si>
  <si>
    <t>Repeat sampling result at the City, days after becoming aware of a daily maximum exceedance</t>
  </si>
  <si>
    <t>Section 3.3 of the permit</t>
  </si>
  <si>
    <t>Self-monitoring report due, day of the month after the quarter</t>
  </si>
  <si>
    <t>Section 3.1 of the permit</t>
  </si>
  <si>
    <t>Holding time, total metals, months from collection</t>
  </si>
  <si>
    <t>Section 2.3 of the permit (40 CFR Part 136); 6 months for total metals on the laboratory's Methods tab</t>
  </si>
  <si>
    <t>Holding time, total cyanide, days from collection</t>
  </si>
  <si>
    <t>Section 2.3 of the permit (40 CFR Part 136); 14 days on the laboratory's Methods tab</t>
  </si>
  <si>
    <t>Aliquots required in a 24-hour composite, at least</t>
  </si>
  <si>
    <t>Six-month evaluation period, first day</t>
  </si>
  <si>
    <t>04/01/2026</t>
  </si>
  <si>
    <t>Section 3.4 of the permit and the Coordinator's note of September 30, 2026</t>
  </si>
  <si>
    <t>Six-month evaluation period, last day</t>
  </si>
  <si>
    <t>09/30/2026</t>
  </si>
  <si>
    <t>First day of the period as a serial</t>
  </si>
  <si>
    <t>Worked from row 26 for the date tests on the laboratory data</t>
  </si>
  <si>
    <t>Last day of the period as a serial</t>
  </si>
  <si>
    <t>Worked from row 27 for the date tests on the laboratory data</t>
  </si>
  <si>
    <t>Days apart required between the valid samples of a month, at least</t>
  </si>
  <si>
    <t>Laboratory results April through September 2026 as reported (lab_results_apr_sep2026.xlsx), with the City's two composites from the Coordinator's note</t>
  </si>
  <si>
    <t>RESULT and QUAL are the laboratory's figures as printed. REVISED carries a figure from a revised report, and the revised result replaces the result first reported (Section 2.2). REJECTED is Y where the laboratory has rejected the result in its case narrative. ALIQUOTS is from the operator logs. COLLECTED is the day on which the composite is pulled (Section 2.2), taken from the operator logs where they show it. VALID marks a valid sample result collected by the permittee for the monthly figures. MEASUREMENT marks a valid result from Outfall 001 inside the six-month period, whether the sample was collected by the permittee or by the City (Section 3.4). TREATED carries a U result at zero for averaging (Section 2.2). DAY VALUE averages the valid results of the same calendar day, and DAY COUNTED marks the one measurement for that day (Section 3.4).</t>
  </si>
  <si>
    <t>A result is not valid where the composite held fewer than twelve aliquots across the 24 hours, where the analysis fell outside the holding time (6 months for total metals, 14 days for cyanide, an analysis on the fourteenth day being inside it), or where the laboratory has rejected it (Section 2.3). A sample taken anywhere but Outfall 001 is process control information (Section 2.5). A grab is one dip and not a composite of twelve aliquots, so a metals grab, the City's included, is not collected as Section 2.1 requires (Section 2.3).</t>
  </si>
  <si>
    <t>SAMPLE ID</t>
  </si>
  <si>
    <t>COLLECTED</t>
  </si>
  <si>
    <t>MONTH</t>
  </si>
  <si>
    <t>TYPE</t>
  </si>
  <si>
    <t>COLLECTED BY</t>
  </si>
  <si>
    <t>SAMPLED AT</t>
  </si>
  <si>
    <t>AT OUTFALL 001</t>
  </si>
  <si>
    <t>ALIQUOTS</t>
  </si>
  <si>
    <t>COMPOSITE OK</t>
  </si>
  <si>
    <t>IN PERIOD</t>
  </si>
  <si>
    <t>METALS ANALYZED</t>
  </si>
  <si>
    <t>CYANIDE ANALYZED</t>
  </si>
  <si>
    <t>METALS HOLD DAYS</t>
  </si>
  <si>
    <t>CYANIDE HOLD DAYS</t>
  </si>
  <si>
    <t>METALS HOLD OK</t>
  </si>
  <si>
    <t>CYANIDE HOLD OK</t>
  </si>
  <si>
    <t>Cd RESULT</t>
  </si>
  <si>
    <t>Cd QUAL</t>
  </si>
  <si>
    <t>Cd REVISED</t>
  </si>
  <si>
    <t>Cd REJECTED</t>
  </si>
  <si>
    <t>Cd VALID</t>
  </si>
  <si>
    <t>Cd MEASUREMENT</t>
  </si>
  <si>
    <t>Cd TREATED</t>
  </si>
  <si>
    <t>Cd DAY VALUE</t>
  </si>
  <si>
    <t>Cd DAY COUNTED</t>
  </si>
  <si>
    <t>Cr RESULT</t>
  </si>
  <si>
    <t>Cr QUAL</t>
  </si>
  <si>
    <t>Cr REVISED</t>
  </si>
  <si>
    <t>Cr REJECTED</t>
  </si>
  <si>
    <t>Cr VALID</t>
  </si>
  <si>
    <t>Cr MEASUREMENT</t>
  </si>
  <si>
    <t>Cr TREATED</t>
  </si>
  <si>
    <t>Cr DAY VALUE</t>
  </si>
  <si>
    <t>Cr DAY COUNTED</t>
  </si>
  <si>
    <t>Cu RESULT</t>
  </si>
  <si>
    <t>Cu QUAL</t>
  </si>
  <si>
    <t>Cu REVISED</t>
  </si>
  <si>
    <t>Cu REJECTED</t>
  </si>
  <si>
    <t>Cu VALID</t>
  </si>
  <si>
    <t>Cu MEASUREMENT</t>
  </si>
  <si>
    <t>Cu TREATED</t>
  </si>
  <si>
    <t>Cu DAY VALUE</t>
  </si>
  <si>
    <t>Cu DAY COUNTED</t>
  </si>
  <si>
    <t>Ni RESULT</t>
  </si>
  <si>
    <t>Ni QUAL</t>
  </si>
  <si>
    <t>Ni REVISED</t>
  </si>
  <si>
    <t>Ni REJECTED</t>
  </si>
  <si>
    <t>Ni VALID</t>
  </si>
  <si>
    <t>Ni MEASUREMENT</t>
  </si>
  <si>
    <t>Ni TREATED</t>
  </si>
  <si>
    <t>Ni DAY VALUE</t>
  </si>
  <si>
    <t>Ni DAY COUNTED</t>
  </si>
  <si>
    <t>Zn RESULT</t>
  </si>
  <si>
    <t>Zn QUAL</t>
  </si>
  <si>
    <t>Zn REVISED</t>
  </si>
  <si>
    <t>Zn REJECTED</t>
  </si>
  <si>
    <t>Zn VALID</t>
  </si>
  <si>
    <t>Zn MEASUREMENT</t>
  </si>
  <si>
    <t>Zn TREATED</t>
  </si>
  <si>
    <t>Zn DAY VALUE</t>
  </si>
  <si>
    <t>Zn DAY COUNTED</t>
  </si>
  <si>
    <t>CN RESULT</t>
  </si>
  <si>
    <t>CN QUAL</t>
  </si>
  <si>
    <t>CN REVISED</t>
  </si>
  <si>
    <t>CN REJECTED</t>
  </si>
  <si>
    <t>CN VALID</t>
  </si>
  <si>
    <t>CN MEASUREMENT</t>
  </si>
  <si>
    <t>CN TREATED</t>
  </si>
  <si>
    <t>CN DAY VALUE</t>
  </si>
  <si>
    <t>CN DAY COUNTED</t>
  </si>
  <si>
    <t>FIELD PH</t>
  </si>
  <si>
    <t>REPORT NO.</t>
  </si>
  <si>
    <t>REPORT ISSUED</t>
  </si>
  <si>
    <t>DATE ON THE LAB FILE</t>
  </si>
  <si>
    <t>BASIS FOR THE CALL</t>
  </si>
  <si>
    <t>COLLECTED, SERIAL</t>
  </si>
  <si>
    <t>METALS ANALYZED, SERIAL</t>
  </si>
  <si>
    <t>CYANIDE ANALYZED, SERIAL</t>
  </si>
  <si>
    <t>VP-260331</t>
  </si>
  <si>
    <t>03/31/2026</t>
  </si>
  <si>
    <t>Mar</t>
  </si>
  <si>
    <t>Routine</t>
  </si>
  <si>
    <t>Permittee</t>
  </si>
  <si>
    <t>OF-001</t>
  </si>
  <si>
    <t>04/03/2026</t>
  </si>
  <si>
    <t>04/04/2026</t>
  </si>
  <si>
    <t>GLA-26-1187</t>
  </si>
  <si>
    <t>04/09/2026 10:20</t>
  </si>
  <si>
    <t>Collected before April 1, outside the six-month period</t>
  </si>
  <si>
    <t>VP-260407</t>
  </si>
  <si>
    <t>04/07/2026</t>
  </si>
  <si>
    <t>Apr</t>
  </si>
  <si>
    <t>05/14/2026</t>
  </si>
  <si>
    <t>04/12/2026</t>
  </si>
  <si>
    <t>U</t>
  </si>
  <si>
    <t>GLA-26-1214</t>
  </si>
  <si>
    <t>05/15/2026 10:40</t>
  </si>
  <si>
    <t>Metals analyzed at 37 days, inside the 6 months</t>
  </si>
  <si>
    <t>VP-260421</t>
  </si>
  <si>
    <t>04/21/2026</t>
  </si>
  <si>
    <t>04/25/2026</t>
  </si>
  <si>
    <t>04/23/2026</t>
  </si>
  <si>
    <t>GLA-26-1263</t>
  </si>
  <si>
    <t>04/30/2026 15:05</t>
  </si>
  <si>
    <t>VP-260505</t>
  </si>
  <si>
    <t>05/05/2026</t>
  </si>
  <si>
    <t>May</t>
  </si>
  <si>
    <t>05/08/2026</t>
  </si>
  <si>
    <t>05/19/2026</t>
  </si>
  <si>
    <t>X</t>
  </si>
  <si>
    <t>GLA-26-1329</t>
  </si>
  <si>
    <t>05/20/2026 09:15</t>
  </si>
  <si>
    <t>Chromium reported as measured per the narrative; cyanide analyzed on the fourteenth day</t>
  </si>
  <si>
    <t>VP-260519</t>
  </si>
  <si>
    <t>05/26/2026</t>
  </si>
  <si>
    <t>05/25/2026</t>
  </si>
  <si>
    <t>J</t>
  </si>
  <si>
    <t>GLA-26-1388</t>
  </si>
  <si>
    <t>05/29/2026 13:30</t>
  </si>
  <si>
    <t>Cyanide J value used as reported</t>
  </si>
  <si>
    <t>City, first</t>
  </si>
  <si>
    <t>05/27/2026</t>
  </si>
  <si>
    <t>City composite</t>
  </si>
  <si>
    <t>City</t>
  </si>
  <si>
    <t>manhole 44-118</t>
  </si>
  <si>
    <t>under limit</t>
  </si>
  <si>
    <t>NS</t>
  </si>
  <si>
    <t>Sampler set 05/26, composite pulled the next morning (Coordinator's note); manhole 44-118 is Outfall 001</t>
  </si>
  <si>
    <t>VP-260602</t>
  </si>
  <si>
    <t>06/02/2026</t>
  </si>
  <si>
    <t>Jun</t>
  </si>
  <si>
    <t>06/08/2026</t>
  </si>
  <si>
    <t>06/07/2026</t>
  </si>
  <si>
    <t>GLA-26-1441</t>
  </si>
  <si>
    <t>06/12/2026 11:10</t>
  </si>
  <si>
    <t>VP-260616</t>
  </si>
  <si>
    <t>06/16/2026</t>
  </si>
  <si>
    <t>06/20/2026</t>
  </si>
  <si>
    <t>06/18/2026</t>
  </si>
  <si>
    <t>GLA-26-1502</t>
  </si>
  <si>
    <t>06/26/2026 09:50</t>
  </si>
  <si>
    <t>City, grab</t>
  </si>
  <si>
    <t>06/23/2026</t>
  </si>
  <si>
    <t>City grab</t>
  </si>
  <si>
    <t>Grab dipped at manhole 44-118 at 10:40 (Coordinator's note), one dip and not a 24-hour composite of at least twelve aliquots, so not collected as Section 2.1 requires and not a valid sample result</t>
  </si>
  <si>
    <t>VP-260707</t>
  </si>
  <si>
    <t>07/07/2026</t>
  </si>
  <si>
    <t>Jul</t>
  </si>
  <si>
    <t>07/11/2026</t>
  </si>
  <si>
    <t>07/13/2026</t>
  </si>
  <si>
    <t>GLA-26-1611</t>
  </si>
  <si>
    <t>07/16/2026 14:45</t>
  </si>
  <si>
    <t>Sampler stopped at 15:10 on 07/06 with 9 aliquots (July log); the cyanide grab stands</t>
  </si>
  <si>
    <t>VP-260721</t>
  </si>
  <si>
    <t>07/25/2026</t>
  </si>
  <si>
    <t>Y</t>
  </si>
  <si>
    <t>GLA-26-1668</t>
  </si>
  <si>
    <t>07/30/2026 14:05</t>
  </si>
  <si>
    <t>Zinc rejected by the laboratory in the narrative for GLA-26-1668</t>
  </si>
  <si>
    <t>VP-260811</t>
  </si>
  <si>
    <t>Aug</t>
  </si>
  <si>
    <t>08/15/2026</t>
  </si>
  <si>
    <t>08/26/2026</t>
  </si>
  <si>
    <t>GLA-26-1742</t>
  </si>
  <si>
    <t>08/27/2026 09:30</t>
  </si>
  <si>
    <t>Copper reported from the dilution; cyanide analyzed at 15 days</t>
  </si>
  <si>
    <t>VP-260818</t>
  </si>
  <si>
    <t>Additional</t>
  </si>
  <si>
    <t>08/23/2026</t>
  </si>
  <si>
    <t>08/24/2026</t>
  </si>
  <si>
    <t>GLA-26-1771</t>
  </si>
  <si>
    <t>08/26/2026 15:40</t>
  </si>
  <si>
    <t>08/18/2026</t>
  </si>
  <si>
    <t>Additional composite, a sample under Section 2.5; started 08/18 and pulled 08/19 at 06:40 (August log)</t>
  </si>
  <si>
    <t>VP-260819</t>
  </si>
  <si>
    <t>Clar. weir</t>
  </si>
  <si>
    <t>not collected</t>
  </si>
  <si>
    <t>GLA-26-1772</t>
  </si>
  <si>
    <t>Grab at the clarifier weir, process control information under Section 2.5</t>
  </si>
  <si>
    <t>City, second</t>
  </si>
  <si>
    <t>Sampler set 08/18, composite pulled 08/19 at 08:20 (Coordinator's note and August log)</t>
  </si>
  <si>
    <t>VP-260825</t>
  </si>
  <si>
    <t>08/29/2026</t>
  </si>
  <si>
    <t>GLA-26-1789</t>
  </si>
  <si>
    <t>09/04/2026 13:15</t>
  </si>
  <si>
    <t>Copper corrected to 4.15 by Revision 1, issued 09/14/2026 at 10:15; 19 aliquots across the 24 hours</t>
  </si>
  <si>
    <t>VP-260909</t>
  </si>
  <si>
    <t>Sep</t>
  </si>
  <si>
    <t>09/12/2026</t>
  </si>
  <si>
    <t>09/14/2026</t>
  </si>
  <si>
    <t>GLA-26-1811</t>
  </si>
  <si>
    <t>09/15/2026 11:20</t>
  </si>
  <si>
    <t>Composite ran through the RT-4 overflow</t>
  </si>
  <si>
    <t>VP-260922</t>
  </si>
  <si>
    <t>09/22/2026</t>
  </si>
  <si>
    <t>09/29/2026</t>
  </si>
  <si>
    <t>09/28/2026</t>
  </si>
  <si>
    <t>GLA-26-1897</t>
  </si>
  <si>
    <t>10/01/2026 10:05</t>
  </si>
  <si>
    <t>VP-260923</t>
  </si>
  <si>
    <t>09/23/2026</t>
  </si>
  <si>
    <t>Resample</t>
  </si>
  <si>
    <t>09/26/2026</t>
  </si>
  <si>
    <t>GLA-26-1904</t>
  </si>
  <si>
    <t>Resample after the 09/09 zinc result, metals only</t>
  </si>
  <si>
    <t>Monthly averages and daily maximums by parameter, July through September 2026</t>
  </si>
  <si>
    <t>Monthly average is the arithmetic mean of the valid results collected by the permittee in the month, with non-detects carried at zero (Section 2.2). A resample or an additional Outfall 001 sample counts in the month's average. Daily maximum is the highest valid result in the month. The monitoring frequency is met where the valid results of the month come from two days at least ten days apart (Section 2.1), and a month that does not meet it is monitored below frequency (Section 2.3). The City's composites are not carried here (Section 2.5).</t>
  </si>
  <si>
    <t>DAILY MAXIMUM LIMIT</t>
  </si>
  <si>
    <t>MONTHLY AVERAGE LIMIT</t>
  </si>
  <si>
    <t>MONTHLY AVERAGE</t>
  </si>
  <si>
    <t>DAILY MAXIMUM</t>
  </si>
  <si>
    <t>MONTHLY AVERAGE STATUS</t>
  </si>
  <si>
    <t>DAILY MAXIMUM STATUS</t>
  </si>
  <si>
    <t>FREQUENCY STATUS</t>
  </si>
  <si>
    <t>DAYS FIRST TO LAST VALID SAMPLE</t>
  </si>
  <si>
    <t>Significant noncompliance evaluation, April 1 through September 30, 2026, Section 3.4 of the permit</t>
  </si>
  <si>
    <t>Every valid result from a sample collected at Outfall 001 in the period is a measurement, whether the sample was collected by the permittee or by the City, with resamples and additional samples included. Valid results of the same calendar day are averaged into the one measurement for that day. Each measurement is compared with the daily maximum limitation and with the limitation multiplied by the technical review criterion of 1.2.</t>
  </si>
  <si>
    <t>MEASUREMENTS</t>
  </si>
  <si>
    <t>TRC MULTIPLIER</t>
  </si>
  <si>
    <t>TRC THRESHOLD MG/L</t>
  </si>
  <si>
    <t>ABOVE THE LIMIT</t>
  </si>
  <si>
    <t>SHARE ABOVE THE LIMIT PCT</t>
  </si>
  <si>
    <t>ABOVE THE TRC THRESHOLD</t>
  </si>
  <si>
    <t>SHARE ABOVE THE TRC THRESHOLD PCT</t>
  </si>
  <si>
    <t>CHRONIC AT 66 PCT</t>
  </si>
  <si>
    <t>TRC AT 33 PCT</t>
  </si>
  <si>
    <t>SIGNIFICANT NONCOMPLIANCE</t>
  </si>
  <si>
    <t>CHRONIC THRESHOLD PCT</t>
  </si>
  <si>
    <t>TRC THRESHOLD PCT</t>
  </si>
  <si>
    <t>No parameter reaches the percentage tests. Copper stands at 4 of its 14 measurements over the threshold and zinc at 4 of its 13, so each is one result short of the 33 percent test, and the City's grab of June 23 would be that result if it were a sample. The plant is in significant noncompliance for the period on the report arm below.</t>
  </si>
  <si>
    <t>RECORD LEFT OUT</t>
  </si>
  <si>
    <t>RESULTS LEFT OUT</t>
  </si>
  <si>
    <t>WHY</t>
  </si>
  <si>
    <t>WHERE THE FILE SHOWS IT</t>
  </si>
  <si>
    <t>VP-260331, collected 03/31/2026</t>
  </si>
  <si>
    <t>All six parameters</t>
  </si>
  <si>
    <t>Laboratory results, collection date</t>
  </si>
  <si>
    <t>VP-260707, collected 07/07/2026</t>
  </si>
  <si>
    <t>Cadmium, chromium, copper, nickel, zinc</t>
  </si>
  <si>
    <t>Composite of 9 aliquots, stopped at 15:10 on 07/06, against at least twelve across the 24 hours</t>
  </si>
  <si>
    <t>July operator log, 07/07; permit Section 2.1</t>
  </si>
  <si>
    <t>VP-260721, collected 07/21/2026</t>
  </si>
  <si>
    <t>Zinc, printed at 3.48 mg/L</t>
  </si>
  <si>
    <t>Rejected by the laboratory after a failed calibration verification</t>
  </si>
  <si>
    <t>Case narrative for GLA-26-1668; permit Section 2.3</t>
  </si>
  <si>
    <t>VP-260811, collected 08/11/2026</t>
  </si>
  <si>
    <t>Cyanide</t>
  </si>
  <si>
    <t>Analyzed 08/26/2026, 15 days after collection, outside the 14-day holding time</t>
  </si>
  <si>
    <t>Chain of custody log and Methods tab; permit Section 2.3</t>
  </si>
  <si>
    <t>VP-260819, collected 08/19/2026</t>
  </si>
  <si>
    <t>All five metals and its pH of 9.4</t>
  </si>
  <si>
    <t>Grab at the clarifier weir, not at Outfall 001</t>
  </si>
  <si>
    <t>Chain of custody log and August operator log, 08/19; permit Section 2.5</t>
  </si>
  <si>
    <t>City grab, dipped 06/23/2026</t>
  </si>
  <si>
    <t>Copper 4.71 and zinc 1.36</t>
  </si>
  <si>
    <t>A grab dipped at 10:40, not a 24-hour composite of at least twelve aliquots, so not collected as Section 2.1 requires; counted, copper would stand at 5 of 15, which is 33.3 percent</t>
  </si>
  <si>
    <t>Coordinator's note of September 30; permit Sections 2.1, 2.3 and 3.4</t>
  </si>
  <si>
    <t>Test kit reading, 09/24/2026</t>
  </si>
  <si>
    <t>Copper, about 3.9</t>
  </si>
  <si>
    <t>Read on a field test kit, not a method approved under 40 CFR Part 136, so process control information and not a sample</t>
  </si>
  <si>
    <t>September operator log, 09/24; permit Section 2.5</t>
  </si>
  <si>
    <t>City composite pulled 05/27/2026</t>
  </si>
  <si>
    <t>Copper 2.26, zinc 0.97, and cadmium, chromium, nickel under their limits</t>
  </si>
  <si>
    <t>Collected by the City at manhole 44-118, which is Outfall 001; sampler set 05/26 and pulled the next morning</t>
  </si>
  <si>
    <t>Coordinator's note of September 30; permit Section 3.4</t>
  </si>
  <si>
    <t>RECORD COUNTED</t>
  </si>
  <si>
    <t>RESULTS COUNTED</t>
  </si>
  <si>
    <t>City composite pulled 08/19/2026 with VP-260818</t>
  </si>
  <si>
    <t>Copper 4.27 and 3.45 averaged to 3.86; zinc 1.08 and 1.21 averaged to 1.145</t>
  </si>
  <si>
    <t>Two valid Outfall 001 results of the same calendar day are the one measurement for that day</t>
  </si>
  <si>
    <t>August operator log, 08/19, and the Coordinator's note; permit Sections 2.2 and 3.4</t>
  </si>
  <si>
    <t>VP-260818, pulled 08/19/2026</t>
  </si>
  <si>
    <t>Five metals and cyanide</t>
  </si>
  <si>
    <t>Additional composite at Outfall 001, 25 aliquots; the laboratory's file carries 08/18/2026, the day it was started</t>
  </si>
  <si>
    <t>August operator log, 08/18 and 08/19; permit Sections 2.2 and 2.5</t>
  </si>
  <si>
    <t>VP-260825, collected 08/25/2026</t>
  </si>
  <si>
    <t>Copper at 4.15 mg/L in place of the 3.15 mg/L printed</t>
  </si>
  <si>
    <t>Revision 1 of 09/14/2026 corrected a keying error</t>
  </si>
  <si>
    <t>Case narrative for GLA-26-1789; permit Section 2.2</t>
  </si>
  <si>
    <t>Five metals</t>
  </si>
  <si>
    <t>Composite of 19 aliquots across the 24 hours</t>
  </si>
  <si>
    <t>August operator log, 08/25; permit Section 2.1</t>
  </si>
  <si>
    <t>VP-260407, collected 04/07/2026</t>
  </si>
  <si>
    <t>Analyzed at 37 days against a holding time of 6 months</t>
  </si>
  <si>
    <t>Chain of custody log and Methods tab</t>
  </si>
  <si>
    <t>VP-260505, collected 05/05/2026</t>
  </si>
  <si>
    <t>Cyanide and chromium</t>
  </si>
  <si>
    <t>Cyanide analyzed on the fourteenth day; chromium reported as measured after a low matrix spike</t>
  </si>
  <si>
    <t>Chain of custody log; case narrative for GLA-26-1329</t>
  </si>
  <si>
    <t>REPORT</t>
  </si>
  <si>
    <t>DUE</t>
  </si>
  <si>
    <t>RECEIVED BY THE CITY</t>
  </si>
  <si>
    <t>45-DAY ARM OF SECTION 3.4</t>
  </si>
  <si>
    <t>FORTY-FIFTH DAY</t>
  </si>
  <si>
    <t>DAYS AFTER THE DUE DATE</t>
  </si>
  <si>
    <t>First quarter self-monitoring report (Section 3.1)</t>
  </si>
  <si>
    <t>04/15/2026</t>
  </si>
  <si>
    <t>06/04/2026</t>
  </si>
  <si>
    <t>Significant noncompliance</t>
  </si>
  <si>
    <t>05/30/2026</t>
  </si>
  <si>
    <t>Second quarter self-monitoring report (Section 3.1)</t>
  </si>
  <si>
    <t>07/15/2026</t>
  </si>
  <si>
    <t>07/14/2026</t>
  </si>
  <si>
    <t>Not late</t>
  </si>
  <si>
    <t>The first quarter report reached the City on June 4 by the plant manager's email of October 5, 50 days after its due date under Section 3.1. The forty-fifth day fell on 05/30/2026, inside the period, so Section 3.4 counts the failure in this review. The second quarter date is the Coordinator's, from her note of September 30, 2026.</t>
  </si>
  <si>
    <t>Daily flow, July through September 2026, gallons, worked from the totalizer register readings in the operator logs</t>
  </si>
  <si>
    <t>Each log carries the register at 07:00 the following morning; a day's flow is that reading less the one before it. The register was replaced at 07:05 on 07/17/2026 and the new one started at zero, so the 07/17 flow is read against zero and not against the old register's last reading. The totalizer sits ahead of the sewer connection, so the volume that went to the sewer around the meter on 09/09/2026 is added to that day's discharge.</t>
  </si>
  <si>
    <t>REGISTER AT 07:00 NEXT DAY, GAL</t>
  </si>
  <si>
    <t>DAILY FLOW, GAL</t>
  </si>
  <si>
    <t>ABOVE LIMIT</t>
  </si>
  <si>
    <t>Register at 07:00 on 07/01/2026</t>
  </si>
  <si>
    <t>07/01/2026</t>
  </si>
  <si>
    <t>07/02/2026</t>
  </si>
  <si>
    <t>07/03/2026</t>
  </si>
  <si>
    <t>07/04/2026</t>
  </si>
  <si>
    <t>07/05/2026</t>
  </si>
  <si>
    <t>07/06/2026</t>
  </si>
  <si>
    <t>07/08/2026</t>
  </si>
  <si>
    <t>07/09/2026</t>
  </si>
  <si>
    <t>07/10/2026</t>
  </si>
  <si>
    <t>07/12/2026</t>
  </si>
  <si>
    <t>07/16/2026</t>
  </si>
  <si>
    <t>New register installed at 07:05 on 07/17/2026, after the 07:00 read</t>
  </si>
  <si>
    <t>07/17/2026</t>
  </si>
  <si>
    <t>07/18/2026</t>
  </si>
  <si>
    <t>07/19/2026</t>
  </si>
  <si>
    <t>07/20/2026</t>
  </si>
  <si>
    <t>07/22/2026</t>
  </si>
  <si>
    <t>07/23/2026</t>
  </si>
  <si>
    <t>07/24/2026</t>
  </si>
  <si>
    <t>07/27/2026</t>
  </si>
  <si>
    <t>07/28/2026</t>
  </si>
  <si>
    <t>07/29/2026</t>
  </si>
  <si>
    <t>07/30/2026</t>
  </si>
  <si>
    <t>07/31/2026</t>
  </si>
  <si>
    <t>08/01/2026</t>
  </si>
  <si>
    <t>08/02/2026</t>
  </si>
  <si>
    <t>08/03/2026</t>
  </si>
  <si>
    <t>08/04/2026</t>
  </si>
  <si>
    <t>08/05/2026</t>
  </si>
  <si>
    <t>08/06/2026</t>
  </si>
  <si>
    <t>08/07/2026</t>
  </si>
  <si>
    <t>08/08/2026</t>
  </si>
  <si>
    <t>08/09/2026</t>
  </si>
  <si>
    <t>08/10/2026</t>
  </si>
  <si>
    <t>08/12/2026</t>
  </si>
  <si>
    <t>08/16/2026</t>
  </si>
  <si>
    <t>08/17/2026</t>
  </si>
  <si>
    <t>08/22/2026</t>
  </si>
  <si>
    <t>08/30/2026</t>
  </si>
  <si>
    <t>08/31/2026</t>
  </si>
  <si>
    <t>09/01/2026</t>
  </si>
  <si>
    <t>09/02/2026</t>
  </si>
  <si>
    <t>09/03/2026</t>
  </si>
  <si>
    <t>09/04/2026</t>
  </si>
  <si>
    <t>09/05/2026</t>
  </si>
  <si>
    <t>09/06/2026</t>
  </si>
  <si>
    <t>09/07/2026</t>
  </si>
  <si>
    <t>09/08/2026</t>
  </si>
  <si>
    <t>09/11/2026</t>
  </si>
  <si>
    <t>09/13/2026</t>
  </si>
  <si>
    <t>09/16/2026</t>
  </si>
  <si>
    <t>09/18/2026</t>
  </si>
  <si>
    <t>09/19/2026</t>
  </si>
  <si>
    <t>09/20/2026</t>
  </si>
  <si>
    <t>09/21/2026</t>
  </si>
  <si>
    <t>09/24/2026</t>
  </si>
  <si>
    <t>09/25/2026</t>
  </si>
  <si>
    <t>09/27/2026</t>
  </si>
  <si>
    <t>HIGHEST METERED DAY, GAL</t>
  </si>
  <si>
    <t>DAYS ABOVE THE LIMIT</t>
  </si>
  <si>
    <t>TOTAL, GAL</t>
  </si>
  <si>
    <t>Quarter metered total, the sum of the daily register differences</t>
  </si>
  <si>
    <t>DISCHARGE OF 09/09/2026</t>
  </si>
  <si>
    <t>GALLONS</t>
  </si>
  <si>
    <t>Metered flow of 09/09/2026, register difference</t>
  </si>
  <si>
    <t>Rinse water pumped to the sewer around the meter, operator's estimate</t>
  </si>
  <si>
    <t>Discharge of 09/09/2026, metered flow plus the volume around the meter</t>
  </si>
  <si>
    <t>Highest daily discharge in September</t>
  </si>
  <si>
    <t>Notifications and repeat sampling the quarter required, with the dates due and the dates done</t>
  </si>
  <si>
    <t>Awareness of a sample result runs from the time the laboratory issued the report or the revision that carries it (Section 3.2). Calls are from the City's telephone log for July 1 through September 30. A repeat sample satisfies Section 3.3 where it is a valid result collected after the permittee became aware and its report reaches the Coordinator within the 30 days. Duties that began on June results and fell due in the quarter are carried on the first two lines.</t>
  </si>
  <si>
    <t>EVENT</t>
  </si>
  <si>
    <t>AWARE</t>
  </si>
  <si>
    <t>REQUIREMENT</t>
  </si>
  <si>
    <t>DONE</t>
  </si>
  <si>
    <t>STATUS</t>
  </si>
  <si>
    <t>Copper daily maximum exceedance, sample VP-260616, 3.97 mg/L, carried from June</t>
  </si>
  <si>
    <t>06/26/2026 09:50, lab report</t>
  </si>
  <si>
    <t>Valid repeat result at the City within 30 days</t>
  </si>
  <si>
    <t>07/30/2026, sample VP-260721; the 07/07 composite was not valid</t>
  </si>
  <si>
    <t>Late</t>
  </si>
  <si>
    <t>Zinc daily maximum exceedance, sample VP-260616, 3.22 mg/L, carried from June</t>
  </si>
  <si>
    <t>08/27/2026, sample VP-260811; the 07/07 composite was not valid and the 07/21 zinc was rejected</t>
  </si>
  <si>
    <t>Copper daily maximum exceedance, sample VP-260721, 4.09 mg/L</t>
  </si>
  <si>
    <t>07/30/2026 14:05, lab report</t>
  </si>
  <si>
    <t>Telephone notice within 24 hours</t>
  </si>
  <si>
    <t>07/31/2026 14:05</t>
  </si>
  <si>
    <t>07/31/2026 09:40</t>
  </si>
  <si>
    <t>Copper daily maximum exceedance, sample VP-260721, repeat sampling</t>
  </si>
  <si>
    <t>08/27/2026, sample VP-260811</t>
  </si>
  <si>
    <t>Flow of 46,150 gallons on 08/13/2026</t>
  </si>
  <si>
    <t>08/14/2026 07:00, register read</t>
  </si>
  <si>
    <t>08/15/2026 07:00</t>
  </si>
  <si>
    <t>Not made</t>
  </si>
  <si>
    <t>In-line pH of 9.2 on 08/20/2026, telephone notice</t>
  </si>
  <si>
    <t>08/20/2026, chart; the log gives no time</t>
  </si>
  <si>
    <t>In-line pH of 9.2 on 08/20/2026, written report</t>
  </si>
  <si>
    <t>Written report within 5 days</t>
  </si>
  <si>
    <t>None among the written reports the City holds</t>
  </si>
  <si>
    <t>Copper daily maximum exceedance, sample VP-260818, 3.45 mg/L</t>
  </si>
  <si>
    <t>08/26/2026 15:40, lab report</t>
  </si>
  <si>
    <t>08/27/2026 15:40</t>
  </si>
  <si>
    <t>08/27/2026 17:05, a voicemail per the August log, 25 hours 25 minutes after the report; no call in the City's log</t>
  </si>
  <si>
    <t>Copper daily maximum exceedance, sample VP-260818, repeat sampling</t>
  </si>
  <si>
    <t>09/15/2026, sample VP-260909</t>
  </si>
  <si>
    <t>Copper daily maximum exceedance, sample VP-260811, 4.33 mg/L</t>
  </si>
  <si>
    <t>08/27/2026 09:30, lab report</t>
  </si>
  <si>
    <t>08/28/2026 09:30</t>
  </si>
  <si>
    <t>08/28/2026 16:10, 30 hours 40 minutes after the report</t>
  </si>
  <si>
    <t>Copper daily maximum exceedance, sample VP-260811, repeat sampling</t>
  </si>
  <si>
    <t>Rinse tank RT-4 overflow, a bypass of the pretreatment system</t>
  </si>
  <si>
    <t>Section 3.2 and Section 4.1</t>
  </si>
  <si>
    <t>09/09/2026 07:50, the event</t>
  </si>
  <si>
    <t>09/10/2026 07:50</t>
  </si>
  <si>
    <t>09/10/2026 16:30, 32 hours 40 minutes after the event</t>
  </si>
  <si>
    <t>Rinse tank RT-4 overflow, written report</t>
  </si>
  <si>
    <t>Copper daily maximum exceedance, sample VP-260825, 4.15 mg/L</t>
  </si>
  <si>
    <t>09/14/2026 10:15, Revision 1</t>
  </si>
  <si>
    <t>09/15/2026 10:15</t>
  </si>
  <si>
    <t>Copper daily maximum exceedance, sample VP-260825, repeat sampling</t>
  </si>
  <si>
    <t>10/14/2026</t>
  </si>
  <si>
    <t>10/01/2026, sample VP-260922</t>
  </si>
  <si>
    <t>Zinc daily maximum exceedance, sample VP-260909, 3.14 mg/L</t>
  </si>
  <si>
    <t>09/15/2026 11:20, lab report</t>
  </si>
  <si>
    <t>09/16/2026 11:20</t>
  </si>
  <si>
    <t>09/16/2026 10:05</t>
  </si>
  <si>
    <t>Zinc daily maximum exceedance, sample VP-260909, repeat sampling</t>
  </si>
  <si>
    <t>10/15/2026</t>
  </si>
  <si>
    <t>10/01/2026, samples VP-260922 and VP-260923</t>
  </si>
  <si>
    <t>In-line pH of 5.8 on 09/17/2026, 14:10 to 14:55, telephone notice</t>
  </si>
  <si>
    <t>09/17/2026 14:10</t>
  </si>
  <si>
    <t>09/18/2026 14:10</t>
  </si>
  <si>
    <t>09/17/2026 15:20</t>
  </si>
  <si>
    <t>In-line pH of 5.8 on 09/17/2026, written report</t>
  </si>
  <si>
    <t>Second quarter self-monitoring report</t>
  </si>
  <si>
    <t>Section 3.1 and Section 3.4</t>
  </si>
  <si>
    <t>06/30/2026, quarter end</t>
  </si>
  <si>
    <t>Report in the Attachment B format by the 15th</t>
  </si>
  <si>
    <t>07/14/2026, received by the City</t>
  </si>
  <si>
    <t>Third quarter self-monitoring report</t>
  </si>
  <si>
    <t>Section 3.1</t>
  </si>
  <si>
    <t>09/30/2026, quarter end</t>
  </si>
  <si>
    <t>Report in the Attachment B format, signed</t>
  </si>
  <si>
    <t>Signing planned 10/13/2026</t>
  </si>
  <si>
    <t>Pending</t>
  </si>
  <si>
    <t>Designation of the signer of the third quarter report</t>
  </si>
  <si>
    <t>Section 3.5</t>
  </si>
  <si>
    <t>The permit names Harlan Vandeveer, President</t>
  </si>
  <si>
    <t>Written designation filed with the Coordinator before the report is submitted</t>
  </si>
  <si>
    <t>Before the report goes in</t>
  </si>
  <si>
    <t>None in the file</t>
  </si>
  <si>
    <t>Open</t>
  </si>
  <si>
    <t>NOTICES AND REPEAT RESULTS BY STATUS</t>
  </si>
  <si>
    <t>LINES</t>
  </si>
  <si>
    <t>Lines standing at Met</t>
  </si>
  <si>
    <t>Lines standing at Late</t>
  </si>
  <si>
    <t>Lines standing at Not made</t>
  </si>
  <si>
    <t>Lines standing at Pending</t>
  </si>
  <si>
    <t>Lines standing at Open</t>
  </si>
  <si>
    <t>To: Gordon Pfeiffer, Plant Manager</t>
  </si>
  <si>
    <t>Date: October 12, 2026</t>
  </si>
  <si>
    <t>Re: Third quarter 2026 self-monitoring report, Permit IP-0421, before you sign</t>
  </si>
  <si>
    <t>The overflow is not the quarter's only problem, and the six-month review will put the plant in significant noncompliance. It does so on the report arm of Section 3.4 and not on copper. Your email puts the first quarter report at Renee's office on June 4, 50 days after its April 15 due date, and Section 3.4 counts a report more than 45 days late in the period in which the forty-fifth day falls. That day was May 30, inside April through September. The notice of violation in June does not take it out of the review.</t>
  </si>
  <si>
    <t>Copper and zinc both fall short of the percentage tests, each by one result. Copper has 14 measurements in the period, and 4 of them exceed the daily maximum by more than the technical review criterion of 1.2, a threshold of 4.056 mg/L. That is 28.6 percent against the 33 percent test. Zinc has 13 measurements with 4 over its threshold of 3.132 mg/L, which is 30.8 percent.</t>
  </si>
  <si>
    <t>The count of 14 is not the count in the laboratory's table. Section 3.4 counts every valid result from Outfall 001 whether the sample was collected by the permittee or by the City, with resamples and additional samples included, and it averages valid results of the same calendar day into one measurement. The City's second composite and our additional composite VP-260818 were both pulled on August 19, so their copper results of 4.27 and 3.45 mg/L are one measurement of 3.86 mg/L. Counted apart they would put copper at 5 of 15, which is 33.3 percent. Renee's crew also dipped a grab at the same manhole on June 23, which came back at 4.71 mg/L copper. A grab is not a sample collected as Section 2.1 requires, which makes metals 24-hour composites of at least twelve aliquots, so it is not a valid sample result and not a measurement. Counted, it would be the fifth result over the threshold and put copper at 33.3 percent.</t>
  </si>
  <si>
    <t>The dates behind that call sit in three files. The laboratory's file dates VP-260818 on August 18, the day the composite was started, and Luis's log shows it pulled at 06:40 on August 19. Renee's note dates the City's sampler by the day it was set, August 18, and says the composite was pulled the next morning. Section 2.2 makes a composite a sample of the day on which the composite is pulled. The sample of March 31 was collected before April 1 and is outside the period, and the clarifier weir grab of August 19 is process control information under Section 2.5.</t>
  </si>
  <si>
    <t>Three figures in the laboratory's table do not stand as printed. The July 7 composite stopped at 15:10 on July 6 with 9 aliquots in the bottle, short of the twelve across 24 hours that Section 2.1 requires, so its five metals are not valid results. The August 25 copper is 4.15 mg/L and not the 3.15 mg/L in the table, because Revision 1 of September 14 corrected it and the revised result replaces the result first reported. The zinc figure of 3.48 mg/L printed for July 21 is not counted because the laboratory has rejected it in its case narrative.</t>
  </si>
  <si>
    <t>Two duties that began on a June result fell due in the quarter and were missed. The June 16 sample, reported June 26, was over the daily maximum for copper and for zinc, and each needed a valid repeat result at the City by July 26. The July 7 composite was not valid, so the first copper result is the July 21 sample reported July 30. The July 21 zinc was rejected, so the first zinc result is the August 11 sample reported August 27.</t>
  </si>
  <si>
    <t>The signature needs attention before you sign. The permit names Harlan Vandeveer, President, as the authorized representative, and Section 3.5 lets another person sign only where he has designated that person in a writing filed with Renee before the report is submitted. Renee's note says the second quarter report came in over Mr. Vandeveer's signature, and the file holds no designation for you. The certification is laid out for your signature as you asked, so either the designation is filed before the report goes in or Mr. Vandeveer signs. The designation letter Harlan signed for the air permit reports is on file with EGLE and not with Renee, and it names the air reports, so it does not stand for this report under Section 3.5.</t>
  </si>
  <si>
    <t>July is reported as monitored below the required frequency for all five metals. Cadmium, chromium, copper, and nickel have one valid sample, the July 21 composite, and zinc has none. July copper therefore rests on 4.09 mg/L alone against the 2.07 mg/L monthly limit.</t>
  </si>
  <si>
    <t>August copper exceeded the daily maximum three times, at 4.33 mg/L on August 11, 3.45 mg/L on the additional composite of August 19, and 4.15 mg/L on August 25. The additional composite is a sample under Section 2.5 and counts in the month's average, which is 3.977 mg/L on three valid samples. The City's results are not carried on the report. The other metals met their limits in August. The August 25 composite held 19 aliquots across the 24 hours and is valid. The metals on the April 7 sample were analyzed at 37 days against a holding time of 6 months for total metals, and they stand.</t>
  </si>
  <si>
    <t>August is below the required frequency for cyanide even though it has two valid results. The August 11 cyanide was analyzed on August 26, 15 days after collection and outside the 14-day holding time. The valid grabs are those of August 19 and August 25, which are 6 days apart, and Section 2.1 counts the frequency as met only where valid results come from two days at least ten days apart. The May 5 cyanide was analyzed on the fourteenth day and stands.</t>
  </si>
  <si>
    <t>Your note says no day in July or August ran above the flow limit and that the in-line pH stayed inside the range. Luis's logs say otherwise on two counts. The register difference for August 13 is 46,150 gallons against the 45,000 gallon limit, and the meter chart for August 20 reached 9.2. July is clean, with a highest day of 44,880 gallons and a highest reading of 9.0, which is inside the range. The pH of 9.4 on August 19 was read at the clarifier weir and is not an Outfall 001 reading. Two other July entries are not violations. The RT-2 float stuck on July 15, and the rinse tank went to the floor trench. The sump was valved to the equalization tank, and nothing reached the sewer connection. That is not a bypass under Section 4.1. The totalizer register was replaced at 07:05 on July 17, and the new one started at zero. The July 17 flow is 30,947 gallons read against zero, and the flow working carries the replacement as its own line.</t>
  </si>
  <si>
    <t>September 9 is a flow violation as well as a bypass. The register shows 43,650 gallons for the day, which is under the limit, but the totalizer sits ahead of the sewer connection and the rinse water went to the sewer around the meter. The day's discharge is the metered flow plus about 2,900 gallons, or about 46,550 gallons against the 45,000 gallon limit. The call to Renee at 16:30 on September 10 came 32 hours 40 minutes after the 07:50 event.</t>
  </si>
  <si>
    <t>Zinc at 3.14 mg/L on September 9 carries the September zinc average to 1.653 mg/L against the 1.48 mg/L limit. September copper averages 2.053 mg/L and meets the limit because the September 23 resample counts in the month's average. The 5.8 reading of September 17 is a violation that was called in and reported on time, and the 6.0 of September 11 is inside the range. Not-detected results are carried at zero in the averages, as Section 2.2 directs, which is why the September cadmium average reads 0.004 mg/L. The copper test kit reading of 3.9 mg/L on an Outfall 001 grab on September 24 is process control information under Section 2.5, since a test kit is not a method approved under 40 CFR Part 136, and it is not carried as a sample result.</t>
  </si>
  <si>
    <t>You also wrote that you or Luis call Renee whenever a result comes back over a daily limit. Her telephone log shows the July 21 copper and the September 9 zinc called in on time. It shows the August 11 copper called in at 16:10 on August 28, which is 30 hours 40 minutes after the report was issued. It shows no call for the 3.45 mg/L copper reported August 26, and the voicemail Luis logged at 17:05 on August 27 came 25 hours 25 minutes after that report. It shows no call for the 4.15 mg/L copper in Revision 1, none for the August 13 flow, and none for the August 20 pH, which also has no written report. Each is listed as a violation of Section 3.2.</t>
  </si>
  <si>
    <t>Four things the file leaves open. The log gives no time, duration, or cause for the 9.2 reading of August 20 beyond the valve service at 11:00, and Attachment B asks for them, so Luis should pull the chart before you sign. The file does not show why copper has run high, and the report states the cause only as far as the logs go. The City's two laboratory reports are not in the folder, and the copper and zinc figures used for them are the ones in Renee's note. Whether Renee credits the August 27 voicemail as a telephone notice is her call, and it is late on either reading.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</si>
</sst>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7" x14ac:knownFonts="1">
    <font>
      <sz val="11"/>
      <color theme="1"/>
      <name val="Calibri"/>
      <family val="2"/>
      <scheme val="minor"/>
    </font>
    <font>
      <b/>
      <sz val="12"/>
      <name val="Arial"/>
      <family val="2"/>
    </font>
    <font>
      <b/>
      <sz val="10"/>
      <name val="Arial"/>
      <family val="2"/>
    </font>
    <font>
      <sz val="10"/>
      <name val="Arial"/>
      <family val="2"/>
    </font>
    <font>
      <sz val="10"/>
      <name val="Arial"/>
      <family val="2"/>
    </font>
    <font>
      <b/>
      <sz val="10"/>
      <name val="Arial"/>
      <family val="2"/>
    </font>
    <font>
      <b/>
      <sz val="12"/>
      <name val="Arial"/>
      <family val="2"/>
    </font>
  </fonts>
  <fills count="4">
    <fill>
      <patternFill patternType="none"/>
    </fill>
    <fill>
      <patternFill patternType="gray125"/>
    </fill>
    <fill>
      <patternFill patternType="solid">
        <fgColor rgb="FFD9D9D9"/>
      </patternFill>
    </fill>
    <fill>
      <patternFill patternType="solid">
        <fgColor rgb="FFFFF2CC"/>
      </patternFill>
    </fill>
  </fills>
  <borders count="3">
    <border>
      <left/>
      <right/>
      <top/>
      <bottom/>
      <diagonal/>
    </border>
    <border>
      <left/>
      <right/>
      <top/>
      <bottom style="thin">
        <color rgb="FF808080"/>
      </bottom>
      <diagonal/>
    </border>
    <border>
      <left/>
      <right/>
      <top/>
      <bottom style="thin">
        <color auto="1"/>
      </bottom>
      <diagonal/>
    </border>
  </borders>
  <cellStyleXfs count="1">
    <xf numFmtId="0" fontId="0" fillId="0" borderId="0"/>
  </cellStyleXfs>
  <cellXfs count="27">
    <xf numFmtId="0" fontId="0" fillId="0" borderId="0" xfId="0"/>
    <xf numFmtId="0" fontId="1" fillId="0" borderId="0" xfId="0" applyFont="1"/>
    <xf numFmtId="0" fontId="3" fillId="0" borderId="0" xfId="0" applyFont="1"/>
    <xf numFmtId="0" fontId="2" fillId="2" borderId="1" xfId="0" applyFont="1" applyFill="1" applyBorder="1"/>
    <xf numFmtId="2" fontId="3" fillId="0" borderId="0" xfId="0" applyNumberFormat="1" applyFont="1"/>
    <xf numFmtId="164" fontId="3" fillId="0" borderId="0" xfId="0" applyNumberFormat="1" applyFont="1"/>
    <xf numFmtId="165" fontId="3" fillId="0" borderId="0" xfId="0" applyNumberFormat="1" applyFont="1"/>
    <xf numFmtId="3" fontId="3" fillId="0" borderId="0" xfId="0" applyNumberFormat="1" applyFont="1"/>
    <xf numFmtId="0" fontId="2" fillId="0" borderId="0" xfId="0" applyFont="1"/>
    <xf numFmtId="1" fontId="3" fillId="0" borderId="0" xfId="0" applyNumberFormat="1" applyFont="1"/>
    <xf numFmtId="3" fontId="2" fillId="3" borderId="0" xfId="0" applyNumberFormat="1" applyFont="1" applyFill="1"/>
    <xf numFmtId="1" fontId="2" fillId="3" borderId="0" xfId="0" applyNumberFormat="1" applyFont="1" applyFill="1"/>
    <xf numFmtId="0" fontId="6" fillId="0" borderId="0" xfId="0" applyFont="1"/>
    <xf numFmtId="0" fontId="4" fillId="0" borderId="0" xfId="0" applyFont="1"/>
    <xf numFmtId="0" fontId="5" fillId="2" borderId="0" xfId="0" applyFont="1" applyFill="1"/>
    <xf numFmtId="0" fontId="5" fillId="2" borderId="2" xfId="0" applyFont="1" applyFill="1" applyBorder="1"/>
    <xf numFmtId="2" fontId="4" fillId="0" borderId="0" xfId="0" applyNumberFormat="1" applyFont="1"/>
    <xf numFmtId="1" fontId="4" fillId="0" borderId="0" xfId="0" applyNumberFormat="1" applyFont="1"/>
    <xf numFmtId="164" fontId="4" fillId="0" borderId="0" xfId="0" applyNumberFormat="1" applyFont="1"/>
    <xf numFmtId="165" fontId="4" fillId="0" borderId="0" xfId="0" applyNumberFormat="1" applyFont="1"/>
    <xf numFmtId="3" fontId="4" fillId="0" borderId="0" xfId="0" applyNumberFormat="1" applyFont="1"/>
    <xf numFmtId="0" fontId="4" fillId="0" borderId="0" xfId="0" applyFont="1" applyAlignment="1">
      <alignment vertical="top" wrapText="1"/>
    </xf>
    <xf numFmtId="2" fontId="4" fillId="0" borderId="0" xfId="0" applyNumberFormat="1" applyFont="1" applyAlignment="1">
      <alignment vertical="top" wrapText="1"/>
    </xf>
    <xf numFmtId="164" fontId="4" fillId="0" borderId="0" xfId="0" applyNumberFormat="1" applyFont="1" applyAlignment="1">
      <alignment vertical="top" wrapText="1"/>
    </xf>
    <xf numFmtId="1" fontId="4" fillId="0" borderId="0" xfId="0" applyNumberFormat="1" applyFont="1" applyAlignment="1">
      <alignment vertical="top" wrapText="1"/>
    </xf>
    <xf numFmtId="3" fontId="4" fillId="0" borderId="0" xfId="0" applyNumberFormat="1" applyFont="1" applyAlignment="1">
      <alignment vertical="top" wrapText="1"/>
    </xf>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
  <sheetViews>
    <sheetView tabSelected="1" workbookViewId="0"/>
  </sheetViews>
  <sheetFormatPr baseColWidth="10" defaultColWidth="8.83203125" defaultRowHeight="15" x14ac:dyDescent="0.2"/>
  <cols>
    <col min="1" max="1" width="50" customWidth="1"/>
    <col min="2" max="2" width="24" customWidth="1"/>
    <col min="3" max="3" width="26" customWidth="1"/>
    <col min="4" max="4" width="22" customWidth="1"/>
    <col min="5" max="5" width="24" customWidth="1"/>
    <col min="6" max="6" width="60" customWidth="1"/>
    <col min="7" max="7" width="16" customWidth="1"/>
    <col min="8" max="8" width="30" customWidth="1"/>
    <col min="9" max="9" width="18" customWidth="1"/>
    <col min="10" max="10" width="16" customWidth="1"/>
  </cols>
  <sheetData>
    <row r="1" spans="1:10" ht="16" customHeight="1" x14ac:dyDescent="0.2">
      <c r="A1" s="12" t="s">
        <v>0</v>
      </c>
    </row>
    <row r="2" spans="1:10" x14ac:dyDescent="0.2">
      <c r="A2" s="13" t="s">
        <v>1</v>
      </c>
    </row>
    <row r="3" spans="1:10" x14ac:dyDescent="0.2">
      <c r="A3" s="13" t="s">
        <v>2</v>
      </c>
    </row>
    <row r="4" spans="1:10" x14ac:dyDescent="0.2">
      <c r="A4" s="13" t="s">
        <v>3</v>
      </c>
    </row>
    <row r="6" spans="1:10" x14ac:dyDescent="0.2">
      <c r="A6" s="14" t="s">
        <v>4</v>
      </c>
    </row>
    <row r="7" spans="1:10" x14ac:dyDescent="0.2">
      <c r="A7" s="15" t="s">
        <v>5</v>
      </c>
      <c r="B7" s="15" t="s">
        <v>6</v>
      </c>
      <c r="C7" s="15" t="s">
        <v>7</v>
      </c>
      <c r="D7" s="15" t="s">
        <v>8</v>
      </c>
      <c r="E7" s="15" t="s">
        <v>9</v>
      </c>
      <c r="F7" s="15" t="s">
        <v>10</v>
      </c>
      <c r="G7" s="15" t="s">
        <v>11</v>
      </c>
      <c r="H7" s="15" t="s">
        <v>12</v>
      </c>
      <c r="I7" s="15" t="s">
        <v>13</v>
      </c>
      <c r="J7" s="15" t="s">
        <v>14</v>
      </c>
    </row>
    <row r="8" spans="1:10" x14ac:dyDescent="0.2">
      <c r="A8" s="13" t="s">
        <v>15</v>
      </c>
      <c r="B8" s="16">
        <f>'Monthly Stats'!C5</f>
        <v>0.11</v>
      </c>
      <c r="C8" s="16">
        <f>'Monthly Stats'!D5</f>
        <v>0.07</v>
      </c>
      <c r="D8" s="17">
        <f>'Monthly Stats'!E5</f>
        <v>1</v>
      </c>
      <c r="E8" s="17">
        <f>'Monthly Stats'!F5</f>
        <v>2</v>
      </c>
      <c r="F8" s="18">
        <f>'Monthly Stats'!G5</f>
        <v>0</v>
      </c>
      <c r="G8" s="18">
        <f>'Monthly Stats'!H5</f>
        <v>0</v>
      </c>
      <c r="H8" s="13" t="str">
        <f>'Monthly Stats'!I5</f>
        <v>Met</v>
      </c>
      <c r="I8" s="13" t="str">
        <f>'Monthly Stats'!J5</f>
        <v>Met</v>
      </c>
      <c r="J8" s="13" t="str">
        <f>'Monthly Stats'!K5</f>
        <v>Below frequency</v>
      </c>
    </row>
    <row r="9" spans="1:10" x14ac:dyDescent="0.2">
      <c r="A9" s="13" t="s">
        <v>16</v>
      </c>
      <c r="B9" s="16">
        <f>'Monthly Stats'!C6</f>
        <v>2.77</v>
      </c>
      <c r="C9" s="16">
        <f>'Monthly Stats'!D6</f>
        <v>1.71</v>
      </c>
      <c r="D9" s="17">
        <f>'Monthly Stats'!E6</f>
        <v>1</v>
      </c>
      <c r="E9" s="17">
        <f>'Monthly Stats'!F6</f>
        <v>2</v>
      </c>
      <c r="F9" s="18">
        <f>'Monthly Stats'!G6</f>
        <v>1.21</v>
      </c>
      <c r="G9" s="18">
        <f>'Monthly Stats'!H6</f>
        <v>1.21</v>
      </c>
      <c r="H9" s="13" t="str">
        <f>'Monthly Stats'!I6</f>
        <v>Met</v>
      </c>
      <c r="I9" s="13" t="str">
        <f>'Monthly Stats'!J6</f>
        <v>Met</v>
      </c>
      <c r="J9" s="13" t="str">
        <f>'Monthly Stats'!K6</f>
        <v>Below frequency</v>
      </c>
    </row>
    <row r="10" spans="1:10" x14ac:dyDescent="0.2">
      <c r="A10" s="13" t="s">
        <v>17</v>
      </c>
      <c r="B10" s="16">
        <f>'Monthly Stats'!C7</f>
        <v>3.38</v>
      </c>
      <c r="C10" s="16">
        <f>'Monthly Stats'!D7</f>
        <v>2.07</v>
      </c>
      <c r="D10" s="17">
        <f>'Monthly Stats'!E7</f>
        <v>1</v>
      </c>
      <c r="E10" s="17">
        <f>'Monthly Stats'!F7</f>
        <v>2</v>
      </c>
      <c r="F10" s="18">
        <f>'Monthly Stats'!G7</f>
        <v>4.09</v>
      </c>
      <c r="G10" s="18">
        <f>'Monthly Stats'!H7</f>
        <v>4.09</v>
      </c>
      <c r="H10" s="13" t="str">
        <f>'Monthly Stats'!I7</f>
        <v>Exceeded</v>
      </c>
      <c r="I10" s="13" t="str">
        <f>'Monthly Stats'!J7</f>
        <v>Exceeded</v>
      </c>
      <c r="J10" s="13" t="str">
        <f>'Monthly Stats'!K7</f>
        <v>Below frequency</v>
      </c>
    </row>
    <row r="11" spans="1:10" x14ac:dyDescent="0.2">
      <c r="A11" s="13" t="s">
        <v>18</v>
      </c>
      <c r="B11" s="16">
        <f>'Monthly Stats'!C8</f>
        <v>3.98</v>
      </c>
      <c r="C11" s="16">
        <f>'Monthly Stats'!D8</f>
        <v>2.38</v>
      </c>
      <c r="D11" s="17">
        <f>'Monthly Stats'!E8</f>
        <v>1</v>
      </c>
      <c r="E11" s="17">
        <f>'Monthly Stats'!F8</f>
        <v>2</v>
      </c>
      <c r="F11" s="18">
        <f>'Monthly Stats'!G8</f>
        <v>1.57</v>
      </c>
      <c r="G11" s="18">
        <f>'Monthly Stats'!H8</f>
        <v>1.57</v>
      </c>
      <c r="H11" s="13" t="str">
        <f>'Monthly Stats'!I8</f>
        <v>Met</v>
      </c>
      <c r="I11" s="13" t="str">
        <f>'Monthly Stats'!J8</f>
        <v>Met</v>
      </c>
      <c r="J11" s="13" t="str">
        <f>'Monthly Stats'!K8</f>
        <v>Below frequency</v>
      </c>
    </row>
    <row r="12" spans="1:10" x14ac:dyDescent="0.2">
      <c r="A12" s="13" t="s">
        <v>19</v>
      </c>
      <c r="B12" s="16">
        <f>'Monthly Stats'!C9</f>
        <v>2.61</v>
      </c>
      <c r="C12" s="16">
        <f>'Monthly Stats'!D9</f>
        <v>1.48</v>
      </c>
      <c r="D12" s="17">
        <f>'Monthly Stats'!E9</f>
        <v>0</v>
      </c>
      <c r="E12" s="17">
        <f>'Monthly Stats'!F9</f>
        <v>2</v>
      </c>
      <c r="F12" s="18" t="str">
        <f>'Monthly Stats'!G9</f>
        <v>none</v>
      </c>
      <c r="G12" s="18" t="str">
        <f>'Monthly Stats'!H9</f>
        <v>none</v>
      </c>
      <c r="H12" s="13" t="str">
        <f>'Monthly Stats'!I9</f>
        <v>No valid sample</v>
      </c>
      <c r="I12" s="13" t="str">
        <f>'Monthly Stats'!J9</f>
        <v>No valid sample</v>
      </c>
      <c r="J12" s="13" t="str">
        <f>'Monthly Stats'!K9</f>
        <v>Below frequency</v>
      </c>
    </row>
    <row r="13" spans="1:10" x14ac:dyDescent="0.2">
      <c r="A13" s="13" t="s">
        <v>20</v>
      </c>
      <c r="B13" s="16">
        <f>'Monthly Stats'!C10</f>
        <v>1.2</v>
      </c>
      <c r="C13" s="16">
        <f>'Monthly Stats'!D10</f>
        <v>0.65</v>
      </c>
      <c r="D13" s="17">
        <f>'Monthly Stats'!E10</f>
        <v>2</v>
      </c>
      <c r="E13" s="17">
        <f>'Monthly Stats'!F10</f>
        <v>2</v>
      </c>
      <c r="F13" s="18">
        <f>'Monthly Stats'!G10</f>
        <v>0.31</v>
      </c>
      <c r="G13" s="18">
        <f>'Monthly Stats'!H10</f>
        <v>0.35</v>
      </c>
      <c r="H13" s="13" t="str">
        <f>'Monthly Stats'!I10</f>
        <v>Met</v>
      </c>
      <c r="I13" s="13" t="str">
        <f>'Monthly Stats'!J10</f>
        <v>Met</v>
      </c>
      <c r="J13" s="13" t="str">
        <f>'Monthly Stats'!K10</f>
        <v>Met</v>
      </c>
    </row>
    <row r="14" spans="1:10" x14ac:dyDescent="0.2">
      <c r="A14" s="13" t="s">
        <v>21</v>
      </c>
      <c r="B14" s="13" t="s">
        <v>22</v>
      </c>
      <c r="C14" s="13" t="s">
        <v>23</v>
      </c>
      <c r="D14" s="17">
        <f>COUNTIFS('Lab Data'!$C$5:$C$23,"Jul",'Lab Data'!$E$5:$E$23,"Permittee",'Lab Data'!$G$5:$G$23,"Y")</f>
        <v>2</v>
      </c>
      <c r="E14" s="17">
        <f>Parameters!$B$15</f>
        <v>2</v>
      </c>
      <c r="F14" s="19">
        <f>_xlfn.MINIFS('Lab Data'!$BS$5:$BS$23,'Lab Data'!$C$5:$C$23,"Jul",'Lab Data'!$E$5:$E$23,"Permittee",'Lab Data'!$G$5:$G$23,"Y")</f>
        <v>7.2</v>
      </c>
      <c r="G14" s="19">
        <f>_xlfn.MAXIFS('Lab Data'!$BS$5:$BS$23,'Lab Data'!$C$5:$C$23,"Jul",'Lab Data'!$E$5:$E$23,"Permittee",'Lab Data'!$G$5:$G$23,"Y")</f>
        <v>8.4</v>
      </c>
      <c r="H14" s="13" t="s">
        <v>24</v>
      </c>
      <c r="I14" s="13" t="s">
        <v>25</v>
      </c>
      <c r="J14" s="13" t="s">
        <v>25</v>
      </c>
    </row>
    <row r="15" spans="1:10" x14ac:dyDescent="0.2">
      <c r="A15" s="13" t="s">
        <v>26</v>
      </c>
      <c r="B15" s="20">
        <f>Parameters!$B$12</f>
        <v>45000</v>
      </c>
      <c r="C15" s="13" t="s">
        <v>23</v>
      </c>
      <c r="D15" s="13" t="s">
        <v>27</v>
      </c>
      <c r="E15" s="13" t="s">
        <v>27</v>
      </c>
      <c r="G15" s="20">
        <f>'Flow Q3'!$B$100</f>
        <v>44880</v>
      </c>
      <c r="H15" s="13" t="s">
        <v>23</v>
      </c>
      <c r="I15" s="13" t="str">
        <f>IF(G15&gt;B15,"Exceeded","Met")</f>
        <v>Met</v>
      </c>
      <c r="J15" s="13" t="s">
        <v>25</v>
      </c>
    </row>
    <row r="17" spans="1:10" x14ac:dyDescent="0.2">
      <c r="A17" s="14" t="s">
        <v>28</v>
      </c>
    </row>
    <row r="18" spans="1:10" x14ac:dyDescent="0.2">
      <c r="A18" s="15" t="s">
        <v>5</v>
      </c>
      <c r="B18" s="15" t="s">
        <v>6</v>
      </c>
      <c r="C18" s="15" t="s">
        <v>7</v>
      </c>
      <c r="D18" s="15" t="s">
        <v>8</v>
      </c>
      <c r="E18" s="15" t="s">
        <v>9</v>
      </c>
      <c r="F18" s="15" t="s">
        <v>10</v>
      </c>
      <c r="G18" s="15" t="s">
        <v>11</v>
      </c>
      <c r="H18" s="15" t="s">
        <v>12</v>
      </c>
      <c r="I18" s="15" t="s">
        <v>13</v>
      </c>
      <c r="J18" s="15" t="s">
        <v>14</v>
      </c>
    </row>
    <row r="19" spans="1:10" x14ac:dyDescent="0.2">
      <c r="A19" s="13" t="s">
        <v>15</v>
      </c>
      <c r="B19" s="16">
        <f>'Monthly Stats'!C11</f>
        <v>0.11</v>
      </c>
      <c r="C19" s="16">
        <f>'Monthly Stats'!D11</f>
        <v>0.07</v>
      </c>
      <c r="D19" s="17">
        <f>'Monthly Stats'!E11</f>
        <v>3</v>
      </c>
      <c r="E19" s="17">
        <f>'Monthly Stats'!F11</f>
        <v>2</v>
      </c>
      <c r="F19" s="18">
        <f>'Monthly Stats'!G11</f>
        <v>0.005</v>
      </c>
      <c r="G19" s="18">
        <f>'Monthly Stats'!H11</f>
        <v>0.014</v>
      </c>
      <c r="H19" s="13" t="str">
        <f>'Monthly Stats'!I11</f>
        <v>Met</v>
      </c>
      <c r="I19" s="13" t="str">
        <f>'Monthly Stats'!J11</f>
        <v>Met</v>
      </c>
      <c r="J19" s="13" t="str">
        <f>'Monthly Stats'!K11</f>
        <v>Met</v>
      </c>
    </row>
    <row r="20" spans="1:10" x14ac:dyDescent="0.2">
      <c r="A20" s="13" t="s">
        <v>16</v>
      </c>
      <c r="B20" s="16">
        <f>'Monthly Stats'!C12</f>
        <v>2.77</v>
      </c>
      <c r="C20" s="16">
        <f>'Monthly Stats'!D12</f>
        <v>1.71</v>
      </c>
      <c r="D20" s="17">
        <f>'Monthly Stats'!E12</f>
        <v>3</v>
      </c>
      <c r="E20" s="17">
        <f>'Monthly Stats'!F12</f>
        <v>2</v>
      </c>
      <c r="F20" s="18">
        <f>'Monthly Stats'!G12</f>
        <v>0.697</v>
      </c>
      <c r="G20" s="18">
        <f>'Monthly Stats'!H12</f>
        <v>0.74</v>
      </c>
      <c r="H20" s="13" t="str">
        <f>'Monthly Stats'!I12</f>
        <v>Met</v>
      </c>
      <c r="I20" s="13" t="str">
        <f>'Monthly Stats'!J12</f>
        <v>Met</v>
      </c>
      <c r="J20" s="13" t="str">
        <f>'Monthly Stats'!K12</f>
        <v>Met</v>
      </c>
    </row>
    <row r="21" spans="1:10" x14ac:dyDescent="0.2">
      <c r="A21" s="13" t="s">
        <v>17</v>
      </c>
      <c r="B21" s="16">
        <f>'Monthly Stats'!C13</f>
        <v>3.38</v>
      </c>
      <c r="C21" s="16">
        <f>'Monthly Stats'!D13</f>
        <v>2.07</v>
      </c>
      <c r="D21" s="17">
        <f>'Monthly Stats'!E13</f>
        <v>3</v>
      </c>
      <c r="E21" s="17">
        <f>'Monthly Stats'!F13</f>
        <v>2</v>
      </c>
      <c r="F21" s="18">
        <f>'Monthly Stats'!G13</f>
        <v>3.977</v>
      </c>
      <c r="G21" s="18">
        <f>'Monthly Stats'!H13</f>
        <v>4.33</v>
      </c>
      <c r="H21" s="13" t="str">
        <f>'Monthly Stats'!I13</f>
        <v>Exceeded</v>
      </c>
      <c r="I21" s="13" t="str">
        <f>'Monthly Stats'!J13</f>
        <v>Exceeded</v>
      </c>
      <c r="J21" s="13" t="str">
        <f>'Monthly Stats'!K13</f>
        <v>Met</v>
      </c>
    </row>
    <row r="22" spans="1:10" x14ac:dyDescent="0.2">
      <c r="A22" s="13" t="s">
        <v>18</v>
      </c>
      <c r="B22" s="16">
        <f>'Monthly Stats'!C14</f>
        <v>3.98</v>
      </c>
      <c r="C22" s="16">
        <f>'Monthly Stats'!D14</f>
        <v>2.38</v>
      </c>
      <c r="D22" s="17">
        <f>'Monthly Stats'!E14</f>
        <v>3</v>
      </c>
      <c r="E22" s="17">
        <f>'Monthly Stats'!F14</f>
        <v>2</v>
      </c>
      <c r="F22" s="18">
        <f>'Monthly Stats'!G14</f>
        <v>2.083</v>
      </c>
      <c r="G22" s="18">
        <f>'Monthly Stats'!H14</f>
        <v>2.61</v>
      </c>
      <c r="H22" s="13" t="str">
        <f>'Monthly Stats'!I14</f>
        <v>Met</v>
      </c>
      <c r="I22" s="13" t="str">
        <f>'Monthly Stats'!J14</f>
        <v>Met</v>
      </c>
      <c r="J22" s="13" t="str">
        <f>'Monthly Stats'!K14</f>
        <v>Met</v>
      </c>
    </row>
    <row r="23" spans="1:10" x14ac:dyDescent="0.2">
      <c r="A23" s="13" t="s">
        <v>19</v>
      </c>
      <c r="B23" s="16">
        <f>'Monthly Stats'!C15</f>
        <v>2.61</v>
      </c>
      <c r="C23" s="16">
        <f>'Monthly Stats'!D15</f>
        <v>1.48</v>
      </c>
      <c r="D23" s="17">
        <f>'Monthly Stats'!E15</f>
        <v>3</v>
      </c>
      <c r="E23" s="17">
        <f>'Monthly Stats'!F15</f>
        <v>2</v>
      </c>
      <c r="F23" s="18">
        <f>'Monthly Stats'!G15</f>
        <v>1.093</v>
      </c>
      <c r="G23" s="18">
        <f>'Monthly Stats'!H15</f>
        <v>1.21</v>
      </c>
      <c r="H23" s="13" t="str">
        <f>'Monthly Stats'!I15</f>
        <v>Met</v>
      </c>
      <c r="I23" s="13" t="str">
        <f>'Monthly Stats'!J15</f>
        <v>Met</v>
      </c>
      <c r="J23" s="13" t="str">
        <f>'Monthly Stats'!K15</f>
        <v>Met</v>
      </c>
    </row>
    <row r="24" spans="1:10" x14ac:dyDescent="0.2">
      <c r="A24" s="13" t="s">
        <v>20</v>
      </c>
      <c r="B24" s="16">
        <f>'Monthly Stats'!C16</f>
        <v>1.2</v>
      </c>
      <c r="C24" s="16">
        <f>'Monthly Stats'!D16</f>
        <v>0.65</v>
      </c>
      <c r="D24" s="17">
        <f>'Monthly Stats'!E16</f>
        <v>2</v>
      </c>
      <c r="E24" s="17">
        <f>'Monthly Stats'!F16</f>
        <v>2</v>
      </c>
      <c r="F24" s="18">
        <f>'Monthly Stats'!G16</f>
        <v>0.255</v>
      </c>
      <c r="G24" s="18">
        <f>'Monthly Stats'!H16</f>
        <v>0.29</v>
      </c>
      <c r="H24" s="13" t="str">
        <f>'Monthly Stats'!I16</f>
        <v>Met</v>
      </c>
      <c r="I24" s="13" t="str">
        <f>'Monthly Stats'!J16</f>
        <v>Met</v>
      </c>
      <c r="J24" s="13" t="str">
        <f>'Monthly Stats'!K16</f>
        <v>Below frequency</v>
      </c>
    </row>
    <row r="25" spans="1:10" x14ac:dyDescent="0.2">
      <c r="A25" s="13" t="s">
        <v>21</v>
      </c>
      <c r="B25" s="13" t="s">
        <v>22</v>
      </c>
      <c r="C25" s="13" t="s">
        <v>23</v>
      </c>
      <c r="D25" s="17">
        <f>COUNTIFS('Lab Data'!$C$5:$C$23,"Aug",'Lab Data'!$E$5:$E$23,"Permittee",'Lab Data'!$G$5:$G$23,"Y")</f>
        <v>3</v>
      </c>
      <c r="E25" s="17">
        <f>Parameters!$B$15</f>
        <v>2</v>
      </c>
      <c r="F25" s="19">
        <f>_xlfn.MINIFS('Lab Data'!$BS$5:$BS$23,'Lab Data'!$C$5:$C$23,"Aug",'Lab Data'!$E$5:$E$23,"Permittee",'Lab Data'!$G$5:$G$23,"Y")</f>
        <v>6.8</v>
      </c>
      <c r="G25" s="19">
        <f>_xlfn.MAXIFS('Lab Data'!$BS$5:$BS$23,'Lab Data'!$C$5:$C$23,"Aug",'Lab Data'!$E$5:$E$23,"Permittee",'Lab Data'!$G$5:$G$23,"Y")</f>
        <v>7.5</v>
      </c>
      <c r="H25" s="13" t="s">
        <v>29</v>
      </c>
      <c r="I25" s="13" t="s">
        <v>30</v>
      </c>
      <c r="J25" s="13" t="s">
        <v>25</v>
      </c>
    </row>
    <row r="26" spans="1:10" x14ac:dyDescent="0.2">
      <c r="A26" s="13" t="s">
        <v>26</v>
      </c>
      <c r="B26" s="20">
        <f>Parameters!$B$12</f>
        <v>45000</v>
      </c>
      <c r="C26" s="13" t="s">
        <v>23</v>
      </c>
      <c r="D26" s="13" t="s">
        <v>27</v>
      </c>
      <c r="E26" s="13" t="s">
        <v>27</v>
      </c>
      <c r="G26" s="20">
        <f>'Flow Q3'!$B$101</f>
        <v>46150</v>
      </c>
      <c r="H26" s="13" t="s">
        <v>23</v>
      </c>
      <c r="I26" s="13" t="str">
        <f>IF(G26&gt;B26,"Exceeded","Met")</f>
        <v>Exceeded</v>
      </c>
      <c r="J26" s="13" t="s">
        <v>25</v>
      </c>
    </row>
    <row r="28" spans="1:10" x14ac:dyDescent="0.2">
      <c r="A28" s="14" t="s">
        <v>31</v>
      </c>
    </row>
    <row r="29" spans="1:10" x14ac:dyDescent="0.2">
      <c r="A29" s="15" t="s">
        <v>5</v>
      </c>
      <c r="B29" s="15" t="s">
        <v>6</v>
      </c>
      <c r="C29" s="15" t="s">
        <v>7</v>
      </c>
      <c r="D29" s="15" t="s">
        <v>8</v>
      </c>
      <c r="E29" s="15" t="s">
        <v>9</v>
      </c>
      <c r="F29" s="15" t="s">
        <v>10</v>
      </c>
      <c r="G29" s="15" t="s">
        <v>11</v>
      </c>
      <c r="H29" s="15" t="s">
        <v>12</v>
      </c>
      <c r="I29" s="15" t="s">
        <v>13</v>
      </c>
      <c r="J29" s="15" t="s">
        <v>14</v>
      </c>
    </row>
    <row r="30" spans="1:10" x14ac:dyDescent="0.2">
      <c r="A30" s="13" t="s">
        <v>15</v>
      </c>
      <c r="B30" s="16">
        <f>'Monthly Stats'!C17</f>
        <v>0.11</v>
      </c>
      <c r="C30" s="16">
        <f>'Monthly Stats'!D17</f>
        <v>0.07</v>
      </c>
      <c r="D30" s="17">
        <f>'Monthly Stats'!E17</f>
        <v>3</v>
      </c>
      <c r="E30" s="17">
        <f>'Monthly Stats'!F17</f>
        <v>2</v>
      </c>
      <c r="F30" s="18">
        <f>'Monthly Stats'!G17</f>
        <v>0.004</v>
      </c>
      <c r="G30" s="18">
        <f>'Monthly Stats'!H17</f>
        <v>0.012</v>
      </c>
      <c r="H30" s="13" t="str">
        <f>'Monthly Stats'!I17</f>
        <v>Met</v>
      </c>
      <c r="I30" s="13" t="str">
        <f>'Monthly Stats'!J17</f>
        <v>Met</v>
      </c>
      <c r="J30" s="13" t="str">
        <f>'Monthly Stats'!K17</f>
        <v>Met</v>
      </c>
    </row>
    <row r="31" spans="1:10" x14ac:dyDescent="0.2">
      <c r="A31" s="13" t="s">
        <v>16</v>
      </c>
      <c r="B31" s="16">
        <f>'Monthly Stats'!C18</f>
        <v>2.77</v>
      </c>
      <c r="C31" s="16">
        <f>'Monthly Stats'!D18</f>
        <v>1.71</v>
      </c>
      <c r="D31" s="17">
        <f>'Monthly Stats'!E18</f>
        <v>3</v>
      </c>
      <c r="E31" s="17">
        <f>'Monthly Stats'!F18</f>
        <v>2</v>
      </c>
      <c r="F31" s="18">
        <f>'Monthly Stats'!G18</f>
        <v>0.697</v>
      </c>
      <c r="G31" s="18">
        <f>'Monthly Stats'!H18</f>
        <v>1.02</v>
      </c>
      <c r="H31" s="13" t="str">
        <f>'Monthly Stats'!I18</f>
        <v>Met</v>
      </c>
      <c r="I31" s="13" t="str">
        <f>'Monthly Stats'!J18</f>
        <v>Met</v>
      </c>
      <c r="J31" s="13" t="str">
        <f>'Monthly Stats'!K18</f>
        <v>Met</v>
      </c>
    </row>
    <row r="32" spans="1:10" x14ac:dyDescent="0.2">
      <c r="A32" s="13" t="s">
        <v>17</v>
      </c>
      <c r="B32" s="16">
        <f>'Monthly Stats'!C19</f>
        <v>3.38</v>
      </c>
      <c r="C32" s="16">
        <f>'Monthly Stats'!D19</f>
        <v>2.07</v>
      </c>
      <c r="D32" s="17">
        <f>'Monthly Stats'!E19</f>
        <v>3</v>
      </c>
      <c r="E32" s="17">
        <f>'Monthly Stats'!F19</f>
        <v>2</v>
      </c>
      <c r="F32" s="18">
        <f>'Monthly Stats'!G19</f>
        <v>2.053</v>
      </c>
      <c r="G32" s="18">
        <f>'Monthly Stats'!H19</f>
        <v>2.96</v>
      </c>
      <c r="H32" s="13" t="str">
        <f>'Monthly Stats'!I19</f>
        <v>Met</v>
      </c>
      <c r="I32" s="13" t="str">
        <f>'Monthly Stats'!J19</f>
        <v>Met</v>
      </c>
      <c r="J32" s="13" t="str">
        <f>'Monthly Stats'!K19</f>
        <v>Met</v>
      </c>
    </row>
    <row r="33" spans="1:10" x14ac:dyDescent="0.2">
      <c r="A33" s="13" t="s">
        <v>18</v>
      </c>
      <c r="B33" s="16">
        <f>'Monthly Stats'!C20</f>
        <v>3.98</v>
      </c>
      <c r="C33" s="16">
        <f>'Monthly Stats'!D20</f>
        <v>2.38</v>
      </c>
      <c r="D33" s="17">
        <f>'Monthly Stats'!E20</f>
        <v>3</v>
      </c>
      <c r="E33" s="17">
        <f>'Monthly Stats'!F20</f>
        <v>2</v>
      </c>
      <c r="F33" s="18">
        <f>'Monthly Stats'!G20</f>
        <v>1.15</v>
      </c>
      <c r="G33" s="18">
        <f>'Monthly Stats'!H20</f>
        <v>1.36</v>
      </c>
      <c r="H33" s="13" t="str">
        <f>'Monthly Stats'!I20</f>
        <v>Met</v>
      </c>
      <c r="I33" s="13" t="str">
        <f>'Monthly Stats'!J20</f>
        <v>Met</v>
      </c>
      <c r="J33" s="13" t="str">
        <f>'Monthly Stats'!K20</f>
        <v>Met</v>
      </c>
    </row>
    <row r="34" spans="1:10" x14ac:dyDescent="0.2">
      <c r="A34" s="13" t="s">
        <v>19</v>
      </c>
      <c r="B34" s="16">
        <f>'Monthly Stats'!C21</f>
        <v>2.61</v>
      </c>
      <c r="C34" s="16">
        <f>'Monthly Stats'!D21</f>
        <v>1.48</v>
      </c>
      <c r="D34" s="17">
        <f>'Monthly Stats'!E21</f>
        <v>3</v>
      </c>
      <c r="E34" s="17">
        <f>'Monthly Stats'!F21</f>
        <v>2</v>
      </c>
      <c r="F34" s="18">
        <f>'Monthly Stats'!G21</f>
        <v>1.653</v>
      </c>
      <c r="G34" s="18">
        <f>'Monthly Stats'!H21</f>
        <v>3.14</v>
      </c>
      <c r="H34" s="13" t="str">
        <f>'Monthly Stats'!I21</f>
        <v>Exceeded</v>
      </c>
      <c r="I34" s="13" t="str">
        <f>'Monthly Stats'!J21</f>
        <v>Exceeded</v>
      </c>
      <c r="J34" s="13" t="str">
        <f>'Monthly Stats'!K21</f>
        <v>Met</v>
      </c>
    </row>
    <row r="35" spans="1:10" x14ac:dyDescent="0.2">
      <c r="A35" s="13" t="s">
        <v>20</v>
      </c>
      <c r="B35" s="16">
        <f>'Monthly Stats'!C22</f>
        <v>1.2</v>
      </c>
      <c r="C35" s="16">
        <f>'Monthly Stats'!D22</f>
        <v>0.65</v>
      </c>
      <c r="D35" s="17">
        <f>'Monthly Stats'!E22</f>
        <v>2</v>
      </c>
      <c r="E35" s="17">
        <f>'Monthly Stats'!F22</f>
        <v>2</v>
      </c>
      <c r="F35" s="18">
        <f>'Monthly Stats'!G22</f>
        <v>0.325</v>
      </c>
      <c r="G35" s="18">
        <f>'Monthly Stats'!H22</f>
        <v>0.41</v>
      </c>
      <c r="H35" s="13" t="str">
        <f>'Monthly Stats'!I22</f>
        <v>Met</v>
      </c>
      <c r="I35" s="13" t="str">
        <f>'Monthly Stats'!J22</f>
        <v>Met</v>
      </c>
      <c r="J35" s="13" t="str">
        <f>'Monthly Stats'!K22</f>
        <v>Met</v>
      </c>
    </row>
    <row r="36" spans="1:10" x14ac:dyDescent="0.2">
      <c r="A36" s="13" t="s">
        <v>21</v>
      </c>
      <c r="B36" s="13" t="s">
        <v>22</v>
      </c>
      <c r="C36" s="13" t="s">
        <v>23</v>
      </c>
      <c r="D36" s="17">
        <f>COUNTIFS('Lab Data'!$C$5:$C$23,"Sep",'Lab Data'!$E$5:$E$23,"Permittee",'Lab Data'!$G$5:$G$23,"Y")</f>
        <v>3</v>
      </c>
      <c r="E36" s="17">
        <f>Parameters!$B$15</f>
        <v>2</v>
      </c>
      <c r="F36" s="19">
        <f>_xlfn.MINIFS('Lab Data'!$BS$5:$BS$23,'Lab Data'!$C$5:$C$23,"Sep",'Lab Data'!$E$5:$E$23,"Permittee",'Lab Data'!$G$5:$G$23,"Y")</f>
        <v>7.3</v>
      </c>
      <c r="G36" s="19">
        <f>_xlfn.MAXIFS('Lab Data'!$BS$5:$BS$23,'Lab Data'!$C$5:$C$23,"Sep",'Lab Data'!$E$5:$E$23,"Permittee",'Lab Data'!$G$5:$G$23,"Y")</f>
        <v>7.9</v>
      </c>
      <c r="H36" s="13" t="s">
        <v>32</v>
      </c>
      <c r="I36" s="13" t="s">
        <v>30</v>
      </c>
      <c r="J36" s="13" t="s">
        <v>25</v>
      </c>
    </row>
    <row r="37" spans="1:10" x14ac:dyDescent="0.2">
      <c r="A37" s="13" t="s">
        <v>26</v>
      </c>
      <c r="B37" s="20">
        <f>Parameters!$B$12</f>
        <v>45000</v>
      </c>
      <c r="C37" s="13" t="s">
        <v>23</v>
      </c>
      <c r="D37" s="13" t="s">
        <v>27</v>
      </c>
      <c r="E37" s="13" t="s">
        <v>27</v>
      </c>
      <c r="G37" s="20">
        <f>'Flow Q3'!$B$110</f>
        <v>46550</v>
      </c>
      <c r="H37" s="13" t="s">
        <v>23</v>
      </c>
      <c r="I37" s="13" t="str">
        <f>IF(G37&gt;B37,"Exceeded","Met")</f>
        <v>Exceeded</v>
      </c>
      <c r="J37" s="13" t="s">
        <v>25</v>
      </c>
    </row>
    <row r="39" spans="1:10" x14ac:dyDescent="0.2">
      <c r="A39" s="14" t="s">
        <v>33</v>
      </c>
    </row>
    <row r="40" spans="1:10" x14ac:dyDescent="0.2">
      <c r="A40" s="15" t="s">
        <v>34</v>
      </c>
      <c r="B40" s="15" t="s">
        <v>35</v>
      </c>
      <c r="C40" s="15" t="s">
        <v>36</v>
      </c>
      <c r="D40" s="15" t="s">
        <v>37</v>
      </c>
      <c r="E40" s="15" t="s">
        <v>38</v>
      </c>
      <c r="F40" s="15" t="s">
        <v>39</v>
      </c>
    </row>
    <row r="41" spans="1:10" ht="28" customHeight="1" x14ac:dyDescent="0.2">
      <c r="A41" s="21" t="s">
        <v>40</v>
      </c>
      <c r="B41" s="21" t="s">
        <v>41</v>
      </c>
      <c r="C41" s="22">
        <f>'Lab Data'!AO14</f>
        <v>1.77</v>
      </c>
      <c r="D41" s="21" t="s">
        <v>42</v>
      </c>
      <c r="E41" s="21" t="s">
        <v>43</v>
      </c>
      <c r="F41" s="21" t="s">
        <v>44</v>
      </c>
    </row>
    <row r="42" spans="1:10" ht="28" customHeight="1" x14ac:dyDescent="0.2">
      <c r="A42" s="21" t="s">
        <v>45</v>
      </c>
      <c r="B42" s="21" t="s">
        <v>46</v>
      </c>
      <c r="C42" s="23">
        <f>'Monthly Stats'!G7</f>
        <v>4.09</v>
      </c>
      <c r="D42" s="21" t="s">
        <v>47</v>
      </c>
      <c r="E42" s="21" t="s">
        <v>43</v>
      </c>
      <c r="F42" s="21" t="s">
        <v>48</v>
      </c>
    </row>
    <row r="43" spans="1:10" ht="42" customHeight="1" x14ac:dyDescent="0.2">
      <c r="A43" s="21" t="s">
        <v>45</v>
      </c>
      <c r="B43" s="21" t="s">
        <v>49</v>
      </c>
      <c r="C43" s="24">
        <f>'Monthly Stats'!E7</f>
        <v>1</v>
      </c>
      <c r="D43" s="21" t="s">
        <v>50</v>
      </c>
      <c r="E43" s="21" t="s">
        <v>51</v>
      </c>
      <c r="F43" s="21" t="s">
        <v>52</v>
      </c>
    </row>
    <row r="44" spans="1:10" ht="42" customHeight="1" x14ac:dyDescent="0.2">
      <c r="A44" s="21" t="s">
        <v>45</v>
      </c>
      <c r="B44" s="21" t="s">
        <v>53</v>
      </c>
      <c r="C44" s="24">
        <f>'Monthly Stats'!E9</f>
        <v>0</v>
      </c>
      <c r="D44" s="21" t="s">
        <v>50</v>
      </c>
      <c r="E44" s="21" t="s">
        <v>51</v>
      </c>
      <c r="F44" s="21" t="s">
        <v>54</v>
      </c>
    </row>
    <row r="45" spans="1:10" ht="84" customHeight="1" x14ac:dyDescent="0.2">
      <c r="A45" s="21" t="s">
        <v>55</v>
      </c>
      <c r="B45" s="21" t="s">
        <v>56</v>
      </c>
      <c r="C45" s="21" t="s">
        <v>57</v>
      </c>
      <c r="D45" s="21" t="s">
        <v>58</v>
      </c>
      <c r="E45" s="21" t="s">
        <v>59</v>
      </c>
      <c r="F45" s="21" t="s">
        <v>60</v>
      </c>
    </row>
    <row r="46" spans="1:10" ht="84" customHeight="1" x14ac:dyDescent="0.2">
      <c r="A46" s="21" t="s">
        <v>55</v>
      </c>
      <c r="B46" s="21" t="s">
        <v>61</v>
      </c>
      <c r="C46" s="21" t="s">
        <v>62</v>
      </c>
      <c r="D46" s="21" t="s">
        <v>58</v>
      </c>
      <c r="E46" s="21" t="s">
        <v>59</v>
      </c>
      <c r="F46" s="21" t="s">
        <v>63</v>
      </c>
    </row>
    <row r="47" spans="1:10" ht="28" customHeight="1" x14ac:dyDescent="0.2">
      <c r="A47" s="21" t="s">
        <v>64</v>
      </c>
      <c r="B47" s="21" t="s">
        <v>65</v>
      </c>
      <c r="C47" s="22">
        <f>'Lab Data'!AO15</f>
        <v>4.09</v>
      </c>
      <c r="D47" s="21" t="s">
        <v>42</v>
      </c>
      <c r="E47" s="21" t="s">
        <v>43</v>
      </c>
      <c r="F47" s="21" t="s">
        <v>44</v>
      </c>
    </row>
    <row r="48" spans="1:10" ht="42" customHeight="1" x14ac:dyDescent="0.2">
      <c r="A48" s="21" t="s">
        <v>66</v>
      </c>
      <c r="B48" s="21" t="s">
        <v>67</v>
      </c>
      <c r="C48" s="25">
        <f>'Flow Q3'!$B$101</f>
        <v>46150</v>
      </c>
      <c r="D48" s="21" t="s">
        <v>68</v>
      </c>
      <c r="E48" s="21" t="s">
        <v>43</v>
      </c>
      <c r="F48" s="21" t="s">
        <v>69</v>
      </c>
    </row>
    <row r="49" spans="1:6" ht="42" customHeight="1" x14ac:dyDescent="0.2">
      <c r="A49" s="21" t="s">
        <v>70</v>
      </c>
      <c r="B49" s="21" t="s">
        <v>71</v>
      </c>
      <c r="C49" s="21" t="s">
        <v>72</v>
      </c>
      <c r="D49" s="21" t="s">
        <v>73</v>
      </c>
      <c r="E49" s="21" t="s">
        <v>74</v>
      </c>
      <c r="F49" s="21" t="s">
        <v>75</v>
      </c>
    </row>
    <row r="50" spans="1:6" ht="42" customHeight="1" x14ac:dyDescent="0.2">
      <c r="A50" s="21" t="s">
        <v>76</v>
      </c>
      <c r="B50" s="21" t="s">
        <v>77</v>
      </c>
      <c r="C50" s="22">
        <f>'Lab Data'!AO16</f>
        <v>4.33</v>
      </c>
      <c r="D50" s="21" t="s">
        <v>42</v>
      </c>
      <c r="E50" s="21" t="s">
        <v>43</v>
      </c>
      <c r="F50" s="21" t="s">
        <v>44</v>
      </c>
    </row>
    <row r="51" spans="1:6" ht="28" customHeight="1" x14ac:dyDescent="0.2">
      <c r="A51" s="21" t="s">
        <v>78</v>
      </c>
      <c r="B51" s="21" t="s">
        <v>79</v>
      </c>
      <c r="C51" s="21" t="s">
        <v>80</v>
      </c>
      <c r="D51" s="21" t="s">
        <v>22</v>
      </c>
      <c r="E51" s="21" t="s">
        <v>81</v>
      </c>
      <c r="F51" s="21" t="s">
        <v>82</v>
      </c>
    </row>
    <row r="52" spans="1:6" ht="56" customHeight="1" x14ac:dyDescent="0.2">
      <c r="A52" s="21" t="s">
        <v>83</v>
      </c>
      <c r="B52" s="21" t="s">
        <v>84</v>
      </c>
      <c r="C52" s="21" t="s">
        <v>72</v>
      </c>
      <c r="D52" s="21" t="s">
        <v>85</v>
      </c>
      <c r="E52" s="21" t="s">
        <v>74</v>
      </c>
      <c r="F52" s="21" t="s">
        <v>86</v>
      </c>
    </row>
    <row r="53" spans="1:6" ht="42" customHeight="1" x14ac:dyDescent="0.2">
      <c r="A53" s="21" t="s">
        <v>87</v>
      </c>
      <c r="B53" s="21" t="s">
        <v>88</v>
      </c>
      <c r="C53" s="22">
        <f>'Lab Data'!AO19</f>
        <v>4.27</v>
      </c>
      <c r="D53" s="21" t="s">
        <v>42</v>
      </c>
      <c r="E53" s="21" t="s">
        <v>43</v>
      </c>
      <c r="F53" s="21" t="s">
        <v>44</v>
      </c>
    </row>
    <row r="54" spans="1:6" ht="28" customHeight="1" x14ac:dyDescent="0.2">
      <c r="A54" s="21" t="s">
        <v>89</v>
      </c>
      <c r="B54" s="21" t="s">
        <v>90</v>
      </c>
      <c r="C54" s="23">
        <f>'Monthly Stats'!G13</f>
        <v>3.977</v>
      </c>
      <c r="D54" s="21" t="s">
        <v>47</v>
      </c>
      <c r="E54" s="21" t="s">
        <v>43</v>
      </c>
      <c r="F54" s="21" t="s">
        <v>91</v>
      </c>
    </row>
    <row r="55" spans="1:6" ht="42" customHeight="1" x14ac:dyDescent="0.2">
      <c r="A55" s="21" t="s">
        <v>89</v>
      </c>
      <c r="B55" s="21" t="s">
        <v>92</v>
      </c>
      <c r="C55" s="24">
        <f>'Monthly Stats'!L16</f>
        <v>6</v>
      </c>
      <c r="D55" s="21" t="s">
        <v>93</v>
      </c>
      <c r="E55" s="21" t="s">
        <v>51</v>
      </c>
      <c r="F55" s="21" t="s">
        <v>94</v>
      </c>
    </row>
    <row r="56" spans="1:6" ht="70" customHeight="1" x14ac:dyDescent="0.2">
      <c r="A56" s="21" t="s">
        <v>95</v>
      </c>
      <c r="B56" s="21" t="s">
        <v>96</v>
      </c>
      <c r="C56" s="21" t="s">
        <v>97</v>
      </c>
      <c r="D56" s="21" t="s">
        <v>73</v>
      </c>
      <c r="E56" s="21" t="s">
        <v>74</v>
      </c>
      <c r="F56" s="21" t="s">
        <v>98</v>
      </c>
    </row>
    <row r="57" spans="1:6" ht="56" customHeight="1" x14ac:dyDescent="0.2">
      <c r="A57" s="21" t="s">
        <v>99</v>
      </c>
      <c r="B57" s="21" t="s">
        <v>100</v>
      </c>
      <c r="C57" s="21" t="s">
        <v>101</v>
      </c>
      <c r="D57" s="21" t="s">
        <v>73</v>
      </c>
      <c r="E57" s="21" t="s">
        <v>74</v>
      </c>
      <c r="F57" s="21" t="s">
        <v>102</v>
      </c>
    </row>
    <row r="58" spans="1:6" ht="28" customHeight="1" x14ac:dyDescent="0.2">
      <c r="A58" s="21" t="s">
        <v>103</v>
      </c>
      <c r="B58" s="21" t="s">
        <v>104</v>
      </c>
      <c r="C58" s="22">
        <f>'Lab Data'!BG20</f>
        <v>1.18</v>
      </c>
      <c r="D58" s="21" t="s">
        <v>105</v>
      </c>
      <c r="E58" s="21" t="s">
        <v>43</v>
      </c>
      <c r="F58" s="21" t="s">
        <v>106</v>
      </c>
    </row>
    <row r="59" spans="1:6" ht="14" customHeight="1" x14ac:dyDescent="0.2">
      <c r="A59" s="21" t="s">
        <v>107</v>
      </c>
      <c r="B59" s="21" t="s">
        <v>108</v>
      </c>
      <c r="C59" s="23">
        <f>'Monthly Stats'!G21</f>
        <v>1.653</v>
      </c>
      <c r="D59" s="21" t="s">
        <v>109</v>
      </c>
      <c r="E59" s="21" t="s">
        <v>43</v>
      </c>
      <c r="F59" s="21" t="s">
        <v>110</v>
      </c>
    </row>
    <row r="60" spans="1:6" ht="56" customHeight="1" x14ac:dyDescent="0.2">
      <c r="A60" s="21" t="s">
        <v>103</v>
      </c>
      <c r="B60" s="21" t="s">
        <v>111</v>
      </c>
      <c r="C60" s="25">
        <f>'Flow Q3'!$B$109</f>
        <v>46550</v>
      </c>
      <c r="D60" s="21" t="s">
        <v>68</v>
      </c>
      <c r="E60" s="21" t="s">
        <v>43</v>
      </c>
      <c r="F60" s="21" t="s">
        <v>112</v>
      </c>
    </row>
    <row r="61" spans="1:6" ht="42" customHeight="1" x14ac:dyDescent="0.2">
      <c r="A61" s="21" t="s">
        <v>103</v>
      </c>
      <c r="B61" s="21" t="s">
        <v>113</v>
      </c>
      <c r="C61" s="21" t="s">
        <v>114</v>
      </c>
      <c r="D61" s="21" t="s">
        <v>115</v>
      </c>
      <c r="E61" s="21" t="s">
        <v>116</v>
      </c>
      <c r="F61" s="21" t="s">
        <v>117</v>
      </c>
    </row>
    <row r="62" spans="1:6" ht="28" customHeight="1" x14ac:dyDescent="0.2">
      <c r="A62" s="21" t="s">
        <v>118</v>
      </c>
      <c r="B62" s="21" t="s">
        <v>119</v>
      </c>
      <c r="C62" s="21" t="s">
        <v>120</v>
      </c>
      <c r="D62" s="21" t="s">
        <v>73</v>
      </c>
      <c r="E62" s="21" t="s">
        <v>74</v>
      </c>
      <c r="F62" s="21" t="s">
        <v>121</v>
      </c>
    </row>
    <row r="63" spans="1:6" ht="56" customHeight="1" x14ac:dyDescent="0.2">
      <c r="A63" s="21" t="s">
        <v>122</v>
      </c>
      <c r="B63" s="21" t="s">
        <v>123</v>
      </c>
      <c r="C63" s="21" t="s">
        <v>72</v>
      </c>
      <c r="D63" s="21" t="s">
        <v>73</v>
      </c>
      <c r="E63" s="21" t="s">
        <v>74</v>
      </c>
      <c r="F63" s="21" t="s">
        <v>124</v>
      </c>
    </row>
    <row r="64" spans="1:6" ht="28" customHeight="1" x14ac:dyDescent="0.2">
      <c r="A64" s="21" t="s">
        <v>125</v>
      </c>
      <c r="B64" s="21" t="s">
        <v>126</v>
      </c>
      <c r="C64" s="21" t="s">
        <v>127</v>
      </c>
      <c r="D64" s="21" t="s">
        <v>22</v>
      </c>
      <c r="E64" s="21" t="s">
        <v>81</v>
      </c>
      <c r="F64" s="21" t="s">
        <v>128</v>
      </c>
    </row>
    <row r="66" spans="1:2" x14ac:dyDescent="0.2">
      <c r="A66" s="14" t="s">
        <v>129</v>
      </c>
    </row>
    <row r="67" spans="1:2" x14ac:dyDescent="0.2">
      <c r="A67" s="13" t="s">
        <v>130</v>
      </c>
      <c r="B67" s="17">
        <f>'SNC Review'!B7</f>
        <v>14</v>
      </c>
    </row>
    <row r="68" spans="1:2" x14ac:dyDescent="0.2">
      <c r="A68" s="13" t="s">
        <v>131</v>
      </c>
      <c r="B68" s="17">
        <f>'SNC Review'!H7</f>
        <v>4</v>
      </c>
    </row>
    <row r="69" spans="1:2" x14ac:dyDescent="0.2">
      <c r="A69" s="13" t="s">
        <v>132</v>
      </c>
      <c r="B69" s="19">
        <f>'SNC Review'!I7</f>
        <v>28.6</v>
      </c>
    </row>
    <row r="70" spans="1:2" x14ac:dyDescent="0.2">
      <c r="A70" s="13" t="s">
        <v>133</v>
      </c>
      <c r="B70" s="26" t="str">
        <f>'SNC Review'!L7</f>
        <v>Not in significant noncompliance</v>
      </c>
    </row>
    <row r="71" spans="1:2" x14ac:dyDescent="0.2">
      <c r="A71" s="13" t="s">
        <v>134</v>
      </c>
      <c r="B71" s="17">
        <f>'SNC Review'!B9</f>
        <v>13</v>
      </c>
    </row>
    <row r="72" spans="1:2" x14ac:dyDescent="0.2">
      <c r="A72" s="13" t="s">
        <v>135</v>
      </c>
      <c r="B72" s="17">
        <f>'SNC Review'!H9</f>
        <v>4</v>
      </c>
    </row>
    <row r="73" spans="1:2" x14ac:dyDescent="0.2">
      <c r="A73" s="13" t="s">
        <v>136</v>
      </c>
      <c r="B73" s="19">
        <f>'SNC Review'!I9</f>
        <v>30.8</v>
      </c>
    </row>
    <row r="74" spans="1:2" x14ac:dyDescent="0.2">
      <c r="A74" s="13" t="s">
        <v>137</v>
      </c>
      <c r="B74" s="26" t="str">
        <f>'SNC Review'!L9</f>
        <v>Not in significant noncompliance</v>
      </c>
    </row>
    <row r="75" spans="1:2" x14ac:dyDescent="0.2">
      <c r="A75" s="13" t="s">
        <v>138</v>
      </c>
      <c r="B75" s="17">
        <f>Parameters!$B$18</f>
        <v>33</v>
      </c>
    </row>
    <row r="76" spans="1:2" x14ac:dyDescent="0.2">
      <c r="A76" s="13" t="s">
        <v>139</v>
      </c>
      <c r="B76" s="17">
        <f>'SNC Review'!F33</f>
        <v>50</v>
      </c>
    </row>
    <row r="77" spans="1:2" x14ac:dyDescent="0.2">
      <c r="A77" s="13" t="s">
        <v>140</v>
      </c>
      <c r="B77" s="26" t="str">
        <f>'SNC Review'!B36</f>
        <v>Significant noncompliance</v>
      </c>
    </row>
    <row r="78" spans="1:2" x14ac:dyDescent="0.2">
      <c r="A78" s="13" t="s">
        <v>141</v>
      </c>
    </row>
    <row r="80" spans="1:2" x14ac:dyDescent="0.2">
      <c r="A80" s="14" t="s">
        <v>142</v>
      </c>
    </row>
    <row r="81" spans="1:1" ht="150" customHeight="1" x14ac:dyDescent="0.2">
      <c r="A81" s="21" t="s">
        <v>143</v>
      </c>
    </row>
    <row r="82" spans="1:1" x14ac:dyDescent="0.2">
      <c r="A82" s="13" t="s">
        <v>144</v>
      </c>
    </row>
    <row r="83" spans="1:1" x14ac:dyDescent="0.2">
      <c r="A83" s="13" t="s">
        <v>145</v>
      </c>
    </row>
    <row r="84" spans="1:1" x14ac:dyDescent="0.2">
      <c r="A84" s="13" t="s">
        <v>146</v>
      </c>
    </row>
    <row r="85" spans="1:1" x14ac:dyDescent="0.2">
      <c r="A85" s="13" t="s">
        <v>147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0"/>
  <sheetViews>
    <sheetView workbookViewId="0"/>
  </sheetViews>
  <sheetFormatPr baseColWidth="10" defaultColWidth="8.83203125" defaultRowHeight="15" x14ac:dyDescent="0.2"/>
  <cols>
    <col min="1" max="1" width="70" customWidth="1"/>
    <col min="2" max="2" width="18" customWidth="1"/>
    <col min="3" max="3" width="20" customWidth="1"/>
    <col min="4" max="4" width="10" customWidth="1"/>
    <col min="5" max="5" width="48" customWidth="1"/>
  </cols>
  <sheetData>
    <row r="1" spans="1:5" ht="16" customHeight="1" x14ac:dyDescent="0.2">
      <c r="A1" s="1" t="s">
        <v>148</v>
      </c>
    </row>
    <row r="3" spans="1:5" x14ac:dyDescent="0.2">
      <c r="A3" s="3" t="s">
        <v>5</v>
      </c>
      <c r="B3" s="3" t="s">
        <v>11</v>
      </c>
      <c r="C3" s="3" t="s">
        <v>10</v>
      </c>
      <c r="D3" s="3" t="s">
        <v>149</v>
      </c>
      <c r="E3" s="3" t="s">
        <v>150</v>
      </c>
    </row>
    <row r="4" spans="1:5" x14ac:dyDescent="0.2">
      <c r="A4" s="2" t="s">
        <v>15</v>
      </c>
      <c r="B4" s="4">
        <v>0.11</v>
      </c>
      <c r="C4" s="4">
        <v>0.07</v>
      </c>
      <c r="D4" s="5">
        <v>0.005</v>
      </c>
      <c r="E4" s="2" t="s">
        <v>151</v>
      </c>
    </row>
    <row r="5" spans="1:5" x14ac:dyDescent="0.2">
      <c r="A5" s="2" t="s">
        <v>16</v>
      </c>
      <c r="B5" s="4">
        <v>2.77</v>
      </c>
      <c r="C5" s="4">
        <v>1.71</v>
      </c>
      <c r="D5" s="5">
        <v>0.01</v>
      </c>
      <c r="E5" s="2" t="s">
        <v>151</v>
      </c>
    </row>
    <row r="6" spans="1:5" x14ac:dyDescent="0.2">
      <c r="A6" s="2" t="s">
        <v>17</v>
      </c>
      <c r="B6" s="4">
        <v>3.38</v>
      </c>
      <c r="C6" s="4">
        <v>2.07</v>
      </c>
      <c r="D6" s="5">
        <v>0.01</v>
      </c>
      <c r="E6" s="2" t="s">
        <v>151</v>
      </c>
    </row>
    <row r="7" spans="1:5" x14ac:dyDescent="0.2">
      <c r="A7" s="2" t="s">
        <v>18</v>
      </c>
      <c r="B7" s="4">
        <v>3.98</v>
      </c>
      <c r="C7" s="4">
        <v>2.38</v>
      </c>
      <c r="D7" s="5">
        <v>0.02</v>
      </c>
      <c r="E7" s="2" t="s">
        <v>151</v>
      </c>
    </row>
    <row r="8" spans="1:5" x14ac:dyDescent="0.2">
      <c r="A8" s="2" t="s">
        <v>19</v>
      </c>
      <c r="B8" s="4">
        <v>2.61</v>
      </c>
      <c r="C8" s="4">
        <v>1.48</v>
      </c>
      <c r="D8" s="5">
        <v>0.02</v>
      </c>
      <c r="E8" s="2" t="s">
        <v>151</v>
      </c>
    </row>
    <row r="9" spans="1:5" x14ac:dyDescent="0.2">
      <c r="A9" s="2" t="s">
        <v>20</v>
      </c>
      <c r="B9" s="4">
        <v>1.2</v>
      </c>
      <c r="C9" s="4">
        <v>0.65</v>
      </c>
      <c r="D9" s="5">
        <v>0.005</v>
      </c>
      <c r="E9" s="2" t="s">
        <v>151</v>
      </c>
    </row>
    <row r="11" spans="1:5" x14ac:dyDescent="0.2">
      <c r="A11" s="3" t="s">
        <v>152</v>
      </c>
      <c r="B11" s="3" t="s">
        <v>36</v>
      </c>
      <c r="C11" s="3"/>
      <c r="D11" s="3"/>
      <c r="E11" s="3" t="s">
        <v>150</v>
      </c>
    </row>
    <row r="12" spans="1:5" x14ac:dyDescent="0.2">
      <c r="A12" s="2" t="s">
        <v>153</v>
      </c>
      <c r="B12" s="7">
        <v>45000</v>
      </c>
      <c r="E12" s="2" t="s">
        <v>154</v>
      </c>
    </row>
    <row r="13" spans="1:5" x14ac:dyDescent="0.2">
      <c r="A13" s="2" t="s">
        <v>155</v>
      </c>
      <c r="B13" s="6">
        <v>6</v>
      </c>
      <c r="E13" s="2" t="s">
        <v>154</v>
      </c>
    </row>
    <row r="14" spans="1:5" x14ac:dyDescent="0.2">
      <c r="A14" s="2" t="s">
        <v>156</v>
      </c>
      <c r="B14" s="6">
        <v>9</v>
      </c>
      <c r="E14" s="2" t="s">
        <v>154</v>
      </c>
    </row>
    <row r="15" spans="1:5" x14ac:dyDescent="0.2">
      <c r="A15" s="2" t="s">
        <v>157</v>
      </c>
      <c r="B15" s="9">
        <v>2</v>
      </c>
      <c r="E15" s="2" t="s">
        <v>158</v>
      </c>
    </row>
    <row r="16" spans="1:5" x14ac:dyDescent="0.2">
      <c r="A16" s="2" t="s">
        <v>159</v>
      </c>
      <c r="B16" s="6">
        <v>1.2</v>
      </c>
      <c r="E16" s="2" t="s">
        <v>160</v>
      </c>
    </row>
    <row r="17" spans="1:5" x14ac:dyDescent="0.2">
      <c r="A17" s="2" t="s">
        <v>161</v>
      </c>
      <c r="B17" s="9">
        <v>66</v>
      </c>
      <c r="E17" s="2" t="s">
        <v>160</v>
      </c>
    </row>
    <row r="18" spans="1:5" x14ac:dyDescent="0.2">
      <c r="A18" s="2" t="s">
        <v>162</v>
      </c>
      <c r="B18" s="9">
        <v>33</v>
      </c>
      <c r="E18" s="2" t="s">
        <v>160</v>
      </c>
    </row>
    <row r="19" spans="1:5" x14ac:dyDescent="0.2">
      <c r="A19" s="2" t="s">
        <v>163</v>
      </c>
      <c r="B19" s="9">
        <v>24</v>
      </c>
      <c r="E19" s="2" t="s">
        <v>164</v>
      </c>
    </row>
    <row r="20" spans="1:5" x14ac:dyDescent="0.2">
      <c r="A20" s="2" t="s">
        <v>165</v>
      </c>
      <c r="B20" s="9">
        <v>5</v>
      </c>
      <c r="E20" s="2" t="s">
        <v>164</v>
      </c>
    </row>
    <row r="21" spans="1:5" x14ac:dyDescent="0.2">
      <c r="A21" s="2" t="s">
        <v>166</v>
      </c>
      <c r="B21" s="9">
        <v>30</v>
      </c>
      <c r="E21" s="2" t="s">
        <v>167</v>
      </c>
    </row>
    <row r="22" spans="1:5" x14ac:dyDescent="0.2">
      <c r="A22" s="2" t="s">
        <v>168</v>
      </c>
      <c r="B22" s="9">
        <v>15</v>
      </c>
      <c r="E22" s="2" t="s">
        <v>169</v>
      </c>
    </row>
    <row r="23" spans="1:5" x14ac:dyDescent="0.2">
      <c r="A23" s="2" t="s">
        <v>170</v>
      </c>
      <c r="B23" s="9">
        <v>6</v>
      </c>
      <c r="E23" s="2" t="s">
        <v>171</v>
      </c>
    </row>
    <row r="24" spans="1:5" x14ac:dyDescent="0.2">
      <c r="A24" s="2" t="s">
        <v>172</v>
      </c>
      <c r="B24" s="9">
        <v>14</v>
      </c>
      <c r="E24" s="2" t="s">
        <v>173</v>
      </c>
    </row>
    <row r="25" spans="1:5" x14ac:dyDescent="0.2">
      <c r="A25" s="13" t="s">
        <v>174</v>
      </c>
      <c r="B25" s="17">
        <v>12</v>
      </c>
      <c r="E25" s="13" t="s">
        <v>158</v>
      </c>
    </row>
    <row r="26" spans="1:5" x14ac:dyDescent="0.2">
      <c r="A26" s="13" t="s">
        <v>175</v>
      </c>
      <c r="B26" s="13" t="s">
        <v>176</v>
      </c>
      <c r="E26" s="13" t="s">
        <v>177</v>
      </c>
    </row>
    <row r="27" spans="1:5" x14ac:dyDescent="0.2">
      <c r="A27" s="13" t="s">
        <v>178</v>
      </c>
      <c r="B27" s="13" t="s">
        <v>179</v>
      </c>
      <c r="E27" s="13" t="s">
        <v>160</v>
      </c>
    </row>
    <row r="28" spans="1:5" x14ac:dyDescent="0.2">
      <c r="A28" s="13" t="s">
        <v>180</v>
      </c>
      <c r="B28" s="17">
        <f>DATE(VALUE(RIGHT(B26,4)),VALUE(LEFT(B26,2)),VALUE(MID(B26,4,2)))</f>
        <v>46113</v>
      </c>
      <c r="E28" s="13" t="s">
        <v>181</v>
      </c>
    </row>
    <row r="29" spans="1:5" x14ac:dyDescent="0.2">
      <c r="A29" s="13" t="s">
        <v>182</v>
      </c>
      <c r="B29" s="17">
        <f>DATE(VALUE(RIGHT(B27,4)),VALUE(LEFT(B27,2)),VALUE(MID(B27,4,2)))</f>
        <v>46295</v>
      </c>
      <c r="E29" s="13" t="s">
        <v>183</v>
      </c>
    </row>
    <row r="30" spans="1:5" x14ac:dyDescent="0.2">
      <c r="A30" s="13" t="s">
        <v>184</v>
      </c>
      <c r="B30" s="17">
        <v>10</v>
      </c>
      <c r="E30" s="13" t="s">
        <v>158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Z23"/>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13" customWidth="1"/>
    <col min="2" max="2" width="12" customWidth="1"/>
    <col min="3" max="3" width="8" customWidth="1"/>
    <col min="4" max="4" width="11" customWidth="1"/>
    <col min="5" max="5" width="13" customWidth="1"/>
    <col min="6" max="6" width="15" customWidth="1"/>
    <col min="7" max="7" width="11" customWidth="1"/>
    <col min="8" max="8" width="10" customWidth="1"/>
    <col min="9" max="9" width="11" customWidth="1"/>
    <col min="10" max="10" width="10" customWidth="1"/>
    <col min="11" max="11" width="16" customWidth="1"/>
    <col min="12" max="12" width="17" customWidth="1"/>
    <col min="13" max="16" width="12" customWidth="1"/>
    <col min="17" max="17" width="10" customWidth="1"/>
    <col min="18" max="18" width="7" customWidth="1"/>
    <col min="19" max="20" width="10" customWidth="1"/>
    <col min="21" max="21" width="9" customWidth="1"/>
    <col min="22" max="22" width="13" customWidth="1"/>
    <col min="23" max="23" width="10" customWidth="1"/>
    <col min="24" max="25" width="11" customWidth="1"/>
    <col min="26" max="26" width="10" customWidth="1"/>
    <col min="27" max="27" width="7" customWidth="1"/>
    <col min="28" max="29" width="10" customWidth="1"/>
    <col min="30" max="30" width="9" customWidth="1"/>
    <col min="31" max="31" width="13" customWidth="1"/>
    <col min="32" max="32" width="10" customWidth="1"/>
    <col min="33" max="34" width="11" customWidth="1"/>
    <col min="35" max="35" width="10" customWidth="1"/>
    <col min="36" max="36" width="7" customWidth="1"/>
    <col min="37" max="38" width="10" customWidth="1"/>
    <col min="39" max="39" width="9" customWidth="1"/>
    <col min="40" max="40" width="13" customWidth="1"/>
    <col min="41" max="41" width="10" customWidth="1"/>
    <col min="42" max="43" width="11" customWidth="1"/>
    <col min="44" max="44" width="10" customWidth="1"/>
    <col min="45" max="45" width="7" customWidth="1"/>
    <col min="46" max="47" width="10" customWidth="1"/>
    <col min="48" max="48" width="9" customWidth="1"/>
    <col min="49" max="49" width="13" customWidth="1"/>
    <col min="50" max="50" width="10" customWidth="1"/>
    <col min="51" max="52" width="11" customWidth="1"/>
    <col min="53" max="53" width="10" customWidth="1"/>
    <col min="54" max="54" width="7" customWidth="1"/>
    <col min="55" max="56" width="10" customWidth="1"/>
    <col min="57" max="57" width="9" customWidth="1"/>
    <col min="58" max="58" width="13" customWidth="1"/>
    <col min="59" max="59" width="10" customWidth="1"/>
    <col min="60" max="61" width="11" customWidth="1"/>
    <col min="62" max="62" width="10" customWidth="1"/>
    <col min="63" max="63" width="7" customWidth="1"/>
    <col min="64" max="65" width="10" customWidth="1"/>
    <col min="66" max="66" width="9" customWidth="1"/>
    <col min="67" max="67" width="13" customWidth="1"/>
    <col min="68" max="68" width="10" customWidth="1"/>
    <col min="69" max="70" width="11" customWidth="1"/>
    <col min="71" max="71" width="9" customWidth="1"/>
    <col min="72" max="72" width="13" customWidth="1"/>
    <col min="73" max="73" width="17" customWidth="1"/>
    <col min="74" max="74" width="14" customWidth="1"/>
    <col min="75" max="75" width="70" customWidth="1"/>
    <col min="76" max="78" width="12" customWidth="1"/>
  </cols>
  <sheetData>
    <row r="1" spans="1:78" ht="16" customHeight="1" x14ac:dyDescent="0.2">
      <c r="A1" s="12" t="s">
        <v>185</v>
      </c>
    </row>
    <row r="2" spans="1:78" x14ac:dyDescent="0.2">
      <c r="A2" s="13" t="s">
        <v>186</v>
      </c>
    </row>
    <row r="3" spans="1:78" x14ac:dyDescent="0.2">
      <c r="A3" s="13" t="s">
        <v>187</v>
      </c>
    </row>
    <row r="4" spans="1:78" x14ac:dyDescent="0.2">
      <c r="A4" s="15" t="s">
        <v>188</v>
      </c>
      <c r="B4" s="15" t="s">
        <v>189</v>
      </c>
      <c r="C4" s="15" t="s">
        <v>190</v>
      </c>
      <c r="D4" s="15" t="s">
        <v>191</v>
      </c>
      <c r="E4" s="15" t="s">
        <v>192</v>
      </c>
      <c r="F4" s="15" t="s">
        <v>193</v>
      </c>
      <c r="G4" s="15" t="s">
        <v>194</v>
      </c>
      <c r="H4" s="15" t="s">
        <v>195</v>
      </c>
      <c r="I4" s="15" t="s">
        <v>196</v>
      </c>
      <c r="J4" s="15" t="s">
        <v>197</v>
      </c>
      <c r="K4" s="15" t="s">
        <v>198</v>
      </c>
      <c r="L4" s="15" t="s">
        <v>199</v>
      </c>
      <c r="M4" s="15" t="s">
        <v>200</v>
      </c>
      <c r="N4" s="15" t="s">
        <v>201</v>
      </c>
      <c r="O4" s="15" t="s">
        <v>202</v>
      </c>
      <c r="P4" s="15" t="s">
        <v>203</v>
      </c>
      <c r="Q4" s="15" t="s">
        <v>204</v>
      </c>
      <c r="R4" s="15" t="s">
        <v>205</v>
      </c>
      <c r="S4" s="15" t="s">
        <v>206</v>
      </c>
      <c r="T4" s="15" t="s">
        <v>207</v>
      </c>
      <c r="U4" s="15" t="s">
        <v>208</v>
      </c>
      <c r="V4" s="15" t="s">
        <v>209</v>
      </c>
      <c r="W4" s="15" t="s">
        <v>210</v>
      </c>
      <c r="X4" s="15" t="s">
        <v>211</v>
      </c>
      <c r="Y4" s="15" t="s">
        <v>212</v>
      </c>
      <c r="Z4" s="15" t="s">
        <v>213</v>
      </c>
      <c r="AA4" s="15" t="s">
        <v>214</v>
      </c>
      <c r="AB4" s="15" t="s">
        <v>215</v>
      </c>
      <c r="AC4" s="15" t="s">
        <v>216</v>
      </c>
      <c r="AD4" s="15" t="s">
        <v>217</v>
      </c>
      <c r="AE4" s="15" t="s">
        <v>218</v>
      </c>
      <c r="AF4" s="15" t="s">
        <v>219</v>
      </c>
      <c r="AG4" s="15" t="s">
        <v>220</v>
      </c>
      <c r="AH4" s="15" t="s">
        <v>221</v>
      </c>
      <c r="AI4" s="15" t="s">
        <v>222</v>
      </c>
      <c r="AJ4" s="15" t="s">
        <v>223</v>
      </c>
      <c r="AK4" s="15" t="s">
        <v>224</v>
      </c>
      <c r="AL4" s="15" t="s">
        <v>225</v>
      </c>
      <c r="AM4" s="15" t="s">
        <v>226</v>
      </c>
      <c r="AN4" s="15" t="s">
        <v>227</v>
      </c>
      <c r="AO4" s="15" t="s">
        <v>228</v>
      </c>
      <c r="AP4" s="15" t="s">
        <v>229</v>
      </c>
      <c r="AQ4" s="15" t="s">
        <v>230</v>
      </c>
      <c r="AR4" s="15" t="s">
        <v>231</v>
      </c>
      <c r="AS4" s="15" t="s">
        <v>232</v>
      </c>
      <c r="AT4" s="15" t="s">
        <v>233</v>
      </c>
      <c r="AU4" s="15" t="s">
        <v>234</v>
      </c>
      <c r="AV4" s="15" t="s">
        <v>235</v>
      </c>
      <c r="AW4" s="15" t="s">
        <v>236</v>
      </c>
      <c r="AX4" s="15" t="s">
        <v>237</v>
      </c>
      <c r="AY4" s="15" t="s">
        <v>238</v>
      </c>
      <c r="AZ4" s="15" t="s">
        <v>239</v>
      </c>
      <c r="BA4" s="15" t="s">
        <v>240</v>
      </c>
      <c r="BB4" s="15" t="s">
        <v>241</v>
      </c>
      <c r="BC4" s="15" t="s">
        <v>242</v>
      </c>
      <c r="BD4" s="15" t="s">
        <v>243</v>
      </c>
      <c r="BE4" s="15" t="s">
        <v>244</v>
      </c>
      <c r="BF4" s="15" t="s">
        <v>245</v>
      </c>
      <c r="BG4" s="15" t="s">
        <v>246</v>
      </c>
      <c r="BH4" s="15" t="s">
        <v>247</v>
      </c>
      <c r="BI4" s="15" t="s">
        <v>248</v>
      </c>
      <c r="BJ4" s="15" t="s">
        <v>249</v>
      </c>
      <c r="BK4" s="15" t="s">
        <v>250</v>
      </c>
      <c r="BL4" s="15" t="s">
        <v>251</v>
      </c>
      <c r="BM4" s="15" t="s">
        <v>252</v>
      </c>
      <c r="BN4" s="15" t="s">
        <v>253</v>
      </c>
      <c r="BO4" s="15" t="s">
        <v>254</v>
      </c>
      <c r="BP4" s="15" t="s">
        <v>255</v>
      </c>
      <c r="BQ4" s="15" t="s">
        <v>256</v>
      </c>
      <c r="BR4" s="15" t="s">
        <v>257</v>
      </c>
      <c r="BS4" s="15" t="s">
        <v>258</v>
      </c>
      <c r="BT4" s="15" t="s">
        <v>259</v>
      </c>
      <c r="BU4" s="15" t="s">
        <v>260</v>
      </c>
      <c r="BV4" s="15" t="s">
        <v>261</v>
      </c>
      <c r="BW4" s="15" t="s">
        <v>262</v>
      </c>
      <c r="BX4" s="15" t="s">
        <v>263</v>
      </c>
      <c r="BY4" s="15" t="s">
        <v>264</v>
      </c>
      <c r="BZ4" s="15" t="s">
        <v>265</v>
      </c>
    </row>
    <row r="5" spans="1:78" x14ac:dyDescent="0.2">
      <c r="A5" s="13" t="s">
        <v>266</v>
      </c>
      <c r="B5" s="13" t="s">
        <v>267</v>
      </c>
      <c r="C5" s="13" t="s">
        <v>268</v>
      </c>
      <c r="D5" s="13" t="s">
        <v>269</v>
      </c>
      <c r="E5" s="13" t="s">
        <v>270</v>
      </c>
      <c r="F5" s="13" t="s">
        <v>271</v>
      </c>
      <c r="G5" s="13" t="str">
        <f t="shared" ref="G5:G23" si="0">IF(OR(F5="OF-001",F5="manhole 44-118"),"Y","N")</f>
        <v>Y</v>
      </c>
      <c r="I5" s="13" t="str">
        <f>IF(H5="","Y",IF(H5&gt;=Parameters!$B$25,"Y","N"))</f>
        <v>Y</v>
      </c>
      <c r="J5" s="13" t="str">
        <f>IF(AND(BX5&gt;=Parameters!$B$28,BX5&lt;=Parameters!$B$29),"Y","N")</f>
        <v>N</v>
      </c>
      <c r="K5" s="13" t="s">
        <v>272</v>
      </c>
      <c r="L5" s="13" t="s">
        <v>273</v>
      </c>
      <c r="M5" s="17">
        <f t="shared" ref="M5:M23" si="1">IF(K5="","",_xlfn.DAYS(BY5,BX5))</f>
        <v>3</v>
      </c>
      <c r="N5" s="17">
        <f t="shared" ref="N5:N23" si="2">IF(OR(L5="",L5="not collected"),"",_xlfn.DAYS(BZ5,BX5))</f>
        <v>4</v>
      </c>
      <c r="O5" s="13" t="str">
        <f>IF(K5="","Y",IF(BY5&lt;=EDATE(BX5,Parameters!$B$23),"Y","N"))</f>
        <v>Y</v>
      </c>
      <c r="P5" s="13" t="str">
        <f>IF(N5="","Y",IF(N5&lt;=Parameters!$B$24,"Y","N"))</f>
        <v>Y</v>
      </c>
      <c r="Q5" s="18">
        <v>0.011</v>
      </c>
      <c r="U5" s="13" t="str">
        <f t="shared" ref="U5:U23" si="3">IF(AND($E5="Permittee",$G5="Y",$I5="Y",$O5="Y",R5&lt;&gt;"NS",T5&lt;&gt;"Y",Q5&lt;&gt;""),"Y","N")</f>
        <v>Y</v>
      </c>
      <c r="V5" s="13" t="str">
        <f t="shared" ref="V5:V23" si="4">IF(AND($J5="Y",$G5="Y",$I5="Y",$O5="Y",R5&lt;&gt;"NS",T5&lt;&gt;"Y",Q5&lt;&gt;""),"Y","N")</f>
        <v>N</v>
      </c>
      <c r="W5" s="18">
        <f t="shared" ref="W5:W23" si="5">IF(R5="NS","",IF(R5="U",0,IF(S5&lt;&gt;"",S5,Q5)))</f>
        <v>0.011</v>
      </c>
      <c r="X5" s="18" t="str">
        <f t="shared" ref="X5:X23" si="6">IF(V5="Y",IFERROR(ROUND(AVERAGEIFS($W$5:$W$23,$BX$5:$BX$23,$BX5,$V$5:$V$23,"Y"),3),"under limit"),"")</f>
        <v/>
      </c>
      <c r="Y5" s="13" t="str">
        <f>IF(AND(V5="Y",COUNTIFS($BX$5:$BX5,$BX5,$V$5:$V5,"Y")=1),"Y","N")</f>
        <v>N</v>
      </c>
      <c r="Z5" s="16">
        <v>0.81</v>
      </c>
      <c r="AD5" s="13" t="str">
        <f t="shared" ref="AD5:AD23" si="7">IF(AND($E5="Permittee",$G5="Y",$I5="Y",$O5="Y",AA5&lt;&gt;"NS",AC5&lt;&gt;"Y",Z5&lt;&gt;""),"Y","N")</f>
        <v>Y</v>
      </c>
      <c r="AE5" s="13" t="str">
        <f t="shared" ref="AE5:AE23" si="8">IF(AND($J5="Y",$G5="Y",$I5="Y",$O5="Y",AA5&lt;&gt;"NS",AC5&lt;&gt;"Y",Z5&lt;&gt;""),"Y","N")</f>
        <v>N</v>
      </c>
      <c r="AF5" s="16">
        <f t="shared" ref="AF5:AF23" si="9">IF(AA5="NS","",IF(AA5="U",0,IF(AB5&lt;&gt;"",AB5,Z5)))</f>
        <v>0.81</v>
      </c>
      <c r="AG5" s="18" t="str">
        <f t="shared" ref="AG5:AG23" si="10">IF(AE5="Y",IFERROR(ROUND(AVERAGEIFS($AF$5:$AF$23,$BX$5:$BX$23,$BX5,$AE$5:$AE$23,"Y"),3),"under limit"),"")</f>
        <v/>
      </c>
      <c r="AH5" s="13" t="str">
        <f>IF(AND(AE5="Y",COUNTIFS($BX$5:$BX5,$BX5,$AE$5:$AE5,"Y")=1),"Y","N")</f>
        <v>N</v>
      </c>
      <c r="AI5" s="16">
        <v>4.38</v>
      </c>
      <c r="AM5" s="13" t="str">
        <f t="shared" ref="AM5:AM23" si="11">IF(AND($E5="Permittee",$G5="Y",$I5="Y",$O5="Y",AJ5&lt;&gt;"NS",AL5&lt;&gt;"Y",AI5&lt;&gt;""),"Y","N")</f>
        <v>Y</v>
      </c>
      <c r="AN5" s="13" t="str">
        <f t="shared" ref="AN5:AN23" si="12">IF(AND($J5="Y",$G5="Y",$I5="Y",$O5="Y",AJ5&lt;&gt;"NS",AL5&lt;&gt;"Y",AI5&lt;&gt;""),"Y","N")</f>
        <v>N</v>
      </c>
      <c r="AO5" s="16">
        <f t="shared" ref="AO5:AO23" si="13">IF(AJ5="NS","",IF(AJ5="U",0,IF(AK5&lt;&gt;"",AK5,AI5)))</f>
        <v>4.38</v>
      </c>
      <c r="AP5" s="18" t="str">
        <f t="shared" ref="AP5:AP23" si="14">IF(AN5="Y",IFERROR(ROUND(AVERAGEIFS($AO$5:$AO$23,$BX$5:$BX$23,$BX5,$AN$5:$AN$23,"Y"),3),"under limit"),"")</f>
        <v/>
      </c>
      <c r="AQ5" s="13" t="str">
        <f>IF(AND(AN5="Y",COUNTIFS($BX$5:$BX5,$BX5,$AN$5:$AN5,"Y")=1),"Y","N")</f>
        <v>N</v>
      </c>
      <c r="AR5" s="16">
        <v>1.12</v>
      </c>
      <c r="AV5" s="13" t="str">
        <f t="shared" ref="AV5:AV23" si="15">IF(AND($E5="Permittee",$G5="Y",$I5="Y",$O5="Y",AS5&lt;&gt;"NS",AU5&lt;&gt;"Y",AR5&lt;&gt;""),"Y","N")</f>
        <v>Y</v>
      </c>
      <c r="AW5" s="13" t="str">
        <f t="shared" ref="AW5:AW23" si="16">IF(AND($J5="Y",$G5="Y",$I5="Y",$O5="Y",AS5&lt;&gt;"NS",AU5&lt;&gt;"Y",AR5&lt;&gt;""),"Y","N")</f>
        <v>N</v>
      </c>
      <c r="AX5" s="16">
        <f t="shared" ref="AX5:AX23" si="17">IF(AS5="NS","",IF(AS5="U",0,IF(AT5&lt;&gt;"",AT5,AR5)))</f>
        <v>1.12</v>
      </c>
      <c r="AY5" s="18" t="str">
        <f t="shared" ref="AY5:AY23" si="18">IF(AW5="Y",IFERROR(ROUND(AVERAGEIFS($AX$5:$AX$23,$BX$5:$BX$23,$BX5,$AW$5:$AW$23,"Y"),3),"under limit"),"")</f>
        <v/>
      </c>
      <c r="AZ5" s="13" t="str">
        <f>IF(AND(AW5="Y",COUNTIFS($BX$5:$BX5,$BX5,$AW$5:$AW5,"Y")=1),"Y","N")</f>
        <v>N</v>
      </c>
      <c r="BA5" s="16">
        <v>3.58</v>
      </c>
      <c r="BE5" s="13" t="str">
        <f t="shared" ref="BE5:BE23" si="19">IF(AND($E5="Permittee",$G5="Y",$I5="Y",$O5="Y",BB5&lt;&gt;"NS",BD5&lt;&gt;"Y",BA5&lt;&gt;""),"Y","N")</f>
        <v>Y</v>
      </c>
      <c r="BF5" s="13" t="str">
        <f t="shared" ref="BF5:BF23" si="20">IF(AND($J5="Y",$G5="Y",$I5="Y",$O5="Y",BB5&lt;&gt;"NS",BD5&lt;&gt;"Y",BA5&lt;&gt;""),"Y","N")</f>
        <v>N</v>
      </c>
      <c r="BG5" s="16">
        <f t="shared" ref="BG5:BG23" si="21">IF(BB5="NS","",IF(BB5="U",0,IF(BC5&lt;&gt;"",BC5,BA5)))</f>
        <v>3.58</v>
      </c>
      <c r="BH5" s="18" t="str">
        <f t="shared" ref="BH5:BH23" si="22">IF(BF5="Y",IFERROR(ROUND(AVERAGEIFS($BG$5:$BG$23,$BX$5:$BX$23,$BX5,$BF$5:$BF$23,"Y"),3),"under limit"),"")</f>
        <v/>
      </c>
      <c r="BI5" s="13" t="str">
        <f>IF(AND(BF5="Y",COUNTIFS($BX$5:$BX5,$BX5,$BF$5:$BF5,"Y")=1),"Y","N")</f>
        <v>N</v>
      </c>
      <c r="BJ5" s="18">
        <v>0.26</v>
      </c>
      <c r="BN5" s="13" t="str">
        <f t="shared" ref="BN5:BN23" si="23">IF(AND($E5="Permittee",$G5="Y",$P5="Y",BK5&lt;&gt;"NS",BM5&lt;&gt;"Y",BJ5&lt;&gt;""),"Y","N")</f>
        <v>Y</v>
      </c>
      <c r="BO5" s="13" t="str">
        <f t="shared" ref="BO5:BO23" si="24">IF(AND($J5="Y",$G5="Y",$P5="Y",BK5&lt;&gt;"NS",BM5&lt;&gt;"Y",BJ5&lt;&gt;""),"Y","N")</f>
        <v>N</v>
      </c>
      <c r="BP5" s="18">
        <f t="shared" ref="BP5:BP23" si="25">IF(BK5="NS","",IF(BK5="U",0,IF(BL5&lt;&gt;"",BL5,BJ5)))</f>
        <v>0.26</v>
      </c>
      <c r="BQ5" s="18" t="str">
        <f t="shared" ref="BQ5:BQ23" si="26">IF(BO5="Y",IFERROR(ROUND(AVERAGEIFS($BP$5:$BP$23,$BX$5:$BX$23,$BX5,$BO$5:$BO$23,"Y"),3),"under limit"),"")</f>
        <v/>
      </c>
      <c r="BR5" s="13" t="str">
        <f>IF(AND(BO5="Y",COUNTIFS($BX$5:$BX5,$BX5,$BO$5:$BO5,"Y")=1),"Y","N")</f>
        <v>N</v>
      </c>
      <c r="BS5" s="19">
        <v>7.7</v>
      </c>
      <c r="BT5" s="13" t="s">
        <v>274</v>
      </c>
      <c r="BU5" s="13" t="s">
        <v>275</v>
      </c>
      <c r="BV5" s="13" t="s">
        <v>267</v>
      </c>
      <c r="BW5" s="13" t="s">
        <v>276</v>
      </c>
      <c r="BX5" s="17">
        <f t="shared" ref="BX5:BX23" si="27">DATE(VALUE(RIGHT(B5,4)),VALUE(LEFT(B5,2)),VALUE(MID(B5,4,2)))</f>
        <v>46112</v>
      </c>
      <c r="BY5" s="17">
        <f t="shared" ref="BY5:BZ9" si="28">DATE(VALUE(RIGHT(K5,4)),VALUE(LEFT(K5,2)),VALUE(MID(K5,4,2)))</f>
        <v>46115</v>
      </c>
      <c r="BZ5" s="17">
        <f t="shared" si="28"/>
        <v>46116</v>
      </c>
    </row>
    <row r="6" spans="1:78" x14ac:dyDescent="0.2">
      <c r="A6" s="13" t="s">
        <v>277</v>
      </c>
      <c r="B6" s="13" t="s">
        <v>278</v>
      </c>
      <c r="C6" s="13" t="s">
        <v>279</v>
      </c>
      <c r="D6" s="13" t="s">
        <v>269</v>
      </c>
      <c r="E6" s="13" t="s">
        <v>270</v>
      </c>
      <c r="F6" s="13" t="s">
        <v>271</v>
      </c>
      <c r="G6" s="13" t="str">
        <f t="shared" si="0"/>
        <v>Y</v>
      </c>
      <c r="I6" s="13" t="str">
        <f>IF(H6="","Y",IF(H6&gt;=Parameters!$B$25,"Y","N"))</f>
        <v>Y</v>
      </c>
      <c r="J6" s="13" t="str">
        <f>IF(AND(BX6&gt;=Parameters!$B$28,BX6&lt;=Parameters!$B$29),"Y","N")</f>
        <v>Y</v>
      </c>
      <c r="K6" s="13" t="s">
        <v>280</v>
      </c>
      <c r="L6" s="13" t="s">
        <v>281</v>
      </c>
      <c r="M6" s="17">
        <f t="shared" si="1"/>
        <v>37</v>
      </c>
      <c r="N6" s="17">
        <f t="shared" si="2"/>
        <v>5</v>
      </c>
      <c r="O6" s="13" t="str">
        <f>IF(K6="","Y",IF(BY6&lt;=EDATE(BX6,Parameters!$B$23),"Y","N"))</f>
        <v>Y</v>
      </c>
      <c r="P6" s="13" t="str">
        <f>IF(N6="","Y",IF(N6&lt;=Parameters!$B$24,"Y","N"))</f>
        <v>Y</v>
      </c>
      <c r="Q6" s="18">
        <v>0.005</v>
      </c>
      <c r="R6" s="13" t="s">
        <v>282</v>
      </c>
      <c r="U6" s="13" t="str">
        <f t="shared" si="3"/>
        <v>Y</v>
      </c>
      <c r="V6" s="13" t="str">
        <f t="shared" si="4"/>
        <v>Y</v>
      </c>
      <c r="W6" s="18">
        <f t="shared" si="5"/>
        <v>0</v>
      </c>
      <c r="X6" s="18">
        <f t="shared" si="6"/>
        <v>0</v>
      </c>
      <c r="Y6" s="13" t="str">
        <f>IF(AND(V6="Y",COUNTIFS($BX$5:$BX6,$BX6,$V$5:$V6,"Y")=1),"Y","N")</f>
        <v>Y</v>
      </c>
      <c r="Z6" s="16">
        <v>0.62</v>
      </c>
      <c r="AD6" s="13" t="str">
        <f t="shared" si="7"/>
        <v>Y</v>
      </c>
      <c r="AE6" s="13" t="str">
        <f t="shared" si="8"/>
        <v>Y</v>
      </c>
      <c r="AF6" s="16">
        <f t="shared" si="9"/>
        <v>0.62</v>
      </c>
      <c r="AG6" s="18">
        <f t="shared" si="10"/>
        <v>0.62</v>
      </c>
      <c r="AH6" s="13" t="str">
        <f>IF(AND(AE6="Y",COUNTIFS($BX$5:$BX6,$BX6,$AE$5:$AE6,"Y")=1),"Y","N")</f>
        <v>Y</v>
      </c>
      <c r="AI6" s="16">
        <v>1.84</v>
      </c>
      <c r="AM6" s="13" t="str">
        <f t="shared" si="11"/>
        <v>Y</v>
      </c>
      <c r="AN6" s="13" t="str">
        <f t="shared" si="12"/>
        <v>Y</v>
      </c>
      <c r="AO6" s="16">
        <f t="shared" si="13"/>
        <v>1.84</v>
      </c>
      <c r="AP6" s="18">
        <f t="shared" si="14"/>
        <v>1.84</v>
      </c>
      <c r="AQ6" s="13" t="str">
        <f>IF(AND(AN6="Y",COUNTIFS($BX$5:$BX6,$BX6,$AN$5:$AN6,"Y")=1),"Y","N")</f>
        <v>Y</v>
      </c>
      <c r="AR6" s="16">
        <v>0.91</v>
      </c>
      <c r="AV6" s="13" t="str">
        <f t="shared" si="15"/>
        <v>Y</v>
      </c>
      <c r="AW6" s="13" t="str">
        <f t="shared" si="16"/>
        <v>Y</v>
      </c>
      <c r="AX6" s="16">
        <f t="shared" si="17"/>
        <v>0.91</v>
      </c>
      <c r="AY6" s="18">
        <f t="shared" si="18"/>
        <v>0.91</v>
      </c>
      <c r="AZ6" s="13" t="str">
        <f>IF(AND(AW6="Y",COUNTIFS($BX$5:$BX6,$BX6,$AW$5:$AW6,"Y")=1),"Y","N")</f>
        <v>Y</v>
      </c>
      <c r="BA6" s="16">
        <v>0.74</v>
      </c>
      <c r="BE6" s="13" t="str">
        <f t="shared" si="19"/>
        <v>Y</v>
      </c>
      <c r="BF6" s="13" t="str">
        <f t="shared" si="20"/>
        <v>Y</v>
      </c>
      <c r="BG6" s="16">
        <f t="shared" si="21"/>
        <v>0.74</v>
      </c>
      <c r="BH6" s="18">
        <f t="shared" si="22"/>
        <v>0.74</v>
      </c>
      <c r="BI6" s="13" t="str">
        <f>IF(AND(BF6="Y",COUNTIFS($BX$5:$BX6,$BX6,$BF$5:$BF6,"Y")=1),"Y","N")</f>
        <v>Y</v>
      </c>
      <c r="BJ6" s="18">
        <v>0.18</v>
      </c>
      <c r="BN6" s="13" t="str">
        <f t="shared" si="23"/>
        <v>Y</v>
      </c>
      <c r="BO6" s="13" t="str">
        <f t="shared" si="24"/>
        <v>Y</v>
      </c>
      <c r="BP6" s="18">
        <f t="shared" si="25"/>
        <v>0.18</v>
      </c>
      <c r="BQ6" s="18">
        <f t="shared" si="26"/>
        <v>0.18</v>
      </c>
      <c r="BR6" s="13" t="str">
        <f>IF(AND(BO6="Y",COUNTIFS($BX$5:$BX6,$BX6,$BO$5:$BO6,"Y")=1),"Y","N")</f>
        <v>Y</v>
      </c>
      <c r="BS6" s="19">
        <v>7.4</v>
      </c>
      <c r="BT6" s="13" t="s">
        <v>283</v>
      </c>
      <c r="BU6" s="13" t="s">
        <v>284</v>
      </c>
      <c r="BV6" s="13" t="s">
        <v>278</v>
      </c>
      <c r="BW6" s="13" t="s">
        <v>285</v>
      </c>
      <c r="BX6" s="17">
        <f t="shared" si="27"/>
        <v>46119</v>
      </c>
      <c r="BY6" s="17">
        <f t="shared" si="28"/>
        <v>46156</v>
      </c>
      <c r="BZ6" s="17">
        <f t="shared" si="28"/>
        <v>46124</v>
      </c>
    </row>
    <row r="7" spans="1:78" x14ac:dyDescent="0.2">
      <c r="A7" s="13" t="s">
        <v>286</v>
      </c>
      <c r="B7" s="13" t="s">
        <v>287</v>
      </c>
      <c r="C7" s="13" t="s">
        <v>279</v>
      </c>
      <c r="D7" s="13" t="s">
        <v>269</v>
      </c>
      <c r="E7" s="13" t="s">
        <v>270</v>
      </c>
      <c r="F7" s="13" t="s">
        <v>271</v>
      </c>
      <c r="G7" s="13" t="str">
        <f t="shared" si="0"/>
        <v>Y</v>
      </c>
      <c r="I7" s="13" t="str">
        <f>IF(H7="","Y",IF(H7&gt;=Parameters!$B$25,"Y","N"))</f>
        <v>Y</v>
      </c>
      <c r="J7" s="13" t="str">
        <f>IF(AND(BX7&gt;=Parameters!$B$28,BX7&lt;=Parameters!$B$29),"Y","N")</f>
        <v>Y</v>
      </c>
      <c r="K7" s="13" t="s">
        <v>288</v>
      </c>
      <c r="L7" s="13" t="s">
        <v>289</v>
      </c>
      <c r="M7" s="17">
        <f t="shared" si="1"/>
        <v>4</v>
      </c>
      <c r="N7" s="17">
        <f t="shared" si="2"/>
        <v>2</v>
      </c>
      <c r="O7" s="13" t="str">
        <f>IF(K7="","Y",IF(BY7&lt;=EDATE(BX7,Parameters!$B$23),"Y","N"))</f>
        <v>Y</v>
      </c>
      <c r="P7" s="13" t="str">
        <f>IF(N7="","Y",IF(N7&lt;=Parameters!$B$24,"Y","N"))</f>
        <v>Y</v>
      </c>
      <c r="Q7" s="18">
        <v>0.012</v>
      </c>
      <c r="U7" s="13" t="str">
        <f t="shared" si="3"/>
        <v>Y</v>
      </c>
      <c r="V7" s="13" t="str">
        <f t="shared" si="4"/>
        <v>Y</v>
      </c>
      <c r="W7" s="18">
        <f t="shared" si="5"/>
        <v>0.012</v>
      </c>
      <c r="X7" s="18">
        <f t="shared" si="6"/>
        <v>0.012</v>
      </c>
      <c r="Y7" s="13" t="str">
        <f>IF(AND(V7="Y",COUNTIFS($BX$5:$BX7,$BX7,$V$5:$V7,"Y")=1),"Y","N")</f>
        <v>Y</v>
      </c>
      <c r="Z7" s="16">
        <v>0.48</v>
      </c>
      <c r="AD7" s="13" t="str">
        <f t="shared" si="7"/>
        <v>Y</v>
      </c>
      <c r="AE7" s="13" t="str">
        <f t="shared" si="8"/>
        <v>Y</v>
      </c>
      <c r="AF7" s="16">
        <f t="shared" si="9"/>
        <v>0.48</v>
      </c>
      <c r="AG7" s="18">
        <f t="shared" si="10"/>
        <v>0.48</v>
      </c>
      <c r="AH7" s="13" t="str">
        <f>IF(AND(AE7="Y",COUNTIFS($BX$5:$BX7,$BX7,$AE$5:$AE7,"Y")=1),"Y","N")</f>
        <v>Y</v>
      </c>
      <c r="AI7" s="16">
        <v>3.62</v>
      </c>
      <c r="AM7" s="13" t="str">
        <f t="shared" si="11"/>
        <v>Y</v>
      </c>
      <c r="AN7" s="13" t="str">
        <f t="shared" si="12"/>
        <v>Y</v>
      </c>
      <c r="AO7" s="16">
        <f t="shared" si="13"/>
        <v>3.62</v>
      </c>
      <c r="AP7" s="18">
        <f t="shared" si="14"/>
        <v>3.62</v>
      </c>
      <c r="AQ7" s="13" t="str">
        <f>IF(AND(AN7="Y",COUNTIFS($BX$5:$BX7,$BX7,$AN$5:$AN7,"Y")=1),"Y","N")</f>
        <v>Y</v>
      </c>
      <c r="AR7" s="16">
        <v>1.44</v>
      </c>
      <c r="AV7" s="13" t="str">
        <f t="shared" si="15"/>
        <v>Y</v>
      </c>
      <c r="AW7" s="13" t="str">
        <f t="shared" si="16"/>
        <v>Y</v>
      </c>
      <c r="AX7" s="16">
        <f t="shared" si="17"/>
        <v>1.44</v>
      </c>
      <c r="AY7" s="18">
        <f t="shared" si="18"/>
        <v>1.44</v>
      </c>
      <c r="AZ7" s="13" t="str">
        <f>IF(AND(AW7="Y",COUNTIFS($BX$5:$BX7,$BX7,$AW$5:$AW7,"Y")=1),"Y","N")</f>
        <v>Y</v>
      </c>
      <c r="BA7" s="16">
        <v>3.31</v>
      </c>
      <c r="BE7" s="13" t="str">
        <f t="shared" si="19"/>
        <v>Y</v>
      </c>
      <c r="BF7" s="13" t="str">
        <f t="shared" si="20"/>
        <v>Y</v>
      </c>
      <c r="BG7" s="16">
        <f t="shared" si="21"/>
        <v>3.31</v>
      </c>
      <c r="BH7" s="18">
        <f t="shared" si="22"/>
        <v>3.31</v>
      </c>
      <c r="BI7" s="13" t="str">
        <f>IF(AND(BF7="Y",COUNTIFS($BX$5:$BX7,$BX7,$BF$5:$BF7,"Y")=1),"Y","N")</f>
        <v>Y</v>
      </c>
      <c r="BJ7" s="18">
        <v>0.31</v>
      </c>
      <c r="BN7" s="13" t="str">
        <f t="shared" si="23"/>
        <v>Y</v>
      </c>
      <c r="BO7" s="13" t="str">
        <f t="shared" si="24"/>
        <v>Y</v>
      </c>
      <c r="BP7" s="18">
        <f t="shared" si="25"/>
        <v>0.31</v>
      </c>
      <c r="BQ7" s="18">
        <f t="shared" si="26"/>
        <v>0.31</v>
      </c>
      <c r="BR7" s="13" t="str">
        <f>IF(AND(BO7="Y",COUNTIFS($BX$5:$BX7,$BX7,$BO$5:$BO7,"Y")=1),"Y","N")</f>
        <v>Y</v>
      </c>
      <c r="BS7" s="19">
        <v>7.1</v>
      </c>
      <c r="BT7" s="13" t="s">
        <v>290</v>
      </c>
      <c r="BU7" s="13" t="s">
        <v>291</v>
      </c>
      <c r="BV7" s="13" t="s">
        <v>287</v>
      </c>
      <c r="BX7" s="17">
        <f t="shared" si="27"/>
        <v>46133</v>
      </c>
      <c r="BY7" s="17">
        <f t="shared" si="28"/>
        <v>46137</v>
      </c>
      <c r="BZ7" s="17">
        <f t="shared" si="28"/>
        <v>46135</v>
      </c>
    </row>
    <row r="8" spans="1:78" x14ac:dyDescent="0.2">
      <c r="A8" s="13" t="s">
        <v>292</v>
      </c>
      <c r="B8" s="13" t="s">
        <v>293</v>
      </c>
      <c r="C8" s="13" t="s">
        <v>294</v>
      </c>
      <c r="D8" s="13" t="s">
        <v>269</v>
      </c>
      <c r="E8" s="13" t="s">
        <v>270</v>
      </c>
      <c r="F8" s="13" t="s">
        <v>271</v>
      </c>
      <c r="G8" s="13" t="str">
        <f t="shared" si="0"/>
        <v>Y</v>
      </c>
      <c r="I8" s="13" t="str">
        <f>IF(H8="","Y",IF(H8&gt;=Parameters!$B$25,"Y","N"))</f>
        <v>Y</v>
      </c>
      <c r="J8" s="13" t="str">
        <f>IF(AND(BX8&gt;=Parameters!$B$28,BX8&lt;=Parameters!$B$29),"Y","N")</f>
        <v>Y</v>
      </c>
      <c r="K8" s="13" t="s">
        <v>295</v>
      </c>
      <c r="L8" s="13" t="s">
        <v>296</v>
      </c>
      <c r="M8" s="17">
        <f t="shared" si="1"/>
        <v>3</v>
      </c>
      <c r="N8" s="17">
        <f t="shared" si="2"/>
        <v>14</v>
      </c>
      <c r="O8" s="13" t="str">
        <f>IF(K8="","Y",IF(BY8&lt;=EDATE(BX8,Parameters!$B$23),"Y","N"))</f>
        <v>Y</v>
      </c>
      <c r="P8" s="13" t="str">
        <f>IF(N8="","Y",IF(N8&lt;=Parameters!$B$24,"Y","N"))</f>
        <v>Y</v>
      </c>
      <c r="Q8" s="18">
        <v>0.005</v>
      </c>
      <c r="R8" s="13" t="s">
        <v>282</v>
      </c>
      <c r="U8" s="13" t="str">
        <f t="shared" si="3"/>
        <v>Y</v>
      </c>
      <c r="V8" s="13" t="str">
        <f t="shared" si="4"/>
        <v>Y</v>
      </c>
      <c r="W8" s="18">
        <f t="shared" si="5"/>
        <v>0</v>
      </c>
      <c r="X8" s="18">
        <f t="shared" si="6"/>
        <v>0</v>
      </c>
      <c r="Y8" s="13" t="str">
        <f>IF(AND(V8="Y",COUNTIFS($BX$5:$BX8,$BX8,$V$5:$V8,"Y")=1),"Y","N")</f>
        <v>Y</v>
      </c>
      <c r="Z8" s="16">
        <v>1.13</v>
      </c>
      <c r="AA8" s="13" t="s">
        <v>297</v>
      </c>
      <c r="AD8" s="13" t="str">
        <f t="shared" si="7"/>
        <v>Y</v>
      </c>
      <c r="AE8" s="13" t="str">
        <f t="shared" si="8"/>
        <v>Y</v>
      </c>
      <c r="AF8" s="16">
        <f t="shared" si="9"/>
        <v>1.13</v>
      </c>
      <c r="AG8" s="18">
        <f t="shared" si="10"/>
        <v>1.13</v>
      </c>
      <c r="AH8" s="13" t="str">
        <f>IF(AND(AE8="Y",COUNTIFS($BX$5:$BX8,$BX8,$AE$5:$AE8,"Y")=1),"Y","N")</f>
        <v>Y</v>
      </c>
      <c r="AI8" s="16">
        <v>4.21</v>
      </c>
      <c r="AM8" s="13" t="str">
        <f t="shared" si="11"/>
        <v>Y</v>
      </c>
      <c r="AN8" s="13" t="str">
        <f t="shared" si="12"/>
        <v>Y</v>
      </c>
      <c r="AO8" s="16">
        <f t="shared" si="13"/>
        <v>4.21</v>
      </c>
      <c r="AP8" s="18">
        <f t="shared" si="14"/>
        <v>4.21</v>
      </c>
      <c r="AQ8" s="13" t="str">
        <f>IF(AND(AN8="Y",COUNTIFS($BX$5:$BX8,$BX8,$AN$5:$AN8,"Y")=1),"Y","N")</f>
        <v>Y</v>
      </c>
      <c r="AR8" s="16">
        <v>0.77</v>
      </c>
      <c r="AV8" s="13" t="str">
        <f t="shared" si="15"/>
        <v>Y</v>
      </c>
      <c r="AW8" s="13" t="str">
        <f t="shared" si="16"/>
        <v>Y</v>
      </c>
      <c r="AX8" s="16">
        <f t="shared" si="17"/>
        <v>0.77</v>
      </c>
      <c r="AY8" s="18">
        <f t="shared" si="18"/>
        <v>0.77</v>
      </c>
      <c r="AZ8" s="13" t="str">
        <f>IF(AND(AW8="Y",COUNTIFS($BX$5:$BX8,$BX8,$AW$5:$AW8,"Y")=1),"Y","N")</f>
        <v>Y</v>
      </c>
      <c r="BA8" s="16">
        <v>0.68</v>
      </c>
      <c r="BE8" s="13" t="str">
        <f t="shared" si="19"/>
        <v>Y</v>
      </c>
      <c r="BF8" s="13" t="str">
        <f t="shared" si="20"/>
        <v>Y</v>
      </c>
      <c r="BG8" s="16">
        <f t="shared" si="21"/>
        <v>0.68</v>
      </c>
      <c r="BH8" s="18">
        <f t="shared" si="22"/>
        <v>0.68</v>
      </c>
      <c r="BI8" s="13" t="str">
        <f>IF(AND(BF8="Y",COUNTIFS($BX$5:$BX8,$BX8,$BF$5:$BF8,"Y")=1),"Y","N")</f>
        <v>Y</v>
      </c>
      <c r="BJ8" s="18">
        <v>0.22</v>
      </c>
      <c r="BN8" s="13" t="str">
        <f t="shared" si="23"/>
        <v>Y</v>
      </c>
      <c r="BO8" s="13" t="str">
        <f t="shared" si="24"/>
        <v>Y</v>
      </c>
      <c r="BP8" s="18">
        <f t="shared" si="25"/>
        <v>0.22</v>
      </c>
      <c r="BQ8" s="18">
        <f t="shared" si="26"/>
        <v>0.22</v>
      </c>
      <c r="BR8" s="13" t="str">
        <f>IF(AND(BO8="Y",COUNTIFS($BX$5:$BX8,$BX8,$BO$5:$BO8,"Y")=1),"Y","N")</f>
        <v>Y</v>
      </c>
      <c r="BS8" s="19">
        <v>8.2</v>
      </c>
      <c r="BT8" s="13" t="s">
        <v>298</v>
      </c>
      <c r="BU8" s="13" t="s">
        <v>299</v>
      </c>
      <c r="BV8" s="13" t="s">
        <v>293</v>
      </c>
      <c r="BW8" s="13" t="s">
        <v>300</v>
      </c>
      <c r="BX8" s="17">
        <f t="shared" si="27"/>
        <v>46147</v>
      </c>
      <c r="BY8" s="17">
        <f t="shared" si="28"/>
        <v>46150</v>
      </c>
      <c r="BZ8" s="17">
        <f t="shared" si="28"/>
        <v>46161</v>
      </c>
    </row>
    <row r="9" spans="1:78" x14ac:dyDescent="0.2">
      <c r="A9" s="13" t="s">
        <v>301</v>
      </c>
      <c r="B9" s="13" t="s">
        <v>296</v>
      </c>
      <c r="C9" s="13" t="s">
        <v>294</v>
      </c>
      <c r="D9" s="13" t="s">
        <v>269</v>
      </c>
      <c r="E9" s="13" t="s">
        <v>270</v>
      </c>
      <c r="F9" s="13" t="s">
        <v>271</v>
      </c>
      <c r="G9" s="13" t="str">
        <f t="shared" si="0"/>
        <v>Y</v>
      </c>
      <c r="I9" s="13" t="str">
        <f>IF(H9="","Y",IF(H9&gt;=Parameters!$B$25,"Y","N"))</f>
        <v>Y</v>
      </c>
      <c r="J9" s="13" t="str">
        <f>IF(AND(BX9&gt;=Parameters!$B$28,BX9&lt;=Parameters!$B$29),"Y","N")</f>
        <v>Y</v>
      </c>
      <c r="K9" s="13" t="s">
        <v>302</v>
      </c>
      <c r="L9" s="13" t="s">
        <v>303</v>
      </c>
      <c r="M9" s="17">
        <f t="shared" si="1"/>
        <v>7</v>
      </c>
      <c r="N9" s="17">
        <f t="shared" si="2"/>
        <v>6</v>
      </c>
      <c r="O9" s="13" t="str">
        <f>IF(K9="","Y",IF(BY9&lt;=EDATE(BX9,Parameters!$B$23),"Y","N"))</f>
        <v>Y</v>
      </c>
      <c r="P9" s="13" t="str">
        <f>IF(N9="","Y",IF(N9&lt;=Parameters!$B$24,"Y","N"))</f>
        <v>Y</v>
      </c>
      <c r="Q9" s="18">
        <v>0.005</v>
      </c>
      <c r="R9" s="13" t="s">
        <v>282</v>
      </c>
      <c r="U9" s="13" t="str">
        <f t="shared" si="3"/>
        <v>Y</v>
      </c>
      <c r="V9" s="13" t="str">
        <f t="shared" si="4"/>
        <v>Y</v>
      </c>
      <c r="W9" s="18">
        <f t="shared" si="5"/>
        <v>0</v>
      </c>
      <c r="X9" s="18">
        <f t="shared" si="6"/>
        <v>0</v>
      </c>
      <c r="Y9" s="13" t="str">
        <f>IF(AND(V9="Y",COUNTIFS($BX$5:$BX9,$BX9,$V$5:$V9,"Y")=1),"Y","N")</f>
        <v>Y</v>
      </c>
      <c r="Z9" s="16">
        <v>0.71</v>
      </c>
      <c r="AD9" s="13" t="str">
        <f t="shared" si="7"/>
        <v>Y</v>
      </c>
      <c r="AE9" s="13" t="str">
        <f t="shared" si="8"/>
        <v>Y</v>
      </c>
      <c r="AF9" s="16">
        <f t="shared" si="9"/>
        <v>0.71</v>
      </c>
      <c r="AG9" s="18">
        <f t="shared" si="10"/>
        <v>0.71</v>
      </c>
      <c r="AH9" s="13" t="str">
        <f>IF(AND(AE9="Y",COUNTIFS($BX$5:$BX9,$BX9,$AE$5:$AE9,"Y")=1),"Y","N")</f>
        <v>Y</v>
      </c>
      <c r="AI9" s="16">
        <v>1.95</v>
      </c>
      <c r="AM9" s="13" t="str">
        <f t="shared" si="11"/>
        <v>Y</v>
      </c>
      <c r="AN9" s="13" t="str">
        <f t="shared" si="12"/>
        <v>Y</v>
      </c>
      <c r="AO9" s="16">
        <f t="shared" si="13"/>
        <v>1.95</v>
      </c>
      <c r="AP9" s="18">
        <f t="shared" si="14"/>
        <v>1.95</v>
      </c>
      <c r="AQ9" s="13" t="str">
        <f>IF(AND(AN9="Y",COUNTIFS($BX$5:$BX9,$BX9,$AN$5:$AN9,"Y")=1),"Y","N")</f>
        <v>Y</v>
      </c>
      <c r="AR9" s="16">
        <v>1.68</v>
      </c>
      <c r="AV9" s="13" t="str">
        <f t="shared" si="15"/>
        <v>Y</v>
      </c>
      <c r="AW9" s="13" t="str">
        <f t="shared" si="16"/>
        <v>Y</v>
      </c>
      <c r="AX9" s="16">
        <f t="shared" si="17"/>
        <v>1.68</v>
      </c>
      <c r="AY9" s="18">
        <f t="shared" si="18"/>
        <v>1.68</v>
      </c>
      <c r="AZ9" s="13" t="str">
        <f>IF(AND(AW9="Y",COUNTIFS($BX$5:$BX9,$BX9,$AW$5:$AW9,"Y")=1),"Y","N")</f>
        <v>Y</v>
      </c>
      <c r="BA9" s="16">
        <v>3.47</v>
      </c>
      <c r="BE9" s="13" t="str">
        <f t="shared" si="19"/>
        <v>Y</v>
      </c>
      <c r="BF9" s="13" t="str">
        <f t="shared" si="20"/>
        <v>Y</v>
      </c>
      <c r="BG9" s="16">
        <f t="shared" si="21"/>
        <v>3.47</v>
      </c>
      <c r="BH9" s="18">
        <f t="shared" si="22"/>
        <v>3.47</v>
      </c>
      <c r="BI9" s="13" t="str">
        <f>IF(AND(BF9="Y",COUNTIFS($BX$5:$BX9,$BX9,$BF$5:$BF9,"Y")=1),"Y","N")</f>
        <v>Y</v>
      </c>
      <c r="BJ9" s="18">
        <v>0.008</v>
      </c>
      <c r="BK9" s="13" t="s">
        <v>304</v>
      </c>
      <c r="BN9" s="13" t="str">
        <f t="shared" si="23"/>
        <v>Y</v>
      </c>
      <c r="BO9" s="13" t="str">
        <f t="shared" si="24"/>
        <v>Y</v>
      </c>
      <c r="BP9" s="18">
        <f t="shared" si="25"/>
        <v>0.008</v>
      </c>
      <c r="BQ9" s="18">
        <f t="shared" si="26"/>
        <v>0.008</v>
      </c>
      <c r="BR9" s="13" t="str">
        <f>IF(AND(BO9="Y",COUNTIFS($BX$5:$BX9,$BX9,$BO$5:$BO9,"Y")=1),"Y","N")</f>
        <v>Y</v>
      </c>
      <c r="BS9" s="19">
        <v>7.6</v>
      </c>
      <c r="BT9" s="13" t="s">
        <v>305</v>
      </c>
      <c r="BU9" s="13" t="s">
        <v>306</v>
      </c>
      <c r="BV9" s="13" t="s">
        <v>296</v>
      </c>
      <c r="BW9" s="13" t="s">
        <v>307</v>
      </c>
      <c r="BX9" s="17">
        <f t="shared" si="27"/>
        <v>46161</v>
      </c>
      <c r="BY9" s="17">
        <f t="shared" si="28"/>
        <v>46168</v>
      </c>
      <c r="BZ9" s="17">
        <f t="shared" si="28"/>
        <v>46167</v>
      </c>
    </row>
    <row r="10" spans="1:78" x14ac:dyDescent="0.2">
      <c r="A10" s="13" t="s">
        <v>308</v>
      </c>
      <c r="B10" s="13" t="s">
        <v>309</v>
      </c>
      <c r="C10" s="13" t="s">
        <v>294</v>
      </c>
      <c r="D10" s="13" t="s">
        <v>310</v>
      </c>
      <c r="E10" s="13" t="s">
        <v>311</v>
      </c>
      <c r="F10" s="13" t="s">
        <v>312</v>
      </c>
      <c r="G10" s="13" t="str">
        <f t="shared" si="0"/>
        <v>Y</v>
      </c>
      <c r="I10" s="13" t="str">
        <f>IF(H10="","Y",IF(H10&gt;=Parameters!$B$25,"Y","N"))</f>
        <v>Y</v>
      </c>
      <c r="J10" s="13" t="str">
        <f>IF(AND(BX10&gt;=Parameters!$B$28,BX10&lt;=Parameters!$B$29),"Y","N")</f>
        <v>Y</v>
      </c>
      <c r="M10" s="17" t="str">
        <f t="shared" si="1"/>
        <v/>
      </c>
      <c r="N10" s="17" t="str">
        <f t="shared" si="2"/>
        <v/>
      </c>
      <c r="O10" s="13" t="str">
        <f>IF(K10="","Y",IF(BY10&lt;=EDATE(BX10,Parameters!$B$23),"Y","N"))</f>
        <v>Y</v>
      </c>
      <c r="P10" s="13" t="str">
        <f>IF(N10="","Y",IF(N10&lt;=Parameters!$B$24,"Y","N"))</f>
        <v>Y</v>
      </c>
      <c r="Q10" s="13" t="s">
        <v>313</v>
      </c>
      <c r="U10" s="13" t="str">
        <f t="shared" si="3"/>
        <v>N</v>
      </c>
      <c r="V10" s="13" t="str">
        <f t="shared" si="4"/>
        <v>Y</v>
      </c>
      <c r="W10" s="18" t="str">
        <f t="shared" si="5"/>
        <v>under limit</v>
      </c>
      <c r="X10" s="18" t="str">
        <f t="shared" si="6"/>
        <v>under limit</v>
      </c>
      <c r="Y10" s="13" t="str">
        <f>IF(AND(V10="Y",COUNTIFS($BX$5:$BX10,$BX10,$V$5:$V10,"Y")=1),"Y","N")</f>
        <v>Y</v>
      </c>
      <c r="Z10" s="13" t="s">
        <v>313</v>
      </c>
      <c r="AD10" s="13" t="str">
        <f t="shared" si="7"/>
        <v>N</v>
      </c>
      <c r="AE10" s="13" t="str">
        <f t="shared" si="8"/>
        <v>Y</v>
      </c>
      <c r="AF10" s="16" t="str">
        <f t="shared" si="9"/>
        <v>under limit</v>
      </c>
      <c r="AG10" s="18" t="str">
        <f t="shared" si="10"/>
        <v>under limit</v>
      </c>
      <c r="AH10" s="13" t="str">
        <f>IF(AND(AE10="Y",COUNTIFS($BX$5:$BX10,$BX10,$AE$5:$AE10,"Y")=1),"Y","N")</f>
        <v>Y</v>
      </c>
      <c r="AI10" s="16">
        <v>2.26</v>
      </c>
      <c r="AM10" s="13" t="str">
        <f t="shared" si="11"/>
        <v>N</v>
      </c>
      <c r="AN10" s="13" t="str">
        <f t="shared" si="12"/>
        <v>Y</v>
      </c>
      <c r="AO10" s="16">
        <f t="shared" si="13"/>
        <v>2.26</v>
      </c>
      <c r="AP10" s="18">
        <f t="shared" si="14"/>
        <v>2.26</v>
      </c>
      <c r="AQ10" s="13" t="str">
        <f>IF(AND(AN10="Y",COUNTIFS($BX$5:$BX10,$BX10,$AN$5:$AN10,"Y")=1),"Y","N")</f>
        <v>Y</v>
      </c>
      <c r="AR10" s="13" t="s">
        <v>313</v>
      </c>
      <c r="AV10" s="13" t="str">
        <f t="shared" si="15"/>
        <v>N</v>
      </c>
      <c r="AW10" s="13" t="str">
        <f t="shared" si="16"/>
        <v>Y</v>
      </c>
      <c r="AX10" s="16" t="str">
        <f t="shared" si="17"/>
        <v>under limit</v>
      </c>
      <c r="AY10" s="18" t="str">
        <f t="shared" si="18"/>
        <v>under limit</v>
      </c>
      <c r="AZ10" s="13" t="str">
        <f>IF(AND(AW10="Y",COUNTIFS($BX$5:$BX10,$BX10,$AW$5:$AW10,"Y")=1),"Y","N")</f>
        <v>Y</v>
      </c>
      <c r="BA10" s="16">
        <v>0.97</v>
      </c>
      <c r="BE10" s="13" t="str">
        <f t="shared" si="19"/>
        <v>N</v>
      </c>
      <c r="BF10" s="13" t="str">
        <f t="shared" si="20"/>
        <v>Y</v>
      </c>
      <c r="BG10" s="16">
        <f t="shared" si="21"/>
        <v>0.97</v>
      </c>
      <c r="BH10" s="18">
        <f t="shared" si="22"/>
        <v>0.97</v>
      </c>
      <c r="BI10" s="13" t="str">
        <f>IF(AND(BF10="Y",COUNTIFS($BX$5:$BX10,$BX10,$BF$5:$BF10,"Y")=1),"Y","N")</f>
        <v>Y</v>
      </c>
      <c r="BK10" s="13" t="s">
        <v>314</v>
      </c>
      <c r="BN10" s="13" t="str">
        <f t="shared" si="23"/>
        <v>N</v>
      </c>
      <c r="BO10" s="13" t="str">
        <f t="shared" si="24"/>
        <v>N</v>
      </c>
      <c r="BP10" s="18" t="str">
        <f t="shared" si="25"/>
        <v/>
      </c>
      <c r="BQ10" s="18" t="str">
        <f t="shared" si="26"/>
        <v/>
      </c>
      <c r="BR10" s="13" t="str">
        <f>IF(AND(BO10="Y",COUNTIFS($BX$5:$BX10,$BX10,$BO$5:$BO10,"Y")=1),"Y","N")</f>
        <v>N</v>
      </c>
      <c r="BW10" s="13" t="s">
        <v>315</v>
      </c>
      <c r="BX10" s="17">
        <f t="shared" si="27"/>
        <v>46169</v>
      </c>
    </row>
    <row r="11" spans="1:78" x14ac:dyDescent="0.2">
      <c r="A11" s="13" t="s">
        <v>316</v>
      </c>
      <c r="B11" s="13" t="s">
        <v>317</v>
      </c>
      <c r="C11" s="13" t="s">
        <v>318</v>
      </c>
      <c r="D11" s="13" t="s">
        <v>269</v>
      </c>
      <c r="E11" s="13" t="s">
        <v>270</v>
      </c>
      <c r="F11" s="13" t="s">
        <v>271</v>
      </c>
      <c r="G11" s="13" t="str">
        <f t="shared" si="0"/>
        <v>Y</v>
      </c>
      <c r="I11" s="13" t="str">
        <f>IF(H11="","Y",IF(H11&gt;=Parameters!$B$25,"Y","N"))</f>
        <v>Y</v>
      </c>
      <c r="J11" s="13" t="str">
        <f>IF(AND(BX11&gt;=Parameters!$B$28,BX11&lt;=Parameters!$B$29),"Y","N")</f>
        <v>Y</v>
      </c>
      <c r="K11" s="13" t="s">
        <v>319</v>
      </c>
      <c r="L11" s="13" t="s">
        <v>320</v>
      </c>
      <c r="M11" s="17">
        <f t="shared" si="1"/>
        <v>6</v>
      </c>
      <c r="N11" s="17">
        <f t="shared" si="2"/>
        <v>5</v>
      </c>
      <c r="O11" s="13" t="str">
        <f>IF(K11="","Y",IF(BY11&lt;=EDATE(BX11,Parameters!$B$23),"Y","N"))</f>
        <v>Y</v>
      </c>
      <c r="P11" s="13" t="str">
        <f>IF(N11="","Y",IF(N11&lt;=Parameters!$B$24,"Y","N"))</f>
        <v>Y</v>
      </c>
      <c r="Q11" s="18">
        <v>0.019</v>
      </c>
      <c r="U11" s="13" t="str">
        <f t="shared" si="3"/>
        <v>Y</v>
      </c>
      <c r="V11" s="13" t="str">
        <f t="shared" si="4"/>
        <v>Y</v>
      </c>
      <c r="W11" s="18">
        <f t="shared" si="5"/>
        <v>0.019</v>
      </c>
      <c r="X11" s="18">
        <f t="shared" si="6"/>
        <v>0.019</v>
      </c>
      <c r="Y11" s="13" t="str">
        <f>IF(AND(V11="Y",COUNTIFS($BX$5:$BX11,$BX11,$V$5:$V11,"Y")=1),"Y","N")</f>
        <v>Y</v>
      </c>
      <c r="Z11" s="16">
        <v>0.55</v>
      </c>
      <c r="AD11" s="13" t="str">
        <f t="shared" si="7"/>
        <v>Y</v>
      </c>
      <c r="AE11" s="13" t="str">
        <f t="shared" si="8"/>
        <v>Y</v>
      </c>
      <c r="AF11" s="16">
        <f t="shared" si="9"/>
        <v>0.55</v>
      </c>
      <c r="AG11" s="18">
        <f t="shared" si="10"/>
        <v>0.55</v>
      </c>
      <c r="AH11" s="13" t="str">
        <f>IF(AND(AE11="Y",COUNTIFS($BX$5:$BX11,$BX11,$AE$5:$AE11,"Y")=1),"Y","N")</f>
        <v>Y</v>
      </c>
      <c r="AI11" s="16">
        <v>2.4</v>
      </c>
      <c r="AM11" s="13" t="str">
        <f t="shared" si="11"/>
        <v>Y</v>
      </c>
      <c r="AN11" s="13" t="str">
        <f t="shared" si="12"/>
        <v>Y</v>
      </c>
      <c r="AO11" s="16">
        <f t="shared" si="13"/>
        <v>2.4</v>
      </c>
      <c r="AP11" s="18">
        <f t="shared" si="14"/>
        <v>2.4</v>
      </c>
      <c r="AQ11" s="13" t="str">
        <f>IF(AND(AN11="Y",COUNTIFS($BX$5:$BX11,$BX11,$AN$5:$AN11,"Y")=1),"Y","N")</f>
        <v>Y</v>
      </c>
      <c r="AR11" s="16">
        <v>1.05</v>
      </c>
      <c r="AV11" s="13" t="str">
        <f t="shared" si="15"/>
        <v>Y</v>
      </c>
      <c r="AW11" s="13" t="str">
        <f t="shared" si="16"/>
        <v>Y</v>
      </c>
      <c r="AX11" s="16">
        <f t="shared" si="17"/>
        <v>1.05</v>
      </c>
      <c r="AY11" s="18">
        <f t="shared" si="18"/>
        <v>1.05</v>
      </c>
      <c r="AZ11" s="13" t="str">
        <f>IF(AND(AW11="Y",COUNTIFS($BX$5:$BX11,$BX11,$AW$5:$AW11,"Y")=1),"Y","N")</f>
        <v>Y</v>
      </c>
      <c r="BA11" s="16">
        <v>1.31</v>
      </c>
      <c r="BE11" s="13" t="str">
        <f t="shared" si="19"/>
        <v>Y</v>
      </c>
      <c r="BF11" s="13" t="str">
        <f t="shared" si="20"/>
        <v>Y</v>
      </c>
      <c r="BG11" s="16">
        <f t="shared" si="21"/>
        <v>1.31</v>
      </c>
      <c r="BH11" s="18">
        <f t="shared" si="22"/>
        <v>1.31</v>
      </c>
      <c r="BI11" s="13" t="str">
        <f>IF(AND(BF11="Y",COUNTIFS($BX$5:$BX11,$BX11,$BF$5:$BF11,"Y")=1),"Y","N")</f>
        <v>Y</v>
      </c>
      <c r="BJ11" s="18">
        <v>0.71</v>
      </c>
      <c r="BN11" s="13" t="str">
        <f t="shared" si="23"/>
        <v>Y</v>
      </c>
      <c r="BO11" s="13" t="str">
        <f t="shared" si="24"/>
        <v>Y</v>
      </c>
      <c r="BP11" s="18">
        <f t="shared" si="25"/>
        <v>0.71</v>
      </c>
      <c r="BQ11" s="18">
        <f t="shared" si="26"/>
        <v>0.71</v>
      </c>
      <c r="BR11" s="13" t="str">
        <f>IF(AND(BO11="Y",COUNTIFS($BX$5:$BX11,$BX11,$BO$5:$BO11,"Y")=1),"Y","N")</f>
        <v>Y</v>
      </c>
      <c r="BS11" s="19">
        <v>6.9</v>
      </c>
      <c r="BT11" s="13" t="s">
        <v>321</v>
      </c>
      <c r="BU11" s="13" t="s">
        <v>322</v>
      </c>
      <c r="BV11" s="13" t="s">
        <v>317</v>
      </c>
      <c r="BX11" s="17">
        <f t="shared" si="27"/>
        <v>46175</v>
      </c>
      <c r="BY11" s="17">
        <f>DATE(VALUE(RIGHT(K11,4)),VALUE(LEFT(K11,2)),VALUE(MID(K11,4,2)))</f>
        <v>46181</v>
      </c>
      <c r="BZ11" s="17">
        <f>DATE(VALUE(RIGHT(L11,4)),VALUE(LEFT(L11,2)),VALUE(MID(L11,4,2)))</f>
        <v>46180</v>
      </c>
    </row>
    <row r="12" spans="1:78" x14ac:dyDescent="0.2">
      <c r="A12" s="13" t="s">
        <v>323</v>
      </c>
      <c r="B12" s="13" t="s">
        <v>324</v>
      </c>
      <c r="C12" s="13" t="s">
        <v>318</v>
      </c>
      <c r="D12" s="13" t="s">
        <v>269</v>
      </c>
      <c r="E12" s="13" t="s">
        <v>270</v>
      </c>
      <c r="F12" s="13" t="s">
        <v>271</v>
      </c>
      <c r="G12" s="13" t="str">
        <f t="shared" si="0"/>
        <v>Y</v>
      </c>
      <c r="I12" s="13" t="str">
        <f>IF(H12="","Y",IF(H12&gt;=Parameters!$B$25,"Y","N"))</f>
        <v>Y</v>
      </c>
      <c r="J12" s="13" t="str">
        <f>IF(AND(BX12&gt;=Parameters!$B$28,BX12&lt;=Parameters!$B$29),"Y","N")</f>
        <v>Y</v>
      </c>
      <c r="K12" s="13" t="s">
        <v>325</v>
      </c>
      <c r="L12" s="13" t="s">
        <v>326</v>
      </c>
      <c r="M12" s="17">
        <f t="shared" si="1"/>
        <v>4</v>
      </c>
      <c r="N12" s="17">
        <f t="shared" si="2"/>
        <v>2</v>
      </c>
      <c r="O12" s="13" t="str">
        <f>IF(K12="","Y",IF(BY12&lt;=EDATE(BX12,Parameters!$B$23),"Y","N"))</f>
        <v>Y</v>
      </c>
      <c r="P12" s="13" t="str">
        <f>IF(N12="","Y",IF(N12&lt;=Parameters!$B$24,"Y","N"))</f>
        <v>Y</v>
      </c>
      <c r="Q12" s="18">
        <v>0.005</v>
      </c>
      <c r="R12" s="13" t="s">
        <v>282</v>
      </c>
      <c r="U12" s="13" t="str">
        <f t="shared" si="3"/>
        <v>Y</v>
      </c>
      <c r="V12" s="13" t="str">
        <f t="shared" si="4"/>
        <v>Y</v>
      </c>
      <c r="W12" s="18">
        <f t="shared" si="5"/>
        <v>0</v>
      </c>
      <c r="X12" s="18">
        <f t="shared" si="6"/>
        <v>0</v>
      </c>
      <c r="Y12" s="13" t="str">
        <f>IF(AND(V12="Y",COUNTIFS($BX$5:$BX12,$BX12,$V$5:$V12,"Y")=1),"Y","N")</f>
        <v>Y</v>
      </c>
      <c r="Z12" s="16">
        <v>0.93</v>
      </c>
      <c r="AD12" s="13" t="str">
        <f t="shared" si="7"/>
        <v>Y</v>
      </c>
      <c r="AE12" s="13" t="str">
        <f t="shared" si="8"/>
        <v>Y</v>
      </c>
      <c r="AF12" s="16">
        <f t="shared" si="9"/>
        <v>0.93</v>
      </c>
      <c r="AG12" s="18">
        <f t="shared" si="10"/>
        <v>0.93</v>
      </c>
      <c r="AH12" s="13" t="str">
        <f>IF(AND(AE12="Y",COUNTIFS($BX$5:$BX12,$BX12,$AE$5:$AE12,"Y")=1),"Y","N")</f>
        <v>Y</v>
      </c>
      <c r="AI12" s="16">
        <v>3.97</v>
      </c>
      <c r="AM12" s="13" t="str">
        <f t="shared" si="11"/>
        <v>Y</v>
      </c>
      <c r="AN12" s="13" t="str">
        <f t="shared" si="12"/>
        <v>Y</v>
      </c>
      <c r="AO12" s="16">
        <f t="shared" si="13"/>
        <v>3.97</v>
      </c>
      <c r="AP12" s="18">
        <f t="shared" si="14"/>
        <v>3.97</v>
      </c>
      <c r="AQ12" s="13" t="str">
        <f>IF(AND(AN12="Y",COUNTIFS($BX$5:$BX12,$BX12,$AN$5:$AN12,"Y")=1),"Y","N")</f>
        <v>Y</v>
      </c>
      <c r="AR12" s="16">
        <v>0.83</v>
      </c>
      <c r="AV12" s="13" t="str">
        <f t="shared" si="15"/>
        <v>Y</v>
      </c>
      <c r="AW12" s="13" t="str">
        <f t="shared" si="16"/>
        <v>Y</v>
      </c>
      <c r="AX12" s="16">
        <f t="shared" si="17"/>
        <v>0.83</v>
      </c>
      <c r="AY12" s="18">
        <f t="shared" si="18"/>
        <v>0.83</v>
      </c>
      <c r="AZ12" s="13" t="str">
        <f>IF(AND(AW12="Y",COUNTIFS($BX$5:$BX12,$BX12,$AW$5:$AW12,"Y")=1),"Y","N")</f>
        <v>Y</v>
      </c>
      <c r="BA12" s="16">
        <v>3.22</v>
      </c>
      <c r="BE12" s="13" t="str">
        <f t="shared" si="19"/>
        <v>Y</v>
      </c>
      <c r="BF12" s="13" t="str">
        <f t="shared" si="20"/>
        <v>Y</v>
      </c>
      <c r="BG12" s="16">
        <f t="shared" si="21"/>
        <v>3.22</v>
      </c>
      <c r="BH12" s="18">
        <f t="shared" si="22"/>
        <v>3.22</v>
      </c>
      <c r="BI12" s="13" t="str">
        <f>IF(AND(BF12="Y",COUNTIFS($BX$5:$BX12,$BX12,$BF$5:$BF12,"Y")=1),"Y","N")</f>
        <v>Y</v>
      </c>
      <c r="BJ12" s="18">
        <v>0.44</v>
      </c>
      <c r="BN12" s="13" t="str">
        <f t="shared" si="23"/>
        <v>Y</v>
      </c>
      <c r="BO12" s="13" t="str">
        <f t="shared" si="24"/>
        <v>Y</v>
      </c>
      <c r="BP12" s="18">
        <f t="shared" si="25"/>
        <v>0.44</v>
      </c>
      <c r="BQ12" s="18">
        <f t="shared" si="26"/>
        <v>0.44</v>
      </c>
      <c r="BR12" s="13" t="str">
        <f>IF(AND(BO12="Y",COUNTIFS($BX$5:$BX12,$BX12,$BO$5:$BO12,"Y")=1),"Y","N")</f>
        <v>Y</v>
      </c>
      <c r="BS12" s="19">
        <v>7.8</v>
      </c>
      <c r="BT12" s="13" t="s">
        <v>327</v>
      </c>
      <c r="BU12" s="13" t="s">
        <v>328</v>
      </c>
      <c r="BV12" s="13" t="s">
        <v>324</v>
      </c>
      <c r="BX12" s="17">
        <f t="shared" si="27"/>
        <v>46189</v>
      </c>
      <c r="BY12" s="17">
        <f>DATE(VALUE(RIGHT(K12,4)),VALUE(LEFT(K12,2)),VALUE(MID(K12,4,2)))</f>
        <v>46193</v>
      </c>
      <c r="BZ12" s="17">
        <f>DATE(VALUE(RIGHT(L12,4)),VALUE(LEFT(L12,2)),VALUE(MID(L12,4,2)))</f>
        <v>46191</v>
      </c>
    </row>
    <row r="13" spans="1:78" x14ac:dyDescent="0.2">
      <c r="A13" s="13" t="s">
        <v>329</v>
      </c>
      <c r="B13" s="13" t="s">
        <v>330</v>
      </c>
      <c r="C13" s="13" t="s">
        <v>318</v>
      </c>
      <c r="D13" s="13" t="s">
        <v>331</v>
      </c>
      <c r="E13" s="13" t="s">
        <v>311</v>
      </c>
      <c r="F13" s="13" t="s">
        <v>312</v>
      </c>
      <c r="G13" s="13" t="str">
        <f t="shared" si="0"/>
        <v>Y</v>
      </c>
      <c r="H13">
        <v>1</v>
      </c>
      <c r="I13" s="13" t="str">
        <f>IF(H13="","Y",IF(H13&gt;=Parameters!$B$25,"Y","N"))</f>
        <v>N</v>
      </c>
      <c r="J13" s="13" t="str">
        <f>IF(AND(BX13&gt;=Parameters!$B$28,BX13&lt;=Parameters!$B$29),"Y","N")</f>
        <v>Y</v>
      </c>
      <c r="M13" s="17" t="str">
        <f t="shared" si="1"/>
        <v/>
      </c>
      <c r="N13" s="17" t="str">
        <f t="shared" si="2"/>
        <v/>
      </c>
      <c r="O13" s="13" t="str">
        <f>IF(K13="","Y",IF(BY13&lt;=EDATE(BX13,Parameters!$B$23),"Y","N"))</f>
        <v>Y</v>
      </c>
      <c r="P13" s="13" t="str">
        <f>IF(N13="","Y",IF(N13&lt;=Parameters!$B$24,"Y","N"))</f>
        <v>Y</v>
      </c>
      <c r="Q13" s="13" t="s">
        <v>313</v>
      </c>
      <c r="U13" s="13" t="str">
        <f t="shared" si="3"/>
        <v>N</v>
      </c>
      <c r="V13" s="13" t="str">
        <f t="shared" si="4"/>
        <v>N</v>
      </c>
      <c r="W13" s="18" t="str">
        <f t="shared" si="5"/>
        <v>under limit</v>
      </c>
      <c r="X13" s="18" t="str">
        <f t="shared" si="6"/>
        <v/>
      </c>
      <c r="Y13" s="13" t="str">
        <f>IF(AND(V13="Y",COUNTIFS($BX$5:$BX13,$BX13,$V$5:$V13,"Y")=1),"Y","N")</f>
        <v>N</v>
      </c>
      <c r="Z13" s="13" t="s">
        <v>313</v>
      </c>
      <c r="AD13" s="13" t="str">
        <f t="shared" si="7"/>
        <v>N</v>
      </c>
      <c r="AE13" s="13" t="str">
        <f t="shared" si="8"/>
        <v>N</v>
      </c>
      <c r="AF13" s="16" t="str">
        <f t="shared" si="9"/>
        <v>under limit</v>
      </c>
      <c r="AG13" s="18" t="str">
        <f t="shared" si="10"/>
        <v/>
      </c>
      <c r="AH13" s="13" t="str">
        <f>IF(AND(AE13="Y",COUNTIFS($BX$5:$BX13,$BX13,$AE$5:$AE13,"Y")=1),"Y","N")</f>
        <v>N</v>
      </c>
      <c r="AI13" s="16">
        <v>4.71</v>
      </c>
      <c r="AM13" s="13" t="str">
        <f t="shared" si="11"/>
        <v>N</v>
      </c>
      <c r="AN13" s="13" t="str">
        <f t="shared" si="12"/>
        <v>N</v>
      </c>
      <c r="AO13" s="16">
        <f t="shared" si="13"/>
        <v>4.71</v>
      </c>
      <c r="AP13" s="18" t="str">
        <f t="shared" si="14"/>
        <v/>
      </c>
      <c r="AQ13" s="13" t="str">
        <f>IF(AND(AN13="Y",COUNTIFS($BX$5:$BX13,$BX13,$AN$5:$AN13,"Y")=1),"Y","N")</f>
        <v>N</v>
      </c>
      <c r="AR13" s="13" t="s">
        <v>313</v>
      </c>
      <c r="AV13" s="13" t="str">
        <f t="shared" si="15"/>
        <v>N</v>
      </c>
      <c r="AW13" s="13" t="str">
        <f t="shared" si="16"/>
        <v>N</v>
      </c>
      <c r="AX13" s="16" t="str">
        <f t="shared" si="17"/>
        <v>under limit</v>
      </c>
      <c r="AY13" s="18" t="str">
        <f t="shared" si="18"/>
        <v/>
      </c>
      <c r="AZ13" s="13" t="str">
        <f>IF(AND(AW13="Y",COUNTIFS($BX$5:$BX13,$BX13,$AW$5:$AW13,"Y")=1),"Y","N")</f>
        <v>N</v>
      </c>
      <c r="BA13" s="16">
        <v>1.36</v>
      </c>
      <c r="BE13" s="13" t="str">
        <f t="shared" si="19"/>
        <v>N</v>
      </c>
      <c r="BF13" s="13" t="str">
        <f t="shared" si="20"/>
        <v>N</v>
      </c>
      <c r="BG13" s="16">
        <f t="shared" si="21"/>
        <v>1.36</v>
      </c>
      <c r="BH13" s="18" t="str">
        <f t="shared" si="22"/>
        <v/>
      </c>
      <c r="BI13" s="13" t="str">
        <f>IF(AND(BF13="Y",COUNTIFS($BX$5:$BX13,$BX13,$BF$5:$BF13,"Y")=1),"Y","N")</f>
        <v>N</v>
      </c>
      <c r="BK13" s="13" t="s">
        <v>314</v>
      </c>
      <c r="BN13" s="13" t="str">
        <f t="shared" si="23"/>
        <v>N</v>
      </c>
      <c r="BO13" s="13" t="str">
        <f t="shared" si="24"/>
        <v>N</v>
      </c>
      <c r="BP13" s="18" t="str">
        <f t="shared" si="25"/>
        <v/>
      </c>
      <c r="BQ13" s="18" t="str">
        <f t="shared" si="26"/>
        <v/>
      </c>
      <c r="BR13" s="13" t="str">
        <f>IF(AND(BO13="Y",COUNTIFS($BX$5:$BX13,$BX13,$BO$5:$BO13,"Y")=1),"Y","N")</f>
        <v>N</v>
      </c>
      <c r="BV13" t="s">
        <v>330</v>
      </c>
      <c r="BW13" s="13" t="s">
        <v>332</v>
      </c>
      <c r="BX13" s="17">
        <f t="shared" si="27"/>
        <v>46196</v>
      </c>
    </row>
    <row r="14" spans="1:78" x14ac:dyDescent="0.2">
      <c r="A14" s="13" t="s">
        <v>333</v>
      </c>
      <c r="B14" s="13" t="s">
        <v>334</v>
      </c>
      <c r="C14" s="13" t="s">
        <v>335</v>
      </c>
      <c r="D14" s="13" t="s">
        <v>269</v>
      </c>
      <c r="E14" s="13" t="s">
        <v>270</v>
      </c>
      <c r="F14" s="13" t="s">
        <v>271</v>
      </c>
      <c r="G14" s="13" t="str">
        <f t="shared" si="0"/>
        <v>Y</v>
      </c>
      <c r="H14" s="17">
        <v>9</v>
      </c>
      <c r="I14" s="13" t="str">
        <f>IF(H14="","Y",IF(H14&gt;=Parameters!$B$25,"Y","N"))</f>
        <v>N</v>
      </c>
      <c r="J14" s="13" t="str">
        <f>IF(AND(BX14&gt;=Parameters!$B$28,BX14&lt;=Parameters!$B$29),"Y","N")</f>
        <v>Y</v>
      </c>
      <c r="K14" s="13" t="s">
        <v>336</v>
      </c>
      <c r="L14" s="13" t="s">
        <v>337</v>
      </c>
      <c r="M14" s="17">
        <f t="shared" si="1"/>
        <v>4</v>
      </c>
      <c r="N14" s="17">
        <f t="shared" si="2"/>
        <v>6</v>
      </c>
      <c r="O14" s="13" t="str">
        <f>IF(K14="","Y",IF(BY14&lt;=EDATE(BX14,Parameters!$B$23),"Y","N"))</f>
        <v>Y</v>
      </c>
      <c r="P14" s="13" t="str">
        <f>IF(N14="","Y",IF(N14&lt;=Parameters!$B$24,"Y","N"))</f>
        <v>Y</v>
      </c>
      <c r="Q14" s="18">
        <v>0.005</v>
      </c>
      <c r="R14" s="13" t="s">
        <v>282</v>
      </c>
      <c r="U14" s="13" t="str">
        <f t="shared" si="3"/>
        <v>N</v>
      </c>
      <c r="V14" s="13" t="str">
        <f t="shared" si="4"/>
        <v>N</v>
      </c>
      <c r="W14" s="18">
        <f t="shared" si="5"/>
        <v>0</v>
      </c>
      <c r="X14" s="18" t="str">
        <f t="shared" si="6"/>
        <v/>
      </c>
      <c r="Y14" s="13" t="str">
        <f>IF(AND(V14="Y",COUNTIFS($BX$5:$BX14,$BX14,$V$5:$V14,"Y")=1),"Y","N")</f>
        <v>N</v>
      </c>
      <c r="Z14" s="16">
        <v>0.87</v>
      </c>
      <c r="AD14" s="13" t="str">
        <f t="shared" si="7"/>
        <v>N</v>
      </c>
      <c r="AE14" s="13" t="str">
        <f t="shared" si="8"/>
        <v>N</v>
      </c>
      <c r="AF14" s="16">
        <f t="shared" si="9"/>
        <v>0.87</v>
      </c>
      <c r="AG14" s="18" t="str">
        <f t="shared" si="10"/>
        <v/>
      </c>
      <c r="AH14" s="13" t="str">
        <f>IF(AND(AE14="Y",COUNTIFS($BX$5:$BX14,$BX14,$AE$5:$AE14,"Y")=1),"Y","N")</f>
        <v>N</v>
      </c>
      <c r="AI14" s="16">
        <v>1.77</v>
      </c>
      <c r="AM14" s="13" t="str">
        <f t="shared" si="11"/>
        <v>N</v>
      </c>
      <c r="AN14" s="13" t="str">
        <f t="shared" si="12"/>
        <v>N</v>
      </c>
      <c r="AO14" s="16">
        <f t="shared" si="13"/>
        <v>1.77</v>
      </c>
      <c r="AP14" s="18" t="str">
        <f t="shared" si="14"/>
        <v/>
      </c>
      <c r="AQ14" s="13" t="str">
        <f>IF(AND(AN14="Y",COUNTIFS($BX$5:$BX14,$BX14,$AN$5:$AN14,"Y")=1),"Y","N")</f>
        <v>N</v>
      </c>
      <c r="AR14" s="16">
        <v>1.22</v>
      </c>
      <c r="AV14" s="13" t="str">
        <f t="shared" si="15"/>
        <v>N</v>
      </c>
      <c r="AW14" s="13" t="str">
        <f t="shared" si="16"/>
        <v>N</v>
      </c>
      <c r="AX14" s="16">
        <f t="shared" si="17"/>
        <v>1.22</v>
      </c>
      <c r="AY14" s="18" t="str">
        <f t="shared" si="18"/>
        <v/>
      </c>
      <c r="AZ14" s="13" t="str">
        <f>IF(AND(AW14="Y",COUNTIFS($BX$5:$BX14,$BX14,$AW$5:$AW14,"Y")=1),"Y","N")</f>
        <v>N</v>
      </c>
      <c r="BA14" s="16">
        <v>1.06</v>
      </c>
      <c r="BE14" s="13" t="str">
        <f t="shared" si="19"/>
        <v>N</v>
      </c>
      <c r="BF14" s="13" t="str">
        <f t="shared" si="20"/>
        <v>N</v>
      </c>
      <c r="BG14" s="16">
        <f t="shared" si="21"/>
        <v>1.06</v>
      </c>
      <c r="BH14" s="18" t="str">
        <f t="shared" si="22"/>
        <v/>
      </c>
      <c r="BI14" s="13" t="str">
        <f>IF(AND(BF14="Y",COUNTIFS($BX$5:$BX14,$BX14,$BF$5:$BF14,"Y")=1),"Y","N")</f>
        <v>N</v>
      </c>
      <c r="BJ14" s="18">
        <v>0.27</v>
      </c>
      <c r="BN14" s="13" t="str">
        <f t="shared" si="23"/>
        <v>Y</v>
      </c>
      <c r="BO14" s="13" t="str">
        <f t="shared" si="24"/>
        <v>Y</v>
      </c>
      <c r="BP14" s="18">
        <f t="shared" si="25"/>
        <v>0.27</v>
      </c>
      <c r="BQ14" s="18">
        <f t="shared" si="26"/>
        <v>0.27</v>
      </c>
      <c r="BR14" s="13" t="str">
        <f>IF(AND(BO14="Y",COUNTIFS($BX$5:$BX14,$BX14,$BO$5:$BO14,"Y")=1),"Y","N")</f>
        <v>Y</v>
      </c>
      <c r="BS14" s="19">
        <v>7.2</v>
      </c>
      <c r="BT14" s="13" t="s">
        <v>338</v>
      </c>
      <c r="BU14" s="13" t="s">
        <v>339</v>
      </c>
      <c r="BV14" s="13" t="s">
        <v>334</v>
      </c>
      <c r="BW14" s="13" t="s">
        <v>340</v>
      </c>
      <c r="BX14" s="17">
        <f t="shared" si="27"/>
        <v>46210</v>
      </c>
      <c r="BY14" s="17">
        <f t="shared" ref="BY14:BZ17" si="29">DATE(VALUE(RIGHT(K14,4)),VALUE(LEFT(K14,2)),VALUE(MID(K14,4,2)))</f>
        <v>46214</v>
      </c>
      <c r="BZ14" s="17">
        <f t="shared" si="29"/>
        <v>46216</v>
      </c>
    </row>
    <row r="15" spans="1:78" x14ac:dyDescent="0.2">
      <c r="A15" s="13" t="s">
        <v>341</v>
      </c>
      <c r="B15" s="13" t="s">
        <v>40</v>
      </c>
      <c r="C15" s="13" t="s">
        <v>335</v>
      </c>
      <c r="D15" s="13" t="s">
        <v>269</v>
      </c>
      <c r="E15" s="13" t="s">
        <v>270</v>
      </c>
      <c r="F15" s="13" t="s">
        <v>271</v>
      </c>
      <c r="G15" s="13" t="str">
        <f t="shared" si="0"/>
        <v>Y</v>
      </c>
      <c r="H15" s="17">
        <v>26</v>
      </c>
      <c r="I15" s="13" t="str">
        <f>IF(H15="","Y",IF(H15&gt;=Parameters!$B$25,"Y","N"))</f>
        <v>Y</v>
      </c>
      <c r="J15" s="13" t="str">
        <f>IF(AND(BX15&gt;=Parameters!$B$28,BX15&lt;=Parameters!$B$29),"Y","N")</f>
        <v>Y</v>
      </c>
      <c r="K15" s="13" t="s">
        <v>55</v>
      </c>
      <c r="L15" s="13" t="s">
        <v>342</v>
      </c>
      <c r="M15" s="17">
        <f t="shared" si="1"/>
        <v>5</v>
      </c>
      <c r="N15" s="17">
        <f t="shared" si="2"/>
        <v>4</v>
      </c>
      <c r="O15" s="13" t="str">
        <f>IF(K15="","Y",IF(BY15&lt;=EDATE(BX15,Parameters!$B$23),"Y","N"))</f>
        <v>Y</v>
      </c>
      <c r="P15" s="13" t="str">
        <f>IF(N15="","Y",IF(N15&lt;=Parameters!$B$24,"Y","N"))</f>
        <v>Y</v>
      </c>
      <c r="Q15" s="18">
        <v>0.005</v>
      </c>
      <c r="R15" s="13" t="s">
        <v>282</v>
      </c>
      <c r="U15" s="13" t="str">
        <f t="shared" si="3"/>
        <v>Y</v>
      </c>
      <c r="V15" s="13" t="str">
        <f t="shared" si="4"/>
        <v>Y</v>
      </c>
      <c r="W15" s="18">
        <f t="shared" si="5"/>
        <v>0</v>
      </c>
      <c r="X15" s="18">
        <f t="shared" si="6"/>
        <v>0</v>
      </c>
      <c r="Y15" s="13" t="str">
        <f>IF(AND(V15="Y",COUNTIFS($BX$5:$BX15,$BX15,$V$5:$V15,"Y")=1),"Y","N")</f>
        <v>Y</v>
      </c>
      <c r="Z15" s="16">
        <v>1.21</v>
      </c>
      <c r="AD15" s="13" t="str">
        <f t="shared" si="7"/>
        <v>Y</v>
      </c>
      <c r="AE15" s="13" t="str">
        <f t="shared" si="8"/>
        <v>Y</v>
      </c>
      <c r="AF15" s="16">
        <f t="shared" si="9"/>
        <v>1.21</v>
      </c>
      <c r="AG15" s="18">
        <f t="shared" si="10"/>
        <v>1.21</v>
      </c>
      <c r="AH15" s="13" t="str">
        <f>IF(AND(AE15="Y",COUNTIFS($BX$5:$BX15,$BX15,$AE$5:$AE15,"Y")=1),"Y","N")</f>
        <v>Y</v>
      </c>
      <c r="AI15" s="16">
        <v>4.09</v>
      </c>
      <c r="AM15" s="13" t="str">
        <f t="shared" si="11"/>
        <v>Y</v>
      </c>
      <c r="AN15" s="13" t="str">
        <f t="shared" si="12"/>
        <v>Y</v>
      </c>
      <c r="AO15" s="16">
        <f t="shared" si="13"/>
        <v>4.09</v>
      </c>
      <c r="AP15" s="18">
        <f t="shared" si="14"/>
        <v>4.09</v>
      </c>
      <c r="AQ15" s="13" t="str">
        <f>IF(AND(AN15="Y",COUNTIFS($BX$5:$BX15,$BX15,$AN$5:$AN15,"Y")=1),"Y","N")</f>
        <v>Y</v>
      </c>
      <c r="AR15" s="16">
        <v>1.57</v>
      </c>
      <c r="AV15" s="13" t="str">
        <f t="shared" si="15"/>
        <v>Y</v>
      </c>
      <c r="AW15" s="13" t="str">
        <f t="shared" si="16"/>
        <v>Y</v>
      </c>
      <c r="AX15" s="16">
        <f t="shared" si="17"/>
        <v>1.57</v>
      </c>
      <c r="AY15" s="18">
        <f t="shared" si="18"/>
        <v>1.57</v>
      </c>
      <c r="AZ15" s="13" t="str">
        <f>IF(AND(AW15="Y",COUNTIFS($BX$5:$BX15,$BX15,$AW$5:$AW15,"Y")=1),"Y","N")</f>
        <v>Y</v>
      </c>
      <c r="BA15" s="16">
        <v>3.48</v>
      </c>
      <c r="BB15" s="13" t="s">
        <v>297</v>
      </c>
      <c r="BD15" s="13" t="s">
        <v>343</v>
      </c>
      <c r="BE15" s="13" t="str">
        <f t="shared" si="19"/>
        <v>N</v>
      </c>
      <c r="BF15" s="13" t="str">
        <f t="shared" si="20"/>
        <v>N</v>
      </c>
      <c r="BG15" s="16">
        <f t="shared" si="21"/>
        <v>3.48</v>
      </c>
      <c r="BH15" s="18" t="str">
        <f t="shared" si="22"/>
        <v/>
      </c>
      <c r="BI15" s="13" t="str">
        <f>IF(AND(BF15="Y",COUNTIFS($BX$5:$BX15,$BX15,$BF$5:$BF15,"Y")=1),"Y","N")</f>
        <v>N</v>
      </c>
      <c r="BJ15" s="18">
        <v>0.35</v>
      </c>
      <c r="BN15" s="13" t="str">
        <f t="shared" si="23"/>
        <v>Y</v>
      </c>
      <c r="BO15" s="13" t="str">
        <f t="shared" si="24"/>
        <v>Y</v>
      </c>
      <c r="BP15" s="18">
        <f t="shared" si="25"/>
        <v>0.35</v>
      </c>
      <c r="BQ15" s="18">
        <f t="shared" si="26"/>
        <v>0.35</v>
      </c>
      <c r="BR15" s="13" t="str">
        <f>IF(AND(BO15="Y",COUNTIFS($BX$5:$BX15,$BX15,$BO$5:$BO15,"Y")=1),"Y","N")</f>
        <v>Y</v>
      </c>
      <c r="BS15" s="19">
        <v>8.4</v>
      </c>
      <c r="BT15" s="13" t="s">
        <v>344</v>
      </c>
      <c r="BU15" s="13" t="s">
        <v>345</v>
      </c>
      <c r="BV15" s="13" t="s">
        <v>40</v>
      </c>
      <c r="BW15" s="13" t="s">
        <v>346</v>
      </c>
      <c r="BX15" s="17">
        <f t="shared" si="27"/>
        <v>46224</v>
      </c>
      <c r="BY15" s="17">
        <f t="shared" si="29"/>
        <v>46229</v>
      </c>
      <c r="BZ15" s="17">
        <f t="shared" si="29"/>
        <v>46228</v>
      </c>
    </row>
    <row r="16" spans="1:78" x14ac:dyDescent="0.2">
      <c r="A16" s="13" t="s">
        <v>347</v>
      </c>
      <c r="B16" s="13" t="s">
        <v>64</v>
      </c>
      <c r="C16" s="13" t="s">
        <v>348</v>
      </c>
      <c r="D16" s="13" t="s">
        <v>269</v>
      </c>
      <c r="E16" s="13" t="s">
        <v>270</v>
      </c>
      <c r="F16" s="13" t="s">
        <v>271</v>
      </c>
      <c r="G16" s="13" t="str">
        <f t="shared" si="0"/>
        <v>Y</v>
      </c>
      <c r="H16" s="17">
        <v>24</v>
      </c>
      <c r="I16" s="13" t="str">
        <f>IF(H16="","Y",IF(H16&gt;=Parameters!$B$25,"Y","N"))</f>
        <v>Y</v>
      </c>
      <c r="J16" s="13" t="str">
        <f>IF(AND(BX16&gt;=Parameters!$B$28,BX16&lt;=Parameters!$B$29),"Y","N")</f>
        <v>Y</v>
      </c>
      <c r="K16" s="13" t="s">
        <v>349</v>
      </c>
      <c r="L16" s="13" t="s">
        <v>350</v>
      </c>
      <c r="M16" s="17">
        <f t="shared" si="1"/>
        <v>4</v>
      </c>
      <c r="N16" s="17">
        <f t="shared" si="2"/>
        <v>15</v>
      </c>
      <c r="O16" s="13" t="str">
        <f>IF(K16="","Y",IF(BY16&lt;=EDATE(BX16,Parameters!$B$23),"Y","N"))</f>
        <v>Y</v>
      </c>
      <c r="P16" s="13" t="str">
        <f>IF(N16="","Y",IF(N16&lt;=Parameters!$B$24,"Y","N"))</f>
        <v>N</v>
      </c>
      <c r="Q16" s="18">
        <v>0.014</v>
      </c>
      <c r="U16" s="13" t="str">
        <f t="shared" si="3"/>
        <v>Y</v>
      </c>
      <c r="V16" s="13" t="str">
        <f t="shared" si="4"/>
        <v>Y</v>
      </c>
      <c r="W16" s="18">
        <f t="shared" si="5"/>
        <v>0.014</v>
      </c>
      <c r="X16" s="18">
        <f t="shared" si="6"/>
        <v>0.014</v>
      </c>
      <c r="Y16" s="13" t="str">
        <f>IF(AND(V16="Y",COUNTIFS($BX$5:$BX16,$BX16,$V$5:$V16,"Y")=1),"Y","N")</f>
        <v>Y</v>
      </c>
      <c r="Z16" s="16">
        <v>0.66</v>
      </c>
      <c r="AD16" s="13" t="str">
        <f t="shared" si="7"/>
        <v>Y</v>
      </c>
      <c r="AE16" s="13" t="str">
        <f t="shared" si="8"/>
        <v>Y</v>
      </c>
      <c r="AF16" s="16">
        <f t="shared" si="9"/>
        <v>0.66</v>
      </c>
      <c r="AG16" s="18">
        <f t="shared" si="10"/>
        <v>0.66</v>
      </c>
      <c r="AH16" s="13" t="str">
        <f>IF(AND(AE16="Y",COUNTIFS($BX$5:$BX16,$BX16,$AE$5:$AE16,"Y")=1),"Y","N")</f>
        <v>Y</v>
      </c>
      <c r="AI16" s="16">
        <v>4.33</v>
      </c>
      <c r="AJ16" s="13" t="s">
        <v>297</v>
      </c>
      <c r="AM16" s="13" t="str">
        <f t="shared" si="11"/>
        <v>Y</v>
      </c>
      <c r="AN16" s="13" t="str">
        <f t="shared" si="12"/>
        <v>Y</v>
      </c>
      <c r="AO16" s="16">
        <f t="shared" si="13"/>
        <v>4.33</v>
      </c>
      <c r="AP16" s="18">
        <f t="shared" si="14"/>
        <v>4.33</v>
      </c>
      <c r="AQ16" s="13" t="str">
        <f>IF(AND(AN16="Y",COUNTIFS($BX$5:$BX16,$BX16,$AN$5:$AN16,"Y")=1),"Y","N")</f>
        <v>Y</v>
      </c>
      <c r="AR16" s="16">
        <v>2.61</v>
      </c>
      <c r="AV16" s="13" t="str">
        <f t="shared" si="15"/>
        <v>Y</v>
      </c>
      <c r="AW16" s="13" t="str">
        <f t="shared" si="16"/>
        <v>Y</v>
      </c>
      <c r="AX16" s="16">
        <f t="shared" si="17"/>
        <v>2.61</v>
      </c>
      <c r="AY16" s="18">
        <f t="shared" si="18"/>
        <v>2.61</v>
      </c>
      <c r="AZ16" s="13" t="str">
        <f>IF(AND(AW16="Y",COUNTIFS($BX$5:$BX16,$BX16,$AW$5:$AW16,"Y")=1),"Y","N")</f>
        <v>Y</v>
      </c>
      <c r="BA16" s="16">
        <v>0.89</v>
      </c>
      <c r="BE16" s="13" t="str">
        <f t="shared" si="19"/>
        <v>Y</v>
      </c>
      <c r="BF16" s="13" t="str">
        <f t="shared" si="20"/>
        <v>Y</v>
      </c>
      <c r="BG16" s="16">
        <f t="shared" si="21"/>
        <v>0.89</v>
      </c>
      <c r="BH16" s="18">
        <f t="shared" si="22"/>
        <v>0.89</v>
      </c>
      <c r="BI16" s="13" t="str">
        <f>IF(AND(BF16="Y",COUNTIFS($BX$5:$BX16,$BX16,$BF$5:$BF16,"Y")=1),"Y","N")</f>
        <v>Y</v>
      </c>
      <c r="BJ16" s="18">
        <v>0.19</v>
      </c>
      <c r="BN16" s="13" t="str">
        <f t="shared" si="23"/>
        <v>N</v>
      </c>
      <c r="BO16" s="13" t="str">
        <f t="shared" si="24"/>
        <v>N</v>
      </c>
      <c r="BP16" s="18">
        <f t="shared" si="25"/>
        <v>0.19</v>
      </c>
      <c r="BQ16" s="18" t="str">
        <f t="shared" si="26"/>
        <v/>
      </c>
      <c r="BR16" s="13" t="str">
        <f>IF(AND(BO16="Y",COUNTIFS($BX$5:$BX16,$BX16,$BO$5:$BO16,"Y")=1),"Y","N")</f>
        <v>N</v>
      </c>
      <c r="BS16" s="19">
        <v>6.8</v>
      </c>
      <c r="BT16" s="13" t="s">
        <v>351</v>
      </c>
      <c r="BU16" s="13" t="s">
        <v>352</v>
      </c>
      <c r="BV16" s="13" t="s">
        <v>64</v>
      </c>
      <c r="BW16" s="13" t="s">
        <v>353</v>
      </c>
      <c r="BX16" s="17">
        <f t="shared" si="27"/>
        <v>46245</v>
      </c>
      <c r="BY16" s="17">
        <f t="shared" si="29"/>
        <v>46249</v>
      </c>
      <c r="BZ16" s="17">
        <f t="shared" si="29"/>
        <v>46260</v>
      </c>
    </row>
    <row r="17" spans="1:78" x14ac:dyDescent="0.2">
      <c r="A17" s="13" t="s">
        <v>354</v>
      </c>
      <c r="B17" s="13" t="s">
        <v>76</v>
      </c>
      <c r="C17" s="13" t="s">
        <v>348</v>
      </c>
      <c r="D17" s="13" t="s">
        <v>355</v>
      </c>
      <c r="E17" s="13" t="s">
        <v>270</v>
      </c>
      <c r="F17" s="13" t="s">
        <v>271</v>
      </c>
      <c r="G17" s="13" t="str">
        <f t="shared" si="0"/>
        <v>Y</v>
      </c>
      <c r="H17" s="17">
        <v>25</v>
      </c>
      <c r="I17" s="13" t="str">
        <f>IF(H17="","Y",IF(H17&gt;=Parameters!$B$25,"Y","N"))</f>
        <v>Y</v>
      </c>
      <c r="J17" s="13" t="str">
        <f>IF(AND(BX17&gt;=Parameters!$B$28,BX17&lt;=Parameters!$B$29),"Y","N")</f>
        <v>Y</v>
      </c>
      <c r="K17" s="13" t="s">
        <v>356</v>
      </c>
      <c r="L17" s="13" t="s">
        <v>357</v>
      </c>
      <c r="M17" s="17">
        <f t="shared" si="1"/>
        <v>4</v>
      </c>
      <c r="N17" s="17">
        <f t="shared" si="2"/>
        <v>5</v>
      </c>
      <c r="O17" s="13" t="str">
        <f>IF(K17="","Y",IF(BY17&lt;=EDATE(BX17,Parameters!$B$23),"Y","N"))</f>
        <v>Y</v>
      </c>
      <c r="P17" s="13" t="str">
        <f>IF(N17="","Y",IF(N17&lt;=Parameters!$B$24,"Y","N"))</f>
        <v>Y</v>
      </c>
      <c r="Q17" s="18">
        <v>0.005</v>
      </c>
      <c r="R17" s="13" t="s">
        <v>282</v>
      </c>
      <c r="U17" s="13" t="str">
        <f t="shared" si="3"/>
        <v>Y</v>
      </c>
      <c r="V17" s="13" t="str">
        <f t="shared" si="4"/>
        <v>Y</v>
      </c>
      <c r="W17" s="18">
        <f t="shared" si="5"/>
        <v>0</v>
      </c>
      <c r="X17" s="18">
        <f t="shared" si="6"/>
        <v>0</v>
      </c>
      <c r="Y17" s="13" t="str">
        <f>IF(AND(V17="Y",COUNTIFS($BX$5:$BX17,$BX17,$V$5:$V17,"Y")=1),"Y","N")</f>
        <v>Y</v>
      </c>
      <c r="Z17" s="16">
        <v>0.69</v>
      </c>
      <c r="AD17" s="13" t="str">
        <f t="shared" si="7"/>
        <v>Y</v>
      </c>
      <c r="AE17" s="13" t="str">
        <f t="shared" si="8"/>
        <v>Y</v>
      </c>
      <c r="AF17" s="16">
        <f t="shared" si="9"/>
        <v>0.69</v>
      </c>
      <c r="AG17" s="18">
        <f t="shared" si="10"/>
        <v>0.69</v>
      </c>
      <c r="AH17" s="13" t="str">
        <f>IF(AND(AE17="Y",COUNTIFS($BX$5:$BX17,$BX17,$AE$5:$AE17,"Y")=1),"Y","N")</f>
        <v>Y</v>
      </c>
      <c r="AI17" s="16">
        <v>3.45</v>
      </c>
      <c r="AM17" s="13" t="str">
        <f t="shared" si="11"/>
        <v>Y</v>
      </c>
      <c r="AN17" s="13" t="str">
        <f t="shared" si="12"/>
        <v>Y</v>
      </c>
      <c r="AO17" s="16">
        <f t="shared" si="13"/>
        <v>3.45</v>
      </c>
      <c r="AP17" s="18">
        <f t="shared" si="14"/>
        <v>3.86</v>
      </c>
      <c r="AQ17" s="13" t="str">
        <f>IF(AND(AN17="Y",COUNTIFS($BX$5:$BX17,$BX17,$AN$5:$AN17,"Y")=1),"Y","N")</f>
        <v>Y</v>
      </c>
      <c r="AR17" s="16">
        <v>1.74</v>
      </c>
      <c r="AV17" s="13" t="str">
        <f t="shared" si="15"/>
        <v>Y</v>
      </c>
      <c r="AW17" s="13" t="str">
        <f t="shared" si="16"/>
        <v>Y</v>
      </c>
      <c r="AX17" s="16">
        <f t="shared" si="17"/>
        <v>1.74</v>
      </c>
      <c r="AY17" s="18">
        <f t="shared" si="18"/>
        <v>1.74</v>
      </c>
      <c r="AZ17" s="13" t="str">
        <f>IF(AND(AW17="Y",COUNTIFS($BX$5:$BX17,$BX17,$AW$5:$AW17,"Y")=1),"Y","N")</f>
        <v>Y</v>
      </c>
      <c r="BA17" s="16">
        <v>1.21</v>
      </c>
      <c r="BE17" s="13" t="str">
        <f t="shared" si="19"/>
        <v>Y</v>
      </c>
      <c r="BF17" s="13" t="str">
        <f t="shared" si="20"/>
        <v>Y</v>
      </c>
      <c r="BG17" s="16">
        <f t="shared" si="21"/>
        <v>1.21</v>
      </c>
      <c r="BH17" s="18">
        <f t="shared" si="22"/>
        <v>1.145</v>
      </c>
      <c r="BI17" s="13" t="str">
        <f>IF(AND(BF17="Y",COUNTIFS($BX$5:$BX17,$BX17,$BF$5:$BF17,"Y")=1),"Y","N")</f>
        <v>Y</v>
      </c>
      <c r="BJ17" s="18">
        <v>0.22</v>
      </c>
      <c r="BN17" s="13" t="str">
        <f t="shared" si="23"/>
        <v>Y</v>
      </c>
      <c r="BO17" s="13" t="str">
        <f t="shared" si="24"/>
        <v>Y</v>
      </c>
      <c r="BP17" s="18">
        <f t="shared" si="25"/>
        <v>0.22</v>
      </c>
      <c r="BQ17" s="18">
        <f t="shared" si="26"/>
        <v>0.22</v>
      </c>
      <c r="BR17" s="13" t="str">
        <f>IF(AND(BO17="Y",COUNTIFS($BX$5:$BX17,$BX17,$BO$5:$BO17,"Y")=1),"Y","N")</f>
        <v>Y</v>
      </c>
      <c r="BS17" s="19">
        <v>7.4</v>
      </c>
      <c r="BT17" s="13" t="s">
        <v>358</v>
      </c>
      <c r="BU17" s="13" t="s">
        <v>359</v>
      </c>
      <c r="BV17" s="13" t="s">
        <v>360</v>
      </c>
      <c r="BW17" s="13" t="s">
        <v>361</v>
      </c>
      <c r="BX17" s="17">
        <f t="shared" si="27"/>
        <v>46253</v>
      </c>
      <c r="BY17" s="17">
        <f t="shared" si="29"/>
        <v>46257</v>
      </c>
      <c r="BZ17" s="17">
        <f t="shared" si="29"/>
        <v>46258</v>
      </c>
    </row>
    <row r="18" spans="1:78" x14ac:dyDescent="0.2">
      <c r="A18" s="13" t="s">
        <v>362</v>
      </c>
      <c r="B18" s="13" t="s">
        <v>76</v>
      </c>
      <c r="C18" s="13" t="s">
        <v>348</v>
      </c>
      <c r="D18" s="13" t="s">
        <v>355</v>
      </c>
      <c r="E18" s="13" t="s">
        <v>270</v>
      </c>
      <c r="F18" s="13" t="s">
        <v>363</v>
      </c>
      <c r="G18" s="13" t="str">
        <f t="shared" si="0"/>
        <v>N</v>
      </c>
      <c r="I18" s="13" t="str">
        <f>IF(H18="","Y",IF(H18&gt;=Parameters!$B$25,"Y","N"))</f>
        <v>Y</v>
      </c>
      <c r="J18" s="13" t="str">
        <f>IF(AND(BX18&gt;=Parameters!$B$28,BX18&lt;=Parameters!$B$29),"Y","N")</f>
        <v>Y</v>
      </c>
      <c r="K18" s="13" t="s">
        <v>356</v>
      </c>
      <c r="L18" s="13" t="s">
        <v>364</v>
      </c>
      <c r="M18" s="17">
        <f t="shared" si="1"/>
        <v>4</v>
      </c>
      <c r="N18" s="17" t="str">
        <f t="shared" si="2"/>
        <v/>
      </c>
      <c r="O18" s="13" t="str">
        <f>IF(K18="","Y",IF(BY18&lt;=EDATE(BX18,Parameters!$B$23),"Y","N"))</f>
        <v>Y</v>
      </c>
      <c r="P18" s="13" t="str">
        <f>IF(N18="","Y",IF(N18&lt;=Parameters!$B$24,"Y","N"))</f>
        <v>Y</v>
      </c>
      <c r="Q18" s="18">
        <v>0.016</v>
      </c>
      <c r="U18" s="13" t="str">
        <f t="shared" si="3"/>
        <v>N</v>
      </c>
      <c r="V18" s="13" t="str">
        <f t="shared" si="4"/>
        <v>N</v>
      </c>
      <c r="W18" s="18">
        <f t="shared" si="5"/>
        <v>0.016</v>
      </c>
      <c r="X18" s="18" t="str">
        <f t="shared" si="6"/>
        <v/>
      </c>
      <c r="Y18" s="13" t="str">
        <f>IF(AND(V18="Y",COUNTIFS($BX$5:$BX18,$BX18,$V$5:$V18,"Y")=1),"Y","N")</f>
        <v>N</v>
      </c>
      <c r="Z18" s="16">
        <v>0.92</v>
      </c>
      <c r="AD18" s="13" t="str">
        <f t="shared" si="7"/>
        <v>N</v>
      </c>
      <c r="AE18" s="13" t="str">
        <f t="shared" si="8"/>
        <v>N</v>
      </c>
      <c r="AF18" s="16">
        <f t="shared" si="9"/>
        <v>0.92</v>
      </c>
      <c r="AG18" s="18" t="str">
        <f t="shared" si="10"/>
        <v/>
      </c>
      <c r="AH18" s="13" t="str">
        <f>IF(AND(AE18="Y",COUNTIFS($BX$5:$BX18,$BX18,$AE$5:$AE18,"Y")=1),"Y","N")</f>
        <v>N</v>
      </c>
      <c r="AI18" s="16">
        <v>4.62</v>
      </c>
      <c r="AM18" s="13" t="str">
        <f t="shared" si="11"/>
        <v>N</v>
      </c>
      <c r="AN18" s="13" t="str">
        <f t="shared" si="12"/>
        <v>N</v>
      </c>
      <c r="AO18" s="16">
        <f t="shared" si="13"/>
        <v>4.62</v>
      </c>
      <c r="AP18" s="18" t="str">
        <f t="shared" si="14"/>
        <v/>
      </c>
      <c r="AQ18" s="13" t="str">
        <f>IF(AND(AN18="Y",COUNTIFS($BX$5:$BX18,$BX18,$AN$5:$AN18,"Y")=1),"Y","N")</f>
        <v>N</v>
      </c>
      <c r="AR18" s="16">
        <v>2.05</v>
      </c>
      <c r="AV18" s="13" t="str">
        <f t="shared" si="15"/>
        <v>N</v>
      </c>
      <c r="AW18" s="13" t="str">
        <f t="shared" si="16"/>
        <v>N</v>
      </c>
      <c r="AX18" s="16">
        <f t="shared" si="17"/>
        <v>2.05</v>
      </c>
      <c r="AY18" s="18" t="str">
        <f t="shared" si="18"/>
        <v/>
      </c>
      <c r="AZ18" s="13" t="str">
        <f>IF(AND(AW18="Y",COUNTIFS($BX$5:$BX18,$BX18,$AW$5:$AW18,"Y")=1),"Y","N")</f>
        <v>N</v>
      </c>
      <c r="BA18" s="16">
        <v>3.41</v>
      </c>
      <c r="BE18" s="13" t="str">
        <f t="shared" si="19"/>
        <v>N</v>
      </c>
      <c r="BF18" s="13" t="str">
        <f t="shared" si="20"/>
        <v>N</v>
      </c>
      <c r="BG18" s="16">
        <f t="shared" si="21"/>
        <v>3.41</v>
      </c>
      <c r="BH18" s="18" t="str">
        <f t="shared" si="22"/>
        <v/>
      </c>
      <c r="BI18" s="13" t="str">
        <f>IF(AND(BF18="Y",COUNTIFS($BX$5:$BX18,$BX18,$BF$5:$BF18,"Y")=1),"Y","N")</f>
        <v>N</v>
      </c>
      <c r="BK18" s="13" t="s">
        <v>314</v>
      </c>
      <c r="BN18" s="13" t="str">
        <f t="shared" si="23"/>
        <v>N</v>
      </c>
      <c r="BO18" s="13" t="str">
        <f t="shared" si="24"/>
        <v>N</v>
      </c>
      <c r="BP18" s="18" t="str">
        <f t="shared" si="25"/>
        <v/>
      </c>
      <c r="BQ18" s="18" t="str">
        <f t="shared" si="26"/>
        <v/>
      </c>
      <c r="BR18" s="13" t="str">
        <f>IF(AND(BO18="Y",COUNTIFS($BX$5:$BX18,$BX18,$BO$5:$BO18,"Y")=1),"Y","N")</f>
        <v>N</v>
      </c>
      <c r="BS18" s="19">
        <v>9.4</v>
      </c>
      <c r="BT18" s="13" t="s">
        <v>365</v>
      </c>
      <c r="BU18" s="13" t="s">
        <v>359</v>
      </c>
      <c r="BV18" s="13" t="s">
        <v>76</v>
      </c>
      <c r="BW18" s="13" t="s">
        <v>366</v>
      </c>
      <c r="BX18" s="17">
        <f t="shared" si="27"/>
        <v>46253</v>
      </c>
      <c r="BY18" s="17">
        <f>DATE(VALUE(RIGHT(K18,4)),VALUE(LEFT(K18,2)),VALUE(MID(K18,4,2)))</f>
        <v>46257</v>
      </c>
    </row>
    <row r="19" spans="1:78" x14ac:dyDescent="0.2">
      <c r="A19" s="13" t="s">
        <v>367</v>
      </c>
      <c r="B19" s="13" t="s">
        <v>76</v>
      </c>
      <c r="C19" s="13" t="s">
        <v>348</v>
      </c>
      <c r="D19" s="13" t="s">
        <v>310</v>
      </c>
      <c r="E19" s="13" t="s">
        <v>311</v>
      </c>
      <c r="F19" s="13" t="s">
        <v>312</v>
      </c>
      <c r="G19" s="13" t="str">
        <f t="shared" si="0"/>
        <v>Y</v>
      </c>
      <c r="I19" s="13" t="str">
        <f>IF(H19="","Y",IF(H19&gt;=Parameters!$B$25,"Y","N"))</f>
        <v>Y</v>
      </c>
      <c r="J19" s="13" t="str">
        <f>IF(AND(BX19&gt;=Parameters!$B$28,BX19&lt;=Parameters!$B$29),"Y","N")</f>
        <v>Y</v>
      </c>
      <c r="M19" s="17" t="str">
        <f t="shared" si="1"/>
        <v/>
      </c>
      <c r="N19" s="17" t="str">
        <f t="shared" si="2"/>
        <v/>
      </c>
      <c r="O19" s="13" t="str">
        <f>IF(K19="","Y",IF(BY19&lt;=EDATE(BX19,Parameters!$B$23),"Y","N"))</f>
        <v>Y</v>
      </c>
      <c r="P19" s="13" t="str">
        <f>IF(N19="","Y",IF(N19&lt;=Parameters!$B$24,"Y","N"))</f>
        <v>Y</v>
      </c>
      <c r="Q19" s="13" t="s">
        <v>313</v>
      </c>
      <c r="U19" s="13" t="str">
        <f t="shared" si="3"/>
        <v>N</v>
      </c>
      <c r="V19" s="13" t="str">
        <f t="shared" si="4"/>
        <v>Y</v>
      </c>
      <c r="W19" s="18" t="str">
        <f t="shared" si="5"/>
        <v>under limit</v>
      </c>
      <c r="X19" s="18">
        <f t="shared" si="6"/>
        <v>0</v>
      </c>
      <c r="Y19" s="13" t="str">
        <f>IF(AND(V19="Y",COUNTIFS($BX$5:$BX19,$BX19,$V$5:$V19,"Y")=1),"Y","N")</f>
        <v>N</v>
      </c>
      <c r="Z19" s="13" t="s">
        <v>313</v>
      </c>
      <c r="AD19" s="13" t="str">
        <f t="shared" si="7"/>
        <v>N</v>
      </c>
      <c r="AE19" s="13" t="str">
        <f t="shared" si="8"/>
        <v>Y</v>
      </c>
      <c r="AF19" s="16" t="str">
        <f t="shared" si="9"/>
        <v>under limit</v>
      </c>
      <c r="AG19" s="18">
        <f t="shared" si="10"/>
        <v>0.69</v>
      </c>
      <c r="AH19" s="13" t="str">
        <f>IF(AND(AE19="Y",COUNTIFS($BX$5:$BX19,$BX19,$AE$5:$AE19,"Y")=1),"Y","N")</f>
        <v>N</v>
      </c>
      <c r="AI19" s="16">
        <v>4.27</v>
      </c>
      <c r="AM19" s="13" t="str">
        <f t="shared" si="11"/>
        <v>N</v>
      </c>
      <c r="AN19" s="13" t="str">
        <f t="shared" si="12"/>
        <v>Y</v>
      </c>
      <c r="AO19" s="16">
        <f t="shared" si="13"/>
        <v>4.27</v>
      </c>
      <c r="AP19" s="18">
        <f t="shared" si="14"/>
        <v>3.86</v>
      </c>
      <c r="AQ19" s="13" t="str">
        <f>IF(AND(AN19="Y",COUNTIFS($BX$5:$BX19,$BX19,$AN$5:$AN19,"Y")=1),"Y","N")</f>
        <v>N</v>
      </c>
      <c r="AR19" s="13" t="s">
        <v>313</v>
      </c>
      <c r="AV19" s="13" t="str">
        <f t="shared" si="15"/>
        <v>N</v>
      </c>
      <c r="AW19" s="13" t="str">
        <f t="shared" si="16"/>
        <v>Y</v>
      </c>
      <c r="AX19" s="16" t="str">
        <f t="shared" si="17"/>
        <v>under limit</v>
      </c>
      <c r="AY19" s="18">
        <f t="shared" si="18"/>
        <v>1.74</v>
      </c>
      <c r="AZ19" s="13" t="str">
        <f>IF(AND(AW19="Y",COUNTIFS($BX$5:$BX19,$BX19,$AW$5:$AW19,"Y")=1),"Y","N")</f>
        <v>N</v>
      </c>
      <c r="BA19" s="16">
        <v>1.08</v>
      </c>
      <c r="BE19" s="13" t="str">
        <f t="shared" si="19"/>
        <v>N</v>
      </c>
      <c r="BF19" s="13" t="str">
        <f t="shared" si="20"/>
        <v>Y</v>
      </c>
      <c r="BG19" s="16">
        <f t="shared" si="21"/>
        <v>1.08</v>
      </c>
      <c r="BH19" s="18">
        <f t="shared" si="22"/>
        <v>1.145</v>
      </c>
      <c r="BI19" s="13" t="str">
        <f>IF(AND(BF19="Y",COUNTIFS($BX$5:$BX19,$BX19,$BF$5:$BF19,"Y")=1),"Y","N")</f>
        <v>N</v>
      </c>
      <c r="BK19" s="13" t="s">
        <v>314</v>
      </c>
      <c r="BN19" s="13" t="str">
        <f t="shared" si="23"/>
        <v>N</v>
      </c>
      <c r="BO19" s="13" t="str">
        <f t="shared" si="24"/>
        <v>N</v>
      </c>
      <c r="BP19" s="18" t="str">
        <f t="shared" si="25"/>
        <v/>
      </c>
      <c r="BQ19" s="18" t="str">
        <f t="shared" si="26"/>
        <v/>
      </c>
      <c r="BR19" s="13" t="str">
        <f>IF(AND(BO19="Y",COUNTIFS($BX$5:$BX19,$BX19,$BO$5:$BO19,"Y")=1),"Y","N")</f>
        <v>N</v>
      </c>
      <c r="BW19" s="13" t="s">
        <v>368</v>
      </c>
      <c r="BX19" s="17">
        <f t="shared" si="27"/>
        <v>46253</v>
      </c>
    </row>
    <row r="20" spans="1:78" x14ac:dyDescent="0.2">
      <c r="A20" s="13" t="s">
        <v>369</v>
      </c>
      <c r="B20" s="13" t="s">
        <v>87</v>
      </c>
      <c r="C20" s="13" t="s">
        <v>348</v>
      </c>
      <c r="D20" s="13" t="s">
        <v>269</v>
      </c>
      <c r="E20" s="13" t="s">
        <v>270</v>
      </c>
      <c r="F20" s="13" t="s">
        <v>271</v>
      </c>
      <c r="G20" s="13" t="str">
        <f t="shared" si="0"/>
        <v>Y</v>
      </c>
      <c r="H20" s="17">
        <v>19</v>
      </c>
      <c r="I20" s="13" t="str">
        <f>IF(H20="","Y",IF(H20&gt;=Parameters!$B$25,"Y","N"))</f>
        <v>Y</v>
      </c>
      <c r="J20" s="13" t="str">
        <f>IF(AND(BX20&gt;=Parameters!$B$28,BX20&lt;=Parameters!$B$29),"Y","N")</f>
        <v>Y</v>
      </c>
      <c r="K20" s="13" t="s">
        <v>370</v>
      </c>
      <c r="L20" s="13" t="s">
        <v>95</v>
      </c>
      <c r="M20" s="17">
        <f t="shared" si="1"/>
        <v>4</v>
      </c>
      <c r="N20" s="17">
        <f t="shared" si="2"/>
        <v>2</v>
      </c>
      <c r="O20" s="13" t="str">
        <f>IF(K20="","Y",IF(BY20&lt;=EDATE(BX20,Parameters!$B$23),"Y","N"))</f>
        <v>Y</v>
      </c>
      <c r="P20" s="13" t="str">
        <f>IF(N20="","Y",IF(N20&lt;=Parameters!$B$24,"Y","N"))</f>
        <v>Y</v>
      </c>
      <c r="Q20" s="18">
        <v>0.005</v>
      </c>
      <c r="R20" s="13" t="s">
        <v>282</v>
      </c>
      <c r="U20" s="13" t="str">
        <f t="shared" si="3"/>
        <v>Y</v>
      </c>
      <c r="V20" s="13" t="str">
        <f t="shared" si="4"/>
        <v>Y</v>
      </c>
      <c r="W20" s="18">
        <f t="shared" si="5"/>
        <v>0</v>
      </c>
      <c r="X20" s="18">
        <f t="shared" si="6"/>
        <v>0</v>
      </c>
      <c r="Y20" s="13" t="str">
        <f>IF(AND(V20="Y",COUNTIFS($BX$5:$BX20,$BX20,$V$5:$V20,"Y")=1),"Y","N")</f>
        <v>Y</v>
      </c>
      <c r="Z20" s="16">
        <v>0.74</v>
      </c>
      <c r="AD20" s="13" t="str">
        <f t="shared" si="7"/>
        <v>Y</v>
      </c>
      <c r="AE20" s="13" t="str">
        <f t="shared" si="8"/>
        <v>Y</v>
      </c>
      <c r="AF20" s="16">
        <f t="shared" si="9"/>
        <v>0.74</v>
      </c>
      <c r="AG20" s="18">
        <f t="shared" si="10"/>
        <v>0.74</v>
      </c>
      <c r="AH20" s="13" t="str">
        <f>IF(AND(AE20="Y",COUNTIFS($BX$5:$BX20,$BX20,$AE$5:$AE20,"Y")=1),"Y","N")</f>
        <v>Y</v>
      </c>
      <c r="AI20" s="16">
        <v>3.15</v>
      </c>
      <c r="AJ20" s="13" t="s">
        <v>297</v>
      </c>
      <c r="AK20" s="16">
        <v>4.15</v>
      </c>
      <c r="AM20" s="13" t="str">
        <f t="shared" si="11"/>
        <v>Y</v>
      </c>
      <c r="AN20" s="13" t="str">
        <f t="shared" si="12"/>
        <v>Y</v>
      </c>
      <c r="AO20" s="16">
        <f t="shared" si="13"/>
        <v>4.15</v>
      </c>
      <c r="AP20" s="18">
        <f t="shared" si="14"/>
        <v>4.15</v>
      </c>
      <c r="AQ20" s="13" t="str">
        <f>IF(AND(AN20="Y",COUNTIFS($BX$5:$BX20,$BX20,$AN$5:$AN20,"Y")=1),"Y","N")</f>
        <v>Y</v>
      </c>
      <c r="AR20" s="16">
        <v>1.9</v>
      </c>
      <c r="AV20" s="13" t="str">
        <f t="shared" si="15"/>
        <v>Y</v>
      </c>
      <c r="AW20" s="13" t="str">
        <f t="shared" si="16"/>
        <v>Y</v>
      </c>
      <c r="AX20" s="16">
        <f t="shared" si="17"/>
        <v>1.9</v>
      </c>
      <c r="AY20" s="18">
        <f t="shared" si="18"/>
        <v>1.9</v>
      </c>
      <c r="AZ20" s="13" t="str">
        <f>IF(AND(AW20="Y",COUNTIFS($BX$5:$BX20,$BX20,$AW$5:$AW20,"Y")=1),"Y","N")</f>
        <v>Y</v>
      </c>
      <c r="BA20" s="16">
        <v>1.18</v>
      </c>
      <c r="BE20" s="13" t="str">
        <f t="shared" si="19"/>
        <v>Y</v>
      </c>
      <c r="BF20" s="13" t="str">
        <f t="shared" si="20"/>
        <v>Y</v>
      </c>
      <c r="BG20" s="16">
        <f t="shared" si="21"/>
        <v>1.18</v>
      </c>
      <c r="BH20" s="18">
        <f t="shared" si="22"/>
        <v>1.18</v>
      </c>
      <c r="BI20" s="13" t="str">
        <f>IF(AND(BF20="Y",COUNTIFS($BX$5:$BX20,$BX20,$BF$5:$BF20,"Y")=1),"Y","N")</f>
        <v>Y</v>
      </c>
      <c r="BJ20" s="18">
        <v>0.29</v>
      </c>
      <c r="BN20" s="13" t="str">
        <f t="shared" si="23"/>
        <v>Y</v>
      </c>
      <c r="BO20" s="13" t="str">
        <f t="shared" si="24"/>
        <v>Y</v>
      </c>
      <c r="BP20" s="18">
        <f t="shared" si="25"/>
        <v>0.29</v>
      </c>
      <c r="BQ20" s="18">
        <f t="shared" si="26"/>
        <v>0.29</v>
      </c>
      <c r="BR20" s="13" t="str">
        <f>IF(AND(BO20="Y",COUNTIFS($BX$5:$BX20,$BX20,$BO$5:$BO20,"Y")=1),"Y","N")</f>
        <v>Y</v>
      </c>
      <c r="BS20" s="19">
        <v>7.5</v>
      </c>
      <c r="BT20" s="13" t="s">
        <v>371</v>
      </c>
      <c r="BU20" s="13" t="s">
        <v>372</v>
      </c>
      <c r="BV20" s="13" t="s">
        <v>87</v>
      </c>
      <c r="BW20" s="13" t="s">
        <v>373</v>
      </c>
      <c r="BX20" s="17">
        <f t="shared" si="27"/>
        <v>46259</v>
      </c>
      <c r="BY20" s="17">
        <f t="shared" ref="BY20:BZ22" si="30">DATE(VALUE(RIGHT(K20,4)),VALUE(LEFT(K20,2)),VALUE(MID(K20,4,2)))</f>
        <v>46263</v>
      </c>
      <c r="BZ20" s="17">
        <f t="shared" si="30"/>
        <v>46261</v>
      </c>
    </row>
    <row r="21" spans="1:78" x14ac:dyDescent="0.2">
      <c r="A21" s="13" t="s">
        <v>374</v>
      </c>
      <c r="B21" s="13" t="s">
        <v>103</v>
      </c>
      <c r="C21" s="13" t="s">
        <v>375</v>
      </c>
      <c r="D21" s="13" t="s">
        <v>269</v>
      </c>
      <c r="E21" s="13" t="s">
        <v>270</v>
      </c>
      <c r="F21" s="13" t="s">
        <v>271</v>
      </c>
      <c r="G21" s="13" t="str">
        <f t="shared" si="0"/>
        <v>Y</v>
      </c>
      <c r="H21" s="17">
        <v>27</v>
      </c>
      <c r="I21" s="13" t="str">
        <f>IF(H21="","Y",IF(H21&gt;=Parameters!$B$25,"Y","N"))</f>
        <v>Y</v>
      </c>
      <c r="J21" s="13" t="str">
        <f>IF(AND(BX21&gt;=Parameters!$B$28,BX21&lt;=Parameters!$B$29),"Y","N")</f>
        <v>Y</v>
      </c>
      <c r="K21" s="13" t="s">
        <v>376</v>
      </c>
      <c r="L21" s="13" t="s">
        <v>377</v>
      </c>
      <c r="M21" s="17">
        <f t="shared" si="1"/>
        <v>3</v>
      </c>
      <c r="N21" s="17">
        <f t="shared" si="2"/>
        <v>5</v>
      </c>
      <c r="O21" s="13" t="str">
        <f>IF(K21="","Y",IF(BY21&lt;=EDATE(BX21,Parameters!$B$23),"Y","N"))</f>
        <v>Y</v>
      </c>
      <c r="P21" s="13" t="str">
        <f>IF(N21="","Y",IF(N21&lt;=Parameters!$B$24,"Y","N"))</f>
        <v>Y</v>
      </c>
      <c r="Q21" s="18">
        <v>0.012</v>
      </c>
      <c r="U21" s="13" t="str">
        <f t="shared" si="3"/>
        <v>Y</v>
      </c>
      <c r="V21" s="13" t="str">
        <f t="shared" si="4"/>
        <v>Y</v>
      </c>
      <c r="W21" s="18">
        <f t="shared" si="5"/>
        <v>0.012</v>
      </c>
      <c r="X21" s="18">
        <f t="shared" si="6"/>
        <v>0.012</v>
      </c>
      <c r="Y21" s="13" t="str">
        <f>IF(AND(V21="Y",COUNTIFS($BX$5:$BX21,$BX21,$V$5:$V21,"Y")=1),"Y","N")</f>
        <v>Y</v>
      </c>
      <c r="Z21" s="16">
        <v>1.02</v>
      </c>
      <c r="AD21" s="13" t="str">
        <f t="shared" si="7"/>
        <v>Y</v>
      </c>
      <c r="AE21" s="13" t="str">
        <f t="shared" si="8"/>
        <v>Y</v>
      </c>
      <c r="AF21" s="16">
        <f t="shared" si="9"/>
        <v>1.02</v>
      </c>
      <c r="AG21" s="18">
        <f t="shared" si="10"/>
        <v>1.02</v>
      </c>
      <c r="AH21" s="13" t="str">
        <f>IF(AND(AE21="Y",COUNTIFS($BX$5:$BX21,$BX21,$AE$5:$AE21,"Y")=1),"Y","N")</f>
        <v>Y</v>
      </c>
      <c r="AI21" s="16">
        <v>2.96</v>
      </c>
      <c r="AM21" s="13" t="str">
        <f t="shared" si="11"/>
        <v>Y</v>
      </c>
      <c r="AN21" s="13" t="str">
        <f t="shared" si="12"/>
        <v>Y</v>
      </c>
      <c r="AO21" s="16">
        <f t="shared" si="13"/>
        <v>2.96</v>
      </c>
      <c r="AP21" s="18">
        <f t="shared" si="14"/>
        <v>2.96</v>
      </c>
      <c r="AQ21" s="13" t="str">
        <f>IF(AND(AN21="Y",COUNTIFS($BX$5:$BX21,$BX21,$AN$5:$AN21,"Y")=1),"Y","N")</f>
        <v>Y</v>
      </c>
      <c r="AR21" s="16">
        <v>1.36</v>
      </c>
      <c r="AV21" s="13" t="str">
        <f t="shared" si="15"/>
        <v>Y</v>
      </c>
      <c r="AW21" s="13" t="str">
        <f t="shared" si="16"/>
        <v>Y</v>
      </c>
      <c r="AX21" s="16">
        <f t="shared" si="17"/>
        <v>1.36</v>
      </c>
      <c r="AY21" s="18">
        <f t="shared" si="18"/>
        <v>1.36</v>
      </c>
      <c r="AZ21" s="13" t="str">
        <f>IF(AND(AW21="Y",COUNTIFS($BX$5:$BX21,$BX21,$AW$5:$AW21,"Y")=1),"Y","N")</f>
        <v>Y</v>
      </c>
      <c r="BA21" s="16">
        <v>3.14</v>
      </c>
      <c r="BE21" s="13" t="str">
        <f t="shared" si="19"/>
        <v>Y</v>
      </c>
      <c r="BF21" s="13" t="str">
        <f t="shared" si="20"/>
        <v>Y</v>
      </c>
      <c r="BG21" s="16">
        <f t="shared" si="21"/>
        <v>3.14</v>
      </c>
      <c r="BH21" s="18">
        <f t="shared" si="22"/>
        <v>3.14</v>
      </c>
      <c r="BI21" s="13" t="str">
        <f>IF(AND(BF21="Y",COUNTIFS($BX$5:$BX21,$BX21,$BF$5:$BF21,"Y")=1),"Y","N")</f>
        <v>Y</v>
      </c>
      <c r="BJ21" s="18">
        <v>0.41</v>
      </c>
      <c r="BN21" s="13" t="str">
        <f t="shared" si="23"/>
        <v>Y</v>
      </c>
      <c r="BO21" s="13" t="str">
        <f t="shared" si="24"/>
        <v>Y</v>
      </c>
      <c r="BP21" s="18">
        <f t="shared" si="25"/>
        <v>0.41</v>
      </c>
      <c r="BQ21" s="18">
        <f t="shared" si="26"/>
        <v>0.41</v>
      </c>
      <c r="BR21" s="13" t="str">
        <f>IF(AND(BO21="Y",COUNTIFS($BX$5:$BX21,$BX21,$BO$5:$BO21,"Y")=1),"Y","N")</f>
        <v>Y</v>
      </c>
      <c r="BS21" s="19">
        <v>7.9</v>
      </c>
      <c r="BT21" s="13" t="s">
        <v>378</v>
      </c>
      <c r="BU21" s="13" t="s">
        <v>379</v>
      </c>
      <c r="BV21" s="13" t="s">
        <v>103</v>
      </c>
      <c r="BW21" s="13" t="s">
        <v>380</v>
      </c>
      <c r="BX21" s="17">
        <f t="shared" si="27"/>
        <v>46274</v>
      </c>
      <c r="BY21" s="17">
        <f t="shared" si="30"/>
        <v>46277</v>
      </c>
      <c r="BZ21" s="17">
        <f t="shared" si="30"/>
        <v>46279</v>
      </c>
    </row>
    <row r="22" spans="1:78" x14ac:dyDescent="0.2">
      <c r="A22" s="13" t="s">
        <v>381</v>
      </c>
      <c r="B22" s="13" t="s">
        <v>382</v>
      </c>
      <c r="C22" s="13" t="s">
        <v>375</v>
      </c>
      <c r="D22" s="13" t="s">
        <v>269</v>
      </c>
      <c r="E22" s="13" t="s">
        <v>270</v>
      </c>
      <c r="F22" s="13" t="s">
        <v>271</v>
      </c>
      <c r="G22" s="13" t="str">
        <f t="shared" si="0"/>
        <v>Y</v>
      </c>
      <c r="H22" s="17">
        <v>24</v>
      </c>
      <c r="I22" s="13" t="str">
        <f>IF(H22="","Y",IF(H22&gt;=Parameters!$B$25,"Y","N"))</f>
        <v>Y</v>
      </c>
      <c r="J22" s="13" t="str">
        <f>IF(AND(BX22&gt;=Parameters!$B$28,BX22&lt;=Parameters!$B$29),"Y","N")</f>
        <v>Y</v>
      </c>
      <c r="K22" s="13" t="s">
        <v>383</v>
      </c>
      <c r="L22" s="13" t="s">
        <v>384</v>
      </c>
      <c r="M22" s="17">
        <f t="shared" si="1"/>
        <v>7</v>
      </c>
      <c r="N22" s="17">
        <f t="shared" si="2"/>
        <v>6</v>
      </c>
      <c r="O22" s="13" t="str">
        <f>IF(K22="","Y",IF(BY22&lt;=EDATE(BX22,Parameters!$B$23),"Y","N"))</f>
        <v>Y</v>
      </c>
      <c r="P22" s="13" t="str">
        <f>IF(N22="","Y",IF(N22&lt;=Parameters!$B$24,"Y","N"))</f>
        <v>Y</v>
      </c>
      <c r="Q22" s="18">
        <v>0.005</v>
      </c>
      <c r="R22" s="13" t="s">
        <v>282</v>
      </c>
      <c r="U22" s="13" t="str">
        <f t="shared" si="3"/>
        <v>Y</v>
      </c>
      <c r="V22" s="13" t="str">
        <f t="shared" si="4"/>
        <v>Y</v>
      </c>
      <c r="W22" s="18">
        <f t="shared" si="5"/>
        <v>0</v>
      </c>
      <c r="X22" s="18">
        <f t="shared" si="6"/>
        <v>0</v>
      </c>
      <c r="Y22" s="13" t="str">
        <f>IF(AND(V22="Y",COUNTIFS($BX$5:$BX22,$BX22,$V$5:$V22,"Y")=1),"Y","N")</f>
        <v>Y</v>
      </c>
      <c r="Z22" s="16">
        <v>0.58</v>
      </c>
      <c r="AD22" s="13" t="str">
        <f t="shared" si="7"/>
        <v>Y</v>
      </c>
      <c r="AE22" s="13" t="str">
        <f t="shared" si="8"/>
        <v>Y</v>
      </c>
      <c r="AF22" s="16">
        <f t="shared" si="9"/>
        <v>0.58</v>
      </c>
      <c r="AG22" s="18">
        <f t="shared" si="10"/>
        <v>0.58</v>
      </c>
      <c r="AH22" s="13" t="str">
        <f>IF(AND(AE22="Y",COUNTIFS($BX$5:$BX22,$BX22,$AE$5:$AE22,"Y")=1),"Y","N")</f>
        <v>Y</v>
      </c>
      <c r="AI22" s="16">
        <v>1.68</v>
      </c>
      <c r="AM22" s="13" t="str">
        <f t="shared" si="11"/>
        <v>Y</v>
      </c>
      <c r="AN22" s="13" t="str">
        <f t="shared" si="12"/>
        <v>Y</v>
      </c>
      <c r="AO22" s="16">
        <f t="shared" si="13"/>
        <v>1.68</v>
      </c>
      <c r="AP22" s="18">
        <f t="shared" si="14"/>
        <v>1.68</v>
      </c>
      <c r="AQ22" s="13" t="str">
        <f>IF(AND(AN22="Y",COUNTIFS($BX$5:$BX22,$BX22,$AN$5:$AN22,"Y")=1),"Y","N")</f>
        <v>Y</v>
      </c>
      <c r="AR22" s="16">
        <v>0.98</v>
      </c>
      <c r="AV22" s="13" t="str">
        <f t="shared" si="15"/>
        <v>Y</v>
      </c>
      <c r="AW22" s="13" t="str">
        <f t="shared" si="16"/>
        <v>Y</v>
      </c>
      <c r="AX22" s="16">
        <f t="shared" si="17"/>
        <v>0.98</v>
      </c>
      <c r="AY22" s="18">
        <f t="shared" si="18"/>
        <v>0.98</v>
      </c>
      <c r="AZ22" s="13" t="str">
        <f>IF(AND(AW22="Y",COUNTIFS($BX$5:$BX22,$BX22,$AW$5:$AW22,"Y")=1),"Y","N")</f>
        <v>Y</v>
      </c>
      <c r="BA22" s="16">
        <v>0.94</v>
      </c>
      <c r="BE22" s="13" t="str">
        <f t="shared" si="19"/>
        <v>Y</v>
      </c>
      <c r="BF22" s="13" t="str">
        <f t="shared" si="20"/>
        <v>Y</v>
      </c>
      <c r="BG22" s="16">
        <f t="shared" si="21"/>
        <v>0.94</v>
      </c>
      <c r="BH22" s="18">
        <f t="shared" si="22"/>
        <v>0.94</v>
      </c>
      <c r="BI22" s="13" t="str">
        <f>IF(AND(BF22="Y",COUNTIFS($BX$5:$BX22,$BX22,$BF$5:$BF22,"Y")=1),"Y","N")</f>
        <v>Y</v>
      </c>
      <c r="BJ22" s="18">
        <v>0.24</v>
      </c>
      <c r="BN22" s="13" t="str">
        <f t="shared" si="23"/>
        <v>Y</v>
      </c>
      <c r="BO22" s="13" t="str">
        <f t="shared" si="24"/>
        <v>Y</v>
      </c>
      <c r="BP22" s="18">
        <f t="shared" si="25"/>
        <v>0.24</v>
      </c>
      <c r="BQ22" s="18">
        <f t="shared" si="26"/>
        <v>0.24</v>
      </c>
      <c r="BR22" s="13" t="str">
        <f>IF(AND(BO22="Y",COUNTIFS($BX$5:$BX22,$BX22,$BO$5:$BO22,"Y")=1),"Y","N")</f>
        <v>Y</v>
      </c>
      <c r="BS22" s="19">
        <v>7.3</v>
      </c>
      <c r="BT22" s="13" t="s">
        <v>385</v>
      </c>
      <c r="BU22" s="13" t="s">
        <v>386</v>
      </c>
      <c r="BV22" s="13" t="s">
        <v>382</v>
      </c>
      <c r="BX22" s="17">
        <f t="shared" si="27"/>
        <v>46287</v>
      </c>
      <c r="BY22" s="17">
        <f t="shared" si="30"/>
        <v>46294</v>
      </c>
      <c r="BZ22" s="17">
        <f t="shared" si="30"/>
        <v>46293</v>
      </c>
    </row>
    <row r="23" spans="1:78" x14ac:dyDescent="0.2">
      <c r="A23" s="13" t="s">
        <v>387</v>
      </c>
      <c r="B23" s="13" t="s">
        <v>388</v>
      </c>
      <c r="C23" s="13" t="s">
        <v>375</v>
      </c>
      <c r="D23" s="13" t="s">
        <v>389</v>
      </c>
      <c r="E23" s="13" t="s">
        <v>270</v>
      </c>
      <c r="F23" s="13" t="s">
        <v>271</v>
      </c>
      <c r="G23" s="13" t="str">
        <f t="shared" si="0"/>
        <v>Y</v>
      </c>
      <c r="H23" s="17">
        <v>25</v>
      </c>
      <c r="I23" s="13" t="str">
        <f>IF(H23="","Y",IF(H23&gt;=Parameters!$B$25,"Y","N"))</f>
        <v>Y</v>
      </c>
      <c r="J23" s="13" t="str">
        <f>IF(AND(BX23&gt;=Parameters!$B$28,BX23&lt;=Parameters!$B$29),"Y","N")</f>
        <v>Y</v>
      </c>
      <c r="K23" s="13" t="s">
        <v>390</v>
      </c>
      <c r="L23" s="13" t="s">
        <v>364</v>
      </c>
      <c r="M23" s="17">
        <f t="shared" si="1"/>
        <v>3</v>
      </c>
      <c r="N23" s="17" t="str">
        <f t="shared" si="2"/>
        <v/>
      </c>
      <c r="O23" s="13" t="str">
        <f>IF(K23="","Y",IF(BY23&lt;=EDATE(BX23,Parameters!$B$23),"Y","N"))</f>
        <v>Y</v>
      </c>
      <c r="P23" s="13" t="str">
        <f>IF(N23="","Y",IF(N23&lt;=Parameters!$B$24,"Y","N"))</f>
        <v>Y</v>
      </c>
      <c r="Q23" s="18">
        <v>0.005</v>
      </c>
      <c r="R23" s="13" t="s">
        <v>282</v>
      </c>
      <c r="U23" s="13" t="str">
        <f t="shared" si="3"/>
        <v>Y</v>
      </c>
      <c r="V23" s="13" t="str">
        <f t="shared" si="4"/>
        <v>Y</v>
      </c>
      <c r="W23" s="18">
        <f t="shared" si="5"/>
        <v>0</v>
      </c>
      <c r="X23" s="18">
        <f t="shared" si="6"/>
        <v>0</v>
      </c>
      <c r="Y23" s="13" t="str">
        <f>IF(AND(V23="Y",COUNTIFS($BX$5:$BX23,$BX23,$V$5:$V23,"Y")=1),"Y","N")</f>
        <v>Y</v>
      </c>
      <c r="Z23" s="16">
        <v>0.49</v>
      </c>
      <c r="AD23" s="13" t="str">
        <f t="shared" si="7"/>
        <v>Y</v>
      </c>
      <c r="AE23" s="13" t="str">
        <f t="shared" si="8"/>
        <v>Y</v>
      </c>
      <c r="AF23" s="16">
        <f t="shared" si="9"/>
        <v>0.49</v>
      </c>
      <c r="AG23" s="18">
        <f t="shared" si="10"/>
        <v>0.49</v>
      </c>
      <c r="AH23" s="13" t="str">
        <f>IF(AND(AE23="Y",COUNTIFS($BX$5:$BX23,$BX23,$AE$5:$AE23,"Y")=1),"Y","N")</f>
        <v>Y</v>
      </c>
      <c r="AI23" s="16">
        <v>1.52</v>
      </c>
      <c r="AM23" s="13" t="str">
        <f t="shared" si="11"/>
        <v>Y</v>
      </c>
      <c r="AN23" s="13" t="str">
        <f t="shared" si="12"/>
        <v>Y</v>
      </c>
      <c r="AO23" s="16">
        <f t="shared" si="13"/>
        <v>1.52</v>
      </c>
      <c r="AP23" s="18">
        <f t="shared" si="14"/>
        <v>1.52</v>
      </c>
      <c r="AQ23" s="13" t="str">
        <f>IF(AND(AN23="Y",COUNTIFS($BX$5:$BX23,$BX23,$AN$5:$AN23,"Y")=1),"Y","N")</f>
        <v>Y</v>
      </c>
      <c r="AR23" s="16">
        <v>1.11</v>
      </c>
      <c r="AV23" s="13" t="str">
        <f t="shared" si="15"/>
        <v>Y</v>
      </c>
      <c r="AW23" s="13" t="str">
        <f t="shared" si="16"/>
        <v>Y</v>
      </c>
      <c r="AX23" s="16">
        <f t="shared" si="17"/>
        <v>1.11</v>
      </c>
      <c r="AY23" s="18">
        <f t="shared" si="18"/>
        <v>1.11</v>
      </c>
      <c r="AZ23" s="13" t="str">
        <f>IF(AND(AW23="Y",COUNTIFS($BX$5:$BX23,$BX23,$AW$5:$AW23,"Y")=1),"Y","N")</f>
        <v>Y</v>
      </c>
      <c r="BA23" s="16">
        <v>0.88</v>
      </c>
      <c r="BE23" s="13" t="str">
        <f t="shared" si="19"/>
        <v>Y</v>
      </c>
      <c r="BF23" s="13" t="str">
        <f t="shared" si="20"/>
        <v>Y</v>
      </c>
      <c r="BG23" s="16">
        <f t="shared" si="21"/>
        <v>0.88</v>
      </c>
      <c r="BH23" s="18">
        <f t="shared" si="22"/>
        <v>0.88</v>
      </c>
      <c r="BI23" s="13" t="str">
        <f>IF(AND(BF23="Y",COUNTIFS($BX$5:$BX23,$BX23,$BF$5:$BF23,"Y")=1),"Y","N")</f>
        <v>Y</v>
      </c>
      <c r="BK23" s="13" t="s">
        <v>314</v>
      </c>
      <c r="BN23" s="13" t="str">
        <f t="shared" si="23"/>
        <v>N</v>
      </c>
      <c r="BO23" s="13" t="str">
        <f t="shared" si="24"/>
        <v>N</v>
      </c>
      <c r="BP23" s="18" t="str">
        <f t="shared" si="25"/>
        <v/>
      </c>
      <c r="BQ23" s="18" t="str">
        <f t="shared" si="26"/>
        <v/>
      </c>
      <c r="BR23" s="13" t="str">
        <f>IF(AND(BO23="Y",COUNTIFS($BX$5:$BX23,$BX23,$BO$5:$BO23,"Y")=1),"Y","N")</f>
        <v>N</v>
      </c>
      <c r="BS23" s="19">
        <v>7.4</v>
      </c>
      <c r="BT23" s="13" t="s">
        <v>391</v>
      </c>
      <c r="BU23" s="13" t="s">
        <v>386</v>
      </c>
      <c r="BV23" s="13" t="s">
        <v>388</v>
      </c>
      <c r="BW23" s="13" t="s">
        <v>392</v>
      </c>
      <c r="BX23" s="17">
        <f t="shared" si="27"/>
        <v>46288</v>
      </c>
      <c r="BY23" s="17">
        <f>DATE(VALUE(RIGHT(K23,4)),VALUE(LEFT(K23,2)),VALUE(MID(K23,4,2)))</f>
        <v>46291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2"/>
  <sheetViews>
    <sheetView workbookViewId="0">
      <pane xSplit="2" ySplit="4" topLeftCell="C5" activePane="bottomRight" state="frozen"/>
      <selection pane="topRight"/>
      <selection pane="bottomLeft"/>
      <selection pane="bottomRight"/>
    </sheetView>
  </sheetViews>
  <sheetFormatPr baseColWidth="10" defaultColWidth="8.83203125" defaultRowHeight="15" x14ac:dyDescent="0.2"/>
  <cols>
    <col min="1" max="1" width="7" customWidth="1"/>
    <col min="2" max="2" width="18" customWidth="1"/>
    <col min="3" max="4" width="14" customWidth="1"/>
    <col min="5" max="6" width="10" customWidth="1"/>
    <col min="7" max="8" width="12" customWidth="1"/>
    <col min="9" max="10" width="18" customWidth="1"/>
    <col min="11" max="12" width="16" customWidth="1"/>
  </cols>
  <sheetData>
    <row r="1" spans="1:12" ht="16" customHeight="1" x14ac:dyDescent="0.2">
      <c r="A1" s="12" t="s">
        <v>393</v>
      </c>
    </row>
    <row r="2" spans="1:12" x14ac:dyDescent="0.2">
      <c r="A2" s="13" t="s">
        <v>394</v>
      </c>
    </row>
    <row r="4" spans="1:12" x14ac:dyDescent="0.2">
      <c r="A4" s="15" t="s">
        <v>190</v>
      </c>
      <c r="B4" s="15" t="s">
        <v>5</v>
      </c>
      <c r="C4" s="15" t="s">
        <v>395</v>
      </c>
      <c r="D4" s="15" t="s">
        <v>396</v>
      </c>
      <c r="E4" s="15" t="s">
        <v>8</v>
      </c>
      <c r="F4" s="15" t="s">
        <v>9</v>
      </c>
      <c r="G4" s="15" t="s">
        <v>397</v>
      </c>
      <c r="H4" s="15" t="s">
        <v>398</v>
      </c>
      <c r="I4" s="15" t="s">
        <v>399</v>
      </c>
      <c r="J4" s="15" t="s">
        <v>400</v>
      </c>
      <c r="K4" s="15" t="s">
        <v>401</v>
      </c>
      <c r="L4" s="15" t="s">
        <v>402</v>
      </c>
    </row>
    <row r="5" spans="1:12" x14ac:dyDescent="0.2">
      <c r="A5" s="13" t="s">
        <v>335</v>
      </c>
      <c r="B5" s="13" t="s">
        <v>15</v>
      </c>
      <c r="C5" s="16">
        <f>Parameters!$B$4</f>
        <v>0.11</v>
      </c>
      <c r="D5" s="16">
        <f>Parameters!$C$4</f>
        <v>0.07</v>
      </c>
      <c r="E5" s="17">
        <f>COUNTIFS('Lab Data'!$C$5:$C$23,"Jul",'Lab Data'!$U$5:$U$23,"Y")</f>
        <v>1</v>
      </c>
      <c r="F5" s="17">
        <f>Parameters!$B$15</f>
        <v>2</v>
      </c>
      <c r="G5" s="18">
        <f>IF(E5=0,"none",ROUND(AVERAGEIFS('Lab Data'!$W$5:$W$23,'Lab Data'!$C$5:$C$23,"Jul",'Lab Data'!$U$5:$U$23,"Y"),3))</f>
        <v>0</v>
      </c>
      <c r="H5" s="18">
        <f>IF(E5=0,"none",_xlfn.MAXIFS('Lab Data'!$W$5:$W$23,'Lab Data'!$C$5:$C$23,"Jul",'Lab Data'!$U$5:$U$23,"Y"))</f>
        <v>0</v>
      </c>
      <c r="I5" s="13" t="str">
        <f t="shared" ref="I5:I22" si="0">IF(E5=0,"No valid sample",IF(G5&lt;=D5,"Met","Exceeded"))</f>
        <v>Met</v>
      </c>
      <c r="J5" s="13" t="str">
        <f t="shared" ref="J5:J22" si="1">IF(E5=0,"No valid sample",IF(H5&lt;=C5,"Met","Exceeded"))</f>
        <v>Met</v>
      </c>
      <c r="K5" s="13" t="str">
        <f>IF(AND(E5&gt;=F5,L5&gt;=Parameters!$B$30),"Met","Below frequency")</f>
        <v>Below frequency</v>
      </c>
      <c r="L5" s="17">
        <f>IF(E5=0,0,_xlfn.MAXIFS('Lab Data'!$BX$5:$BX$23,'Lab Data'!$C$5:$C$23,"Jul",'Lab Data'!$U$5:$U$23,"Y")-_xlfn.MINIFS('Lab Data'!$BX$5:$BX$23,'Lab Data'!$C$5:$C$23,"Jul",'Lab Data'!$U$5:$U$23,"Y"))</f>
        <v>0</v>
      </c>
    </row>
    <row r="6" spans="1:12" x14ac:dyDescent="0.2">
      <c r="A6" s="13" t="s">
        <v>335</v>
      </c>
      <c r="B6" s="13" t="s">
        <v>16</v>
      </c>
      <c r="C6" s="16">
        <f>Parameters!$B$5</f>
        <v>2.77</v>
      </c>
      <c r="D6" s="16">
        <f>Parameters!$C$5</f>
        <v>1.71</v>
      </c>
      <c r="E6" s="17">
        <f>COUNTIFS('Lab Data'!$C$5:$C$23,"Jul",'Lab Data'!$AD$5:$AD$23,"Y")</f>
        <v>1</v>
      </c>
      <c r="F6" s="17">
        <f>Parameters!$B$15</f>
        <v>2</v>
      </c>
      <c r="G6" s="18">
        <f>IF(E6=0,"none",ROUND(AVERAGEIFS('Lab Data'!$AF$5:$AF$23,'Lab Data'!$C$5:$C$23,"Jul",'Lab Data'!$AD$5:$AD$23,"Y"),3))</f>
        <v>1.21</v>
      </c>
      <c r="H6" s="18">
        <f>IF(E6=0,"none",_xlfn.MAXIFS('Lab Data'!$AF$5:$AF$23,'Lab Data'!$C$5:$C$23,"Jul",'Lab Data'!$AD$5:$AD$23,"Y"))</f>
        <v>1.21</v>
      </c>
      <c r="I6" s="13" t="str">
        <f t="shared" si="0"/>
        <v>Met</v>
      </c>
      <c r="J6" s="13" t="str">
        <f t="shared" si="1"/>
        <v>Met</v>
      </c>
      <c r="K6" s="13" t="str">
        <f>IF(AND(E6&gt;=F6,L6&gt;=Parameters!$B$30),"Met","Below frequency")</f>
        <v>Below frequency</v>
      </c>
      <c r="L6" s="17">
        <f>IF(E6=0,0,_xlfn.MAXIFS('Lab Data'!$BX$5:$BX$23,'Lab Data'!$C$5:$C$23,"Jul",'Lab Data'!$AD$5:$AD$23,"Y")-_xlfn.MINIFS('Lab Data'!$BX$5:$BX$23,'Lab Data'!$C$5:$C$23,"Jul",'Lab Data'!$AD$5:$AD$23,"Y"))</f>
        <v>0</v>
      </c>
    </row>
    <row r="7" spans="1:12" x14ac:dyDescent="0.2">
      <c r="A7" s="13" t="s">
        <v>335</v>
      </c>
      <c r="B7" s="13" t="s">
        <v>17</v>
      </c>
      <c r="C7" s="16">
        <f>Parameters!$B$6</f>
        <v>3.38</v>
      </c>
      <c r="D7" s="16">
        <f>Parameters!$C$6</f>
        <v>2.07</v>
      </c>
      <c r="E7" s="17">
        <f>COUNTIFS('Lab Data'!$C$5:$C$23,"Jul",'Lab Data'!$AM$5:$AM$23,"Y")</f>
        <v>1</v>
      </c>
      <c r="F7" s="17">
        <f>Parameters!$B$15</f>
        <v>2</v>
      </c>
      <c r="G7" s="18">
        <f>IF(E7=0,"none",ROUND(AVERAGEIFS('Lab Data'!$AO$5:$AO$23,'Lab Data'!$C$5:$C$23,"Jul",'Lab Data'!$AM$5:$AM$23,"Y"),3))</f>
        <v>4.09</v>
      </c>
      <c r="H7" s="18">
        <f>IF(E7=0,"none",_xlfn.MAXIFS('Lab Data'!$AO$5:$AO$23,'Lab Data'!$C$5:$C$23,"Jul",'Lab Data'!$AM$5:$AM$23,"Y"))</f>
        <v>4.09</v>
      </c>
      <c r="I7" s="13" t="str">
        <f t="shared" si="0"/>
        <v>Exceeded</v>
      </c>
      <c r="J7" s="13" t="str">
        <f t="shared" si="1"/>
        <v>Exceeded</v>
      </c>
      <c r="K7" s="13" t="str">
        <f>IF(AND(E7&gt;=F7,L7&gt;=Parameters!$B$30),"Met","Below frequency")</f>
        <v>Below frequency</v>
      </c>
      <c r="L7" s="17">
        <f>IF(E7=0,0,_xlfn.MAXIFS('Lab Data'!$BX$5:$BX$23,'Lab Data'!$C$5:$C$23,"Jul",'Lab Data'!$AM$5:$AM$23,"Y")-_xlfn.MINIFS('Lab Data'!$BX$5:$BX$23,'Lab Data'!$C$5:$C$23,"Jul",'Lab Data'!$AM$5:$AM$23,"Y"))</f>
        <v>0</v>
      </c>
    </row>
    <row r="8" spans="1:12" x14ac:dyDescent="0.2">
      <c r="A8" s="13" t="s">
        <v>335</v>
      </c>
      <c r="B8" s="13" t="s">
        <v>18</v>
      </c>
      <c r="C8" s="16">
        <f>Parameters!$B$7</f>
        <v>3.98</v>
      </c>
      <c r="D8" s="16">
        <f>Parameters!$C$7</f>
        <v>2.38</v>
      </c>
      <c r="E8" s="17">
        <f>COUNTIFS('Lab Data'!$C$5:$C$23,"Jul",'Lab Data'!$AV$5:$AV$23,"Y")</f>
        <v>1</v>
      </c>
      <c r="F8" s="17">
        <f>Parameters!$B$15</f>
        <v>2</v>
      </c>
      <c r="G8" s="18">
        <f>IF(E8=0,"none",ROUND(AVERAGEIFS('Lab Data'!$AX$5:$AX$23,'Lab Data'!$C$5:$C$23,"Jul",'Lab Data'!$AV$5:$AV$23,"Y"),3))</f>
        <v>1.57</v>
      </c>
      <c r="H8" s="18">
        <f>IF(E8=0,"none",_xlfn.MAXIFS('Lab Data'!$AX$5:$AX$23,'Lab Data'!$C$5:$C$23,"Jul",'Lab Data'!$AV$5:$AV$23,"Y"))</f>
        <v>1.57</v>
      </c>
      <c r="I8" s="13" t="str">
        <f t="shared" si="0"/>
        <v>Met</v>
      </c>
      <c r="J8" s="13" t="str">
        <f t="shared" si="1"/>
        <v>Met</v>
      </c>
      <c r="K8" s="13" t="str">
        <f>IF(AND(E8&gt;=F8,L8&gt;=Parameters!$B$30),"Met","Below frequency")</f>
        <v>Below frequency</v>
      </c>
      <c r="L8" s="17">
        <f>IF(E8=0,0,_xlfn.MAXIFS('Lab Data'!$BX$5:$BX$23,'Lab Data'!$C$5:$C$23,"Jul",'Lab Data'!$AV$5:$AV$23,"Y")-_xlfn.MINIFS('Lab Data'!$BX$5:$BX$23,'Lab Data'!$C$5:$C$23,"Jul",'Lab Data'!$AV$5:$AV$23,"Y"))</f>
        <v>0</v>
      </c>
    </row>
    <row r="9" spans="1:12" x14ac:dyDescent="0.2">
      <c r="A9" s="13" t="s">
        <v>335</v>
      </c>
      <c r="B9" s="13" t="s">
        <v>19</v>
      </c>
      <c r="C9" s="16">
        <f>Parameters!$B$8</f>
        <v>2.61</v>
      </c>
      <c r="D9" s="16">
        <f>Parameters!$C$8</f>
        <v>1.48</v>
      </c>
      <c r="E9" s="17">
        <f>COUNTIFS('Lab Data'!$C$5:$C$23,"Jul",'Lab Data'!$BE$5:$BE$23,"Y")</f>
        <v>0</v>
      </c>
      <c r="F9" s="17">
        <f>Parameters!$B$15</f>
        <v>2</v>
      </c>
      <c r="G9" s="18" t="str">
        <f>IF(E9=0,"none",ROUND(AVERAGEIFS('Lab Data'!$BG$5:$BG$23,'Lab Data'!$C$5:$C$23,"Jul",'Lab Data'!$BE$5:$BE$23,"Y"),3))</f>
        <v>none</v>
      </c>
      <c r="H9" s="18" t="str">
        <f>IF(E9=0,"none",_xlfn.MAXIFS('Lab Data'!$BG$5:$BG$23,'Lab Data'!$C$5:$C$23,"Jul",'Lab Data'!$BE$5:$BE$23,"Y"))</f>
        <v>none</v>
      </c>
      <c r="I9" s="13" t="str">
        <f t="shared" si="0"/>
        <v>No valid sample</v>
      </c>
      <c r="J9" s="13" t="str">
        <f t="shared" si="1"/>
        <v>No valid sample</v>
      </c>
      <c r="K9" s="13" t="str">
        <f>IF(AND(E9&gt;=F9,L9&gt;=Parameters!$B$30),"Met","Below frequency")</f>
        <v>Below frequency</v>
      </c>
      <c r="L9" s="17">
        <f>IF(E9=0,0,_xlfn.MAXIFS('Lab Data'!$BX$5:$BX$23,'Lab Data'!$C$5:$C$23,"Jul",'Lab Data'!$BE$5:$BE$23,"Y")-_xlfn.MINIFS('Lab Data'!$BX$5:$BX$23,'Lab Data'!$C$5:$C$23,"Jul",'Lab Data'!$BE$5:$BE$23,"Y"))</f>
        <v>0</v>
      </c>
    </row>
    <row r="10" spans="1:12" x14ac:dyDescent="0.2">
      <c r="A10" s="13" t="s">
        <v>335</v>
      </c>
      <c r="B10" s="13" t="s">
        <v>20</v>
      </c>
      <c r="C10" s="16">
        <f>Parameters!$B$9</f>
        <v>1.2</v>
      </c>
      <c r="D10" s="16">
        <f>Parameters!$C$9</f>
        <v>0.65</v>
      </c>
      <c r="E10" s="17">
        <f>COUNTIFS('Lab Data'!$C$5:$C$23,"Jul",'Lab Data'!$BN$5:$BN$23,"Y")</f>
        <v>2</v>
      </c>
      <c r="F10" s="17">
        <f>Parameters!$B$15</f>
        <v>2</v>
      </c>
      <c r="G10" s="18">
        <f>IF(E10=0,"none",ROUND(AVERAGEIFS('Lab Data'!$BP$5:$BP$23,'Lab Data'!$C$5:$C$23,"Jul",'Lab Data'!$BN$5:$BN$23,"Y"),3))</f>
        <v>0.31</v>
      </c>
      <c r="H10" s="18">
        <f>IF(E10=0,"none",_xlfn.MAXIFS('Lab Data'!$BP$5:$BP$23,'Lab Data'!$C$5:$C$23,"Jul",'Lab Data'!$BN$5:$BN$23,"Y"))</f>
        <v>0.35</v>
      </c>
      <c r="I10" s="13" t="str">
        <f t="shared" si="0"/>
        <v>Met</v>
      </c>
      <c r="J10" s="13" t="str">
        <f t="shared" si="1"/>
        <v>Met</v>
      </c>
      <c r="K10" s="13" t="str">
        <f>IF(AND(E10&gt;=F10,L10&gt;=Parameters!$B$30),"Met","Below frequency")</f>
        <v>Met</v>
      </c>
      <c r="L10" s="17">
        <f>IF(E10=0,0,_xlfn.MAXIFS('Lab Data'!$BX$5:$BX$23,'Lab Data'!$C$5:$C$23,"Jul",'Lab Data'!$BN$5:$BN$23,"Y")-_xlfn.MINIFS('Lab Data'!$BX$5:$BX$23,'Lab Data'!$C$5:$C$23,"Jul",'Lab Data'!$BN$5:$BN$23,"Y"))</f>
        <v>14</v>
      </c>
    </row>
    <row r="11" spans="1:12" x14ac:dyDescent="0.2">
      <c r="A11" s="13" t="s">
        <v>348</v>
      </c>
      <c r="B11" s="13" t="s">
        <v>15</v>
      </c>
      <c r="C11" s="16">
        <f>Parameters!$B$4</f>
        <v>0.11</v>
      </c>
      <c r="D11" s="16">
        <f>Parameters!$C$4</f>
        <v>0.07</v>
      </c>
      <c r="E11" s="17">
        <f>COUNTIFS('Lab Data'!$C$5:$C$23,"Aug",'Lab Data'!$U$5:$U$23,"Y")</f>
        <v>3</v>
      </c>
      <c r="F11" s="17">
        <f>Parameters!$B$15</f>
        <v>2</v>
      </c>
      <c r="G11" s="18">
        <f>IF(E11=0,"none",ROUND(AVERAGEIFS('Lab Data'!$W$5:$W$23,'Lab Data'!$C$5:$C$23,"Aug",'Lab Data'!$U$5:$U$23,"Y"),3))</f>
        <v>0.005</v>
      </c>
      <c r="H11" s="18">
        <f>IF(E11=0,"none",_xlfn.MAXIFS('Lab Data'!$W$5:$W$23,'Lab Data'!$C$5:$C$23,"Aug",'Lab Data'!$U$5:$U$23,"Y"))</f>
        <v>0.014</v>
      </c>
      <c r="I11" s="13" t="str">
        <f t="shared" si="0"/>
        <v>Met</v>
      </c>
      <c r="J11" s="13" t="str">
        <f t="shared" si="1"/>
        <v>Met</v>
      </c>
      <c r="K11" s="13" t="str">
        <f>IF(AND(E11&gt;=F11,L11&gt;=Parameters!$B$30),"Met","Below frequency")</f>
        <v>Met</v>
      </c>
      <c r="L11" s="17">
        <f>IF(E11=0,0,_xlfn.MAXIFS('Lab Data'!$BX$5:$BX$23,'Lab Data'!$C$5:$C$23,"Aug",'Lab Data'!$U$5:$U$23,"Y")-_xlfn.MINIFS('Lab Data'!$BX$5:$BX$23,'Lab Data'!$C$5:$C$23,"Aug",'Lab Data'!$U$5:$U$23,"Y"))</f>
        <v>14</v>
      </c>
    </row>
    <row r="12" spans="1:12" x14ac:dyDescent="0.2">
      <c r="A12" s="13" t="s">
        <v>348</v>
      </c>
      <c r="B12" s="13" t="s">
        <v>16</v>
      </c>
      <c r="C12" s="16">
        <f>Parameters!$B$5</f>
        <v>2.77</v>
      </c>
      <c r="D12" s="16">
        <f>Parameters!$C$5</f>
        <v>1.71</v>
      </c>
      <c r="E12" s="17">
        <f>COUNTIFS('Lab Data'!$C$5:$C$23,"Aug",'Lab Data'!$AD$5:$AD$23,"Y")</f>
        <v>3</v>
      </c>
      <c r="F12" s="17">
        <f>Parameters!$B$15</f>
        <v>2</v>
      </c>
      <c r="G12" s="18">
        <f>IF(E12=0,"none",ROUND(AVERAGEIFS('Lab Data'!$AF$5:$AF$23,'Lab Data'!$C$5:$C$23,"Aug",'Lab Data'!$AD$5:$AD$23,"Y"),3))</f>
        <v>0.697</v>
      </c>
      <c r="H12" s="18">
        <f>IF(E12=0,"none",_xlfn.MAXIFS('Lab Data'!$AF$5:$AF$23,'Lab Data'!$C$5:$C$23,"Aug",'Lab Data'!$AD$5:$AD$23,"Y"))</f>
        <v>0.74</v>
      </c>
      <c r="I12" s="13" t="str">
        <f t="shared" si="0"/>
        <v>Met</v>
      </c>
      <c r="J12" s="13" t="str">
        <f t="shared" si="1"/>
        <v>Met</v>
      </c>
      <c r="K12" s="13" t="str">
        <f>IF(AND(E12&gt;=F12,L12&gt;=Parameters!$B$30),"Met","Below frequency")</f>
        <v>Met</v>
      </c>
      <c r="L12" s="17">
        <f>IF(E12=0,0,_xlfn.MAXIFS('Lab Data'!$BX$5:$BX$23,'Lab Data'!$C$5:$C$23,"Aug",'Lab Data'!$AD$5:$AD$23,"Y")-_xlfn.MINIFS('Lab Data'!$BX$5:$BX$23,'Lab Data'!$C$5:$C$23,"Aug",'Lab Data'!$AD$5:$AD$23,"Y"))</f>
        <v>14</v>
      </c>
    </row>
    <row r="13" spans="1:12" x14ac:dyDescent="0.2">
      <c r="A13" s="13" t="s">
        <v>348</v>
      </c>
      <c r="B13" s="13" t="s">
        <v>17</v>
      </c>
      <c r="C13" s="16">
        <f>Parameters!$B$6</f>
        <v>3.38</v>
      </c>
      <c r="D13" s="16">
        <f>Parameters!$C$6</f>
        <v>2.07</v>
      </c>
      <c r="E13" s="17">
        <f>COUNTIFS('Lab Data'!$C$5:$C$23,"Aug",'Lab Data'!$AM$5:$AM$23,"Y")</f>
        <v>3</v>
      </c>
      <c r="F13" s="17">
        <f>Parameters!$B$15</f>
        <v>2</v>
      </c>
      <c r="G13" s="18">
        <f>IF(E13=0,"none",ROUND(AVERAGEIFS('Lab Data'!$AO$5:$AO$23,'Lab Data'!$C$5:$C$23,"Aug",'Lab Data'!$AM$5:$AM$23,"Y"),3))</f>
        <v>3.977</v>
      </c>
      <c r="H13" s="18">
        <f>IF(E13=0,"none",_xlfn.MAXIFS('Lab Data'!$AO$5:$AO$23,'Lab Data'!$C$5:$C$23,"Aug",'Lab Data'!$AM$5:$AM$23,"Y"))</f>
        <v>4.33</v>
      </c>
      <c r="I13" s="13" t="str">
        <f t="shared" si="0"/>
        <v>Exceeded</v>
      </c>
      <c r="J13" s="13" t="str">
        <f t="shared" si="1"/>
        <v>Exceeded</v>
      </c>
      <c r="K13" s="13" t="str">
        <f>IF(AND(E13&gt;=F13,L13&gt;=Parameters!$B$30),"Met","Below frequency")</f>
        <v>Met</v>
      </c>
      <c r="L13" s="17">
        <f>IF(E13=0,0,_xlfn.MAXIFS('Lab Data'!$BX$5:$BX$23,'Lab Data'!$C$5:$C$23,"Aug",'Lab Data'!$AM$5:$AM$23,"Y")-_xlfn.MINIFS('Lab Data'!$BX$5:$BX$23,'Lab Data'!$C$5:$C$23,"Aug",'Lab Data'!$AM$5:$AM$23,"Y"))</f>
        <v>14</v>
      </c>
    </row>
    <row r="14" spans="1:12" x14ac:dyDescent="0.2">
      <c r="A14" s="13" t="s">
        <v>348</v>
      </c>
      <c r="B14" s="13" t="s">
        <v>18</v>
      </c>
      <c r="C14" s="16">
        <f>Parameters!$B$7</f>
        <v>3.98</v>
      </c>
      <c r="D14" s="16">
        <f>Parameters!$C$7</f>
        <v>2.38</v>
      </c>
      <c r="E14" s="17">
        <f>COUNTIFS('Lab Data'!$C$5:$C$23,"Aug",'Lab Data'!$AV$5:$AV$23,"Y")</f>
        <v>3</v>
      </c>
      <c r="F14" s="17">
        <f>Parameters!$B$15</f>
        <v>2</v>
      </c>
      <c r="G14" s="18">
        <f>IF(E14=0,"none",ROUND(AVERAGEIFS('Lab Data'!$AX$5:$AX$23,'Lab Data'!$C$5:$C$23,"Aug",'Lab Data'!$AV$5:$AV$23,"Y"),3))</f>
        <v>2.083</v>
      </c>
      <c r="H14" s="18">
        <f>IF(E14=0,"none",_xlfn.MAXIFS('Lab Data'!$AX$5:$AX$23,'Lab Data'!$C$5:$C$23,"Aug",'Lab Data'!$AV$5:$AV$23,"Y"))</f>
        <v>2.61</v>
      </c>
      <c r="I14" s="13" t="str">
        <f t="shared" si="0"/>
        <v>Met</v>
      </c>
      <c r="J14" s="13" t="str">
        <f t="shared" si="1"/>
        <v>Met</v>
      </c>
      <c r="K14" s="13" t="str">
        <f>IF(AND(E14&gt;=F14,L14&gt;=Parameters!$B$30),"Met","Below frequency")</f>
        <v>Met</v>
      </c>
      <c r="L14" s="17">
        <f>IF(E14=0,0,_xlfn.MAXIFS('Lab Data'!$BX$5:$BX$23,'Lab Data'!$C$5:$C$23,"Aug",'Lab Data'!$AV$5:$AV$23,"Y")-_xlfn.MINIFS('Lab Data'!$BX$5:$BX$23,'Lab Data'!$C$5:$C$23,"Aug",'Lab Data'!$AV$5:$AV$23,"Y"))</f>
        <v>14</v>
      </c>
    </row>
    <row r="15" spans="1:12" x14ac:dyDescent="0.2">
      <c r="A15" s="13" t="s">
        <v>348</v>
      </c>
      <c r="B15" s="13" t="s">
        <v>19</v>
      </c>
      <c r="C15" s="16">
        <f>Parameters!$B$8</f>
        <v>2.61</v>
      </c>
      <c r="D15" s="16">
        <f>Parameters!$C$8</f>
        <v>1.48</v>
      </c>
      <c r="E15" s="17">
        <f>COUNTIFS('Lab Data'!$C$5:$C$23,"Aug",'Lab Data'!$BE$5:$BE$23,"Y")</f>
        <v>3</v>
      </c>
      <c r="F15" s="17">
        <f>Parameters!$B$15</f>
        <v>2</v>
      </c>
      <c r="G15" s="18">
        <f>IF(E15=0,"none",ROUND(AVERAGEIFS('Lab Data'!$BG$5:$BG$23,'Lab Data'!$C$5:$C$23,"Aug",'Lab Data'!$BE$5:$BE$23,"Y"),3))</f>
        <v>1.093</v>
      </c>
      <c r="H15" s="18">
        <f>IF(E15=0,"none",_xlfn.MAXIFS('Lab Data'!$BG$5:$BG$23,'Lab Data'!$C$5:$C$23,"Aug",'Lab Data'!$BE$5:$BE$23,"Y"))</f>
        <v>1.21</v>
      </c>
      <c r="I15" s="13" t="str">
        <f t="shared" si="0"/>
        <v>Met</v>
      </c>
      <c r="J15" s="13" t="str">
        <f t="shared" si="1"/>
        <v>Met</v>
      </c>
      <c r="K15" s="13" t="str">
        <f>IF(AND(E15&gt;=F15,L15&gt;=Parameters!$B$30),"Met","Below frequency")</f>
        <v>Met</v>
      </c>
      <c r="L15" s="17">
        <f>IF(E15=0,0,_xlfn.MAXIFS('Lab Data'!$BX$5:$BX$23,'Lab Data'!$C$5:$C$23,"Aug",'Lab Data'!$BE$5:$BE$23,"Y")-_xlfn.MINIFS('Lab Data'!$BX$5:$BX$23,'Lab Data'!$C$5:$C$23,"Aug",'Lab Data'!$BE$5:$BE$23,"Y"))</f>
        <v>14</v>
      </c>
    </row>
    <row r="16" spans="1:12" x14ac:dyDescent="0.2">
      <c r="A16" s="13" t="s">
        <v>348</v>
      </c>
      <c r="B16" s="13" t="s">
        <v>20</v>
      </c>
      <c r="C16" s="16">
        <f>Parameters!$B$9</f>
        <v>1.2</v>
      </c>
      <c r="D16" s="16">
        <f>Parameters!$C$9</f>
        <v>0.65</v>
      </c>
      <c r="E16" s="17">
        <f>COUNTIFS('Lab Data'!$C$5:$C$23,"Aug",'Lab Data'!$BN$5:$BN$23,"Y")</f>
        <v>2</v>
      </c>
      <c r="F16" s="17">
        <f>Parameters!$B$15</f>
        <v>2</v>
      </c>
      <c r="G16" s="18">
        <f>IF(E16=0,"none",ROUND(AVERAGEIFS('Lab Data'!$BP$5:$BP$23,'Lab Data'!$C$5:$C$23,"Aug",'Lab Data'!$BN$5:$BN$23,"Y"),3))</f>
        <v>0.255</v>
      </c>
      <c r="H16" s="18">
        <f>IF(E16=0,"none",_xlfn.MAXIFS('Lab Data'!$BP$5:$BP$23,'Lab Data'!$C$5:$C$23,"Aug",'Lab Data'!$BN$5:$BN$23,"Y"))</f>
        <v>0.29</v>
      </c>
      <c r="I16" s="13" t="str">
        <f t="shared" si="0"/>
        <v>Met</v>
      </c>
      <c r="J16" s="13" t="str">
        <f t="shared" si="1"/>
        <v>Met</v>
      </c>
      <c r="K16" s="13" t="str">
        <f>IF(AND(E16&gt;=F16,L16&gt;=Parameters!$B$30),"Met","Below frequency")</f>
        <v>Below frequency</v>
      </c>
      <c r="L16" s="17">
        <f>IF(E16=0,0,_xlfn.MAXIFS('Lab Data'!$BX$5:$BX$23,'Lab Data'!$C$5:$C$23,"Aug",'Lab Data'!$BN$5:$BN$23,"Y")-_xlfn.MINIFS('Lab Data'!$BX$5:$BX$23,'Lab Data'!$C$5:$C$23,"Aug",'Lab Data'!$BN$5:$BN$23,"Y"))</f>
        <v>6</v>
      </c>
    </row>
    <row r="17" spans="1:12" x14ac:dyDescent="0.2">
      <c r="A17" s="13" t="s">
        <v>375</v>
      </c>
      <c r="B17" s="13" t="s">
        <v>15</v>
      </c>
      <c r="C17" s="16">
        <f>Parameters!$B$4</f>
        <v>0.11</v>
      </c>
      <c r="D17" s="16">
        <f>Parameters!$C$4</f>
        <v>0.07</v>
      </c>
      <c r="E17" s="17">
        <f>COUNTIFS('Lab Data'!$C$5:$C$23,"Sep",'Lab Data'!$U$5:$U$23,"Y")</f>
        <v>3</v>
      </c>
      <c r="F17" s="17">
        <f>Parameters!$B$15</f>
        <v>2</v>
      </c>
      <c r="G17" s="18">
        <f>IF(E17=0,"none",ROUND(AVERAGEIFS('Lab Data'!$W$5:$W$23,'Lab Data'!$C$5:$C$23,"Sep",'Lab Data'!$U$5:$U$23,"Y"),3))</f>
        <v>0.004</v>
      </c>
      <c r="H17" s="18">
        <f>IF(E17=0,"none",_xlfn.MAXIFS('Lab Data'!$W$5:$W$23,'Lab Data'!$C$5:$C$23,"Sep",'Lab Data'!$U$5:$U$23,"Y"))</f>
        <v>0.012</v>
      </c>
      <c r="I17" s="13" t="str">
        <f t="shared" si="0"/>
        <v>Met</v>
      </c>
      <c r="J17" s="13" t="str">
        <f t="shared" si="1"/>
        <v>Met</v>
      </c>
      <c r="K17" s="13" t="str">
        <f>IF(AND(E17&gt;=F17,L17&gt;=Parameters!$B$30),"Met","Below frequency")</f>
        <v>Met</v>
      </c>
      <c r="L17" s="17">
        <f>IF(E17=0,0,_xlfn.MAXIFS('Lab Data'!$BX$5:$BX$23,'Lab Data'!$C$5:$C$23,"Sep",'Lab Data'!$U$5:$U$23,"Y")-_xlfn.MINIFS('Lab Data'!$BX$5:$BX$23,'Lab Data'!$C$5:$C$23,"Sep",'Lab Data'!$U$5:$U$23,"Y"))</f>
        <v>14</v>
      </c>
    </row>
    <row r="18" spans="1:12" x14ac:dyDescent="0.2">
      <c r="A18" s="13" t="s">
        <v>375</v>
      </c>
      <c r="B18" s="13" t="s">
        <v>16</v>
      </c>
      <c r="C18" s="16">
        <f>Parameters!$B$5</f>
        <v>2.77</v>
      </c>
      <c r="D18" s="16">
        <f>Parameters!$C$5</f>
        <v>1.71</v>
      </c>
      <c r="E18" s="17">
        <f>COUNTIFS('Lab Data'!$C$5:$C$23,"Sep",'Lab Data'!$AD$5:$AD$23,"Y")</f>
        <v>3</v>
      </c>
      <c r="F18" s="17">
        <f>Parameters!$B$15</f>
        <v>2</v>
      </c>
      <c r="G18" s="18">
        <f>IF(E18=0,"none",ROUND(AVERAGEIFS('Lab Data'!$AF$5:$AF$23,'Lab Data'!$C$5:$C$23,"Sep",'Lab Data'!$AD$5:$AD$23,"Y"),3))</f>
        <v>0.697</v>
      </c>
      <c r="H18" s="18">
        <f>IF(E18=0,"none",_xlfn.MAXIFS('Lab Data'!$AF$5:$AF$23,'Lab Data'!$C$5:$C$23,"Sep",'Lab Data'!$AD$5:$AD$23,"Y"))</f>
        <v>1.02</v>
      </c>
      <c r="I18" s="13" t="str">
        <f t="shared" si="0"/>
        <v>Met</v>
      </c>
      <c r="J18" s="13" t="str">
        <f t="shared" si="1"/>
        <v>Met</v>
      </c>
      <c r="K18" s="13" t="str">
        <f>IF(AND(E18&gt;=F18,L18&gt;=Parameters!$B$30),"Met","Below frequency")</f>
        <v>Met</v>
      </c>
      <c r="L18" s="17">
        <f>IF(E18=0,0,_xlfn.MAXIFS('Lab Data'!$BX$5:$BX$23,'Lab Data'!$C$5:$C$23,"Sep",'Lab Data'!$AD$5:$AD$23,"Y")-_xlfn.MINIFS('Lab Data'!$BX$5:$BX$23,'Lab Data'!$C$5:$C$23,"Sep",'Lab Data'!$AD$5:$AD$23,"Y"))</f>
        <v>14</v>
      </c>
    </row>
    <row r="19" spans="1:12" x14ac:dyDescent="0.2">
      <c r="A19" s="13" t="s">
        <v>375</v>
      </c>
      <c r="B19" s="13" t="s">
        <v>17</v>
      </c>
      <c r="C19" s="16">
        <f>Parameters!$B$6</f>
        <v>3.38</v>
      </c>
      <c r="D19" s="16">
        <f>Parameters!$C$6</f>
        <v>2.07</v>
      </c>
      <c r="E19" s="17">
        <f>COUNTIFS('Lab Data'!$C$5:$C$23,"Sep",'Lab Data'!$AM$5:$AM$23,"Y")</f>
        <v>3</v>
      </c>
      <c r="F19" s="17">
        <f>Parameters!$B$15</f>
        <v>2</v>
      </c>
      <c r="G19" s="18">
        <f>IF(E19=0,"none",ROUND(AVERAGEIFS('Lab Data'!$AO$5:$AO$23,'Lab Data'!$C$5:$C$23,"Sep",'Lab Data'!$AM$5:$AM$23,"Y"),3))</f>
        <v>2.053</v>
      </c>
      <c r="H19" s="18">
        <f>IF(E19=0,"none",_xlfn.MAXIFS('Lab Data'!$AO$5:$AO$23,'Lab Data'!$C$5:$C$23,"Sep",'Lab Data'!$AM$5:$AM$23,"Y"))</f>
        <v>2.96</v>
      </c>
      <c r="I19" s="13" t="str">
        <f t="shared" si="0"/>
        <v>Met</v>
      </c>
      <c r="J19" s="13" t="str">
        <f t="shared" si="1"/>
        <v>Met</v>
      </c>
      <c r="K19" s="13" t="str">
        <f>IF(AND(E19&gt;=F19,L19&gt;=Parameters!$B$30),"Met","Below frequency")</f>
        <v>Met</v>
      </c>
      <c r="L19" s="17">
        <f>IF(E19=0,0,_xlfn.MAXIFS('Lab Data'!$BX$5:$BX$23,'Lab Data'!$C$5:$C$23,"Sep",'Lab Data'!$AM$5:$AM$23,"Y")-_xlfn.MINIFS('Lab Data'!$BX$5:$BX$23,'Lab Data'!$C$5:$C$23,"Sep",'Lab Data'!$AM$5:$AM$23,"Y"))</f>
        <v>14</v>
      </c>
    </row>
    <row r="20" spans="1:12" x14ac:dyDescent="0.2">
      <c r="A20" s="13" t="s">
        <v>375</v>
      </c>
      <c r="B20" s="13" t="s">
        <v>18</v>
      </c>
      <c r="C20" s="16">
        <f>Parameters!$B$7</f>
        <v>3.98</v>
      </c>
      <c r="D20" s="16">
        <f>Parameters!$C$7</f>
        <v>2.38</v>
      </c>
      <c r="E20" s="17">
        <f>COUNTIFS('Lab Data'!$C$5:$C$23,"Sep",'Lab Data'!$AV$5:$AV$23,"Y")</f>
        <v>3</v>
      </c>
      <c r="F20" s="17">
        <f>Parameters!$B$15</f>
        <v>2</v>
      </c>
      <c r="G20" s="18">
        <f>IF(E20=0,"none",ROUND(AVERAGEIFS('Lab Data'!$AX$5:$AX$23,'Lab Data'!$C$5:$C$23,"Sep",'Lab Data'!$AV$5:$AV$23,"Y"),3))</f>
        <v>1.15</v>
      </c>
      <c r="H20" s="18">
        <f>IF(E20=0,"none",_xlfn.MAXIFS('Lab Data'!$AX$5:$AX$23,'Lab Data'!$C$5:$C$23,"Sep",'Lab Data'!$AV$5:$AV$23,"Y"))</f>
        <v>1.36</v>
      </c>
      <c r="I20" s="13" t="str">
        <f t="shared" si="0"/>
        <v>Met</v>
      </c>
      <c r="J20" s="13" t="str">
        <f t="shared" si="1"/>
        <v>Met</v>
      </c>
      <c r="K20" s="13" t="str">
        <f>IF(AND(E20&gt;=F20,L20&gt;=Parameters!$B$30),"Met","Below frequency")</f>
        <v>Met</v>
      </c>
      <c r="L20" s="17">
        <f>IF(E20=0,0,_xlfn.MAXIFS('Lab Data'!$BX$5:$BX$23,'Lab Data'!$C$5:$C$23,"Sep",'Lab Data'!$AV$5:$AV$23,"Y")-_xlfn.MINIFS('Lab Data'!$BX$5:$BX$23,'Lab Data'!$C$5:$C$23,"Sep",'Lab Data'!$AV$5:$AV$23,"Y"))</f>
        <v>14</v>
      </c>
    </row>
    <row r="21" spans="1:12" x14ac:dyDescent="0.2">
      <c r="A21" s="13" t="s">
        <v>375</v>
      </c>
      <c r="B21" s="13" t="s">
        <v>19</v>
      </c>
      <c r="C21" s="16">
        <f>Parameters!$B$8</f>
        <v>2.61</v>
      </c>
      <c r="D21" s="16">
        <f>Parameters!$C$8</f>
        <v>1.48</v>
      </c>
      <c r="E21" s="17">
        <f>COUNTIFS('Lab Data'!$C$5:$C$23,"Sep",'Lab Data'!$BE$5:$BE$23,"Y")</f>
        <v>3</v>
      </c>
      <c r="F21" s="17">
        <f>Parameters!$B$15</f>
        <v>2</v>
      </c>
      <c r="G21" s="18">
        <f>IF(E21=0,"none",ROUND(AVERAGEIFS('Lab Data'!$BG$5:$BG$23,'Lab Data'!$C$5:$C$23,"Sep",'Lab Data'!$BE$5:$BE$23,"Y"),3))</f>
        <v>1.653</v>
      </c>
      <c r="H21" s="18">
        <f>IF(E21=0,"none",_xlfn.MAXIFS('Lab Data'!$BG$5:$BG$23,'Lab Data'!$C$5:$C$23,"Sep",'Lab Data'!$BE$5:$BE$23,"Y"))</f>
        <v>3.14</v>
      </c>
      <c r="I21" s="13" t="str">
        <f t="shared" si="0"/>
        <v>Exceeded</v>
      </c>
      <c r="J21" s="13" t="str">
        <f t="shared" si="1"/>
        <v>Exceeded</v>
      </c>
      <c r="K21" s="13" t="str">
        <f>IF(AND(E21&gt;=F21,L21&gt;=Parameters!$B$30),"Met","Below frequency")</f>
        <v>Met</v>
      </c>
      <c r="L21" s="17">
        <f>IF(E21=0,0,_xlfn.MAXIFS('Lab Data'!$BX$5:$BX$23,'Lab Data'!$C$5:$C$23,"Sep",'Lab Data'!$BE$5:$BE$23,"Y")-_xlfn.MINIFS('Lab Data'!$BX$5:$BX$23,'Lab Data'!$C$5:$C$23,"Sep",'Lab Data'!$BE$5:$BE$23,"Y"))</f>
        <v>14</v>
      </c>
    </row>
    <row r="22" spans="1:12" x14ac:dyDescent="0.2">
      <c r="A22" s="13" t="s">
        <v>375</v>
      </c>
      <c r="B22" s="13" t="s">
        <v>20</v>
      </c>
      <c r="C22" s="16">
        <f>Parameters!$B$9</f>
        <v>1.2</v>
      </c>
      <c r="D22" s="16">
        <f>Parameters!$C$9</f>
        <v>0.65</v>
      </c>
      <c r="E22" s="17">
        <f>COUNTIFS('Lab Data'!$C$5:$C$23,"Sep",'Lab Data'!$BN$5:$BN$23,"Y")</f>
        <v>2</v>
      </c>
      <c r="F22" s="17">
        <f>Parameters!$B$15</f>
        <v>2</v>
      </c>
      <c r="G22" s="18">
        <f>IF(E22=0,"none",ROUND(AVERAGEIFS('Lab Data'!$BP$5:$BP$23,'Lab Data'!$C$5:$C$23,"Sep",'Lab Data'!$BN$5:$BN$23,"Y"),3))</f>
        <v>0.325</v>
      </c>
      <c r="H22" s="18">
        <f>IF(E22=0,"none",_xlfn.MAXIFS('Lab Data'!$BP$5:$BP$23,'Lab Data'!$C$5:$C$23,"Sep",'Lab Data'!$BN$5:$BN$23,"Y"))</f>
        <v>0.41</v>
      </c>
      <c r="I22" s="13" t="str">
        <f t="shared" si="0"/>
        <v>Met</v>
      </c>
      <c r="J22" s="13" t="str">
        <f t="shared" si="1"/>
        <v>Met</v>
      </c>
      <c r="K22" s="13" t="str">
        <f>IF(AND(E22&gt;=F22,L22&gt;=Parameters!$B$30),"Met","Below frequency")</f>
        <v>Met</v>
      </c>
      <c r="L22" s="17">
        <f>IF(E22=0,0,_xlfn.MAXIFS('Lab Data'!$BX$5:$BX$23,'Lab Data'!$C$5:$C$23,"Sep",'Lab Data'!$BN$5:$BN$23,"Y")-_xlfn.MINIFS('Lab Data'!$BX$5:$BX$23,'Lab Data'!$C$5:$C$23,"Sep",'Lab Data'!$BN$5:$BN$23,"Y"))</f>
        <v>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6"/>
  <sheetViews>
    <sheetView workbookViewId="0"/>
  </sheetViews>
  <sheetFormatPr baseColWidth="10" defaultColWidth="8.83203125" defaultRowHeight="15" x14ac:dyDescent="0.2"/>
  <cols>
    <col min="1" max="1" width="30" customWidth="1"/>
    <col min="2" max="2" width="22" customWidth="1"/>
    <col min="3" max="3" width="40" customWidth="1"/>
    <col min="4" max="4" width="46" customWidth="1"/>
    <col min="5" max="5" width="14" customWidth="1"/>
    <col min="6" max="6" width="12" customWidth="1"/>
    <col min="7" max="7" width="16" customWidth="1"/>
    <col min="8" max="8" width="14" customWidth="1"/>
    <col min="9" max="9" width="18" customWidth="1"/>
    <col min="10" max="11" width="12" customWidth="1"/>
    <col min="12" max="12" width="32" customWidth="1"/>
    <col min="13" max="14" width="12" customWidth="1"/>
  </cols>
  <sheetData>
    <row r="1" spans="1:14" ht="16" customHeight="1" x14ac:dyDescent="0.2">
      <c r="A1" s="12" t="s">
        <v>403</v>
      </c>
    </row>
    <row r="2" spans="1:14" x14ac:dyDescent="0.2">
      <c r="A2" s="13" t="s">
        <v>404</v>
      </c>
    </row>
    <row r="4" spans="1:14" x14ac:dyDescent="0.2">
      <c r="A4" s="15" t="s">
        <v>5</v>
      </c>
      <c r="B4" s="15" t="s">
        <v>405</v>
      </c>
      <c r="C4" s="15" t="s">
        <v>395</v>
      </c>
      <c r="D4" s="15" t="s">
        <v>406</v>
      </c>
      <c r="E4" s="15" t="s">
        <v>407</v>
      </c>
      <c r="F4" s="15" t="s">
        <v>408</v>
      </c>
      <c r="G4" s="15" t="s">
        <v>409</v>
      </c>
      <c r="H4" s="15" t="s">
        <v>410</v>
      </c>
      <c r="I4" s="15" t="s">
        <v>411</v>
      </c>
      <c r="J4" s="15" t="s">
        <v>412</v>
      </c>
      <c r="K4" s="15" t="s">
        <v>413</v>
      </c>
      <c r="L4" s="15" t="s">
        <v>414</v>
      </c>
      <c r="M4" s="15" t="s">
        <v>415</v>
      </c>
      <c r="N4" s="15" t="s">
        <v>416</v>
      </c>
    </row>
    <row r="5" spans="1:14" x14ac:dyDescent="0.2">
      <c r="A5" s="13" t="s">
        <v>15</v>
      </c>
      <c r="B5" s="17">
        <f>COUNTIFS('Lab Data'!$Y$5:$Y$23,"Y")</f>
        <v>14</v>
      </c>
      <c r="C5" s="16">
        <f>Parameters!$B$4</f>
        <v>0.11</v>
      </c>
      <c r="D5" s="19">
        <f>Parameters!$B$16</f>
        <v>1.2</v>
      </c>
      <c r="E5" s="18">
        <f t="shared" ref="E5:E10" si="0">ROUND(C5*D5,3)</f>
        <v>0.132</v>
      </c>
      <c r="F5" s="17">
        <f>COUNTIFS('Lab Data'!$X$5:$X$23,"&gt;"&amp;C5,'Lab Data'!$Y$5:$Y$23,"Y")</f>
        <v>0</v>
      </c>
      <c r="G5" s="19">
        <f t="shared" ref="G5:G10" si="1">ROUND(F5/B5*100,1)</f>
        <v>0</v>
      </c>
      <c r="H5" s="17">
        <f>COUNTIFS('Lab Data'!$X$5:$X$23,"&gt;"&amp;E5,'Lab Data'!$Y$5:$Y$23,"Y")</f>
        <v>0</v>
      </c>
      <c r="I5" s="19">
        <f t="shared" ref="I5:I10" si="2">ROUND(H5/B5*100,1)</f>
        <v>0</v>
      </c>
      <c r="J5" s="13" t="str">
        <f>IF(G5&gt;=Parameters!$B$17,"Yes","No")</f>
        <v>No</v>
      </c>
      <c r="K5" s="13" t="str">
        <f>IF(I5&gt;=Parameters!$B$18,"Yes","No")</f>
        <v>No</v>
      </c>
      <c r="L5" s="26" t="str">
        <f t="shared" ref="L5:L10" si="3">IF(OR(J5="Yes",K5="Yes"),"Significant noncompliance","Not in significant noncompliance")</f>
        <v>Not in significant noncompliance</v>
      </c>
      <c r="M5" s="17">
        <f>Parameters!$B$17</f>
        <v>66</v>
      </c>
      <c r="N5" s="17">
        <f>Parameters!$B$18</f>
        <v>33</v>
      </c>
    </row>
    <row r="6" spans="1:14" x14ac:dyDescent="0.2">
      <c r="A6" s="13" t="s">
        <v>16</v>
      </c>
      <c r="B6" s="17">
        <f>COUNTIFS('Lab Data'!$AH$5:$AH$23,"Y")</f>
        <v>14</v>
      </c>
      <c r="C6" s="16">
        <f>Parameters!$B$5</f>
        <v>2.77</v>
      </c>
      <c r="D6" s="19">
        <f>Parameters!$B$16</f>
        <v>1.2</v>
      </c>
      <c r="E6" s="18">
        <f t="shared" si="0"/>
        <v>3.324</v>
      </c>
      <c r="F6" s="17">
        <f>COUNTIFS('Lab Data'!$AG$5:$AG$23,"&gt;"&amp;C6,'Lab Data'!$AH$5:$AH$23,"Y")</f>
        <v>0</v>
      </c>
      <c r="G6" s="19">
        <f t="shared" si="1"/>
        <v>0</v>
      </c>
      <c r="H6" s="17">
        <f>COUNTIFS('Lab Data'!$AG$5:$AG$23,"&gt;"&amp;E6,'Lab Data'!$AH$5:$AH$23,"Y")</f>
        <v>0</v>
      </c>
      <c r="I6" s="19">
        <f t="shared" si="2"/>
        <v>0</v>
      </c>
      <c r="J6" s="13" t="str">
        <f>IF(G6&gt;=Parameters!$B$17,"Yes","No")</f>
        <v>No</v>
      </c>
      <c r="K6" s="13" t="str">
        <f>IF(I6&gt;=Parameters!$B$18,"Yes","No")</f>
        <v>No</v>
      </c>
      <c r="L6" s="26" t="str">
        <f t="shared" si="3"/>
        <v>Not in significant noncompliance</v>
      </c>
      <c r="M6" s="17">
        <f>Parameters!$B$17</f>
        <v>66</v>
      </c>
      <c r="N6" s="17">
        <f>Parameters!$B$18</f>
        <v>33</v>
      </c>
    </row>
    <row r="7" spans="1:14" x14ac:dyDescent="0.2">
      <c r="A7" s="13" t="s">
        <v>17</v>
      </c>
      <c r="B7" s="17">
        <f>COUNTIFS('Lab Data'!$AQ$5:$AQ$23,"Y")</f>
        <v>14</v>
      </c>
      <c r="C7" s="16">
        <f>Parameters!$B$6</f>
        <v>3.38</v>
      </c>
      <c r="D7" s="19">
        <f>Parameters!$B$16</f>
        <v>1.2</v>
      </c>
      <c r="E7" s="18">
        <f t="shared" si="0"/>
        <v>4.056</v>
      </c>
      <c r="F7" s="17">
        <f>COUNTIFS('Lab Data'!$AP$5:$AP$23,"&gt;"&amp;C7,'Lab Data'!$AQ$5:$AQ$23,"Y")</f>
        <v>7</v>
      </c>
      <c r="G7" s="19">
        <f t="shared" si="1"/>
        <v>50</v>
      </c>
      <c r="H7" s="17">
        <f>COUNTIFS('Lab Data'!$AP$5:$AP$23,"&gt;"&amp;E7,'Lab Data'!$AQ$5:$AQ$23,"Y")</f>
        <v>4</v>
      </c>
      <c r="I7" s="19">
        <f t="shared" si="2"/>
        <v>28.6</v>
      </c>
      <c r="J7" s="13" t="str">
        <f>IF(G7&gt;=Parameters!$B$17,"Yes","No")</f>
        <v>No</v>
      </c>
      <c r="K7" s="13" t="str">
        <f>IF(I7&gt;=Parameters!$B$18,"Yes","No")</f>
        <v>No</v>
      </c>
      <c r="L7" s="26" t="str">
        <f t="shared" si="3"/>
        <v>Not in significant noncompliance</v>
      </c>
      <c r="M7" s="17">
        <f>Parameters!$B$17</f>
        <v>66</v>
      </c>
      <c r="N7" s="17">
        <f>Parameters!$B$18</f>
        <v>33</v>
      </c>
    </row>
    <row r="8" spans="1:14" x14ac:dyDescent="0.2">
      <c r="A8" s="13" t="s">
        <v>18</v>
      </c>
      <c r="B8" s="17">
        <f>COUNTIFS('Lab Data'!$AZ$5:$AZ$23,"Y")</f>
        <v>14</v>
      </c>
      <c r="C8" s="16">
        <f>Parameters!$B$7</f>
        <v>3.98</v>
      </c>
      <c r="D8" s="19">
        <f>Parameters!$B$16</f>
        <v>1.2</v>
      </c>
      <c r="E8" s="18">
        <f t="shared" si="0"/>
        <v>4.776</v>
      </c>
      <c r="F8" s="17">
        <f>COUNTIFS('Lab Data'!$AY$5:$AY$23,"&gt;"&amp;C8,'Lab Data'!$AZ$5:$AZ$23,"Y")</f>
        <v>0</v>
      </c>
      <c r="G8" s="19">
        <f t="shared" si="1"/>
        <v>0</v>
      </c>
      <c r="H8" s="17">
        <f>COUNTIFS('Lab Data'!$AY$5:$AY$23,"&gt;"&amp;E8,'Lab Data'!$AZ$5:$AZ$23,"Y")</f>
        <v>0</v>
      </c>
      <c r="I8" s="19">
        <f t="shared" si="2"/>
        <v>0</v>
      </c>
      <c r="J8" s="13" t="str">
        <f>IF(G8&gt;=Parameters!$B$17,"Yes","No")</f>
        <v>No</v>
      </c>
      <c r="K8" s="13" t="str">
        <f>IF(I8&gt;=Parameters!$B$18,"Yes","No")</f>
        <v>No</v>
      </c>
      <c r="L8" s="26" t="str">
        <f t="shared" si="3"/>
        <v>Not in significant noncompliance</v>
      </c>
      <c r="M8" s="17">
        <f>Parameters!$B$17</f>
        <v>66</v>
      </c>
      <c r="N8" s="17">
        <f>Parameters!$B$18</f>
        <v>33</v>
      </c>
    </row>
    <row r="9" spans="1:14" x14ac:dyDescent="0.2">
      <c r="A9" s="13" t="s">
        <v>19</v>
      </c>
      <c r="B9" s="17">
        <f>COUNTIFS('Lab Data'!$BI$5:$BI$23,"Y")</f>
        <v>13</v>
      </c>
      <c r="C9" s="16">
        <f>Parameters!$B$8</f>
        <v>2.61</v>
      </c>
      <c r="D9" s="19">
        <f>Parameters!$B$16</f>
        <v>1.2</v>
      </c>
      <c r="E9" s="18">
        <f t="shared" si="0"/>
        <v>3.132</v>
      </c>
      <c r="F9" s="17">
        <f>COUNTIFS('Lab Data'!$BH$5:$BH$23,"&gt;"&amp;C9,'Lab Data'!$BI$5:$BI$23,"Y")</f>
        <v>4</v>
      </c>
      <c r="G9" s="19">
        <f t="shared" si="1"/>
        <v>30.8</v>
      </c>
      <c r="H9" s="17">
        <f>COUNTIFS('Lab Data'!$BH$5:$BH$23,"&gt;"&amp;E9,'Lab Data'!$BI$5:$BI$23,"Y")</f>
        <v>4</v>
      </c>
      <c r="I9" s="19">
        <f t="shared" si="2"/>
        <v>30.8</v>
      </c>
      <c r="J9" s="13" t="str">
        <f>IF(G9&gt;=Parameters!$B$17,"Yes","No")</f>
        <v>No</v>
      </c>
      <c r="K9" s="13" t="str">
        <f>IF(I9&gt;=Parameters!$B$18,"Yes","No")</f>
        <v>No</v>
      </c>
      <c r="L9" s="26" t="str">
        <f t="shared" si="3"/>
        <v>Not in significant noncompliance</v>
      </c>
      <c r="M9" s="17">
        <f>Parameters!$B$17</f>
        <v>66</v>
      </c>
      <c r="N9" s="17">
        <f>Parameters!$B$18</f>
        <v>33</v>
      </c>
    </row>
    <row r="10" spans="1:14" x14ac:dyDescent="0.2">
      <c r="A10" s="13" t="s">
        <v>20</v>
      </c>
      <c r="B10" s="17">
        <f>COUNTIFS('Lab Data'!$BR$5:$BR$23,"Y")</f>
        <v>12</v>
      </c>
      <c r="C10" s="16">
        <f>Parameters!$B$9</f>
        <v>1.2</v>
      </c>
      <c r="D10" s="19">
        <f>Parameters!$B$16</f>
        <v>1.2</v>
      </c>
      <c r="E10" s="18">
        <f t="shared" si="0"/>
        <v>1.44</v>
      </c>
      <c r="F10" s="17">
        <f>COUNTIFS('Lab Data'!$BQ$5:$BQ$23,"&gt;"&amp;C10,'Lab Data'!$BR$5:$BR$23,"Y")</f>
        <v>0</v>
      </c>
      <c r="G10" s="19">
        <f t="shared" si="1"/>
        <v>0</v>
      </c>
      <c r="H10" s="17">
        <f>COUNTIFS('Lab Data'!$BQ$5:$BQ$23,"&gt;"&amp;E10,'Lab Data'!$BR$5:$BR$23,"Y")</f>
        <v>0</v>
      </c>
      <c r="I10" s="19">
        <f t="shared" si="2"/>
        <v>0</v>
      </c>
      <c r="J10" s="13" t="str">
        <f>IF(G10&gt;=Parameters!$B$17,"Yes","No")</f>
        <v>No</v>
      </c>
      <c r="K10" s="13" t="str">
        <f>IF(I10&gt;=Parameters!$B$18,"Yes","No")</f>
        <v>No</v>
      </c>
      <c r="L10" s="26" t="str">
        <f t="shared" si="3"/>
        <v>Not in significant noncompliance</v>
      </c>
      <c r="M10" s="17">
        <f>Parameters!$B$17</f>
        <v>66</v>
      </c>
      <c r="N10" s="17">
        <f>Parameters!$B$18</f>
        <v>33</v>
      </c>
    </row>
    <row r="12" spans="1:14" x14ac:dyDescent="0.2">
      <c r="A12" s="13" t="s">
        <v>417</v>
      </c>
    </row>
    <row r="14" spans="1:14" x14ac:dyDescent="0.2">
      <c r="A14" s="15" t="s">
        <v>418</v>
      </c>
      <c r="B14" s="15" t="s">
        <v>419</v>
      </c>
      <c r="C14" s="15" t="s">
        <v>420</v>
      </c>
      <c r="D14" s="15" t="s">
        <v>421</v>
      </c>
    </row>
    <row r="15" spans="1:14" ht="28" customHeight="1" x14ac:dyDescent="0.2">
      <c r="A15" s="21" t="s">
        <v>422</v>
      </c>
      <c r="B15" s="21" t="s">
        <v>423</v>
      </c>
      <c r="C15" s="21" t="s">
        <v>276</v>
      </c>
      <c r="D15" s="21" t="s">
        <v>424</v>
      </c>
    </row>
    <row r="16" spans="1:14" ht="42" customHeight="1" x14ac:dyDescent="0.2">
      <c r="A16" s="21" t="s">
        <v>425</v>
      </c>
      <c r="B16" s="21" t="s">
        <v>426</v>
      </c>
      <c r="C16" s="21" t="s">
        <v>427</v>
      </c>
      <c r="D16" s="21" t="s">
        <v>428</v>
      </c>
    </row>
    <row r="17" spans="1:6" ht="28" customHeight="1" x14ac:dyDescent="0.2">
      <c r="A17" s="21" t="s">
        <v>429</v>
      </c>
      <c r="B17" s="21" t="s">
        <v>430</v>
      </c>
      <c r="C17" s="21" t="s">
        <v>431</v>
      </c>
      <c r="D17" s="21" t="s">
        <v>432</v>
      </c>
    </row>
    <row r="18" spans="1:6" ht="42" customHeight="1" x14ac:dyDescent="0.2">
      <c r="A18" s="21" t="s">
        <v>433</v>
      </c>
      <c r="B18" s="21" t="s">
        <v>434</v>
      </c>
      <c r="C18" s="21" t="s">
        <v>435</v>
      </c>
      <c r="D18" s="21" t="s">
        <v>436</v>
      </c>
    </row>
    <row r="19" spans="1:6" ht="28" customHeight="1" x14ac:dyDescent="0.2">
      <c r="A19" s="21" t="s">
        <v>437</v>
      </c>
      <c r="B19" s="21" t="s">
        <v>438</v>
      </c>
      <c r="C19" s="21" t="s">
        <v>439</v>
      </c>
      <c r="D19" s="21" t="s">
        <v>440</v>
      </c>
    </row>
    <row r="20" spans="1:6" ht="56" customHeight="1" x14ac:dyDescent="0.2">
      <c r="A20" s="21" t="s">
        <v>441</v>
      </c>
      <c r="B20" s="21" t="s">
        <v>442</v>
      </c>
      <c r="C20" s="21" t="s">
        <v>443</v>
      </c>
      <c r="D20" s="21" t="s">
        <v>444</v>
      </c>
    </row>
    <row r="21" spans="1:6" ht="42" customHeight="1" x14ac:dyDescent="0.2">
      <c r="A21" s="21" t="s">
        <v>445</v>
      </c>
      <c r="B21" s="21" t="s">
        <v>446</v>
      </c>
      <c r="C21" s="21" t="s">
        <v>447</v>
      </c>
      <c r="D21" s="21" t="s">
        <v>448</v>
      </c>
    </row>
    <row r="22" spans="1:6" ht="56" customHeight="1" x14ac:dyDescent="0.2">
      <c r="A22" s="21" t="s">
        <v>449</v>
      </c>
      <c r="B22" s="21" t="s">
        <v>450</v>
      </c>
      <c r="C22" s="21" t="s">
        <v>451</v>
      </c>
      <c r="D22" s="21" t="s">
        <v>452</v>
      </c>
    </row>
    <row r="23" spans="1:6" x14ac:dyDescent="0.2">
      <c r="A23" s="15" t="s">
        <v>453</v>
      </c>
      <c r="B23" s="15" t="s">
        <v>454</v>
      </c>
      <c r="C23" s="15" t="s">
        <v>420</v>
      </c>
      <c r="D23" s="15" t="s">
        <v>421</v>
      </c>
    </row>
    <row r="24" spans="1:6" ht="56" customHeight="1" x14ac:dyDescent="0.2">
      <c r="A24" s="21" t="s">
        <v>449</v>
      </c>
      <c r="B24" s="21" t="s">
        <v>450</v>
      </c>
      <c r="C24" s="21" t="s">
        <v>451</v>
      </c>
      <c r="D24" s="21" t="s">
        <v>452</v>
      </c>
    </row>
    <row r="25" spans="1:6" ht="56" customHeight="1" x14ac:dyDescent="0.2">
      <c r="A25" s="21" t="s">
        <v>455</v>
      </c>
      <c r="B25" s="21" t="s">
        <v>456</v>
      </c>
      <c r="C25" s="21" t="s">
        <v>457</v>
      </c>
      <c r="D25" s="21" t="s">
        <v>458</v>
      </c>
    </row>
    <row r="26" spans="1:6" ht="56" customHeight="1" x14ac:dyDescent="0.2">
      <c r="A26" s="21" t="s">
        <v>459</v>
      </c>
      <c r="B26" s="21" t="s">
        <v>460</v>
      </c>
      <c r="C26" s="21" t="s">
        <v>461</v>
      </c>
      <c r="D26" s="21" t="s">
        <v>462</v>
      </c>
    </row>
    <row r="27" spans="1:6" ht="42" customHeight="1" x14ac:dyDescent="0.2">
      <c r="A27" s="21" t="s">
        <v>463</v>
      </c>
      <c r="B27" s="21" t="s">
        <v>464</v>
      </c>
      <c r="C27" s="21" t="s">
        <v>465</v>
      </c>
      <c r="D27" s="21" t="s">
        <v>466</v>
      </c>
    </row>
    <row r="28" spans="1:6" ht="28" customHeight="1" x14ac:dyDescent="0.2">
      <c r="A28" s="21" t="s">
        <v>463</v>
      </c>
      <c r="B28" s="21" t="s">
        <v>467</v>
      </c>
      <c r="C28" s="21" t="s">
        <v>468</v>
      </c>
      <c r="D28" s="21" t="s">
        <v>469</v>
      </c>
    </row>
    <row r="29" spans="1:6" ht="28" customHeight="1" x14ac:dyDescent="0.2">
      <c r="A29" s="21" t="s">
        <v>470</v>
      </c>
      <c r="B29" s="21" t="s">
        <v>467</v>
      </c>
      <c r="C29" s="21" t="s">
        <v>471</v>
      </c>
      <c r="D29" s="21" t="s">
        <v>472</v>
      </c>
    </row>
    <row r="30" spans="1:6" ht="42" customHeight="1" x14ac:dyDescent="0.2">
      <c r="A30" s="21" t="s">
        <v>473</v>
      </c>
      <c r="B30" s="21" t="s">
        <v>474</v>
      </c>
      <c r="C30" s="21" t="s">
        <v>475</v>
      </c>
      <c r="D30" s="21" t="s">
        <v>476</v>
      </c>
    </row>
    <row r="32" spans="1:6" x14ac:dyDescent="0.2">
      <c r="A32" s="15" t="s">
        <v>477</v>
      </c>
      <c r="B32" s="15" t="s">
        <v>478</v>
      </c>
      <c r="C32" s="15" t="s">
        <v>479</v>
      </c>
      <c r="D32" s="15" t="s">
        <v>480</v>
      </c>
      <c r="E32" s="15" t="s">
        <v>481</v>
      </c>
      <c r="F32" s="15" t="s">
        <v>482</v>
      </c>
    </row>
    <row r="33" spans="1:6" x14ac:dyDescent="0.2">
      <c r="A33" s="13" t="s">
        <v>483</v>
      </c>
      <c r="B33" s="13" t="s">
        <v>484</v>
      </c>
      <c r="C33" s="13" t="s">
        <v>485</v>
      </c>
      <c r="D33" s="26" t="s">
        <v>486</v>
      </c>
      <c r="E33" s="13" t="s">
        <v>487</v>
      </c>
      <c r="F33" s="17">
        <f>_xlfn.DAYS(DATE(2026,6,4),DATE(2026,4,15))</f>
        <v>50</v>
      </c>
    </row>
    <row r="34" spans="1:6" x14ac:dyDescent="0.2">
      <c r="A34" s="13" t="s">
        <v>488</v>
      </c>
      <c r="B34" s="13" t="s">
        <v>489</v>
      </c>
      <c r="C34" s="13" t="s">
        <v>490</v>
      </c>
      <c r="D34" s="13" t="s">
        <v>491</v>
      </c>
      <c r="E34" s="13" t="s">
        <v>370</v>
      </c>
      <c r="F34" s="17">
        <f>_xlfn.DAYS(DATE(2026,7,14),DATE(2026,7,15))</f>
        <v>-1</v>
      </c>
    </row>
    <row r="35" spans="1:6" x14ac:dyDescent="0.2">
      <c r="A35" s="13" t="s">
        <v>492</v>
      </c>
    </row>
    <row r="36" spans="1:6" x14ac:dyDescent="0.2">
      <c r="A36" s="26" t="s">
        <v>140</v>
      </c>
      <c r="B36" s="26" t="str">
        <f>IF(OR(D33="Significant noncompliance",COUNTIFS(L7:L12,"Significant noncompliance")&gt;0),"Significant noncompliance","Not in significant noncompliance")</f>
        <v>Significant noncompliance</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0"/>
  <sheetViews>
    <sheetView workbookViewId="0">
      <pane ySplit="4" topLeftCell="A5" activePane="bottomLeft" state="frozen"/>
      <selection pane="bottomLeft"/>
    </sheetView>
  </sheetViews>
  <sheetFormatPr baseColWidth="10" defaultColWidth="8.83203125" defaultRowHeight="15" x14ac:dyDescent="0.2"/>
  <cols>
    <col min="1" max="1" width="52" customWidth="1"/>
    <col min="2" max="2" width="24" customWidth="1"/>
    <col min="3" max="3" width="30" customWidth="1"/>
    <col min="4" max="4" width="22" customWidth="1"/>
    <col min="5" max="5" width="12" customWidth="1"/>
  </cols>
  <sheetData>
    <row r="1" spans="1:5" ht="16" customHeight="1" x14ac:dyDescent="0.2">
      <c r="A1" s="1" t="s">
        <v>493</v>
      </c>
    </row>
    <row r="2" spans="1:5" x14ac:dyDescent="0.2">
      <c r="A2" s="2" t="s">
        <v>494</v>
      </c>
    </row>
    <row r="3" spans="1:5" x14ac:dyDescent="0.2">
      <c r="A3" s="3" t="s">
        <v>34</v>
      </c>
      <c r="B3" s="3" t="s">
        <v>190</v>
      </c>
      <c r="C3" s="3" t="s">
        <v>495</v>
      </c>
      <c r="D3" s="3" t="s">
        <v>496</v>
      </c>
      <c r="E3" s="3" t="s">
        <v>497</v>
      </c>
    </row>
    <row r="4" spans="1:5" x14ac:dyDescent="0.2">
      <c r="A4" s="2" t="s">
        <v>498</v>
      </c>
      <c r="C4" s="7">
        <v>4850733</v>
      </c>
    </row>
    <row r="5" spans="1:5" x14ac:dyDescent="0.2">
      <c r="A5" s="2" t="s">
        <v>499</v>
      </c>
      <c r="B5" s="2" t="s">
        <v>335</v>
      </c>
      <c r="C5" s="7">
        <v>4888995</v>
      </c>
      <c r="D5" s="7">
        <f t="shared" ref="D5:D20" si="0">C5-C4</f>
        <v>38262</v>
      </c>
      <c r="E5" s="2" t="str">
        <f>IF(D5&gt;Parameters!$B$12,"Yes","No")</f>
        <v>No</v>
      </c>
    </row>
    <row r="6" spans="1:5" x14ac:dyDescent="0.2">
      <c r="A6" s="2" t="s">
        <v>500</v>
      </c>
      <c r="B6" s="2" t="s">
        <v>335</v>
      </c>
      <c r="C6" s="7">
        <v>4928908</v>
      </c>
      <c r="D6" s="7">
        <f t="shared" si="0"/>
        <v>39913</v>
      </c>
      <c r="E6" s="2" t="str">
        <f>IF(D6&gt;Parameters!$B$12,"Yes","No")</f>
        <v>No</v>
      </c>
    </row>
    <row r="7" spans="1:5" x14ac:dyDescent="0.2">
      <c r="A7" s="2" t="s">
        <v>501</v>
      </c>
      <c r="B7" s="2" t="s">
        <v>335</v>
      </c>
      <c r="C7" s="7">
        <v>4928908</v>
      </c>
      <c r="D7" s="7">
        <f t="shared" si="0"/>
        <v>0</v>
      </c>
      <c r="E7" s="2" t="str">
        <f>IF(D7&gt;Parameters!$B$12,"Yes","No")</f>
        <v>No</v>
      </c>
    </row>
    <row r="8" spans="1:5" x14ac:dyDescent="0.2">
      <c r="A8" s="2" t="s">
        <v>502</v>
      </c>
      <c r="B8" s="2" t="s">
        <v>335</v>
      </c>
      <c r="C8" s="7">
        <v>4930795</v>
      </c>
      <c r="D8" s="7">
        <f t="shared" si="0"/>
        <v>1887</v>
      </c>
      <c r="E8" s="2" t="str">
        <f>IF(D8&gt;Parameters!$B$12,"Yes","No")</f>
        <v>No</v>
      </c>
    </row>
    <row r="9" spans="1:5" x14ac:dyDescent="0.2">
      <c r="A9" s="2" t="s">
        <v>503</v>
      </c>
      <c r="B9" s="2" t="s">
        <v>335</v>
      </c>
      <c r="C9" s="7">
        <v>4934115</v>
      </c>
      <c r="D9" s="7">
        <f t="shared" si="0"/>
        <v>3320</v>
      </c>
      <c r="E9" s="2" t="str">
        <f>IF(D9&gt;Parameters!$B$12,"Yes","No")</f>
        <v>No</v>
      </c>
    </row>
    <row r="10" spans="1:5" x14ac:dyDescent="0.2">
      <c r="A10" s="2" t="s">
        <v>504</v>
      </c>
      <c r="B10" s="2" t="s">
        <v>335</v>
      </c>
      <c r="C10" s="7">
        <v>4966879</v>
      </c>
      <c r="D10" s="7">
        <f t="shared" si="0"/>
        <v>32764</v>
      </c>
      <c r="E10" s="2" t="str">
        <f>IF(D10&gt;Parameters!$B$12,"Yes","No")</f>
        <v>No</v>
      </c>
    </row>
    <row r="11" spans="1:5" x14ac:dyDescent="0.2">
      <c r="A11" s="2" t="s">
        <v>334</v>
      </c>
      <c r="B11" s="2" t="s">
        <v>335</v>
      </c>
      <c r="C11" s="7">
        <v>5005480</v>
      </c>
      <c r="D11" s="7">
        <f t="shared" si="0"/>
        <v>38601</v>
      </c>
      <c r="E11" s="2" t="str">
        <f>IF(D11&gt;Parameters!$B$12,"Yes","No")</f>
        <v>No</v>
      </c>
    </row>
    <row r="12" spans="1:5" x14ac:dyDescent="0.2">
      <c r="A12" s="2" t="s">
        <v>505</v>
      </c>
      <c r="B12" s="2" t="s">
        <v>335</v>
      </c>
      <c r="C12" s="7">
        <v>5040060</v>
      </c>
      <c r="D12" s="7">
        <f t="shared" si="0"/>
        <v>34580</v>
      </c>
      <c r="E12" s="2" t="str">
        <f>IF(D12&gt;Parameters!$B$12,"Yes","No")</f>
        <v>No</v>
      </c>
    </row>
    <row r="13" spans="1:5" x14ac:dyDescent="0.2">
      <c r="A13" s="2" t="s">
        <v>506</v>
      </c>
      <c r="B13" s="2" t="s">
        <v>335</v>
      </c>
      <c r="C13" s="7">
        <v>5073651</v>
      </c>
      <c r="D13" s="7">
        <f t="shared" si="0"/>
        <v>33591</v>
      </c>
      <c r="E13" s="2" t="str">
        <f>IF(D13&gt;Parameters!$B$12,"Yes","No")</f>
        <v>No</v>
      </c>
    </row>
    <row r="14" spans="1:5" x14ac:dyDescent="0.2">
      <c r="A14" s="2" t="s">
        <v>507</v>
      </c>
      <c r="B14" s="2" t="s">
        <v>335</v>
      </c>
      <c r="C14" s="7">
        <v>5109294</v>
      </c>
      <c r="D14" s="7">
        <f t="shared" si="0"/>
        <v>35643</v>
      </c>
      <c r="E14" s="2" t="str">
        <f>IF(D14&gt;Parameters!$B$12,"Yes","No")</f>
        <v>No</v>
      </c>
    </row>
    <row r="15" spans="1:5" x14ac:dyDescent="0.2">
      <c r="A15" s="2" t="s">
        <v>336</v>
      </c>
      <c r="B15" s="2" t="s">
        <v>335</v>
      </c>
      <c r="C15" s="7">
        <v>5111030</v>
      </c>
      <c r="D15" s="7">
        <f t="shared" si="0"/>
        <v>1736</v>
      </c>
      <c r="E15" s="2" t="str">
        <f>IF(D15&gt;Parameters!$B$12,"Yes","No")</f>
        <v>No</v>
      </c>
    </row>
    <row r="16" spans="1:5" x14ac:dyDescent="0.2">
      <c r="A16" s="2" t="s">
        <v>508</v>
      </c>
      <c r="B16" s="2" t="s">
        <v>335</v>
      </c>
      <c r="C16" s="7">
        <v>5113301</v>
      </c>
      <c r="D16" s="7">
        <f t="shared" si="0"/>
        <v>2271</v>
      </c>
      <c r="E16" s="2" t="str">
        <f>IF(D16&gt;Parameters!$B$12,"Yes","No")</f>
        <v>No</v>
      </c>
    </row>
    <row r="17" spans="1:5" x14ac:dyDescent="0.2">
      <c r="A17" s="2" t="s">
        <v>337</v>
      </c>
      <c r="B17" s="2" t="s">
        <v>335</v>
      </c>
      <c r="C17" s="7">
        <v>5144730</v>
      </c>
      <c r="D17" s="7">
        <f t="shared" si="0"/>
        <v>31429</v>
      </c>
      <c r="E17" s="2" t="str">
        <f>IF(D17&gt;Parameters!$B$12,"Yes","No")</f>
        <v>No</v>
      </c>
    </row>
    <row r="18" spans="1:5" x14ac:dyDescent="0.2">
      <c r="A18" s="2" t="s">
        <v>490</v>
      </c>
      <c r="B18" s="2" t="s">
        <v>335</v>
      </c>
      <c r="C18" s="7">
        <v>5182044</v>
      </c>
      <c r="D18" s="7">
        <f t="shared" si="0"/>
        <v>37314</v>
      </c>
      <c r="E18" s="2" t="str">
        <f>IF(D18&gt;Parameters!$B$12,"Yes","No")</f>
        <v>No</v>
      </c>
    </row>
    <row r="19" spans="1:5" x14ac:dyDescent="0.2">
      <c r="A19" s="2" t="s">
        <v>489</v>
      </c>
      <c r="B19" s="2" t="s">
        <v>335</v>
      </c>
      <c r="C19" s="7">
        <v>5214542</v>
      </c>
      <c r="D19" s="7">
        <f t="shared" si="0"/>
        <v>32498</v>
      </c>
      <c r="E19" s="2" t="str">
        <f>IF(D19&gt;Parameters!$B$12,"Yes","No")</f>
        <v>No</v>
      </c>
    </row>
    <row r="20" spans="1:5" x14ac:dyDescent="0.2">
      <c r="A20" s="2" t="s">
        <v>509</v>
      </c>
      <c r="B20" s="2" t="s">
        <v>335</v>
      </c>
      <c r="C20" s="7">
        <v>5244482</v>
      </c>
      <c r="D20" s="7">
        <f t="shared" si="0"/>
        <v>29940</v>
      </c>
      <c r="E20" s="2" t="str">
        <f>IF(D20&gt;Parameters!$B$12,"Yes","No")</f>
        <v>No</v>
      </c>
    </row>
    <row r="21" spans="1:5" x14ac:dyDescent="0.2">
      <c r="A21" s="2" t="s">
        <v>510</v>
      </c>
      <c r="B21" s="2"/>
      <c r="C21" s="7">
        <v>0</v>
      </c>
      <c r="D21" s="7"/>
      <c r="E21" s="2"/>
    </row>
    <row r="22" spans="1:5" x14ac:dyDescent="0.2">
      <c r="A22" s="2" t="s">
        <v>511</v>
      </c>
      <c r="B22" s="2" t="s">
        <v>335</v>
      </c>
      <c r="C22" s="7">
        <v>30947</v>
      </c>
      <c r="D22" s="7">
        <f t="shared" ref="D22:D53" si="1">C22-C21</f>
        <v>30947</v>
      </c>
      <c r="E22" s="2" t="str">
        <f>IF(D22&gt;Parameters!$B$12,"Yes","No")</f>
        <v>No</v>
      </c>
    </row>
    <row r="23" spans="1:5" x14ac:dyDescent="0.2">
      <c r="A23" s="2" t="s">
        <v>512</v>
      </c>
      <c r="B23" s="2" t="s">
        <v>335</v>
      </c>
      <c r="C23" s="7">
        <v>33477</v>
      </c>
      <c r="D23" s="7">
        <f t="shared" si="1"/>
        <v>2530</v>
      </c>
      <c r="E23" s="2" t="str">
        <f>IF(D23&gt;Parameters!$B$12,"Yes","No")</f>
        <v>No</v>
      </c>
    </row>
    <row r="24" spans="1:5" x14ac:dyDescent="0.2">
      <c r="A24" s="2" t="s">
        <v>513</v>
      </c>
      <c r="B24" s="2" t="s">
        <v>335</v>
      </c>
      <c r="C24" s="7">
        <v>36718</v>
      </c>
      <c r="D24" s="7">
        <f t="shared" si="1"/>
        <v>3241</v>
      </c>
      <c r="E24" s="2" t="str">
        <f>IF(D24&gt;Parameters!$B$12,"Yes","No")</f>
        <v>No</v>
      </c>
    </row>
    <row r="25" spans="1:5" x14ac:dyDescent="0.2">
      <c r="A25" s="2" t="s">
        <v>514</v>
      </c>
      <c r="B25" s="2" t="s">
        <v>335</v>
      </c>
      <c r="C25" s="7">
        <v>63743</v>
      </c>
      <c r="D25" s="7">
        <f t="shared" si="1"/>
        <v>27025</v>
      </c>
      <c r="E25" s="2" t="str">
        <f>IF(D25&gt;Parameters!$B$12,"Yes","No")</f>
        <v>No</v>
      </c>
    </row>
    <row r="26" spans="1:5" x14ac:dyDescent="0.2">
      <c r="A26" s="2" t="s">
        <v>40</v>
      </c>
      <c r="B26" s="2" t="s">
        <v>335</v>
      </c>
      <c r="C26" s="7">
        <v>103622</v>
      </c>
      <c r="D26" s="7">
        <f t="shared" si="1"/>
        <v>39879</v>
      </c>
      <c r="E26" s="2" t="str">
        <f>IF(D26&gt;Parameters!$B$12,"Yes","No")</f>
        <v>No</v>
      </c>
    </row>
    <row r="27" spans="1:5" x14ac:dyDescent="0.2">
      <c r="A27" s="2" t="s">
        <v>515</v>
      </c>
      <c r="B27" s="2" t="s">
        <v>335</v>
      </c>
      <c r="C27" s="7">
        <v>136325</v>
      </c>
      <c r="D27" s="7">
        <f t="shared" si="1"/>
        <v>32703</v>
      </c>
      <c r="E27" s="2" t="str">
        <f>IF(D27&gt;Parameters!$B$12,"Yes","No")</f>
        <v>No</v>
      </c>
    </row>
    <row r="28" spans="1:5" x14ac:dyDescent="0.2">
      <c r="A28" s="2" t="s">
        <v>516</v>
      </c>
      <c r="B28" s="2" t="s">
        <v>335</v>
      </c>
      <c r="C28" s="7">
        <v>176511</v>
      </c>
      <c r="D28" s="7">
        <f t="shared" si="1"/>
        <v>40186</v>
      </c>
      <c r="E28" s="2" t="str">
        <f>IF(D28&gt;Parameters!$B$12,"Yes","No")</f>
        <v>No</v>
      </c>
    </row>
    <row r="29" spans="1:5" x14ac:dyDescent="0.2">
      <c r="A29" s="2" t="s">
        <v>517</v>
      </c>
      <c r="B29" s="2" t="s">
        <v>335</v>
      </c>
      <c r="C29" s="7">
        <v>216356</v>
      </c>
      <c r="D29" s="7">
        <f t="shared" si="1"/>
        <v>39845</v>
      </c>
      <c r="E29" s="2" t="str">
        <f>IF(D29&gt;Parameters!$B$12,"Yes","No")</f>
        <v>No</v>
      </c>
    </row>
    <row r="30" spans="1:5" x14ac:dyDescent="0.2">
      <c r="A30" s="2" t="s">
        <v>342</v>
      </c>
      <c r="B30" s="2" t="s">
        <v>335</v>
      </c>
      <c r="C30" s="7">
        <v>220335</v>
      </c>
      <c r="D30" s="7">
        <f t="shared" si="1"/>
        <v>3979</v>
      </c>
      <c r="E30" s="2" t="str">
        <f>IF(D30&gt;Parameters!$B$12,"Yes","No")</f>
        <v>No</v>
      </c>
    </row>
    <row r="31" spans="1:5" x14ac:dyDescent="0.2">
      <c r="A31" s="2" t="s">
        <v>55</v>
      </c>
      <c r="B31" s="2" t="s">
        <v>335</v>
      </c>
      <c r="C31" s="7">
        <v>223792</v>
      </c>
      <c r="D31" s="7">
        <f t="shared" si="1"/>
        <v>3457</v>
      </c>
      <c r="E31" s="2" t="str">
        <f>IF(D31&gt;Parameters!$B$12,"Yes","No")</f>
        <v>No</v>
      </c>
    </row>
    <row r="32" spans="1:5" x14ac:dyDescent="0.2">
      <c r="A32" s="2" t="s">
        <v>518</v>
      </c>
      <c r="B32" s="2" t="s">
        <v>335</v>
      </c>
      <c r="C32" s="7">
        <v>262703</v>
      </c>
      <c r="D32" s="7">
        <f t="shared" si="1"/>
        <v>38911</v>
      </c>
      <c r="E32" s="2" t="str">
        <f>IF(D32&gt;Parameters!$B$12,"Yes","No")</f>
        <v>No</v>
      </c>
    </row>
    <row r="33" spans="1:5" x14ac:dyDescent="0.2">
      <c r="A33" s="2" t="s">
        <v>519</v>
      </c>
      <c r="B33" s="2" t="s">
        <v>335</v>
      </c>
      <c r="C33" s="7">
        <v>307583</v>
      </c>
      <c r="D33" s="7">
        <f t="shared" si="1"/>
        <v>44880</v>
      </c>
      <c r="E33" s="2" t="str">
        <f>IF(D33&gt;Parameters!$B$12,"Yes","No")</f>
        <v>No</v>
      </c>
    </row>
    <row r="34" spans="1:5" x14ac:dyDescent="0.2">
      <c r="A34" s="2" t="s">
        <v>520</v>
      </c>
      <c r="B34" s="2" t="s">
        <v>335</v>
      </c>
      <c r="C34" s="7">
        <v>336064</v>
      </c>
      <c r="D34" s="7">
        <f t="shared" si="1"/>
        <v>28481</v>
      </c>
      <c r="E34" s="2" t="str">
        <f>IF(D34&gt;Parameters!$B$12,"Yes","No")</f>
        <v>No</v>
      </c>
    </row>
    <row r="35" spans="1:5" x14ac:dyDescent="0.2">
      <c r="A35" s="2" t="s">
        <v>521</v>
      </c>
      <c r="B35" s="2" t="s">
        <v>335</v>
      </c>
      <c r="C35" s="7">
        <v>365173</v>
      </c>
      <c r="D35" s="7">
        <f t="shared" si="1"/>
        <v>29109</v>
      </c>
      <c r="E35" s="2" t="str">
        <f>IF(D35&gt;Parameters!$B$12,"Yes","No")</f>
        <v>No</v>
      </c>
    </row>
    <row r="36" spans="1:5" x14ac:dyDescent="0.2">
      <c r="A36" s="2" t="s">
        <v>522</v>
      </c>
      <c r="B36" s="2" t="s">
        <v>335</v>
      </c>
      <c r="C36" s="7">
        <v>402867</v>
      </c>
      <c r="D36" s="7">
        <f t="shared" si="1"/>
        <v>37694</v>
      </c>
      <c r="E36" s="2" t="str">
        <f>IF(D36&gt;Parameters!$B$12,"Yes","No")</f>
        <v>No</v>
      </c>
    </row>
    <row r="37" spans="1:5" x14ac:dyDescent="0.2">
      <c r="A37" s="2" t="s">
        <v>523</v>
      </c>
      <c r="B37" s="2" t="s">
        <v>348</v>
      </c>
      <c r="C37" s="7">
        <v>405823</v>
      </c>
      <c r="D37" s="7">
        <f t="shared" si="1"/>
        <v>2956</v>
      </c>
      <c r="E37" s="2" t="str">
        <f>IF(D37&gt;Parameters!$B$12,"Yes","No")</f>
        <v>No</v>
      </c>
    </row>
    <row r="38" spans="1:5" x14ac:dyDescent="0.2">
      <c r="A38" s="2" t="s">
        <v>524</v>
      </c>
      <c r="B38" s="2" t="s">
        <v>348</v>
      </c>
      <c r="C38" s="7">
        <v>408837</v>
      </c>
      <c r="D38" s="7">
        <f t="shared" si="1"/>
        <v>3014</v>
      </c>
      <c r="E38" s="2" t="str">
        <f>IF(D38&gt;Parameters!$B$12,"Yes","No")</f>
        <v>No</v>
      </c>
    </row>
    <row r="39" spans="1:5" x14ac:dyDescent="0.2">
      <c r="A39" s="2" t="s">
        <v>525</v>
      </c>
      <c r="B39" s="2" t="s">
        <v>348</v>
      </c>
      <c r="C39" s="7">
        <v>446931</v>
      </c>
      <c r="D39" s="7">
        <f t="shared" si="1"/>
        <v>38094</v>
      </c>
      <c r="E39" s="2" t="str">
        <f>IF(D39&gt;Parameters!$B$12,"Yes","No")</f>
        <v>No</v>
      </c>
    </row>
    <row r="40" spans="1:5" x14ac:dyDescent="0.2">
      <c r="A40" s="2" t="s">
        <v>526</v>
      </c>
      <c r="B40" s="2" t="s">
        <v>348</v>
      </c>
      <c r="C40" s="7">
        <v>475421</v>
      </c>
      <c r="D40" s="7">
        <f t="shared" si="1"/>
        <v>28490</v>
      </c>
      <c r="E40" s="2" t="str">
        <f>IF(D40&gt;Parameters!$B$12,"Yes","No")</f>
        <v>No</v>
      </c>
    </row>
    <row r="41" spans="1:5" x14ac:dyDescent="0.2">
      <c r="A41" s="2" t="s">
        <v>527</v>
      </c>
      <c r="B41" s="2" t="s">
        <v>348</v>
      </c>
      <c r="C41" s="7">
        <v>515786</v>
      </c>
      <c r="D41" s="7">
        <f t="shared" si="1"/>
        <v>40365</v>
      </c>
      <c r="E41" s="2" t="str">
        <f>IF(D41&gt;Parameters!$B$12,"Yes","No")</f>
        <v>No</v>
      </c>
    </row>
    <row r="42" spans="1:5" x14ac:dyDescent="0.2">
      <c r="A42" s="2" t="s">
        <v>528</v>
      </c>
      <c r="B42" s="2" t="s">
        <v>348</v>
      </c>
      <c r="C42" s="7">
        <v>543050</v>
      </c>
      <c r="D42" s="7">
        <f t="shared" si="1"/>
        <v>27264</v>
      </c>
      <c r="E42" s="2" t="str">
        <f>IF(D42&gt;Parameters!$B$12,"Yes","No")</f>
        <v>No</v>
      </c>
    </row>
    <row r="43" spans="1:5" x14ac:dyDescent="0.2">
      <c r="A43" s="2" t="s">
        <v>529</v>
      </c>
      <c r="B43" s="2" t="s">
        <v>348</v>
      </c>
      <c r="C43" s="7">
        <v>571652</v>
      </c>
      <c r="D43" s="7">
        <f t="shared" si="1"/>
        <v>28602</v>
      </c>
      <c r="E43" s="2" t="str">
        <f>IF(D43&gt;Parameters!$B$12,"Yes","No")</f>
        <v>No</v>
      </c>
    </row>
    <row r="44" spans="1:5" x14ac:dyDescent="0.2">
      <c r="A44" s="2" t="s">
        <v>530</v>
      </c>
      <c r="B44" s="2" t="s">
        <v>348</v>
      </c>
      <c r="C44" s="7">
        <v>575017</v>
      </c>
      <c r="D44" s="7">
        <f t="shared" si="1"/>
        <v>3365</v>
      </c>
      <c r="E44" s="2" t="str">
        <f>IF(D44&gt;Parameters!$B$12,"Yes","No")</f>
        <v>No</v>
      </c>
    </row>
    <row r="45" spans="1:5" x14ac:dyDescent="0.2">
      <c r="A45" s="2" t="s">
        <v>531</v>
      </c>
      <c r="B45" s="2" t="s">
        <v>348</v>
      </c>
      <c r="C45" s="7">
        <v>576705</v>
      </c>
      <c r="D45" s="7">
        <f t="shared" si="1"/>
        <v>1688</v>
      </c>
      <c r="E45" s="2" t="str">
        <f>IF(D45&gt;Parameters!$B$12,"Yes","No")</f>
        <v>No</v>
      </c>
    </row>
    <row r="46" spans="1:5" x14ac:dyDescent="0.2">
      <c r="A46" s="2" t="s">
        <v>532</v>
      </c>
      <c r="B46" s="2" t="s">
        <v>348</v>
      </c>
      <c r="C46" s="7">
        <v>617789</v>
      </c>
      <c r="D46" s="7">
        <f t="shared" si="1"/>
        <v>41084</v>
      </c>
      <c r="E46" s="2" t="str">
        <f>IF(D46&gt;Parameters!$B$12,"Yes","No")</f>
        <v>No</v>
      </c>
    </row>
    <row r="47" spans="1:5" x14ac:dyDescent="0.2">
      <c r="A47" s="2" t="s">
        <v>64</v>
      </c>
      <c r="B47" s="2" t="s">
        <v>348</v>
      </c>
      <c r="C47" s="7">
        <v>657599</v>
      </c>
      <c r="D47" s="7">
        <f t="shared" si="1"/>
        <v>39810</v>
      </c>
      <c r="E47" s="2" t="str">
        <f>IF(D47&gt;Parameters!$B$12,"Yes","No")</f>
        <v>No</v>
      </c>
    </row>
    <row r="48" spans="1:5" x14ac:dyDescent="0.2">
      <c r="A48" s="2" t="s">
        <v>533</v>
      </c>
      <c r="B48" s="2" t="s">
        <v>348</v>
      </c>
      <c r="C48" s="7">
        <v>686236</v>
      </c>
      <c r="D48" s="7">
        <f t="shared" si="1"/>
        <v>28637</v>
      </c>
      <c r="E48" s="2" t="str">
        <f>IF(D48&gt;Parameters!$B$12,"Yes","No")</f>
        <v>No</v>
      </c>
    </row>
    <row r="49" spans="1:5" x14ac:dyDescent="0.2">
      <c r="A49" s="2" t="s">
        <v>66</v>
      </c>
      <c r="B49" s="2" t="s">
        <v>348</v>
      </c>
      <c r="C49" s="7">
        <v>732386</v>
      </c>
      <c r="D49" s="7">
        <f t="shared" si="1"/>
        <v>46150</v>
      </c>
      <c r="E49" s="2" t="str">
        <f>IF(D49&gt;Parameters!$B$12,"Yes","No")</f>
        <v>Yes</v>
      </c>
    </row>
    <row r="50" spans="1:5" x14ac:dyDescent="0.2">
      <c r="A50" s="2" t="s">
        <v>70</v>
      </c>
      <c r="B50" s="2" t="s">
        <v>348</v>
      </c>
      <c r="C50" s="7">
        <v>770652</v>
      </c>
      <c r="D50" s="7">
        <f t="shared" si="1"/>
        <v>38266</v>
      </c>
      <c r="E50" s="2" t="str">
        <f>IF(D50&gt;Parameters!$B$12,"Yes","No")</f>
        <v>No</v>
      </c>
    </row>
    <row r="51" spans="1:5" x14ac:dyDescent="0.2">
      <c r="A51" s="2" t="s">
        <v>349</v>
      </c>
      <c r="B51" s="2" t="s">
        <v>348</v>
      </c>
      <c r="C51" s="7">
        <v>773235</v>
      </c>
      <c r="D51" s="7">
        <f t="shared" si="1"/>
        <v>2583</v>
      </c>
      <c r="E51" s="2" t="str">
        <f>IF(D51&gt;Parameters!$B$12,"Yes","No")</f>
        <v>No</v>
      </c>
    </row>
    <row r="52" spans="1:5" x14ac:dyDescent="0.2">
      <c r="A52" s="2" t="s">
        <v>534</v>
      </c>
      <c r="B52" s="2" t="s">
        <v>348</v>
      </c>
      <c r="C52" s="7">
        <v>775779</v>
      </c>
      <c r="D52" s="7">
        <f t="shared" si="1"/>
        <v>2544</v>
      </c>
      <c r="E52" s="2" t="str">
        <f>IF(D52&gt;Parameters!$B$12,"Yes","No")</f>
        <v>No</v>
      </c>
    </row>
    <row r="53" spans="1:5" x14ac:dyDescent="0.2">
      <c r="A53" s="2" t="s">
        <v>535</v>
      </c>
      <c r="B53" s="2" t="s">
        <v>348</v>
      </c>
      <c r="C53" s="7">
        <v>815883</v>
      </c>
      <c r="D53" s="7">
        <f t="shared" si="1"/>
        <v>40104</v>
      </c>
      <c r="E53" s="2" t="str">
        <f>IF(D53&gt;Parameters!$B$12,"Yes","No")</f>
        <v>No</v>
      </c>
    </row>
    <row r="54" spans="1:5" x14ac:dyDescent="0.2">
      <c r="A54" s="2" t="s">
        <v>360</v>
      </c>
      <c r="B54" s="2" t="s">
        <v>348</v>
      </c>
      <c r="C54" s="7">
        <v>846590</v>
      </c>
      <c r="D54" s="7">
        <f t="shared" ref="D54:D85" si="2">C54-C53</f>
        <v>30707</v>
      </c>
      <c r="E54" s="2" t="str">
        <f>IF(D54&gt;Parameters!$B$12,"Yes","No")</f>
        <v>No</v>
      </c>
    </row>
    <row r="55" spans="1:5" x14ac:dyDescent="0.2">
      <c r="A55" s="2" t="s">
        <v>76</v>
      </c>
      <c r="B55" s="2" t="s">
        <v>348</v>
      </c>
      <c r="C55" s="7">
        <v>880719</v>
      </c>
      <c r="D55" s="7">
        <f t="shared" si="2"/>
        <v>34129</v>
      </c>
      <c r="E55" s="2" t="str">
        <f>IF(D55&gt;Parameters!$B$12,"Yes","No")</f>
        <v>No</v>
      </c>
    </row>
    <row r="56" spans="1:5" x14ac:dyDescent="0.2">
      <c r="A56" s="2" t="s">
        <v>78</v>
      </c>
      <c r="B56" s="2" t="s">
        <v>348</v>
      </c>
      <c r="C56" s="7">
        <v>914241</v>
      </c>
      <c r="D56" s="7">
        <f t="shared" si="2"/>
        <v>33522</v>
      </c>
      <c r="E56" s="2" t="str">
        <f>IF(D56&gt;Parameters!$B$12,"Yes","No")</f>
        <v>No</v>
      </c>
    </row>
    <row r="57" spans="1:5" x14ac:dyDescent="0.2">
      <c r="A57" s="2" t="s">
        <v>83</v>
      </c>
      <c r="B57" s="2" t="s">
        <v>348</v>
      </c>
      <c r="C57" s="7">
        <v>947766</v>
      </c>
      <c r="D57" s="7">
        <f t="shared" si="2"/>
        <v>33525</v>
      </c>
      <c r="E57" s="2" t="str">
        <f>IF(D57&gt;Parameters!$B$12,"Yes","No")</f>
        <v>No</v>
      </c>
    </row>
    <row r="58" spans="1:5" x14ac:dyDescent="0.2">
      <c r="A58" s="2" t="s">
        <v>536</v>
      </c>
      <c r="B58" s="2" t="s">
        <v>348</v>
      </c>
      <c r="C58" s="7">
        <v>951034</v>
      </c>
      <c r="D58" s="7">
        <f t="shared" si="2"/>
        <v>3268</v>
      </c>
      <c r="E58" s="2" t="str">
        <f>IF(D58&gt;Parameters!$B$12,"Yes","No")</f>
        <v>No</v>
      </c>
    </row>
    <row r="59" spans="1:5" x14ac:dyDescent="0.2">
      <c r="A59" s="2" t="s">
        <v>356</v>
      </c>
      <c r="B59" s="2" t="s">
        <v>348</v>
      </c>
      <c r="C59" s="7">
        <v>954056</v>
      </c>
      <c r="D59" s="7">
        <f t="shared" si="2"/>
        <v>3022</v>
      </c>
      <c r="E59" s="2" t="str">
        <f>IF(D59&gt;Parameters!$B$12,"Yes","No")</f>
        <v>No</v>
      </c>
    </row>
    <row r="60" spans="1:5" x14ac:dyDescent="0.2">
      <c r="A60" s="2" t="s">
        <v>357</v>
      </c>
      <c r="B60" s="2" t="s">
        <v>348</v>
      </c>
      <c r="C60" s="7">
        <v>994354</v>
      </c>
      <c r="D60" s="7">
        <f t="shared" si="2"/>
        <v>40298</v>
      </c>
      <c r="E60" s="2" t="str">
        <f>IF(D60&gt;Parameters!$B$12,"Yes","No")</f>
        <v>No</v>
      </c>
    </row>
    <row r="61" spans="1:5" x14ac:dyDescent="0.2">
      <c r="A61" s="2" t="s">
        <v>87</v>
      </c>
      <c r="B61" s="2" t="s">
        <v>348</v>
      </c>
      <c r="C61" s="7">
        <v>1030494</v>
      </c>
      <c r="D61" s="7">
        <f t="shared" si="2"/>
        <v>36140</v>
      </c>
      <c r="E61" s="2" t="str">
        <f>IF(D61&gt;Parameters!$B$12,"Yes","No")</f>
        <v>No</v>
      </c>
    </row>
    <row r="62" spans="1:5" x14ac:dyDescent="0.2">
      <c r="A62" s="2" t="s">
        <v>350</v>
      </c>
      <c r="B62" s="2" t="s">
        <v>348</v>
      </c>
      <c r="C62" s="7">
        <v>1064357</v>
      </c>
      <c r="D62" s="7">
        <f t="shared" si="2"/>
        <v>33863</v>
      </c>
      <c r="E62" s="2" t="str">
        <f>IF(D62&gt;Parameters!$B$12,"Yes","No")</f>
        <v>No</v>
      </c>
    </row>
    <row r="63" spans="1:5" x14ac:dyDescent="0.2">
      <c r="A63" s="2" t="s">
        <v>95</v>
      </c>
      <c r="B63" s="2" t="s">
        <v>348</v>
      </c>
      <c r="C63" s="7">
        <v>1099817</v>
      </c>
      <c r="D63" s="7">
        <f t="shared" si="2"/>
        <v>35460</v>
      </c>
      <c r="E63" s="2" t="str">
        <f>IF(D63&gt;Parameters!$B$12,"Yes","No")</f>
        <v>No</v>
      </c>
    </row>
    <row r="64" spans="1:5" x14ac:dyDescent="0.2">
      <c r="A64" s="2" t="s">
        <v>99</v>
      </c>
      <c r="B64" s="2" t="s">
        <v>348</v>
      </c>
      <c r="C64" s="7">
        <v>1133887</v>
      </c>
      <c r="D64" s="7">
        <f t="shared" si="2"/>
        <v>34070</v>
      </c>
      <c r="E64" s="2" t="str">
        <f>IF(D64&gt;Parameters!$B$12,"Yes","No")</f>
        <v>No</v>
      </c>
    </row>
    <row r="65" spans="1:5" x14ac:dyDescent="0.2">
      <c r="A65" s="2" t="s">
        <v>370</v>
      </c>
      <c r="B65" s="2" t="s">
        <v>348</v>
      </c>
      <c r="C65" s="7">
        <v>1136948</v>
      </c>
      <c r="D65" s="7">
        <f t="shared" si="2"/>
        <v>3061</v>
      </c>
      <c r="E65" s="2" t="str">
        <f>IF(D65&gt;Parameters!$B$12,"Yes","No")</f>
        <v>No</v>
      </c>
    </row>
    <row r="66" spans="1:5" x14ac:dyDescent="0.2">
      <c r="A66" s="2" t="s">
        <v>537</v>
      </c>
      <c r="B66" s="2" t="s">
        <v>348</v>
      </c>
      <c r="C66" s="7">
        <v>1139175</v>
      </c>
      <c r="D66" s="7">
        <f t="shared" si="2"/>
        <v>2227</v>
      </c>
      <c r="E66" s="2" t="str">
        <f>IF(D66&gt;Parameters!$B$12,"Yes","No")</f>
        <v>No</v>
      </c>
    </row>
    <row r="67" spans="1:5" x14ac:dyDescent="0.2">
      <c r="A67" s="2" t="s">
        <v>538</v>
      </c>
      <c r="B67" s="2" t="s">
        <v>348</v>
      </c>
      <c r="C67" s="7">
        <v>1173773</v>
      </c>
      <c r="D67" s="7">
        <f t="shared" si="2"/>
        <v>34598</v>
      </c>
      <c r="E67" s="2" t="str">
        <f>IF(D67&gt;Parameters!$B$12,"Yes","No")</f>
        <v>No</v>
      </c>
    </row>
    <row r="68" spans="1:5" x14ac:dyDescent="0.2">
      <c r="A68" s="2" t="s">
        <v>539</v>
      </c>
      <c r="B68" s="2" t="s">
        <v>375</v>
      </c>
      <c r="C68" s="7">
        <v>1206477</v>
      </c>
      <c r="D68" s="7">
        <f t="shared" si="2"/>
        <v>32704</v>
      </c>
      <c r="E68" s="2" t="str">
        <f>IF(D68&gt;Parameters!$B$12,"Yes","No")</f>
        <v>No</v>
      </c>
    </row>
    <row r="69" spans="1:5" x14ac:dyDescent="0.2">
      <c r="A69" s="2" t="s">
        <v>540</v>
      </c>
      <c r="B69" s="2" t="s">
        <v>375</v>
      </c>
      <c r="C69" s="7">
        <v>1247070</v>
      </c>
      <c r="D69" s="7">
        <f t="shared" si="2"/>
        <v>40593</v>
      </c>
      <c r="E69" s="2" t="str">
        <f>IF(D69&gt;Parameters!$B$12,"Yes","No")</f>
        <v>No</v>
      </c>
    </row>
    <row r="70" spans="1:5" x14ac:dyDescent="0.2">
      <c r="A70" s="2" t="s">
        <v>541</v>
      </c>
      <c r="B70" s="2" t="s">
        <v>375</v>
      </c>
      <c r="C70" s="7">
        <v>1279366</v>
      </c>
      <c r="D70" s="7">
        <f t="shared" si="2"/>
        <v>32296</v>
      </c>
      <c r="E70" s="2" t="str">
        <f>IF(D70&gt;Parameters!$B$12,"Yes","No")</f>
        <v>No</v>
      </c>
    </row>
    <row r="71" spans="1:5" x14ac:dyDescent="0.2">
      <c r="A71" s="2" t="s">
        <v>542</v>
      </c>
      <c r="B71" s="2" t="s">
        <v>375</v>
      </c>
      <c r="C71" s="7">
        <v>1317021</v>
      </c>
      <c r="D71" s="7">
        <f t="shared" si="2"/>
        <v>37655</v>
      </c>
      <c r="E71" s="2" t="str">
        <f>IF(D71&gt;Parameters!$B$12,"Yes","No")</f>
        <v>No</v>
      </c>
    </row>
    <row r="72" spans="1:5" x14ac:dyDescent="0.2">
      <c r="A72" s="2" t="s">
        <v>543</v>
      </c>
      <c r="B72" s="2" t="s">
        <v>375</v>
      </c>
      <c r="C72" s="7">
        <v>1320630</v>
      </c>
      <c r="D72" s="7">
        <f t="shared" si="2"/>
        <v>3609</v>
      </c>
      <c r="E72" s="2" t="str">
        <f>IF(D72&gt;Parameters!$B$12,"Yes","No")</f>
        <v>No</v>
      </c>
    </row>
    <row r="73" spans="1:5" x14ac:dyDescent="0.2">
      <c r="A73" s="2" t="s">
        <v>544</v>
      </c>
      <c r="B73" s="2" t="s">
        <v>375</v>
      </c>
      <c r="C73" s="7">
        <v>1322605</v>
      </c>
      <c r="D73" s="7">
        <f t="shared" si="2"/>
        <v>1975</v>
      </c>
      <c r="E73" s="2" t="str">
        <f>IF(D73&gt;Parameters!$B$12,"Yes","No")</f>
        <v>No</v>
      </c>
    </row>
    <row r="74" spans="1:5" x14ac:dyDescent="0.2">
      <c r="A74" s="2" t="s">
        <v>545</v>
      </c>
      <c r="B74" s="2" t="s">
        <v>375</v>
      </c>
      <c r="C74" s="7">
        <v>1322605</v>
      </c>
      <c r="D74" s="7">
        <f t="shared" si="2"/>
        <v>0</v>
      </c>
      <c r="E74" s="2" t="str">
        <f>IF(D74&gt;Parameters!$B$12,"Yes","No")</f>
        <v>No</v>
      </c>
    </row>
    <row r="75" spans="1:5" x14ac:dyDescent="0.2">
      <c r="A75" s="2" t="s">
        <v>546</v>
      </c>
      <c r="B75" s="2" t="s">
        <v>375</v>
      </c>
      <c r="C75" s="7">
        <v>1357287</v>
      </c>
      <c r="D75" s="7">
        <f t="shared" si="2"/>
        <v>34682</v>
      </c>
      <c r="E75" s="2" t="str">
        <f>IF(D75&gt;Parameters!$B$12,"Yes","No")</f>
        <v>No</v>
      </c>
    </row>
    <row r="76" spans="1:5" x14ac:dyDescent="0.2">
      <c r="A76" s="2" t="s">
        <v>103</v>
      </c>
      <c r="B76" s="2" t="s">
        <v>375</v>
      </c>
      <c r="C76" s="7">
        <v>1400937</v>
      </c>
      <c r="D76" s="7">
        <f t="shared" si="2"/>
        <v>43650</v>
      </c>
      <c r="E76" s="2" t="str">
        <f>IF(D76&gt;Parameters!$B$12,"Yes","No")</f>
        <v>No</v>
      </c>
    </row>
    <row r="77" spans="1:5" x14ac:dyDescent="0.2">
      <c r="A77" s="2" t="s">
        <v>118</v>
      </c>
      <c r="B77" s="2" t="s">
        <v>375</v>
      </c>
      <c r="C77" s="7">
        <v>1432667</v>
      </c>
      <c r="D77" s="7">
        <f t="shared" si="2"/>
        <v>31730</v>
      </c>
      <c r="E77" s="2" t="str">
        <f>IF(D77&gt;Parameters!$B$12,"Yes","No")</f>
        <v>No</v>
      </c>
    </row>
    <row r="78" spans="1:5" x14ac:dyDescent="0.2">
      <c r="A78" s="2" t="s">
        <v>547</v>
      </c>
      <c r="B78" s="2" t="s">
        <v>375</v>
      </c>
      <c r="C78" s="7">
        <v>1461510</v>
      </c>
      <c r="D78" s="7">
        <f t="shared" si="2"/>
        <v>28843</v>
      </c>
      <c r="E78" s="2" t="str">
        <f>IF(D78&gt;Parameters!$B$12,"Yes","No")</f>
        <v>No</v>
      </c>
    </row>
    <row r="79" spans="1:5" x14ac:dyDescent="0.2">
      <c r="A79" s="2" t="s">
        <v>376</v>
      </c>
      <c r="B79" s="2" t="s">
        <v>375</v>
      </c>
      <c r="C79" s="7">
        <v>1464312</v>
      </c>
      <c r="D79" s="7">
        <f t="shared" si="2"/>
        <v>2802</v>
      </c>
      <c r="E79" s="2" t="str">
        <f>IF(D79&gt;Parameters!$B$12,"Yes","No")</f>
        <v>No</v>
      </c>
    </row>
    <row r="80" spans="1:5" x14ac:dyDescent="0.2">
      <c r="A80" s="2" t="s">
        <v>548</v>
      </c>
      <c r="B80" s="2" t="s">
        <v>375</v>
      </c>
      <c r="C80" s="7">
        <v>1468092</v>
      </c>
      <c r="D80" s="7">
        <f t="shared" si="2"/>
        <v>3780</v>
      </c>
      <c r="E80" s="2" t="str">
        <f>IF(D80&gt;Parameters!$B$12,"Yes","No")</f>
        <v>No</v>
      </c>
    </row>
    <row r="81" spans="1:5" x14ac:dyDescent="0.2">
      <c r="A81" s="2" t="s">
        <v>377</v>
      </c>
      <c r="B81" s="2" t="s">
        <v>375</v>
      </c>
      <c r="C81" s="7">
        <v>1505401</v>
      </c>
      <c r="D81" s="7">
        <f t="shared" si="2"/>
        <v>37309</v>
      </c>
      <c r="E81" s="2" t="str">
        <f>IF(D81&gt;Parameters!$B$12,"Yes","No")</f>
        <v>No</v>
      </c>
    </row>
    <row r="82" spans="1:5" x14ac:dyDescent="0.2">
      <c r="A82" s="2" t="s">
        <v>122</v>
      </c>
      <c r="B82" s="2" t="s">
        <v>375</v>
      </c>
      <c r="C82" s="7">
        <v>1540238</v>
      </c>
      <c r="D82" s="7">
        <f t="shared" si="2"/>
        <v>34837</v>
      </c>
      <c r="E82" s="2" t="str">
        <f>IF(D82&gt;Parameters!$B$12,"Yes","No")</f>
        <v>No</v>
      </c>
    </row>
    <row r="83" spans="1:5" x14ac:dyDescent="0.2">
      <c r="A83" s="2" t="s">
        <v>549</v>
      </c>
      <c r="B83" s="2" t="s">
        <v>375</v>
      </c>
      <c r="C83" s="7">
        <v>1580202</v>
      </c>
      <c r="D83" s="7">
        <f t="shared" si="2"/>
        <v>39964</v>
      </c>
      <c r="E83" s="2" t="str">
        <f>IF(D83&gt;Parameters!$B$12,"Yes","No")</f>
        <v>No</v>
      </c>
    </row>
    <row r="84" spans="1:5" x14ac:dyDescent="0.2">
      <c r="A84" s="2" t="s">
        <v>125</v>
      </c>
      <c r="B84" s="2" t="s">
        <v>375</v>
      </c>
      <c r="C84" s="7">
        <v>1608512</v>
      </c>
      <c r="D84" s="7">
        <f t="shared" si="2"/>
        <v>28310</v>
      </c>
      <c r="E84" s="2" t="str">
        <f>IF(D84&gt;Parameters!$B$12,"Yes","No")</f>
        <v>No</v>
      </c>
    </row>
    <row r="85" spans="1:5" x14ac:dyDescent="0.2">
      <c r="A85" s="2" t="s">
        <v>550</v>
      </c>
      <c r="B85" s="2" t="s">
        <v>375</v>
      </c>
      <c r="C85" s="7">
        <v>1641947</v>
      </c>
      <c r="D85" s="7">
        <f t="shared" si="2"/>
        <v>33435</v>
      </c>
      <c r="E85" s="2" t="str">
        <f>IF(D85&gt;Parameters!$B$12,"Yes","No")</f>
        <v>No</v>
      </c>
    </row>
    <row r="86" spans="1:5" x14ac:dyDescent="0.2">
      <c r="A86" s="2" t="s">
        <v>551</v>
      </c>
      <c r="B86" s="2" t="s">
        <v>375</v>
      </c>
      <c r="C86" s="7">
        <v>1646101</v>
      </c>
      <c r="D86" s="7">
        <f t="shared" ref="D86:D117" si="3">C86-C85</f>
        <v>4154</v>
      </c>
      <c r="E86" s="2" t="str">
        <f>IF(D86&gt;Parameters!$B$12,"Yes","No")</f>
        <v>No</v>
      </c>
    </row>
    <row r="87" spans="1:5" x14ac:dyDescent="0.2">
      <c r="A87" s="2" t="s">
        <v>552</v>
      </c>
      <c r="B87" s="2" t="s">
        <v>375</v>
      </c>
      <c r="C87" s="7">
        <v>1649973</v>
      </c>
      <c r="D87" s="7">
        <f t="shared" si="3"/>
        <v>3872</v>
      </c>
      <c r="E87" s="2" t="str">
        <f>IF(D87&gt;Parameters!$B$12,"Yes","No")</f>
        <v>No</v>
      </c>
    </row>
    <row r="88" spans="1:5" x14ac:dyDescent="0.2">
      <c r="A88" s="2" t="s">
        <v>553</v>
      </c>
      <c r="B88" s="2" t="s">
        <v>375</v>
      </c>
      <c r="C88" s="7">
        <v>1690504</v>
      </c>
      <c r="D88" s="7">
        <f t="shared" si="3"/>
        <v>40531</v>
      </c>
      <c r="E88" s="2" t="str">
        <f>IF(D88&gt;Parameters!$B$12,"Yes","No")</f>
        <v>No</v>
      </c>
    </row>
    <row r="89" spans="1:5" x14ac:dyDescent="0.2">
      <c r="A89" s="2" t="s">
        <v>382</v>
      </c>
      <c r="B89" s="2" t="s">
        <v>375</v>
      </c>
      <c r="C89" s="7">
        <v>1724632</v>
      </c>
      <c r="D89" s="7">
        <f t="shared" si="3"/>
        <v>34128</v>
      </c>
      <c r="E89" s="2" t="str">
        <f>IF(D89&gt;Parameters!$B$12,"Yes","No")</f>
        <v>No</v>
      </c>
    </row>
    <row r="90" spans="1:5" x14ac:dyDescent="0.2">
      <c r="A90" s="2" t="s">
        <v>388</v>
      </c>
      <c r="B90" s="2" t="s">
        <v>375</v>
      </c>
      <c r="C90" s="7">
        <v>1752661</v>
      </c>
      <c r="D90" s="7">
        <f t="shared" si="3"/>
        <v>28029</v>
      </c>
      <c r="E90" s="2" t="str">
        <f>IF(D90&gt;Parameters!$B$12,"Yes","No")</f>
        <v>No</v>
      </c>
    </row>
    <row r="91" spans="1:5" x14ac:dyDescent="0.2">
      <c r="A91" s="2" t="s">
        <v>554</v>
      </c>
      <c r="B91" s="2" t="s">
        <v>375</v>
      </c>
      <c r="C91" s="7">
        <v>1780577</v>
      </c>
      <c r="D91" s="7">
        <f t="shared" si="3"/>
        <v>27916</v>
      </c>
      <c r="E91" s="2" t="str">
        <f>IF(D91&gt;Parameters!$B$12,"Yes","No")</f>
        <v>No</v>
      </c>
    </row>
    <row r="92" spans="1:5" x14ac:dyDescent="0.2">
      <c r="A92" s="2" t="s">
        <v>555</v>
      </c>
      <c r="B92" s="2" t="s">
        <v>375</v>
      </c>
      <c r="C92" s="7">
        <v>1819521</v>
      </c>
      <c r="D92" s="7">
        <f t="shared" si="3"/>
        <v>38944</v>
      </c>
      <c r="E92" s="2" t="str">
        <f>IF(D92&gt;Parameters!$B$12,"Yes","No")</f>
        <v>No</v>
      </c>
    </row>
    <row r="93" spans="1:5" x14ac:dyDescent="0.2">
      <c r="A93" s="2" t="s">
        <v>390</v>
      </c>
      <c r="B93" s="2" t="s">
        <v>375</v>
      </c>
      <c r="C93" s="7">
        <v>1823199</v>
      </c>
      <c r="D93" s="7">
        <f t="shared" si="3"/>
        <v>3678</v>
      </c>
      <c r="E93" s="2" t="str">
        <f>IF(D93&gt;Parameters!$B$12,"Yes","No")</f>
        <v>No</v>
      </c>
    </row>
    <row r="94" spans="1:5" x14ac:dyDescent="0.2">
      <c r="A94" s="2" t="s">
        <v>556</v>
      </c>
      <c r="B94" s="2" t="s">
        <v>375</v>
      </c>
      <c r="C94" s="7">
        <v>1825943</v>
      </c>
      <c r="D94" s="7">
        <f t="shared" si="3"/>
        <v>2744</v>
      </c>
      <c r="E94" s="2" t="str">
        <f>IF(D94&gt;Parameters!$B$12,"Yes","No")</f>
        <v>No</v>
      </c>
    </row>
    <row r="95" spans="1:5" x14ac:dyDescent="0.2">
      <c r="A95" s="2" t="s">
        <v>384</v>
      </c>
      <c r="B95" s="2" t="s">
        <v>375</v>
      </c>
      <c r="C95" s="7">
        <v>1860669</v>
      </c>
      <c r="D95" s="7">
        <f t="shared" si="3"/>
        <v>34726</v>
      </c>
      <c r="E95" s="2" t="str">
        <f>IF(D95&gt;Parameters!$B$12,"Yes","No")</f>
        <v>No</v>
      </c>
    </row>
    <row r="96" spans="1:5" x14ac:dyDescent="0.2">
      <c r="A96" s="2" t="s">
        <v>383</v>
      </c>
      <c r="B96" s="2" t="s">
        <v>375</v>
      </c>
      <c r="C96" s="7">
        <v>1891352</v>
      </c>
      <c r="D96" s="7">
        <f t="shared" si="3"/>
        <v>30683</v>
      </c>
      <c r="E96" s="2" t="str">
        <f>IF(D96&gt;Parameters!$B$12,"Yes","No")</f>
        <v>No</v>
      </c>
    </row>
    <row r="97" spans="1:5" x14ac:dyDescent="0.2">
      <c r="A97" s="2" t="s">
        <v>179</v>
      </c>
      <c r="B97" s="2" t="s">
        <v>375</v>
      </c>
      <c r="C97" s="7">
        <v>1925843</v>
      </c>
      <c r="D97" s="7">
        <f t="shared" si="3"/>
        <v>34491</v>
      </c>
      <c r="E97" s="2" t="str">
        <f>IF(D97&gt;Parameters!$B$12,"Yes","No")</f>
        <v>No</v>
      </c>
    </row>
    <row r="98" spans="1:5" x14ac:dyDescent="0.2">
      <c r="A98" s="3"/>
      <c r="B98" s="3"/>
      <c r="C98" s="3"/>
      <c r="D98" s="3"/>
    </row>
    <row r="99" spans="1:5" x14ac:dyDescent="0.2">
      <c r="A99" s="3" t="s">
        <v>190</v>
      </c>
      <c r="B99" s="3" t="s">
        <v>557</v>
      </c>
      <c r="C99" s="3" t="s">
        <v>558</v>
      </c>
      <c r="D99" s="3" t="s">
        <v>559</v>
      </c>
    </row>
    <row r="100" spans="1:5" x14ac:dyDescent="0.2">
      <c r="A100" s="8" t="s">
        <v>45</v>
      </c>
      <c r="B100" s="10">
        <f>_xlfn.MAXIFS($D$5:$D$97,$B$5:$B$97,"Jul")</f>
        <v>44880</v>
      </c>
      <c r="C100" s="11">
        <f>COUNTIFS($B$5:$B$97,"Jul",$E$5:$E$97,"Yes")</f>
        <v>0</v>
      </c>
      <c r="D100" s="10">
        <f>SUMIFS($D$5:$D$97,$B$5:$B$97,"Jul")</f>
        <v>796616</v>
      </c>
    </row>
    <row r="101" spans="1:5" x14ac:dyDescent="0.2">
      <c r="A101" s="8" t="s">
        <v>89</v>
      </c>
      <c r="B101" s="10">
        <f>_xlfn.MAXIFS($D$5:$D$97,$B$5:$B$97,"Aug")</f>
        <v>46150</v>
      </c>
      <c r="C101" s="11">
        <f>COUNTIFS($B$5:$B$97,"Aug",$E$5:$E$97,"Yes")</f>
        <v>1</v>
      </c>
      <c r="D101" s="10">
        <f>SUMIFS($D$5:$D$97,$B$5:$B$97,"Aug")</f>
        <v>770906</v>
      </c>
    </row>
    <row r="102" spans="1:5" x14ac:dyDescent="0.2">
      <c r="A102" s="8" t="s">
        <v>107</v>
      </c>
      <c r="B102" s="10">
        <f>_xlfn.MAXIFS($D$5:$D$97,$B$5:$B$97,"Sep")</f>
        <v>43650</v>
      </c>
      <c r="C102" s="11">
        <f>COUNTIFS($B$5:$B$97,"Sep",$E$5:$E$97,"Yes")</f>
        <v>0</v>
      </c>
      <c r="D102" s="10">
        <f>SUMIFS($D$5:$D$97,$B$5:$B$97,"Sep")</f>
        <v>752070</v>
      </c>
    </row>
    <row r="103" spans="1:5" x14ac:dyDescent="0.2">
      <c r="A103" s="26"/>
      <c r="D103" s="10"/>
    </row>
    <row r="104" spans="1:5" x14ac:dyDescent="0.2">
      <c r="A104" s="8" t="s">
        <v>560</v>
      </c>
      <c r="D104" s="10">
        <f>SUM(D5:D97)</f>
        <v>2319592</v>
      </c>
    </row>
    <row r="105" spans="1:5" x14ac:dyDescent="0.2">
      <c r="A105" s="15"/>
      <c r="B105" s="15"/>
    </row>
    <row r="106" spans="1:5" x14ac:dyDescent="0.2">
      <c r="A106" s="3" t="s">
        <v>561</v>
      </c>
      <c r="B106" s="3" t="s">
        <v>562</v>
      </c>
    </row>
    <row r="107" spans="1:5" x14ac:dyDescent="0.2">
      <c r="A107" s="8" t="s">
        <v>563</v>
      </c>
      <c r="B107" s="10">
        <f>D76</f>
        <v>43650</v>
      </c>
    </row>
    <row r="108" spans="1:5" x14ac:dyDescent="0.2">
      <c r="A108" s="8" t="s">
        <v>564</v>
      </c>
      <c r="B108" s="10">
        <v>2900</v>
      </c>
    </row>
    <row r="109" spans="1:5" x14ac:dyDescent="0.2">
      <c r="A109" s="8" t="s">
        <v>565</v>
      </c>
      <c r="B109" s="10">
        <f>SUM(B107:B108)</f>
        <v>46550</v>
      </c>
    </row>
    <row r="110" spans="1:5" x14ac:dyDescent="0.2">
      <c r="A110" s="8" t="s">
        <v>566</v>
      </c>
      <c r="B110" s="10">
        <f>MAX(B102,B109)</f>
        <v>46550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2"/>
  <sheetViews>
    <sheetView workbookViewId="0"/>
  </sheetViews>
  <sheetFormatPr baseColWidth="10" defaultColWidth="8.83203125" defaultRowHeight="15" x14ac:dyDescent="0.2"/>
  <cols>
    <col min="1" max="1" width="50" customWidth="1"/>
    <col min="2" max="2" width="18" customWidth="1"/>
    <col min="3" max="3" width="28" customWidth="1"/>
    <col min="4" max="4" width="44" customWidth="1"/>
    <col min="5" max="5" width="18" customWidth="1"/>
    <col min="6" max="6" width="40" customWidth="1"/>
    <col min="7" max="7" width="10" customWidth="1"/>
  </cols>
  <sheetData>
    <row r="1" spans="1:7" ht="16" customHeight="1" x14ac:dyDescent="0.2">
      <c r="A1" s="12" t="s">
        <v>567</v>
      </c>
    </row>
    <row r="2" spans="1:7" x14ac:dyDescent="0.2">
      <c r="A2" s="13" t="s">
        <v>568</v>
      </c>
    </row>
    <row r="3" spans="1:7" x14ac:dyDescent="0.2">
      <c r="A3" s="15" t="s">
        <v>569</v>
      </c>
      <c r="B3" s="15" t="s">
        <v>38</v>
      </c>
      <c r="C3" s="15" t="s">
        <v>570</v>
      </c>
      <c r="D3" s="15" t="s">
        <v>571</v>
      </c>
      <c r="E3" s="15" t="s">
        <v>478</v>
      </c>
      <c r="F3" s="15" t="s">
        <v>572</v>
      </c>
      <c r="G3" s="15" t="s">
        <v>573</v>
      </c>
    </row>
    <row r="4" spans="1:7" ht="28" customHeight="1" x14ac:dyDescent="0.2">
      <c r="A4" s="21" t="s">
        <v>574</v>
      </c>
      <c r="B4" s="21" t="s">
        <v>59</v>
      </c>
      <c r="C4" s="21" t="s">
        <v>575</v>
      </c>
      <c r="D4" s="21" t="s">
        <v>576</v>
      </c>
      <c r="E4" s="21" t="s">
        <v>55</v>
      </c>
      <c r="F4" s="21" t="s">
        <v>577</v>
      </c>
      <c r="G4" s="21" t="s">
        <v>578</v>
      </c>
    </row>
    <row r="5" spans="1:7" ht="42" customHeight="1" x14ac:dyDescent="0.2">
      <c r="A5" s="21" t="s">
        <v>579</v>
      </c>
      <c r="B5" s="21" t="s">
        <v>59</v>
      </c>
      <c r="C5" s="21" t="s">
        <v>575</v>
      </c>
      <c r="D5" s="21" t="s">
        <v>576</v>
      </c>
      <c r="E5" s="21" t="s">
        <v>55</v>
      </c>
      <c r="F5" s="21" t="s">
        <v>580</v>
      </c>
      <c r="G5" s="21" t="s">
        <v>578</v>
      </c>
    </row>
    <row r="6" spans="1:7" ht="28" customHeight="1" x14ac:dyDescent="0.2">
      <c r="A6" s="21" t="s">
        <v>581</v>
      </c>
      <c r="B6" s="21" t="s">
        <v>74</v>
      </c>
      <c r="C6" s="21" t="s">
        <v>582</v>
      </c>
      <c r="D6" s="21" t="s">
        <v>583</v>
      </c>
      <c r="E6" s="21" t="s">
        <v>584</v>
      </c>
      <c r="F6" s="21" t="s">
        <v>585</v>
      </c>
      <c r="G6" s="21" t="s">
        <v>25</v>
      </c>
    </row>
    <row r="7" spans="1:7" ht="28" customHeight="1" x14ac:dyDescent="0.2">
      <c r="A7" s="21" t="s">
        <v>586</v>
      </c>
      <c r="B7" s="21" t="s">
        <v>59</v>
      </c>
      <c r="C7" s="21" t="s">
        <v>582</v>
      </c>
      <c r="D7" s="21" t="s">
        <v>576</v>
      </c>
      <c r="E7" s="21" t="s">
        <v>370</v>
      </c>
      <c r="F7" s="21" t="s">
        <v>587</v>
      </c>
      <c r="G7" s="21" t="s">
        <v>25</v>
      </c>
    </row>
    <row r="8" spans="1:7" ht="28" customHeight="1" x14ac:dyDescent="0.2">
      <c r="A8" s="21" t="s">
        <v>588</v>
      </c>
      <c r="B8" s="21" t="s">
        <v>74</v>
      </c>
      <c r="C8" s="21" t="s">
        <v>589</v>
      </c>
      <c r="D8" s="21" t="s">
        <v>583</v>
      </c>
      <c r="E8" s="21" t="s">
        <v>590</v>
      </c>
      <c r="F8" s="21" t="s">
        <v>75</v>
      </c>
      <c r="G8" s="21" t="s">
        <v>591</v>
      </c>
    </row>
    <row r="9" spans="1:7" ht="28" customHeight="1" x14ac:dyDescent="0.2">
      <c r="A9" s="21" t="s">
        <v>592</v>
      </c>
      <c r="B9" s="21" t="s">
        <v>74</v>
      </c>
      <c r="C9" s="21" t="s">
        <v>593</v>
      </c>
      <c r="D9" s="21" t="s">
        <v>583</v>
      </c>
      <c r="E9" s="21" t="s">
        <v>83</v>
      </c>
      <c r="F9" s="21" t="s">
        <v>75</v>
      </c>
      <c r="G9" s="21" t="s">
        <v>591</v>
      </c>
    </row>
    <row r="10" spans="1:7" ht="28" customHeight="1" x14ac:dyDescent="0.2">
      <c r="A10" s="21" t="s">
        <v>594</v>
      </c>
      <c r="B10" s="21" t="s">
        <v>74</v>
      </c>
      <c r="C10" s="21" t="s">
        <v>78</v>
      </c>
      <c r="D10" s="21" t="s">
        <v>595</v>
      </c>
      <c r="E10" s="21" t="s">
        <v>87</v>
      </c>
      <c r="F10" s="21" t="s">
        <v>596</v>
      </c>
      <c r="G10" s="21" t="s">
        <v>591</v>
      </c>
    </row>
    <row r="11" spans="1:7" ht="56" customHeight="1" x14ac:dyDescent="0.2">
      <c r="A11" s="21" t="s">
        <v>597</v>
      </c>
      <c r="B11" s="21" t="s">
        <v>74</v>
      </c>
      <c r="C11" s="21" t="s">
        <v>598</v>
      </c>
      <c r="D11" s="21" t="s">
        <v>583</v>
      </c>
      <c r="E11" s="21" t="s">
        <v>599</v>
      </c>
      <c r="F11" s="21" t="s">
        <v>600</v>
      </c>
      <c r="G11" s="21" t="s">
        <v>578</v>
      </c>
    </row>
    <row r="12" spans="1:7" ht="28" customHeight="1" x14ac:dyDescent="0.2">
      <c r="A12" s="21" t="s">
        <v>601</v>
      </c>
      <c r="B12" s="21" t="s">
        <v>59</v>
      </c>
      <c r="C12" s="21" t="s">
        <v>598</v>
      </c>
      <c r="D12" s="21" t="s">
        <v>576</v>
      </c>
      <c r="E12" s="21" t="s">
        <v>555</v>
      </c>
      <c r="F12" s="21" t="s">
        <v>602</v>
      </c>
      <c r="G12" s="21" t="s">
        <v>25</v>
      </c>
    </row>
    <row r="13" spans="1:7" ht="28" customHeight="1" x14ac:dyDescent="0.2">
      <c r="A13" s="21" t="s">
        <v>603</v>
      </c>
      <c r="B13" s="21" t="s">
        <v>74</v>
      </c>
      <c r="C13" s="21" t="s">
        <v>604</v>
      </c>
      <c r="D13" s="21" t="s">
        <v>583</v>
      </c>
      <c r="E13" s="21" t="s">
        <v>605</v>
      </c>
      <c r="F13" s="21" t="s">
        <v>606</v>
      </c>
      <c r="G13" s="21" t="s">
        <v>578</v>
      </c>
    </row>
    <row r="14" spans="1:7" ht="28" customHeight="1" x14ac:dyDescent="0.2">
      <c r="A14" s="21" t="s">
        <v>607</v>
      </c>
      <c r="B14" s="21" t="s">
        <v>59</v>
      </c>
      <c r="C14" s="21" t="s">
        <v>604</v>
      </c>
      <c r="D14" s="21" t="s">
        <v>576</v>
      </c>
      <c r="E14" s="21" t="s">
        <v>390</v>
      </c>
      <c r="F14" s="21" t="s">
        <v>602</v>
      </c>
      <c r="G14" s="21" t="s">
        <v>25</v>
      </c>
    </row>
    <row r="15" spans="1:7" ht="28" customHeight="1" x14ac:dyDescent="0.2">
      <c r="A15" s="21" t="s">
        <v>608</v>
      </c>
      <c r="B15" s="21" t="s">
        <v>609</v>
      </c>
      <c r="C15" s="21" t="s">
        <v>610</v>
      </c>
      <c r="D15" s="21" t="s">
        <v>583</v>
      </c>
      <c r="E15" s="21" t="s">
        <v>611</v>
      </c>
      <c r="F15" s="21" t="s">
        <v>612</v>
      </c>
      <c r="G15" s="21" t="s">
        <v>578</v>
      </c>
    </row>
    <row r="16" spans="1:7" ht="14" customHeight="1" x14ac:dyDescent="0.2">
      <c r="A16" s="21" t="s">
        <v>613</v>
      </c>
      <c r="B16" s="21" t="s">
        <v>74</v>
      </c>
      <c r="C16" s="21" t="s">
        <v>103</v>
      </c>
      <c r="D16" s="21" t="s">
        <v>595</v>
      </c>
      <c r="E16" s="21" t="s">
        <v>377</v>
      </c>
      <c r="F16" s="21" t="s">
        <v>377</v>
      </c>
      <c r="G16" s="21" t="s">
        <v>25</v>
      </c>
    </row>
    <row r="17" spans="1:7" ht="28" customHeight="1" x14ac:dyDescent="0.2">
      <c r="A17" s="21" t="s">
        <v>614</v>
      </c>
      <c r="B17" s="21" t="s">
        <v>74</v>
      </c>
      <c r="C17" s="21" t="s">
        <v>615</v>
      </c>
      <c r="D17" s="21" t="s">
        <v>583</v>
      </c>
      <c r="E17" s="21" t="s">
        <v>616</v>
      </c>
      <c r="F17" s="21" t="s">
        <v>75</v>
      </c>
      <c r="G17" s="21" t="s">
        <v>591</v>
      </c>
    </row>
    <row r="18" spans="1:7" ht="28" customHeight="1" x14ac:dyDescent="0.2">
      <c r="A18" s="21" t="s">
        <v>617</v>
      </c>
      <c r="B18" s="21" t="s">
        <v>59</v>
      </c>
      <c r="C18" s="21" t="s">
        <v>615</v>
      </c>
      <c r="D18" s="21" t="s">
        <v>576</v>
      </c>
      <c r="E18" s="21" t="s">
        <v>618</v>
      </c>
      <c r="F18" s="21" t="s">
        <v>619</v>
      </c>
      <c r="G18" s="21" t="s">
        <v>25</v>
      </c>
    </row>
    <row r="19" spans="1:7" ht="28" customHeight="1" x14ac:dyDescent="0.2">
      <c r="A19" s="21" t="s">
        <v>620</v>
      </c>
      <c r="B19" s="21" t="s">
        <v>74</v>
      </c>
      <c r="C19" s="21" t="s">
        <v>621</v>
      </c>
      <c r="D19" s="21" t="s">
        <v>583</v>
      </c>
      <c r="E19" s="21" t="s">
        <v>622</v>
      </c>
      <c r="F19" s="21" t="s">
        <v>623</v>
      </c>
      <c r="G19" s="21" t="s">
        <v>25</v>
      </c>
    </row>
    <row r="20" spans="1:7" ht="28" customHeight="1" x14ac:dyDescent="0.2">
      <c r="A20" s="21" t="s">
        <v>624</v>
      </c>
      <c r="B20" s="21" t="s">
        <v>59</v>
      </c>
      <c r="C20" s="21" t="s">
        <v>621</v>
      </c>
      <c r="D20" s="21" t="s">
        <v>576</v>
      </c>
      <c r="E20" s="21" t="s">
        <v>625</v>
      </c>
      <c r="F20" s="21" t="s">
        <v>626</v>
      </c>
      <c r="G20" s="21" t="s">
        <v>25</v>
      </c>
    </row>
    <row r="21" spans="1:7" ht="28" customHeight="1" x14ac:dyDescent="0.2">
      <c r="A21" s="21" t="s">
        <v>627</v>
      </c>
      <c r="B21" s="21" t="s">
        <v>74</v>
      </c>
      <c r="C21" s="21" t="s">
        <v>628</v>
      </c>
      <c r="D21" s="21" t="s">
        <v>583</v>
      </c>
      <c r="E21" s="21" t="s">
        <v>629</v>
      </c>
      <c r="F21" s="21" t="s">
        <v>630</v>
      </c>
      <c r="G21" s="21" t="s">
        <v>25</v>
      </c>
    </row>
    <row r="22" spans="1:7" ht="28" customHeight="1" x14ac:dyDescent="0.2">
      <c r="A22" s="21" t="s">
        <v>631</v>
      </c>
      <c r="B22" s="21" t="s">
        <v>74</v>
      </c>
      <c r="C22" s="21" t="s">
        <v>125</v>
      </c>
      <c r="D22" s="21" t="s">
        <v>595</v>
      </c>
      <c r="E22" s="21" t="s">
        <v>382</v>
      </c>
      <c r="F22" s="21" t="s">
        <v>553</v>
      </c>
      <c r="G22" s="21" t="s">
        <v>25</v>
      </c>
    </row>
    <row r="23" spans="1:7" ht="28" customHeight="1" x14ac:dyDescent="0.2">
      <c r="A23" s="21" t="s">
        <v>632</v>
      </c>
      <c r="B23" s="21" t="s">
        <v>633</v>
      </c>
      <c r="C23" s="21" t="s">
        <v>634</v>
      </c>
      <c r="D23" s="21" t="s">
        <v>635</v>
      </c>
      <c r="E23" s="21" t="s">
        <v>489</v>
      </c>
      <c r="F23" s="21" t="s">
        <v>636</v>
      </c>
      <c r="G23" s="21" t="s">
        <v>25</v>
      </c>
    </row>
    <row r="24" spans="1:7" ht="28" customHeight="1" x14ac:dyDescent="0.2">
      <c r="A24" s="21" t="s">
        <v>637</v>
      </c>
      <c r="B24" s="21" t="s">
        <v>638</v>
      </c>
      <c r="C24" s="21" t="s">
        <v>639</v>
      </c>
      <c r="D24" s="21" t="s">
        <v>640</v>
      </c>
      <c r="E24" s="21" t="s">
        <v>625</v>
      </c>
      <c r="F24" s="21" t="s">
        <v>641</v>
      </c>
      <c r="G24" s="21" t="s">
        <v>642</v>
      </c>
    </row>
    <row r="25" spans="1:7" ht="28" customHeight="1" x14ac:dyDescent="0.2">
      <c r="A25" s="21" t="s">
        <v>643</v>
      </c>
      <c r="B25" s="21" t="s">
        <v>644</v>
      </c>
      <c r="C25" s="21" t="s">
        <v>645</v>
      </c>
      <c r="D25" s="21" t="s">
        <v>646</v>
      </c>
      <c r="E25" s="21" t="s">
        <v>647</v>
      </c>
      <c r="F25" s="21" t="s">
        <v>648</v>
      </c>
      <c r="G25" s="21" t="s">
        <v>649</v>
      </c>
    </row>
    <row r="27" spans="1:7" x14ac:dyDescent="0.2">
      <c r="A27" s="15" t="s">
        <v>650</v>
      </c>
      <c r="B27" s="15" t="s">
        <v>651</v>
      </c>
    </row>
    <row r="28" spans="1:7" x14ac:dyDescent="0.2">
      <c r="A28" s="13" t="s">
        <v>652</v>
      </c>
      <c r="B28" s="17">
        <f>COUNTIFS($G$4:$G$25,"Met")</f>
        <v>11</v>
      </c>
    </row>
    <row r="29" spans="1:7" x14ac:dyDescent="0.2">
      <c r="A29" s="13" t="s">
        <v>653</v>
      </c>
      <c r="B29" s="17">
        <f>COUNTIFS($G$4:$G$25,"Late")</f>
        <v>5</v>
      </c>
    </row>
    <row r="30" spans="1:7" x14ac:dyDescent="0.2">
      <c r="A30" s="13" t="s">
        <v>654</v>
      </c>
      <c r="B30" s="17">
        <f>COUNTIFS($G$4:$G$25,"Not made")</f>
        <v>4</v>
      </c>
    </row>
    <row r="31" spans="1:7" x14ac:dyDescent="0.2">
      <c r="A31" s="13" t="s">
        <v>655</v>
      </c>
      <c r="B31" s="17">
        <f>COUNTIFS($G$4:$G$25,"Pending")</f>
        <v>1</v>
      </c>
    </row>
    <row r="32" spans="1:7" x14ac:dyDescent="0.2">
      <c r="A32" s="13" t="s">
        <v>656</v>
      </c>
      <c r="B32" s="17">
        <f>COUNTIFS($G$4:$G$25,"Open")</f>
        <v>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9"/>
  <sheetViews>
    <sheetView workbookViewId="0"/>
  </sheetViews>
  <sheetFormatPr baseColWidth="10" defaultColWidth="8.83203125" defaultRowHeight="15" x14ac:dyDescent="0.2"/>
  <cols>
    <col min="1" max="1" width="118" customWidth="1"/>
  </cols>
  <sheetData>
    <row r="1" spans="1:1" x14ac:dyDescent="0.2">
      <c r="A1" s="26" t="s">
        <v>657</v>
      </c>
    </row>
    <row r="2" spans="1:1" x14ac:dyDescent="0.2">
      <c r="A2" s="13" t="s">
        <v>658</v>
      </c>
    </row>
    <row r="3" spans="1:1" x14ac:dyDescent="0.2">
      <c r="A3" s="13" t="s">
        <v>659</v>
      </c>
    </row>
    <row r="5" spans="1:1" ht="70" customHeight="1" x14ac:dyDescent="0.2">
      <c r="A5" s="21" t="s">
        <v>660</v>
      </c>
    </row>
    <row r="6" spans="1:1" ht="56" customHeight="1" x14ac:dyDescent="0.2">
      <c r="A6" s="21" t="s">
        <v>661</v>
      </c>
    </row>
    <row r="7" spans="1:1" ht="126" customHeight="1" x14ac:dyDescent="0.2">
      <c r="A7" s="21" t="s">
        <v>662</v>
      </c>
    </row>
    <row r="8" spans="1:1" ht="84" customHeight="1" x14ac:dyDescent="0.2">
      <c r="A8" s="21" t="s">
        <v>663</v>
      </c>
    </row>
    <row r="9" spans="1:1" ht="84" customHeight="1" x14ac:dyDescent="0.2">
      <c r="A9" s="21" t="s">
        <v>664</v>
      </c>
    </row>
    <row r="10" spans="1:1" ht="56" customHeight="1" x14ac:dyDescent="0.2">
      <c r="A10" s="21" t="s">
        <v>665</v>
      </c>
    </row>
    <row r="11" spans="1:1" ht="98" customHeight="1" x14ac:dyDescent="0.2">
      <c r="A11" s="21" t="s">
        <v>666</v>
      </c>
    </row>
    <row r="12" spans="1:1" ht="42" customHeight="1" x14ac:dyDescent="0.2">
      <c r="A12" s="21" t="s">
        <v>667</v>
      </c>
    </row>
    <row r="13" spans="1:1" ht="84" customHeight="1" x14ac:dyDescent="0.2">
      <c r="A13" s="21" t="s">
        <v>668</v>
      </c>
    </row>
    <row r="14" spans="1:1" ht="70" customHeight="1" x14ac:dyDescent="0.2">
      <c r="A14" s="21" t="s">
        <v>669</v>
      </c>
    </row>
    <row r="15" spans="1:1" ht="126" customHeight="1" x14ac:dyDescent="0.2">
      <c r="A15" s="21" t="s">
        <v>670</v>
      </c>
    </row>
    <row r="16" spans="1:1" ht="70" customHeight="1" x14ac:dyDescent="0.2">
      <c r="A16" s="21" t="s">
        <v>671</v>
      </c>
    </row>
    <row r="17" spans="1:1" ht="98" customHeight="1" x14ac:dyDescent="0.2">
      <c r="A17" s="21" t="s">
        <v>672</v>
      </c>
    </row>
    <row r="18" spans="1:1" ht="84" customHeight="1" x14ac:dyDescent="0.2">
      <c r="A18" s="21" t="s">
        <v>673</v>
      </c>
    </row>
    <row r="19" spans="1:1" ht="84" customHeight="1" x14ac:dyDescent="0.2">
      <c r="A19" s="21" t="s">
        <v>674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SMR Q3</vt:lpstr>
      <vt:lpstr>Parameters</vt:lpstr>
      <vt:lpstr>Lab Data</vt:lpstr>
      <vt:lpstr>Monthly Stats</vt:lpstr>
      <vt:lpstr>SNC Review</vt:lpstr>
      <vt:lpstr>Flow Q3</vt:lpstr>
      <vt:lpstr>Notifications</vt:lpstr>
      <vt:lpstr>Note to Gordon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Talcott Environmental Services</dc:creator>
  <dc:title xmlns:dc="http://purl.org/dc/elements/1.1/">Vandeveer Plating LLC - Self-Monitoring Report, Third Quarter 2026</dc:title>
  <dcterms:created xmlns:dcterms="http://purl.org/dc/terms/" xmlns:xsi="http://www.w3.org/2001/XMLSchema-instance" xsi:type="dcterms:W3CDTF">2026-10-08T08:30:12Z</dcterms:created>
  <dcterms:modified xmlns:dcterms="http://purl.org/dc/terms/" xmlns:xsi="http://www.w3.org/2001/XMLSchema-instance" xsi:type="dcterms:W3CDTF">2026-10-12T10:44:27Z</dcterms:modified>
  <cp:lastModifiedBy>Talcott Environmental Services</cp:lastModifiedBy>
</cp:coreProperties>
</file>