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0F25910F-3CEC-F14B-86A3-58B981756A2C}" xr6:coauthVersionLast="47" xr6:coauthVersionMax="47" xr10:uidLastSave="{00000000-0000-0000-0000-000000000000}"/>
  <bookViews>
    <workbookView xWindow="0" yWindow="600" windowWidth="21600" windowHeight="36520" xr2:uid="{00000000-000D-0000-FFFF-FFFF00000000}"/>
  </bookViews>
  <sheets>
    <sheet name="SMR Q3" sheetId="1" r:id="rId1"/>
    <sheet name="Parameters" sheetId="2" r:id="rId2"/>
    <sheet name="Lab Data" sheetId="3" r:id="rId3"/>
    <sheet name="Monthly Stats" sheetId="4" r:id="rId4"/>
    <sheet name="SNC Review" sheetId="5" r:id="rId5"/>
    <sheet name="Flow Q3" sheetId="6" r:id="rId6"/>
    <sheet name="Notifications" sheetId="7" r:id="rId7"/>
    <sheet name="Note to Gord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5" i="7" l="1"/>
  <c r="B34" i="7"/>
  <c r="B33" i="7"/>
  <c r="B32" i="7"/>
  <c r="B31" i="7"/>
  <c r="D97" i="6"/>
  <c r="E97" i="6" s="1"/>
  <c r="D96" i="6"/>
  <c r="E96" i="6" s="1"/>
  <c r="D95" i="6"/>
  <c r="E95" i="6" s="1"/>
  <c r="D94" i="6"/>
  <c r="E94" i="6" s="1"/>
  <c r="D93" i="6"/>
  <c r="E93" i="6" s="1"/>
  <c r="D92" i="6"/>
  <c r="E92" i="6" s="1"/>
  <c r="D91" i="6"/>
  <c r="E91" i="6" s="1"/>
  <c r="D90" i="6"/>
  <c r="E90" i="6" s="1"/>
  <c r="D89" i="6"/>
  <c r="E89" i="6" s="1"/>
  <c r="D88" i="6"/>
  <c r="E88" i="6" s="1"/>
  <c r="D87" i="6"/>
  <c r="E87" i="6" s="1"/>
  <c r="D86" i="6"/>
  <c r="E86" i="6" s="1"/>
  <c r="D85" i="6"/>
  <c r="E85" i="6" s="1"/>
  <c r="D84" i="6"/>
  <c r="E84" i="6" s="1"/>
  <c r="D83" i="6"/>
  <c r="E83" i="6" s="1"/>
  <c r="D82" i="6"/>
  <c r="E82" i="6" s="1"/>
  <c r="D81" i="6"/>
  <c r="E81" i="6" s="1"/>
  <c r="D80" i="6"/>
  <c r="E80" i="6" s="1"/>
  <c r="D79" i="6"/>
  <c r="E79" i="6" s="1"/>
  <c r="D78" i="6"/>
  <c r="E78" i="6" s="1"/>
  <c r="D77" i="6"/>
  <c r="E77" i="6" s="1"/>
  <c r="D76" i="6"/>
  <c r="D75" i="6"/>
  <c r="E75" i="6" s="1"/>
  <c r="D74" i="6"/>
  <c r="E74" i="6" s="1"/>
  <c r="D73" i="6"/>
  <c r="E73" i="6" s="1"/>
  <c r="D72" i="6"/>
  <c r="E72" i="6" s="1"/>
  <c r="D71" i="6"/>
  <c r="E71" i="6" s="1"/>
  <c r="D70" i="6"/>
  <c r="E70" i="6" s="1"/>
  <c r="D69" i="6"/>
  <c r="E69" i="6" s="1"/>
  <c r="D68" i="6"/>
  <c r="D67" i="6"/>
  <c r="E67" i="6" s="1"/>
  <c r="D66" i="6"/>
  <c r="E66" i="6" s="1"/>
  <c r="D65" i="6"/>
  <c r="E65" i="6" s="1"/>
  <c r="D64" i="6"/>
  <c r="E64" i="6" s="1"/>
  <c r="D63" i="6"/>
  <c r="E63" i="6" s="1"/>
  <c r="D62" i="6"/>
  <c r="E62" i="6" s="1"/>
  <c r="D61" i="6"/>
  <c r="E61" i="6" s="1"/>
  <c r="D60" i="6"/>
  <c r="E60" i="6" s="1"/>
  <c r="D59" i="6"/>
  <c r="E59" i="6" s="1"/>
  <c r="D58" i="6"/>
  <c r="E58" i="6" s="1"/>
  <c r="D57" i="6"/>
  <c r="E57" i="6" s="1"/>
  <c r="D56" i="6"/>
  <c r="E56" i="6" s="1"/>
  <c r="D55" i="6"/>
  <c r="E55" i="6" s="1"/>
  <c r="D54" i="6"/>
  <c r="E54" i="6" s="1"/>
  <c r="D53" i="6"/>
  <c r="E53" i="6" s="1"/>
  <c r="D52" i="6"/>
  <c r="E52" i="6" s="1"/>
  <c r="D51" i="6"/>
  <c r="E51" i="6" s="1"/>
  <c r="D50" i="6"/>
  <c r="E50" i="6" s="1"/>
  <c r="D49" i="6"/>
  <c r="E49" i="6" s="1"/>
  <c r="D48" i="6"/>
  <c r="E48" i="6" s="1"/>
  <c r="D47" i="6"/>
  <c r="E47" i="6" s="1"/>
  <c r="D46" i="6"/>
  <c r="E46" i="6" s="1"/>
  <c r="D45" i="6"/>
  <c r="E45" i="6" s="1"/>
  <c r="D44" i="6"/>
  <c r="E44" i="6" s="1"/>
  <c r="D43" i="6"/>
  <c r="E43" i="6" s="1"/>
  <c r="D42" i="6"/>
  <c r="E42" i="6" s="1"/>
  <c r="D41" i="6"/>
  <c r="E41" i="6" s="1"/>
  <c r="D40" i="6"/>
  <c r="E40" i="6" s="1"/>
  <c r="D39" i="6"/>
  <c r="E39" i="6" s="1"/>
  <c r="D38" i="6"/>
  <c r="E38" i="6" s="1"/>
  <c r="D37" i="6"/>
  <c r="D36" i="6"/>
  <c r="E36" i="6" s="1"/>
  <c r="D35" i="6"/>
  <c r="E35" i="6" s="1"/>
  <c r="D34" i="6"/>
  <c r="E34" i="6" s="1"/>
  <c r="D33" i="6"/>
  <c r="E33" i="6" s="1"/>
  <c r="D32" i="6"/>
  <c r="E32" i="6" s="1"/>
  <c r="D31" i="6"/>
  <c r="E31" i="6" s="1"/>
  <c r="D30" i="6"/>
  <c r="E30" i="6" s="1"/>
  <c r="D29" i="6"/>
  <c r="E29" i="6" s="1"/>
  <c r="D28" i="6"/>
  <c r="E28" i="6" s="1"/>
  <c r="D27" i="6"/>
  <c r="E27" i="6" s="1"/>
  <c r="D26" i="6"/>
  <c r="E26" i="6" s="1"/>
  <c r="D25" i="6"/>
  <c r="E25" i="6" s="1"/>
  <c r="D24" i="6"/>
  <c r="E24" i="6" s="1"/>
  <c r="D23" i="6"/>
  <c r="E23" i="6" s="1"/>
  <c r="D22" i="6"/>
  <c r="E22" i="6" s="1"/>
  <c r="D20" i="6"/>
  <c r="E20" i="6" s="1"/>
  <c r="D19" i="6"/>
  <c r="E19" i="6" s="1"/>
  <c r="D18" i="6"/>
  <c r="E18" i="6" s="1"/>
  <c r="D17" i="6"/>
  <c r="E17" i="6" s="1"/>
  <c r="D16" i="6"/>
  <c r="D15" i="6"/>
  <c r="E15" i="6" s="1"/>
  <c r="D14" i="6"/>
  <c r="E14" i="6" s="1"/>
  <c r="D13" i="6"/>
  <c r="E13" i="6" s="1"/>
  <c r="D12" i="6"/>
  <c r="E12" i="6" s="1"/>
  <c r="D11" i="6"/>
  <c r="E11" i="6" s="1"/>
  <c r="D10" i="6"/>
  <c r="E10" i="6" s="1"/>
  <c r="D9" i="6"/>
  <c r="E9" i="6" s="1"/>
  <c r="D8" i="6"/>
  <c r="E8" i="6" s="1"/>
  <c r="D7" i="6"/>
  <c r="E7" i="6" s="1"/>
  <c r="D6" i="6"/>
  <c r="E6" i="6" s="1"/>
  <c r="D5" i="6"/>
  <c r="E5" i="6" s="1"/>
  <c r="F36" i="5"/>
  <c r="F35" i="5"/>
  <c r="N10" i="5"/>
  <c r="M10" i="5"/>
  <c r="D10" i="5"/>
  <c r="C10" i="5"/>
  <c r="N9" i="5"/>
  <c r="M9" i="5"/>
  <c r="D9" i="5"/>
  <c r="C9" i="5"/>
  <c r="N8" i="5"/>
  <c r="M8" i="5"/>
  <c r="D8" i="5"/>
  <c r="C8" i="5"/>
  <c r="N7" i="5"/>
  <c r="M7" i="5"/>
  <c r="D7" i="5"/>
  <c r="C7" i="5"/>
  <c r="N6" i="5"/>
  <c r="M6" i="5"/>
  <c r="D6" i="5"/>
  <c r="C6" i="5"/>
  <c r="N5" i="5"/>
  <c r="M5" i="5"/>
  <c r="D5" i="5"/>
  <c r="C5" i="5"/>
  <c r="F22" i="4"/>
  <c r="E35" i="1" s="1"/>
  <c r="D22" i="4"/>
  <c r="C35" i="1" s="1"/>
  <c r="C22" i="4"/>
  <c r="B35" i="1" s="1"/>
  <c r="F21" i="4"/>
  <c r="E34" i="1" s="1"/>
  <c r="D21" i="4"/>
  <c r="C34" i="1" s="1"/>
  <c r="C21" i="4"/>
  <c r="B34" i="1" s="1"/>
  <c r="F20" i="4"/>
  <c r="E33" i="1" s="1"/>
  <c r="D20" i="4"/>
  <c r="C33" i="1" s="1"/>
  <c r="C20" i="4"/>
  <c r="B33" i="1" s="1"/>
  <c r="F19" i="4"/>
  <c r="E32" i="1" s="1"/>
  <c r="D19" i="4"/>
  <c r="C32" i="1" s="1"/>
  <c r="C19" i="4"/>
  <c r="B32" i="1" s="1"/>
  <c r="F18" i="4"/>
  <c r="E31" i="1" s="1"/>
  <c r="D18" i="4"/>
  <c r="C31" i="1" s="1"/>
  <c r="C18" i="4"/>
  <c r="B31" i="1" s="1"/>
  <c r="F17" i="4"/>
  <c r="E30" i="1" s="1"/>
  <c r="D17" i="4"/>
  <c r="C30" i="1" s="1"/>
  <c r="C17" i="4"/>
  <c r="B30" i="1" s="1"/>
  <c r="F16" i="4"/>
  <c r="E24" i="1" s="1"/>
  <c r="D16" i="4"/>
  <c r="C24" i="1" s="1"/>
  <c r="C16" i="4"/>
  <c r="B24" i="1" s="1"/>
  <c r="F15" i="4"/>
  <c r="E23" i="1" s="1"/>
  <c r="D15" i="4"/>
  <c r="C15" i="4"/>
  <c r="F14" i="4"/>
  <c r="D14" i="4"/>
  <c r="C14" i="4"/>
  <c r="F13" i="4"/>
  <c r="D13" i="4"/>
  <c r="C13" i="4"/>
  <c r="F12" i="4"/>
  <c r="D12" i="4"/>
  <c r="C12" i="4"/>
  <c r="F11" i="4"/>
  <c r="D11" i="4"/>
  <c r="C11" i="4"/>
  <c r="F10" i="4"/>
  <c r="D10" i="4"/>
  <c r="C10" i="4"/>
  <c r="F9" i="4"/>
  <c r="D9" i="4"/>
  <c r="C9" i="4"/>
  <c r="F8" i="4"/>
  <c r="D8" i="4"/>
  <c r="C8" i="4"/>
  <c r="F7" i="4"/>
  <c r="D7" i="4"/>
  <c r="C7" i="4"/>
  <c r="F6" i="4"/>
  <c r="D6" i="4"/>
  <c r="C6" i="4"/>
  <c r="F5" i="4"/>
  <c r="D5" i="4"/>
  <c r="C5" i="4"/>
  <c r="CD23" i="3"/>
  <c r="BY23" i="3"/>
  <c r="BX23" i="3"/>
  <c r="BP23" i="3"/>
  <c r="BG23" i="3"/>
  <c r="AX23" i="3"/>
  <c r="AO23" i="3"/>
  <c r="AF23" i="3"/>
  <c r="W23" i="3"/>
  <c r="P23" i="3"/>
  <c r="N23" i="3"/>
  <c r="I23" i="3"/>
  <c r="G23" i="3"/>
  <c r="BZ22" i="3"/>
  <c r="CD22" i="3" s="1"/>
  <c r="P22" i="3" s="1"/>
  <c r="BN22" i="3" s="1"/>
  <c r="BY22" i="3"/>
  <c r="BX22" i="3"/>
  <c r="J22" i="3" s="1"/>
  <c r="BP22" i="3"/>
  <c r="BG22" i="3"/>
  <c r="AX22" i="3"/>
  <c r="AO22" i="3"/>
  <c r="AF22" i="3"/>
  <c r="W22" i="3"/>
  <c r="O22" i="3"/>
  <c r="N22" i="3"/>
  <c r="M22" i="3"/>
  <c r="I22" i="3"/>
  <c r="G22" i="3"/>
  <c r="BZ21" i="3"/>
  <c r="CD21" i="3" s="1"/>
  <c r="P21" i="3" s="1"/>
  <c r="BY21" i="3"/>
  <c r="BX21" i="3"/>
  <c r="BP21" i="3"/>
  <c r="BG21" i="3"/>
  <c r="AX21" i="3"/>
  <c r="AO21" i="3"/>
  <c r="AF21" i="3"/>
  <c r="W21" i="3"/>
  <c r="O21" i="3"/>
  <c r="N21" i="3"/>
  <c r="M21" i="3"/>
  <c r="I21" i="3"/>
  <c r="G21" i="3"/>
  <c r="BZ20" i="3"/>
  <c r="CD20" i="3" s="1"/>
  <c r="P20" i="3" s="1"/>
  <c r="BY20" i="3"/>
  <c r="BX20" i="3"/>
  <c r="BP20" i="3"/>
  <c r="BG20" i="3"/>
  <c r="AX20" i="3"/>
  <c r="AO20" i="3"/>
  <c r="AF20" i="3"/>
  <c r="W20" i="3"/>
  <c r="O20" i="3"/>
  <c r="N20" i="3"/>
  <c r="M20" i="3"/>
  <c r="I20" i="3"/>
  <c r="G20" i="3"/>
  <c r="BX19" i="3"/>
  <c r="BP19" i="3"/>
  <c r="BG19" i="3"/>
  <c r="AX19" i="3"/>
  <c r="AO19" i="3"/>
  <c r="AF19" i="3"/>
  <c r="W19" i="3"/>
  <c r="O19" i="3"/>
  <c r="N19" i="3"/>
  <c r="P19" i="3" s="1"/>
  <c r="M19" i="3"/>
  <c r="I19" i="3"/>
  <c r="G19" i="3"/>
  <c r="CD18" i="3"/>
  <c r="BY18" i="3"/>
  <c r="BX18" i="3"/>
  <c r="BP18" i="3"/>
  <c r="BG18" i="3"/>
  <c r="AX18" i="3"/>
  <c r="AO18" i="3"/>
  <c r="AF18" i="3"/>
  <c r="W18" i="3"/>
  <c r="P18" i="3"/>
  <c r="O18" i="3"/>
  <c r="N18" i="3"/>
  <c r="M18" i="3"/>
  <c r="I18" i="3"/>
  <c r="G18" i="3"/>
  <c r="BZ17" i="3"/>
  <c r="BY17" i="3"/>
  <c r="BX17" i="3"/>
  <c r="J17" i="3" s="1"/>
  <c r="BP17" i="3"/>
  <c r="BG17" i="3"/>
  <c r="AX17" i="3"/>
  <c r="AO17" i="3"/>
  <c r="AF17" i="3"/>
  <c r="W17" i="3"/>
  <c r="I17" i="3"/>
  <c r="G17" i="3"/>
  <c r="BZ16" i="3"/>
  <c r="CD16" i="3" s="1"/>
  <c r="P16" i="3" s="1"/>
  <c r="BY16" i="3"/>
  <c r="BX16" i="3"/>
  <c r="BP16" i="3"/>
  <c r="BG16" i="3"/>
  <c r="AX16" i="3"/>
  <c r="AO16" i="3"/>
  <c r="AF16" i="3"/>
  <c r="W16" i="3"/>
  <c r="O16" i="3"/>
  <c r="N16" i="3"/>
  <c r="M16" i="3"/>
  <c r="I16" i="3"/>
  <c r="G16" i="3"/>
  <c r="BZ15" i="3"/>
  <c r="CD15" i="3" s="1"/>
  <c r="P15" i="3" s="1"/>
  <c r="BY15" i="3"/>
  <c r="BX15" i="3"/>
  <c r="BP15" i="3"/>
  <c r="BG15" i="3"/>
  <c r="AX15" i="3"/>
  <c r="AO15" i="3"/>
  <c r="AF15" i="3"/>
  <c r="W15" i="3"/>
  <c r="O15" i="3"/>
  <c r="N15" i="3"/>
  <c r="M15" i="3"/>
  <c r="I15" i="3"/>
  <c r="G15" i="3"/>
  <c r="BZ14" i="3"/>
  <c r="CD14" i="3" s="1"/>
  <c r="P14" i="3" s="1"/>
  <c r="BY14" i="3"/>
  <c r="BX14" i="3"/>
  <c r="BP14" i="3"/>
  <c r="BG14" i="3"/>
  <c r="AX14" i="3"/>
  <c r="AO14" i="3"/>
  <c r="AF14" i="3"/>
  <c r="W14" i="3"/>
  <c r="O14" i="3"/>
  <c r="N14" i="3"/>
  <c r="M14" i="3"/>
  <c r="I14" i="3"/>
  <c r="G14" i="3"/>
  <c r="BX13" i="3"/>
  <c r="J13" i="3" s="1"/>
  <c r="BP13" i="3"/>
  <c r="BG13" i="3"/>
  <c r="AX13" i="3"/>
  <c r="AO13" i="3"/>
  <c r="AF13" i="3"/>
  <c r="W13" i="3"/>
  <c r="P13" i="3"/>
  <c r="BN13" i="3" s="1"/>
  <c r="O13" i="3"/>
  <c r="N13" i="3"/>
  <c r="M13" i="3"/>
  <c r="I13" i="3"/>
  <c r="G13" i="3"/>
  <c r="BZ12" i="3"/>
  <c r="CD12" i="3" s="1"/>
  <c r="P12" i="3" s="1"/>
  <c r="BY12" i="3"/>
  <c r="BX12" i="3"/>
  <c r="BP12" i="3"/>
  <c r="BG12" i="3"/>
  <c r="AX12" i="3"/>
  <c r="AO12" i="3"/>
  <c r="AF12" i="3"/>
  <c r="W12" i="3"/>
  <c r="O12" i="3"/>
  <c r="N12" i="3"/>
  <c r="M12" i="3"/>
  <c r="I12" i="3"/>
  <c r="G12" i="3"/>
  <c r="BZ11" i="3"/>
  <c r="CD11" i="3" s="1"/>
  <c r="P11" i="3" s="1"/>
  <c r="BY11" i="3"/>
  <c r="BX11" i="3"/>
  <c r="BP11" i="3"/>
  <c r="BG11" i="3"/>
  <c r="AX11" i="3"/>
  <c r="AO11" i="3"/>
  <c r="AF11" i="3"/>
  <c r="W11" i="3"/>
  <c r="O11" i="3"/>
  <c r="N11" i="3"/>
  <c r="M11" i="3"/>
  <c r="I11" i="3"/>
  <c r="G11" i="3"/>
  <c r="BX10" i="3"/>
  <c r="BP10" i="3"/>
  <c r="BG10" i="3"/>
  <c r="AX10" i="3"/>
  <c r="AO10" i="3"/>
  <c r="AF10" i="3"/>
  <c r="W10" i="3"/>
  <c r="O10" i="3"/>
  <c r="N10" i="3"/>
  <c r="P10" i="3" s="1"/>
  <c r="M10" i="3"/>
  <c r="I10" i="3"/>
  <c r="G10" i="3"/>
  <c r="BZ9" i="3"/>
  <c r="CD9" i="3" s="1"/>
  <c r="P9" i="3" s="1"/>
  <c r="BY9" i="3"/>
  <c r="BX9" i="3"/>
  <c r="BP9" i="3"/>
  <c r="BG9" i="3"/>
  <c r="AX9" i="3"/>
  <c r="AO9" i="3"/>
  <c r="AF9" i="3"/>
  <c r="W9" i="3"/>
  <c r="O9" i="3"/>
  <c r="N9" i="3"/>
  <c r="M9" i="3"/>
  <c r="I9" i="3"/>
  <c r="G9" i="3"/>
  <c r="BZ8" i="3"/>
  <c r="BY8" i="3"/>
  <c r="BX8" i="3"/>
  <c r="J8" i="3" s="1"/>
  <c r="BP8" i="3"/>
  <c r="BG8" i="3"/>
  <c r="AX8" i="3"/>
  <c r="AO8" i="3"/>
  <c r="AF8" i="3"/>
  <c r="W8" i="3"/>
  <c r="I8" i="3"/>
  <c r="G8" i="3"/>
  <c r="BZ7" i="3"/>
  <c r="CD7" i="3" s="1"/>
  <c r="P7" i="3" s="1"/>
  <c r="BY7" i="3"/>
  <c r="BX7" i="3"/>
  <c r="BP7" i="3"/>
  <c r="BG7" i="3"/>
  <c r="AX7" i="3"/>
  <c r="AO7" i="3"/>
  <c r="AF7" i="3"/>
  <c r="W7" i="3"/>
  <c r="O7" i="3"/>
  <c r="N7" i="3"/>
  <c r="M7" i="3"/>
  <c r="I7" i="3"/>
  <c r="G7" i="3"/>
  <c r="BZ6" i="3"/>
  <c r="CD6" i="3" s="1"/>
  <c r="P6" i="3" s="1"/>
  <c r="BY6" i="3"/>
  <c r="BX6" i="3"/>
  <c r="BP6" i="3"/>
  <c r="BG6" i="3"/>
  <c r="AX6" i="3"/>
  <c r="AO6" i="3"/>
  <c r="AF6" i="3"/>
  <c r="W6" i="3"/>
  <c r="O6" i="3"/>
  <c r="N6" i="3"/>
  <c r="M6" i="3"/>
  <c r="I6" i="3"/>
  <c r="G6" i="3"/>
  <c r="BZ5" i="3"/>
  <c r="CD5" i="3" s="1"/>
  <c r="P5" i="3" s="1"/>
  <c r="BY5" i="3"/>
  <c r="BX5" i="3"/>
  <c r="BP5" i="3"/>
  <c r="BG5" i="3"/>
  <c r="AX5" i="3"/>
  <c r="AO5" i="3"/>
  <c r="AF5" i="3"/>
  <c r="W5" i="3"/>
  <c r="O5" i="3"/>
  <c r="N5" i="3"/>
  <c r="M5" i="3"/>
  <c r="I5" i="3"/>
  <c r="G5" i="3"/>
  <c r="B31" i="2"/>
  <c r="B29" i="2"/>
  <c r="B28" i="2"/>
  <c r="B81" i="1"/>
  <c r="B80" i="1"/>
  <c r="C61" i="1"/>
  <c r="C55" i="1"/>
  <c r="C52" i="1"/>
  <c r="C49" i="1"/>
  <c r="C41" i="1"/>
  <c r="B37" i="1"/>
  <c r="E36" i="1"/>
  <c r="B26" i="1"/>
  <c r="E25" i="1"/>
  <c r="C23" i="1"/>
  <c r="B23" i="1"/>
  <c r="E22" i="1"/>
  <c r="C22" i="1"/>
  <c r="B22" i="1"/>
  <c r="E21" i="1"/>
  <c r="C21" i="1"/>
  <c r="B21" i="1"/>
  <c r="E20" i="1"/>
  <c r="C20" i="1"/>
  <c r="B20" i="1"/>
  <c r="E19" i="1"/>
  <c r="C19" i="1"/>
  <c r="B19" i="1"/>
  <c r="B15" i="1"/>
  <c r="E14" i="1"/>
  <c r="E13" i="1"/>
  <c r="C13" i="1"/>
  <c r="B13" i="1"/>
  <c r="E12" i="1"/>
  <c r="C12" i="1"/>
  <c r="B12" i="1"/>
  <c r="E11" i="1"/>
  <c r="C11" i="1"/>
  <c r="B11" i="1"/>
  <c r="E10" i="1"/>
  <c r="C10" i="1"/>
  <c r="B10" i="1"/>
  <c r="E9" i="1"/>
  <c r="C9" i="1"/>
  <c r="B9" i="1"/>
  <c r="E8" i="1"/>
  <c r="C8" i="1"/>
  <c r="B8" i="1"/>
  <c r="E76" i="6" l="1"/>
  <c r="B107" i="6"/>
  <c r="B109" i="6" s="1"/>
  <c r="C65" i="1" s="1"/>
  <c r="E68" i="6"/>
  <c r="C102" i="6" s="1"/>
  <c r="B102" i="6"/>
  <c r="B110" i="6" s="1"/>
  <c r="G37" i="1" s="1"/>
  <c r="I37" i="1" s="1"/>
  <c r="D102" i="6"/>
  <c r="B101" i="6"/>
  <c r="D101" i="6"/>
  <c r="E37" i="6"/>
  <c r="C101" i="6" s="1"/>
  <c r="D100" i="6"/>
  <c r="D104" i="6"/>
  <c r="E16" i="6"/>
  <c r="C100" i="6" s="1"/>
  <c r="B100" i="6"/>
  <c r="G15" i="1" s="1"/>
  <c r="I15" i="1" s="1"/>
  <c r="E10" i="5"/>
  <c r="E9" i="5"/>
  <c r="E8" i="5"/>
  <c r="E7" i="5"/>
  <c r="E6" i="5"/>
  <c r="E5" i="5"/>
  <c r="O23" i="3"/>
  <c r="M23" i="3"/>
  <c r="BE23" i="3"/>
  <c r="BN23" i="3"/>
  <c r="AV23" i="3"/>
  <c r="AM23" i="3"/>
  <c r="AD23" i="3"/>
  <c r="U23" i="3"/>
  <c r="V22" i="3"/>
  <c r="BF22" i="3"/>
  <c r="BO22" i="3"/>
  <c r="AE22" i="3"/>
  <c r="AN22" i="3"/>
  <c r="AW22" i="3"/>
  <c r="AD22" i="3"/>
  <c r="BE22" i="3"/>
  <c r="AM22" i="3"/>
  <c r="AV22" i="3"/>
  <c r="U22" i="3"/>
  <c r="BE21" i="3"/>
  <c r="E21" i="4" s="1"/>
  <c r="AV21" i="3"/>
  <c r="E20" i="4" s="1"/>
  <c r="BN21" i="3"/>
  <c r="E22" i="4" s="1"/>
  <c r="U21" i="3"/>
  <c r="E17" i="4" s="1"/>
  <c r="F36" i="1"/>
  <c r="D36" i="1"/>
  <c r="AM21" i="3"/>
  <c r="G36" i="1"/>
  <c r="AD21" i="3"/>
  <c r="AM20" i="3"/>
  <c r="AV20" i="3"/>
  <c r="BE20" i="3"/>
  <c r="U20" i="3"/>
  <c r="AD20" i="3"/>
  <c r="BN20" i="3"/>
  <c r="AD19" i="3"/>
  <c r="AM19" i="3"/>
  <c r="BE19" i="3"/>
  <c r="AV19" i="3"/>
  <c r="U19" i="3"/>
  <c r="BN19" i="3"/>
  <c r="BE18" i="3"/>
  <c r="BN18" i="3"/>
  <c r="AV18" i="3"/>
  <c r="AM18" i="3"/>
  <c r="U18" i="3"/>
  <c r="AD18" i="3"/>
  <c r="N17" i="3"/>
  <c r="CD17" i="3"/>
  <c r="P17" i="3" s="1"/>
  <c r="BN17" i="3" s="1"/>
  <c r="M17" i="3"/>
  <c r="O17" i="3"/>
  <c r="BE17" i="3" s="1"/>
  <c r="V17" i="3"/>
  <c r="AE17" i="3"/>
  <c r="AN17" i="3"/>
  <c r="AW17" i="3"/>
  <c r="BF17" i="3"/>
  <c r="BO17" i="3"/>
  <c r="AV17" i="3"/>
  <c r="U17" i="3"/>
  <c r="AD17" i="3"/>
  <c r="AM17" i="3"/>
  <c r="U16" i="3"/>
  <c r="E11" i="4" s="1"/>
  <c r="AD16" i="3"/>
  <c r="E12" i="4" s="1"/>
  <c r="AM16" i="3"/>
  <c r="E13" i="4" s="1"/>
  <c r="AV16" i="3"/>
  <c r="E14" i="4" s="1"/>
  <c r="BE16" i="3"/>
  <c r="E15" i="4" s="1"/>
  <c r="BN16" i="3"/>
  <c r="E16" i="4" s="1"/>
  <c r="G25" i="1"/>
  <c r="F25" i="1"/>
  <c r="D25" i="1"/>
  <c r="BE15" i="3"/>
  <c r="BN15" i="3"/>
  <c r="U15" i="3"/>
  <c r="AD15" i="3"/>
  <c r="AM15" i="3"/>
  <c r="AV15" i="3"/>
  <c r="BN14" i="3"/>
  <c r="E10" i="4" s="1"/>
  <c r="AD14" i="3"/>
  <c r="E6" i="4" s="1"/>
  <c r="U14" i="3"/>
  <c r="E5" i="4" s="1"/>
  <c r="AM14" i="3"/>
  <c r="E7" i="4" s="1"/>
  <c r="D14" i="1"/>
  <c r="F14" i="1"/>
  <c r="G14" i="1"/>
  <c r="AV14" i="3"/>
  <c r="E8" i="4" s="1"/>
  <c r="BE14" i="3"/>
  <c r="E9" i="4" s="1"/>
  <c r="V13" i="3"/>
  <c r="AE13" i="3"/>
  <c r="AN13" i="3"/>
  <c r="BF13" i="3"/>
  <c r="BO13" i="3"/>
  <c r="AW13" i="3"/>
  <c r="BE13" i="3"/>
  <c r="AD13" i="3"/>
  <c r="U13" i="3"/>
  <c r="AV13" i="3"/>
  <c r="AM13" i="3"/>
  <c r="BN12" i="3"/>
  <c r="AM12" i="3"/>
  <c r="AD12" i="3"/>
  <c r="BE12" i="3"/>
  <c r="AV12" i="3"/>
  <c r="U12" i="3"/>
  <c r="AV11" i="3"/>
  <c r="AD11" i="3"/>
  <c r="U11" i="3"/>
  <c r="AM11" i="3"/>
  <c r="BN11" i="3"/>
  <c r="BE11" i="3"/>
  <c r="AD10" i="3"/>
  <c r="BN10" i="3"/>
  <c r="AM10" i="3"/>
  <c r="U10" i="3"/>
  <c r="BE10" i="3"/>
  <c r="AV10" i="3"/>
  <c r="BN9" i="3"/>
  <c r="BE9" i="3"/>
  <c r="AV9" i="3"/>
  <c r="AM9" i="3"/>
  <c r="U9" i="3"/>
  <c r="AD9" i="3"/>
  <c r="CD8" i="3"/>
  <c r="P8" i="3" s="1"/>
  <c r="BN8" i="3" s="1"/>
  <c r="N8" i="3"/>
  <c r="M8" i="3"/>
  <c r="O8" i="3"/>
  <c r="BE8" i="3" s="1"/>
  <c r="V8" i="3"/>
  <c r="AE8" i="3"/>
  <c r="AN8" i="3"/>
  <c r="AW8" i="3"/>
  <c r="BF8" i="3"/>
  <c r="BO8" i="3"/>
  <c r="AV8" i="3"/>
  <c r="AM8" i="3"/>
  <c r="AD8" i="3"/>
  <c r="U8" i="3"/>
  <c r="AM7" i="3"/>
  <c r="BN7" i="3"/>
  <c r="BE7" i="3"/>
  <c r="AV7" i="3"/>
  <c r="U7" i="3"/>
  <c r="AD7" i="3"/>
  <c r="U6" i="3"/>
  <c r="AM6" i="3"/>
  <c r="BE6" i="3"/>
  <c r="BN6" i="3"/>
  <c r="AV6" i="3"/>
  <c r="AD6" i="3"/>
  <c r="U5" i="3"/>
  <c r="AD5" i="3"/>
  <c r="AV5" i="3"/>
  <c r="BE5" i="3"/>
  <c r="BN5" i="3"/>
  <c r="AM5" i="3"/>
  <c r="J7" i="3"/>
  <c r="J19" i="3"/>
  <c r="J14" i="3"/>
  <c r="J10" i="3"/>
  <c r="J5" i="3"/>
  <c r="J15" i="3"/>
  <c r="J20" i="3"/>
  <c r="J21" i="3"/>
  <c r="J6" i="3"/>
  <c r="J18" i="3"/>
  <c r="J23" i="3"/>
  <c r="J12" i="3"/>
  <c r="J11" i="3"/>
  <c r="J9" i="3"/>
  <c r="J16" i="3"/>
  <c r="G26" i="1" l="1"/>
  <c r="I26" i="1" s="1"/>
  <c r="C50" i="1"/>
  <c r="X22" i="3"/>
  <c r="Y22" i="3"/>
  <c r="BH22" i="3"/>
  <c r="BI22" i="3"/>
  <c r="BQ22" i="3"/>
  <c r="BR22" i="3"/>
  <c r="AH22" i="3"/>
  <c r="AG22" i="3"/>
  <c r="AP22" i="3"/>
  <c r="AQ22" i="3"/>
  <c r="AY22" i="3"/>
  <c r="AZ22" i="3"/>
  <c r="G21" i="4"/>
  <c r="H21" i="4"/>
  <c r="G34" i="1" s="1"/>
  <c r="I21" i="4"/>
  <c r="H34" i="1" s="1"/>
  <c r="J21" i="4"/>
  <c r="I34" i="1" s="1"/>
  <c r="L21" i="4"/>
  <c r="K21" i="4" s="1"/>
  <c r="J34" i="1" s="1"/>
  <c r="D34" i="1"/>
  <c r="G20" i="4"/>
  <c r="F33" i="1" s="1"/>
  <c r="H20" i="4"/>
  <c r="G33" i="1" s="1"/>
  <c r="I20" i="4"/>
  <c r="H33" i="1" s="1"/>
  <c r="J20" i="4"/>
  <c r="I33" i="1" s="1"/>
  <c r="L20" i="4"/>
  <c r="K20" i="4" s="1"/>
  <c r="J33" i="1" s="1"/>
  <c r="D33" i="1"/>
  <c r="G22" i="4"/>
  <c r="H22" i="4"/>
  <c r="L22" i="4"/>
  <c r="K22" i="4" s="1"/>
  <c r="J35" i="1" s="1"/>
  <c r="D35" i="1"/>
  <c r="C63" i="1"/>
  <c r="G17" i="4"/>
  <c r="F30" i="1" s="1"/>
  <c r="H17" i="4"/>
  <c r="G30" i="1" s="1"/>
  <c r="I17" i="4"/>
  <c r="H30" i="1" s="1"/>
  <c r="J17" i="4"/>
  <c r="I30" i="1" s="1"/>
  <c r="L17" i="4"/>
  <c r="K17" i="4" s="1"/>
  <c r="J30" i="1" s="1"/>
  <c r="D30" i="1"/>
  <c r="Y17" i="3"/>
  <c r="AH17" i="3"/>
  <c r="AP17" i="3"/>
  <c r="AQ17" i="3"/>
  <c r="AY17" i="3"/>
  <c r="AZ17" i="3"/>
  <c r="BH17" i="3"/>
  <c r="BI17" i="3"/>
  <c r="BQ17" i="3"/>
  <c r="BR17" i="3"/>
  <c r="G11" i="4"/>
  <c r="F19" i="1" s="1"/>
  <c r="H11" i="4"/>
  <c r="G19" i="1" s="1"/>
  <c r="I11" i="4"/>
  <c r="H19" i="1" s="1"/>
  <c r="J11" i="4"/>
  <c r="I19" i="1" s="1"/>
  <c r="L11" i="4"/>
  <c r="K11" i="4" s="1"/>
  <c r="J19" i="1" s="1"/>
  <c r="D19" i="1"/>
  <c r="G12" i="4"/>
  <c r="F20" i="1" s="1"/>
  <c r="H12" i="4"/>
  <c r="G20" i="1" s="1"/>
  <c r="I12" i="4"/>
  <c r="H20" i="1" s="1"/>
  <c r="J12" i="4"/>
  <c r="I20" i="1" s="1"/>
  <c r="L12" i="4"/>
  <c r="K12" i="4" s="1"/>
  <c r="J20" i="1" s="1"/>
  <c r="D20" i="1"/>
  <c r="G13" i="4"/>
  <c r="H13" i="4"/>
  <c r="G21" i="1" s="1"/>
  <c r="I13" i="4"/>
  <c r="H21" i="1" s="1"/>
  <c r="J13" i="4"/>
  <c r="I21" i="1" s="1"/>
  <c r="L13" i="4"/>
  <c r="K13" i="4" s="1"/>
  <c r="J21" i="1" s="1"/>
  <c r="D21" i="1"/>
  <c r="G14" i="4"/>
  <c r="F22" i="1" s="1"/>
  <c r="H14" i="4"/>
  <c r="G22" i="1" s="1"/>
  <c r="I14" i="4"/>
  <c r="H22" i="1" s="1"/>
  <c r="J14" i="4"/>
  <c r="I22" i="1" s="1"/>
  <c r="L14" i="4"/>
  <c r="K14" i="4" s="1"/>
  <c r="J22" i="1" s="1"/>
  <c r="D22" i="1"/>
  <c r="G15" i="4"/>
  <c r="H15" i="4"/>
  <c r="L15" i="4"/>
  <c r="K15" i="4" s="1"/>
  <c r="J23" i="1" s="1"/>
  <c r="D23" i="1"/>
  <c r="G16" i="4"/>
  <c r="F24" i="1" s="1"/>
  <c r="H16" i="4"/>
  <c r="G24" i="1" s="1"/>
  <c r="I16" i="4"/>
  <c r="H24" i="1" s="1"/>
  <c r="J16" i="4"/>
  <c r="I24" i="1" s="1"/>
  <c r="L16" i="4"/>
  <c r="D24" i="1"/>
  <c r="G10" i="4"/>
  <c r="F13" i="1" s="1"/>
  <c r="H10" i="4"/>
  <c r="G13" i="1" s="1"/>
  <c r="I10" i="4"/>
  <c r="H13" i="1" s="1"/>
  <c r="J10" i="4"/>
  <c r="I13" i="1" s="1"/>
  <c r="L10" i="4"/>
  <c r="K10" i="4" s="1"/>
  <c r="J13" i="1" s="1"/>
  <c r="C45" i="1"/>
  <c r="D13" i="1"/>
  <c r="G6" i="4"/>
  <c r="F9" i="1" s="1"/>
  <c r="H6" i="4"/>
  <c r="G9" i="1" s="1"/>
  <c r="I6" i="4"/>
  <c r="H9" i="1" s="1"/>
  <c r="J6" i="4"/>
  <c r="I9" i="1" s="1"/>
  <c r="L6" i="4"/>
  <c r="K6" i="4" s="1"/>
  <c r="J9" i="1" s="1"/>
  <c r="D9" i="1"/>
  <c r="G5" i="4"/>
  <c r="F8" i="1" s="1"/>
  <c r="H5" i="4"/>
  <c r="G8" i="1" s="1"/>
  <c r="I5" i="4"/>
  <c r="H8" i="1" s="1"/>
  <c r="J5" i="4"/>
  <c r="I8" i="1" s="1"/>
  <c r="L5" i="4"/>
  <c r="K5" i="4" s="1"/>
  <c r="J8" i="1" s="1"/>
  <c r="D8" i="1"/>
  <c r="G7" i="4"/>
  <c r="H7" i="4"/>
  <c r="G10" i="1" s="1"/>
  <c r="I7" i="4"/>
  <c r="H10" i="1" s="1"/>
  <c r="J7" i="4"/>
  <c r="I10" i="1" s="1"/>
  <c r="L7" i="4"/>
  <c r="K7" i="4" s="1"/>
  <c r="J10" i="1" s="1"/>
  <c r="D10" i="1"/>
  <c r="C43" i="1"/>
  <c r="G8" i="4"/>
  <c r="F11" i="1" s="1"/>
  <c r="H8" i="4"/>
  <c r="G11" i="1" s="1"/>
  <c r="I8" i="4"/>
  <c r="H11" i="1" s="1"/>
  <c r="J8" i="4"/>
  <c r="I11" i="1" s="1"/>
  <c r="L8" i="4"/>
  <c r="K8" i="4" s="1"/>
  <c r="J11" i="1" s="1"/>
  <c r="D11" i="1"/>
  <c r="G9" i="4"/>
  <c r="F12" i="1" s="1"/>
  <c r="H9" i="4"/>
  <c r="G12" i="1" s="1"/>
  <c r="I9" i="4"/>
  <c r="H12" i="1" s="1"/>
  <c r="J9" i="4"/>
  <c r="I12" i="1" s="1"/>
  <c r="L9" i="4"/>
  <c r="K9" i="4" s="1"/>
  <c r="J12" i="1" s="1"/>
  <c r="C44" i="1"/>
  <c r="D12" i="1"/>
  <c r="X13" i="3"/>
  <c r="Y13" i="3"/>
  <c r="AH13" i="3"/>
  <c r="AG13" i="3"/>
  <c r="AP13" i="3"/>
  <c r="AQ13" i="3"/>
  <c r="BI13" i="3"/>
  <c r="BH13" i="3"/>
  <c r="BQ13" i="3"/>
  <c r="BR13" i="3"/>
  <c r="AY13" i="3"/>
  <c r="AZ13" i="3"/>
  <c r="X8" i="3"/>
  <c r="Y8" i="3"/>
  <c r="AG8" i="3"/>
  <c r="AH8" i="3"/>
  <c r="AP8" i="3"/>
  <c r="AQ8" i="3"/>
  <c r="AY8" i="3"/>
  <c r="AZ8" i="3"/>
  <c r="BH8" i="3"/>
  <c r="BI8" i="3"/>
  <c r="BQ8" i="3"/>
  <c r="BR8" i="3"/>
  <c r="V7" i="3"/>
  <c r="AE7" i="3"/>
  <c r="AN7" i="3"/>
  <c r="AW7" i="3"/>
  <c r="BF7" i="3"/>
  <c r="BO7" i="3"/>
  <c r="AE19" i="3"/>
  <c r="AN19" i="3"/>
  <c r="BF19" i="3"/>
  <c r="BO19" i="3"/>
  <c r="V19" i="3"/>
  <c r="AW19" i="3"/>
  <c r="AE14" i="3"/>
  <c r="BO14" i="3"/>
  <c r="V14" i="3"/>
  <c r="AN14" i="3"/>
  <c r="AW14" i="3"/>
  <c r="BF14" i="3"/>
  <c r="AN10" i="3"/>
  <c r="AE10" i="3"/>
  <c r="BF10" i="3"/>
  <c r="BO10" i="3"/>
  <c r="V10" i="3"/>
  <c r="AW10" i="3"/>
  <c r="AE5" i="3"/>
  <c r="AN5" i="3"/>
  <c r="BF5" i="3"/>
  <c r="V5" i="3"/>
  <c r="AW5" i="3"/>
  <c r="BO5" i="3"/>
  <c r="V15" i="3"/>
  <c r="AE15" i="3"/>
  <c r="AN15" i="3"/>
  <c r="AW15" i="3"/>
  <c r="BF15" i="3"/>
  <c r="BO15" i="3"/>
  <c r="V20" i="3"/>
  <c r="AE20" i="3"/>
  <c r="BO20" i="3"/>
  <c r="AN20" i="3"/>
  <c r="AW20" i="3"/>
  <c r="BF20" i="3"/>
  <c r="V21" i="3"/>
  <c r="AE21" i="3"/>
  <c r="AN21" i="3"/>
  <c r="AW21" i="3"/>
  <c r="BF21" i="3"/>
  <c r="BO21" i="3"/>
  <c r="AE6" i="3"/>
  <c r="BF6" i="3"/>
  <c r="AN6" i="3"/>
  <c r="V6" i="3"/>
  <c r="AW6" i="3"/>
  <c r="BO6" i="3"/>
  <c r="V18" i="3"/>
  <c r="X17" i="3" s="1"/>
  <c r="AN18" i="3"/>
  <c r="AW18" i="3"/>
  <c r="AE18" i="3"/>
  <c r="AG17" i="3" s="1"/>
  <c r="BF18" i="3"/>
  <c r="BO18" i="3"/>
  <c r="V23" i="3"/>
  <c r="AE23" i="3"/>
  <c r="AN23" i="3"/>
  <c r="AW23" i="3"/>
  <c r="BF23" i="3"/>
  <c r="BO23" i="3"/>
  <c r="V12" i="3"/>
  <c r="AE12" i="3"/>
  <c r="AN12" i="3"/>
  <c r="AW12" i="3"/>
  <c r="BF12" i="3"/>
  <c r="BO12" i="3"/>
  <c r="AN11" i="3"/>
  <c r="AW11" i="3"/>
  <c r="AE11" i="3"/>
  <c r="V11" i="3"/>
  <c r="BF11" i="3"/>
  <c r="BO11" i="3"/>
  <c r="AW9" i="3"/>
  <c r="BF9" i="3"/>
  <c r="BO9" i="3"/>
  <c r="AE9" i="3"/>
  <c r="AN9" i="3"/>
  <c r="V9" i="3"/>
  <c r="V16" i="3"/>
  <c r="AE16" i="3"/>
  <c r="AN16" i="3"/>
  <c r="AW16" i="3"/>
  <c r="BF16" i="3"/>
  <c r="BO16" i="3"/>
  <c r="E19" i="4"/>
  <c r="E18" i="4"/>
  <c r="F34" i="1" l="1"/>
  <c r="C62" i="1"/>
  <c r="F21" i="1"/>
  <c r="C56" i="1"/>
  <c r="C42" i="1"/>
  <c r="F10" i="1"/>
  <c r="X7" i="3"/>
  <c r="Y7" i="3"/>
  <c r="AG7" i="3"/>
  <c r="AH7" i="3"/>
  <c r="AP7" i="3"/>
  <c r="AQ7" i="3"/>
  <c r="AY7" i="3"/>
  <c r="AZ7" i="3"/>
  <c r="BH7" i="3"/>
  <c r="BI7" i="3"/>
  <c r="BQ7" i="3"/>
  <c r="BR7" i="3"/>
  <c r="AG19" i="3"/>
  <c r="AH19" i="3"/>
  <c r="AP19" i="3"/>
  <c r="AQ19" i="3"/>
  <c r="BH19" i="3"/>
  <c r="BI19" i="3"/>
  <c r="BQ19" i="3"/>
  <c r="BR19" i="3"/>
  <c r="X19" i="3"/>
  <c r="Y19" i="3"/>
  <c r="AY19" i="3"/>
  <c r="AZ19" i="3"/>
  <c r="AG14" i="3"/>
  <c r="AH14" i="3"/>
  <c r="BQ14" i="3"/>
  <c r="BR14" i="3"/>
  <c r="X14" i="3"/>
  <c r="Y14" i="3"/>
  <c r="AP14" i="3"/>
  <c r="AQ14" i="3"/>
  <c r="AY14" i="3"/>
  <c r="AZ14" i="3"/>
  <c r="BH14" i="3"/>
  <c r="BI14" i="3"/>
  <c r="AP10" i="3"/>
  <c r="AQ10" i="3"/>
  <c r="AH10" i="3"/>
  <c r="AG10" i="3"/>
  <c r="BH10" i="3"/>
  <c r="BI10" i="3"/>
  <c r="BQ10" i="3"/>
  <c r="BR10" i="3"/>
  <c r="X10" i="3"/>
  <c r="Y10" i="3"/>
  <c r="AY10" i="3"/>
  <c r="AZ10" i="3"/>
  <c r="AG5" i="3"/>
  <c r="AH5" i="3"/>
  <c r="AP5" i="3"/>
  <c r="AQ5" i="3"/>
  <c r="BH5" i="3"/>
  <c r="BI5" i="3"/>
  <c r="X5" i="3"/>
  <c r="Y5" i="3"/>
  <c r="AY5" i="3"/>
  <c r="AZ5" i="3"/>
  <c r="BQ5" i="3"/>
  <c r="BR5" i="3"/>
  <c r="X15" i="3"/>
  <c r="Y15" i="3"/>
  <c r="AG15" i="3"/>
  <c r="AH15" i="3"/>
  <c r="AP15" i="3"/>
  <c r="AQ15" i="3"/>
  <c r="AY15" i="3"/>
  <c r="AZ15" i="3"/>
  <c r="BH15" i="3"/>
  <c r="BI15" i="3"/>
  <c r="BQ15" i="3"/>
  <c r="BR15" i="3"/>
  <c r="Y20" i="3"/>
  <c r="X20" i="3"/>
  <c r="AG20" i="3"/>
  <c r="AH20" i="3"/>
  <c r="BQ20" i="3"/>
  <c r="BR20" i="3"/>
  <c r="AP20" i="3"/>
  <c r="AQ20" i="3"/>
  <c r="AY20" i="3"/>
  <c r="AZ20" i="3"/>
  <c r="BH20" i="3"/>
  <c r="BI20" i="3"/>
  <c r="X21" i="3"/>
  <c r="Y21" i="3"/>
  <c r="AG21" i="3"/>
  <c r="AH21" i="3"/>
  <c r="AP21" i="3"/>
  <c r="AQ21" i="3"/>
  <c r="AY21" i="3"/>
  <c r="AZ21" i="3"/>
  <c r="BH21" i="3"/>
  <c r="BI21" i="3"/>
  <c r="BQ21" i="3"/>
  <c r="BR21" i="3"/>
  <c r="AG6" i="3"/>
  <c r="AH6" i="3"/>
  <c r="BH6" i="3"/>
  <c r="BI6" i="3"/>
  <c r="AQ6" i="3"/>
  <c r="AP6" i="3"/>
  <c r="X6" i="3"/>
  <c r="Y6" i="3"/>
  <c r="AY6" i="3"/>
  <c r="AZ6" i="3"/>
  <c r="BQ6" i="3"/>
  <c r="BR6" i="3"/>
  <c r="X18" i="3"/>
  <c r="Y18" i="3"/>
  <c r="AP18" i="3"/>
  <c r="AQ18" i="3"/>
  <c r="AY18" i="3"/>
  <c r="AZ18" i="3"/>
  <c r="AG18" i="3"/>
  <c r="AH18" i="3"/>
  <c r="BH18" i="3"/>
  <c r="BI18" i="3"/>
  <c r="BR18" i="3"/>
  <c r="BQ18" i="3"/>
  <c r="X23" i="3"/>
  <c r="Y23" i="3"/>
  <c r="AG23" i="3"/>
  <c r="AH23" i="3"/>
  <c r="AP23" i="3"/>
  <c r="AQ23" i="3"/>
  <c r="AY23" i="3"/>
  <c r="AZ23" i="3"/>
  <c r="BH23" i="3"/>
  <c r="BI23" i="3"/>
  <c r="BQ23" i="3"/>
  <c r="BR23" i="3"/>
  <c r="X12" i="3"/>
  <c r="Y12" i="3"/>
  <c r="AG12" i="3"/>
  <c r="AH12" i="3"/>
  <c r="AP12" i="3"/>
  <c r="AQ12" i="3"/>
  <c r="AY12" i="3"/>
  <c r="AZ12" i="3"/>
  <c r="BH12" i="3"/>
  <c r="BI12" i="3"/>
  <c r="BQ12" i="3"/>
  <c r="BR12" i="3"/>
  <c r="AP11" i="3"/>
  <c r="AQ11" i="3"/>
  <c r="AY11" i="3"/>
  <c r="AZ11" i="3"/>
  <c r="AG11" i="3"/>
  <c r="AH11" i="3"/>
  <c r="X11" i="3"/>
  <c r="Y11" i="3"/>
  <c r="BH11" i="3"/>
  <c r="BI11" i="3"/>
  <c r="BQ11" i="3"/>
  <c r="BR11" i="3"/>
  <c r="AZ9" i="3"/>
  <c r="AY9" i="3"/>
  <c r="BH9" i="3"/>
  <c r="BI9" i="3"/>
  <c r="BQ9" i="3"/>
  <c r="BR9" i="3"/>
  <c r="AG9" i="3"/>
  <c r="AH9" i="3"/>
  <c r="AP9" i="3"/>
  <c r="AQ9" i="3"/>
  <c r="X9" i="3"/>
  <c r="Y9" i="3"/>
  <c r="X16" i="3"/>
  <c r="Y16" i="3"/>
  <c r="AG16" i="3"/>
  <c r="AH16" i="3"/>
  <c r="AP16" i="3"/>
  <c r="AQ16" i="3"/>
  <c r="AY16" i="3"/>
  <c r="AZ16" i="3"/>
  <c r="BH16" i="3"/>
  <c r="BI16" i="3"/>
  <c r="BQ16" i="3"/>
  <c r="BR16" i="3"/>
  <c r="D32" i="1"/>
  <c r="L19" i="4"/>
  <c r="K19" i="4"/>
  <c r="J32" i="1" s="1"/>
  <c r="H19" i="4"/>
  <c r="G19" i="4"/>
  <c r="D31" i="1"/>
  <c r="L18" i="4"/>
  <c r="K18" i="4"/>
  <c r="J31" i="1" s="1"/>
  <c r="H18" i="4"/>
  <c r="G18" i="4"/>
  <c r="F35" i="1"/>
  <c r="I22" i="4"/>
  <c r="H35" i="1" s="1"/>
  <c r="G35" i="1"/>
  <c r="J22" i="4"/>
  <c r="I35" i="1" s="1"/>
  <c r="F23" i="1"/>
  <c r="I15" i="4"/>
  <c r="H23" i="1" s="1"/>
  <c r="G23" i="1"/>
  <c r="J15" i="4"/>
  <c r="I23" i="1" s="1"/>
  <c r="C57" i="1"/>
  <c r="K16" i="4"/>
  <c r="J24" i="1" s="1"/>
  <c r="F6" i="5" l="1"/>
  <c r="H6" i="5"/>
  <c r="F7" i="5"/>
  <c r="H7" i="5"/>
  <c r="F9" i="5"/>
  <c r="H9" i="5"/>
  <c r="F5" i="5"/>
  <c r="G5" i="5" s="1"/>
  <c r="J5" i="5" s="1"/>
  <c r="L5" i="5" s="1"/>
  <c r="H5" i="5"/>
  <c r="I5" i="5" s="1"/>
  <c r="K5" i="5" s="1"/>
  <c r="F8" i="5"/>
  <c r="G8" i="5" s="1"/>
  <c r="J8" i="5" s="1"/>
  <c r="H8" i="5"/>
  <c r="I8" i="5" s="1"/>
  <c r="K8" i="5" s="1"/>
  <c r="F10" i="5"/>
  <c r="G10" i="5" s="1"/>
  <c r="J10" i="5" s="1"/>
  <c r="H10" i="5"/>
  <c r="I10" i="5" s="1"/>
  <c r="K10" i="5" s="1"/>
  <c r="B6" i="5"/>
  <c r="B7" i="5"/>
  <c r="B72" i="1" s="1"/>
  <c r="B9" i="5"/>
  <c r="B76" i="1" s="1"/>
  <c r="B5" i="5"/>
  <c r="B8" i="5"/>
  <c r="B10" i="5"/>
  <c r="G32" i="1"/>
  <c r="J19" i="4"/>
  <c r="I32" i="1" s="1"/>
  <c r="F32" i="1"/>
  <c r="I19" i="4"/>
  <c r="H32" i="1" s="1"/>
  <c r="G31" i="1"/>
  <c r="J18" i="4"/>
  <c r="I31" i="1" s="1"/>
  <c r="F31" i="1"/>
  <c r="I18" i="4"/>
  <c r="H31" i="1" s="1"/>
  <c r="B73" i="1" l="1"/>
  <c r="I7" i="5"/>
  <c r="B77" i="1"/>
  <c r="I9" i="5"/>
  <c r="G7" i="5"/>
  <c r="J7" i="5" s="1"/>
  <c r="G9" i="5"/>
  <c r="J9" i="5" s="1"/>
  <c r="L8" i="5"/>
  <c r="L10" i="5"/>
  <c r="G6" i="5"/>
  <c r="J6" i="5" s="1"/>
  <c r="L6" i="5" s="1"/>
  <c r="I6" i="5"/>
  <c r="K6" i="5" s="1"/>
  <c r="K7" i="5" l="1"/>
  <c r="L7" i="5" s="1"/>
  <c r="B74" i="1"/>
  <c r="K9" i="5"/>
  <c r="L9" i="5" s="1"/>
  <c r="B79" i="1" s="1"/>
  <c r="B78" i="1"/>
  <c r="B38" i="5" l="1"/>
  <c r="B82" i="1" s="1"/>
  <c r="B75" i="1"/>
</calcChain>
</file>

<file path=xl/sharedStrings.xml><?xml version="1.0" encoding="utf-8"?>
<sst xmlns="http://schemas.openxmlformats.org/spreadsheetml/2006/main" count="1294" uniqueCount="741">
  <si>
    <t>SELF-MONITORING REPORT, THIRD QUARTER 2026 (JULY 1 THROUGH SEPTEMBER 30, 2026)</t>
  </si>
  <si>
    <t>Permittee: Vandeveer Plating LLC, 2140 Chicago Drive SW, Wyoming, Michigan 49519</t>
  </si>
  <si>
    <t>Wastewater Discharge Permit No. IP-0421, City of Wyoming Clean Water Plant, Industrial Pretreatment Program</t>
  </si>
  <si>
    <t>Report prepared October 12, 2026 for the Plant Manager's signature. Sampling point: Outfall 001, pretreatment system effluent. Report format per Attachment B; due to the City by October 15, 2026 under Section 3.1.</t>
  </si>
  <si>
    <t>JULY 2026</t>
  </si>
  <si>
    <t>PARAMETER</t>
  </si>
  <si>
    <t>DAILY MAXIMUM LIMIT MG/L</t>
  </si>
  <si>
    <t>MONTHLY AVERAGE LIMIT MG/L</t>
  </si>
  <si>
    <t>VALID SAMPLES</t>
  </si>
  <si>
    <t>REQUIRED</t>
  </si>
  <si>
    <t>MONTHLY AVERAGE MG/L</t>
  </si>
  <si>
    <t>DAILY MAXIMUM MG/L</t>
  </si>
  <si>
    <t>MONTHLY AVERAGE MET</t>
  </si>
  <si>
    <t>DAILY MAXIMUM MET</t>
  </si>
  <si>
    <t>FREQUENCY MET</t>
  </si>
  <si>
    <t>Cadmium, total</t>
  </si>
  <si>
    <t>Chromium, total</t>
  </si>
  <si>
    <t>Copper, total</t>
  </si>
  <si>
    <t>Nickel, total</t>
  </si>
  <si>
    <t>Zinc, total</t>
  </si>
  <si>
    <t>Cyanide, total</t>
  </si>
  <si>
    <t>pH, standard units, Outfall 001 grabs at sampling</t>
  </si>
  <si>
    <t>6.0 to 9.0</t>
  </si>
  <si>
    <t>not applicable</t>
  </si>
  <si>
    <t>In-line meter: no excursion; the 9.0 high of 07/22/2026 is inside the range</t>
  </si>
  <si>
    <t>Met</t>
  </si>
  <si>
    <t>Flow, gallons per day</t>
  </si>
  <si>
    <t>daily</t>
  </si>
  <si>
    <t>AUGUST 2026</t>
  </si>
  <si>
    <t>In-line meter: one excursion, 08/20/2026, high reading 9.2</t>
  </si>
  <si>
    <t>Exceeded</t>
  </si>
  <si>
    <t>SEPTEMBER 2026</t>
  </si>
  <si>
    <t>In-line meter: one excursion, 09/17/2026; the 6.0 low of 09/11/2026 is inside the range</t>
  </si>
  <si>
    <t>VIOLATIONS IN THE QUARTER</t>
  </si>
  <si>
    <t>DATE</t>
  </si>
  <si>
    <t>PARAMETER OR CONDITION</t>
  </si>
  <si>
    <t>VALUE</t>
  </si>
  <si>
    <t>LIMITATION</t>
  </si>
  <si>
    <t>PERMIT SECTION</t>
  </si>
  <si>
    <t>CAUSE AS KNOWN</t>
  </si>
  <si>
    <t>07/21/2026</t>
  </si>
  <si>
    <t>Copper, daily maximum, sample VP-260721</t>
  </si>
  <si>
    <t>3.38 mg/L</t>
  </si>
  <si>
    <t>Part I</t>
  </si>
  <si>
    <t>Not established in the file; the August log shows copper work under way at the plant</t>
  </si>
  <si>
    <t>July 2026</t>
  </si>
  <si>
    <t>Copper, monthly average, one valid sample</t>
  </si>
  <si>
    <t>2.07 mg/L</t>
  </si>
  <si>
    <t>The 07/21/2026 result stands alone because the 07/07/2026 composite was not a valid sample</t>
  </si>
  <si>
    <t>Cadmium, chromium, copper and nickel, monitoring frequency</t>
  </si>
  <si>
    <t>2 valid samples, 10 days apart</t>
  </si>
  <si>
    <t>Section 2.1 and Section 2.3</t>
  </si>
  <si>
    <t>The 07/07/2026 composite stopped at 15:10 on 07/06/2026 with 9 aliquots, against at least twelve across the 24 hours; no replacement composite was collected in July</t>
  </si>
  <si>
    <t>Zinc, monitoring frequency, no valid sample</t>
  </si>
  <si>
    <t>The 07/07/2026 composite was not valid, and the laboratory has rejected the zinc result of 07/21/2026 after a failed calibration verification</t>
  </si>
  <si>
    <t>Cyanide, monitoring frequency, one valid sample</t>
  </si>
  <si>
    <t>The 07/21/2026 cyanide was analyzed 08/04/2026 at 10:20, 339.8 hours after the 06:30 grab and outside the 14-day holding time by 3 hours 50 minutes</t>
  </si>
  <si>
    <t>07/31/2026</t>
  </si>
  <si>
    <t>Replacement samples not collected in July after the 07/21/2026 zinc and cyanide results fell</t>
  </si>
  <si>
    <t>none collected</t>
  </si>
  <si>
    <t>Within the calendar month</t>
  </si>
  <si>
    <t>Section 2.3</t>
  </si>
  <si>
    <t>The 07/21/2026 zinc was rejected, and its cyanide fell outside the holding time on the report of 07/30/2026 with a day of the month left. The 07/21/2026 routine composite stands as the replacement for the 07/07/2026 composite for cadmium, chromium, copper and nickel, and zinc had no valid result in July after the 7th.</t>
  </si>
  <si>
    <t>07/26/2026</t>
  </si>
  <si>
    <t>Repeat sampling result on the copper exceedance of 06/16/2026 not at the City within 30 days of the 06/26/2026 report</t>
  </si>
  <si>
    <t>first valid result 07/30/2026</t>
  </si>
  <si>
    <t>30 days</t>
  </si>
  <si>
    <t>Section 3.3</t>
  </si>
  <si>
    <t>The 07/07/2026 composite was not a valid sample, and the next copper result was the 07/21/2026 sample</t>
  </si>
  <si>
    <t>Repeat sampling result on the zinc exceedance of 06/16/2026 not at the City within 30 days of the 06/26/2026 report</t>
  </si>
  <si>
    <t>first valid result 08/27/2026</t>
  </si>
  <si>
    <t>The 07/07/2026 composite was not valid and the laboratory rejected the 07/21/2026 zinc, so the next zinc result was the 08/11/2026 sample</t>
  </si>
  <si>
    <t>08/11/2026</t>
  </si>
  <si>
    <t>Copper, daily maximum, sample VP-260811</t>
  </si>
  <si>
    <t>08/13/2026</t>
  </si>
  <si>
    <t>Flow, daily, worked from the totalizer register</t>
  </si>
  <si>
    <t>45,000 gallons per day</t>
  </si>
  <si>
    <t>Zinc line on two shifts with overtime per the log</t>
  </si>
  <si>
    <t>08/14/2026</t>
  </si>
  <si>
    <t>Telephone notice of the 08/13/2026 flow not made</t>
  </si>
  <si>
    <t>none made</t>
  </si>
  <si>
    <t>24 hours</t>
  </si>
  <si>
    <t>Section 3.2</t>
  </si>
  <si>
    <t>No call in the City's telephone log</t>
  </si>
  <si>
    <t>08/19/2026</t>
  </si>
  <si>
    <t>Copper, daily maximum, additional sample VP-260818</t>
  </si>
  <si>
    <t>08/20/2026</t>
  </si>
  <si>
    <t>pH, in-line meter, high reading for the day</t>
  </si>
  <si>
    <t>9.2</t>
  </si>
  <si>
    <t>Section 2.4 and Section 4.2</t>
  </si>
  <si>
    <t>Caustic feed valve serviced at 11:00 per the log; the time and duration are on the chart and not in the log</t>
  </si>
  <si>
    <t>08/21/2026</t>
  </si>
  <si>
    <t>Telephone notice and written report of the 08/20/2026 pH reading not made</t>
  </si>
  <si>
    <t>24 hours and 5 days</t>
  </si>
  <si>
    <t>No call in the City's telephone log and no written report among those the City holds</t>
  </si>
  <si>
    <t>08/25/2026</t>
  </si>
  <si>
    <t>Copper, daily maximum, sample VP-260825, Revision 1</t>
  </si>
  <si>
    <t>August 2026</t>
  </si>
  <si>
    <t>Copper, monthly average, three valid samples</t>
  </si>
  <si>
    <t>Same cause as the daily maximum exceedances</t>
  </si>
  <si>
    <t>Cyanide, monitoring frequency, days between the two valid samples</t>
  </si>
  <si>
    <t>10 days apart</t>
  </si>
  <si>
    <t>Cyanide of sample VP-260811 analyzed 08/26/2026, 15 days after collection, outside the 14-day holding time; the valid grabs are those of 08/19/2026 and 08/25/2026</t>
  </si>
  <si>
    <t>08/31/2026</t>
  </si>
  <si>
    <t>Replacement cyanide sample not collected in August after the 08/11/2026 result fell</t>
  </si>
  <si>
    <t>Report GLA-26-1742 issued 08/27/2026 at 09:30 with four days of the month left; the 08/19 and 08/25 grabs were collected before it</t>
  </si>
  <si>
    <t>08/27/2026</t>
  </si>
  <si>
    <t>Telephone notice of the 3.45 mg/L copper on sample VP-260818 left as a voicemail at 17:05</t>
  </si>
  <si>
    <t>25 hours 25 minutes</t>
  </si>
  <si>
    <t>Report issued 08/26/2026 at 15:40; the voicemail is in the operator's log and not in the City's telephone log</t>
  </si>
  <si>
    <t>08/28/2026</t>
  </si>
  <si>
    <t>Telephone notice of the 4.33 mg/L copper on sample VP-260811 made at 16:10</t>
  </si>
  <si>
    <t>30 hours 40 minutes</t>
  </si>
  <si>
    <t>Report issued 08/27/2026 at 09:30</t>
  </si>
  <si>
    <t>09/09/2026</t>
  </si>
  <si>
    <t>Zinc, daily maximum, sample VP-260909</t>
  </si>
  <si>
    <t>2.61 mg/L</t>
  </si>
  <si>
    <t>Not established in the file; the composite period ended at 06:40 per the chain of custody, before the 07:50 overflow, so the log's note that the composite ran through the event does not hold</t>
  </si>
  <si>
    <t>September 2026</t>
  </si>
  <si>
    <t>Zinc, monthly average</t>
  </si>
  <si>
    <t>1.48 mg/L</t>
  </si>
  <si>
    <t>The 09/09/2026 result carries the month</t>
  </si>
  <si>
    <t>The laboratory rejected the 09/09/2026 cyanide in Revision 1 of 09/25/2026, and the 09/23/2026 resample carried no cyanide grab</t>
  </si>
  <si>
    <t>09/30/2026</t>
  </si>
  <si>
    <t>Replacement cyanide sample not collected in September after the 09/09/2026 result was rejected</t>
  </si>
  <si>
    <t>Revision 1 issued 09/25/2026 at 09:40 with five days of the month left</t>
  </si>
  <si>
    <t>Flow, daily discharge, metered flow plus the volume around the meter</t>
  </si>
  <si>
    <t>Metered 43,650 gallons, with about 2,900 gallons of rinse water pumped to the sewer connection downstream of the totalizer</t>
  </si>
  <si>
    <t>Bypass of the pretreatment system, 07:50 for about 35 minutes</t>
  </si>
  <si>
    <t>2,900 gallons</t>
  </si>
  <si>
    <t>No bypass</t>
  </si>
  <si>
    <t>Section 4.1</t>
  </si>
  <si>
    <t>Level float on RT-4 stuck; float replaced 09/10/2026</t>
  </si>
  <si>
    <t>09/10/2026</t>
  </si>
  <si>
    <t>Telephone notice of the bypass made at 16:30</t>
  </si>
  <si>
    <t>32 hours 40 minutes</t>
  </si>
  <si>
    <t>Notice made the afternoon after the event</t>
  </si>
  <si>
    <t>09/15/2026</t>
  </si>
  <si>
    <t>Telephone notice of the 4.15 mg/L copper on sample VP-260825 not made</t>
  </si>
  <si>
    <t>Revision 1 issued 09/14/2026 at 10:15; no call in the City's telephone log</t>
  </si>
  <si>
    <t>09/17/2026</t>
  </si>
  <si>
    <t>pH, in-line meter, 14:10 to 14:55</t>
  </si>
  <si>
    <t>5.8</t>
  </si>
  <si>
    <t>Acid dump from the pickle tank; caustic feed increased, pH 6.9 by 15:00</t>
  </si>
  <si>
    <t>SIX-MONTH SIGNIFICANT NONCOMPLIANCE EVALUATION, APRIL THROUGH SEPTEMBER 2026</t>
  </si>
  <si>
    <t>Copper measurements in the period, one for each day with a valid result at Outfall 001</t>
  </si>
  <si>
    <t>Copper measurements above the technical review criterion threshold</t>
  </si>
  <si>
    <t>Copper share above the technical review criterion threshold, percent</t>
  </si>
  <si>
    <t>Copper significant noncompliance status</t>
  </si>
  <si>
    <t>Zinc measurements in the period, one for each day with a valid result at Outfall 001</t>
  </si>
  <si>
    <t>Zinc measurements above the technical review criterion threshold</t>
  </si>
  <si>
    <t>Zinc share above the technical review criterion threshold, percent</t>
  </si>
  <si>
    <t>Zinc significant noncompliance status</t>
  </si>
  <si>
    <t>Threshold for the technical review criterion test, percent</t>
  </si>
  <si>
    <t>Second quarter report, days received after its due date</t>
  </si>
  <si>
    <t>Plant status for the six-month period</t>
  </si>
  <si>
    <t>No parameter reaches either percentage threshold; the evaluation tab carries every parameter. The second quarter report reached the City on 08/31/2026 against its 07/15/2026 due date, 47 days late, and the forty-fifth day, 08/29/2026, fell inside the period, so the report arm of Section 3.4 is met. The first quarter report reached the City on 05/28/2026, 43 days after 04/15/2026 and inside the 45.</t>
  </si>
  <si>
    <t>CERTIFICATION</t>
  </si>
  <si>
    <t>I certify under penalty of law that this document and all attachments were prepared under my direction or supervision in accordance with a system designed to assure that qualified personnel properly gather and evaluate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 and imprisonment for knowing violations.</t>
  </si>
  <si>
    <t>Authorized representative: ______________________________</t>
  </si>
  <si>
    <t>Name: Gordon Pfeiffer</t>
  </si>
  <si>
    <t>Title: Plant Manager</t>
  </si>
  <si>
    <t>Date: ______________</t>
  </si>
  <si>
    <t>Permit limitations and computation parameters, Wastewater Discharge Permit IP-0421</t>
  </si>
  <si>
    <t>MDL MG/L</t>
  </si>
  <si>
    <t>SOURCE</t>
  </si>
  <si>
    <t>Part I of the permit; MDL from the laboratory's Methods tab</t>
  </si>
  <si>
    <t>OTHER PARAMETER</t>
  </si>
  <si>
    <t>Daily flow limit, gallons per day</t>
  </si>
  <si>
    <t>Part I of the permit</t>
  </si>
  <si>
    <t>pH range, standard units, lower bound</t>
  </si>
  <si>
    <t>pH range, standard units, upper bound</t>
  </si>
  <si>
    <t>Required valid samples per parameter per month</t>
  </si>
  <si>
    <t>Section 2.1 of the permit</t>
  </si>
  <si>
    <t>Technical review criterion for metals and cyanide</t>
  </si>
  <si>
    <t>Section 3.4 of the permit</t>
  </si>
  <si>
    <t>Chronic significant noncompliance threshold, percent of measurements</t>
  </si>
  <si>
    <t>Technical review criterion significant noncompliance threshold, percent of measurements</t>
  </si>
  <si>
    <t>Telephone notice, hours after becoming aware</t>
  </si>
  <si>
    <t>Section 3.2 of the permit</t>
  </si>
  <si>
    <t>Written report, days after the event</t>
  </si>
  <si>
    <t>Repeat sampling result at the City, days after becoming aware of a daily maximum exceedance</t>
  </si>
  <si>
    <t>Section 3.3 of the permit</t>
  </si>
  <si>
    <t>Self-monitoring report due, day of the month after the quarter</t>
  </si>
  <si>
    <t>Section 3.1 of the permit</t>
  </si>
  <si>
    <t>Holding time, total metals, months from collection</t>
  </si>
  <si>
    <t>Section 2.3 of the permit (40 CFR Part 136); 6 months for total metals on the laboratory's Methods tab</t>
  </si>
  <si>
    <t>Holding time, total cyanide, days from collection</t>
  </si>
  <si>
    <t>Section 2.3 of the permit (40 CFR Part 136); 14 days on the laboratory's Methods tab</t>
  </si>
  <si>
    <t>Aliquots required in a 24-hour composite, at least</t>
  </si>
  <si>
    <t>Six-month evaluation period, first day</t>
  </si>
  <si>
    <t>04/01/2026</t>
  </si>
  <si>
    <t>Section 3.4 of the permit and the Coordinator's note of September 30, 2026</t>
  </si>
  <si>
    <t>Six-month evaluation period, last day</t>
  </si>
  <si>
    <t>First day of the period as a serial</t>
  </si>
  <si>
    <t>Worked from row 26 for the date tests on the laboratory data</t>
  </si>
  <si>
    <t>Last day of the period as a serial</t>
  </si>
  <si>
    <t>Worked from row 27 for the date tests on the laboratory data</t>
  </si>
  <si>
    <t>Days apart required between the valid samples of a month, at least</t>
  </si>
  <si>
    <t>Holding time, total cyanide, hours from the grab</t>
  </si>
  <si>
    <t>Section 2.3 of the permit, elapsed hours from the time shown as collected on the chain of custody</t>
  </si>
  <si>
    <t>Laboratory results April through September 2026 as reported (lab_results_apr_sep2026.xlsx), with the City's two composites from the Coordinator's note</t>
  </si>
  <si>
    <t>RESULT and QUAL are the laboratory's figures as printed. REVISED carries a figure from a revised report, and the revised result replaces the result first reported (Section 2.2). REJECTED is Y where the laboratory has rejected the result in its case narrative. ALIQUOTS is from the operator logs. COLLECTED is the day on which the composite is pulled (Section 2.2), taken from the operator logs where they show it. VALID marks a valid sample result collected by the permittee for the monthly figures. MEASUREMENT marks a valid result from Outfall 001 inside the six-month period, whether the sample was collected by the permittee or by the City (Section 3.4). TREATED carries a U result at zero for averaging (Section 2.2). DAY VALUE averages the valid results of the same calendar day, and DAY COUNTED marks the one measurement for that day (Section 3.4).</t>
  </si>
  <si>
    <t>A result is not valid where the composite held fewer than twelve aliquots across the 24 hours, where the analysis started outside the holding time in elapsed hours from the time shown as collected (6 months for total metals, 336 hours for cyanide), or where the laboratory has rejected it, a revision included (Section 2.3). A sample taken anywhere but Outfall 001 is process control information (Section 2.5). A grab is one dip and not a composite of twelve aliquots, so a metals grab, the City's included, is not collected as Section 2.1 requires (Section 2.3).</t>
  </si>
  <si>
    <t>SAMPLE ID</t>
  </si>
  <si>
    <t>COLLECTED</t>
  </si>
  <si>
    <t>MONTH</t>
  </si>
  <si>
    <t>TYPE</t>
  </si>
  <si>
    <t>COLLECTED BY</t>
  </si>
  <si>
    <t>SAMPLED AT</t>
  </si>
  <si>
    <t>AT OUTFALL 001</t>
  </si>
  <si>
    <t>ALIQUOTS</t>
  </si>
  <si>
    <t>COMPOSITE OK</t>
  </si>
  <si>
    <t>IN PERIOD</t>
  </si>
  <si>
    <t>METALS ANALYZED</t>
  </si>
  <si>
    <t>CYANIDE ANALYZED</t>
  </si>
  <si>
    <t>METALS HOLD DAYS</t>
  </si>
  <si>
    <t>CYANIDE HOLD DAYS</t>
  </si>
  <si>
    <t>METALS HOLD OK</t>
  </si>
  <si>
    <t>CYANIDE HOLD OK</t>
  </si>
  <si>
    <t>Cd RESULT</t>
  </si>
  <si>
    <t>Cd QUAL</t>
  </si>
  <si>
    <t>Cd REVISED</t>
  </si>
  <si>
    <t>Cd REJECTED</t>
  </si>
  <si>
    <t>Cd VALID</t>
  </si>
  <si>
    <t>Cd MEASUREMENT</t>
  </si>
  <si>
    <t>Cd TREATED</t>
  </si>
  <si>
    <t>Cd DAY VALUE</t>
  </si>
  <si>
    <t>Cd DAY COUNTED</t>
  </si>
  <si>
    <t>Cr RESULT</t>
  </si>
  <si>
    <t>Cr QUAL</t>
  </si>
  <si>
    <t>Cr REVISED</t>
  </si>
  <si>
    <t>Cr REJECTED</t>
  </si>
  <si>
    <t>Cr VALID</t>
  </si>
  <si>
    <t>Cr MEASUREMENT</t>
  </si>
  <si>
    <t>Cr TREATED</t>
  </si>
  <si>
    <t>Cr DAY VALUE</t>
  </si>
  <si>
    <t>Cr DAY COUNTED</t>
  </si>
  <si>
    <t>Cu RESULT</t>
  </si>
  <si>
    <t>Cu QUAL</t>
  </si>
  <si>
    <t>Cu REVISED</t>
  </si>
  <si>
    <t>Cu REJECTED</t>
  </si>
  <si>
    <t>Cu VALID</t>
  </si>
  <si>
    <t>Cu MEASUREMENT</t>
  </si>
  <si>
    <t>Cu TREATED</t>
  </si>
  <si>
    <t>Cu DAY VALUE</t>
  </si>
  <si>
    <t>Cu DAY COUNTED</t>
  </si>
  <si>
    <t>Ni RESULT</t>
  </si>
  <si>
    <t>Ni QUAL</t>
  </si>
  <si>
    <t>Ni REVISED</t>
  </si>
  <si>
    <t>Ni REJECTED</t>
  </si>
  <si>
    <t>Ni VALID</t>
  </si>
  <si>
    <t>Ni MEASUREMENT</t>
  </si>
  <si>
    <t>Ni TREATED</t>
  </si>
  <si>
    <t>Ni DAY VALUE</t>
  </si>
  <si>
    <t>Ni DAY COUNTED</t>
  </si>
  <si>
    <t>Zn RESULT</t>
  </si>
  <si>
    <t>Zn QUAL</t>
  </si>
  <si>
    <t>Zn REVISED</t>
  </si>
  <si>
    <t>Zn REJECTED</t>
  </si>
  <si>
    <t>Zn VALID</t>
  </si>
  <si>
    <t>Zn MEASUREMENT</t>
  </si>
  <si>
    <t>Zn TREATED</t>
  </si>
  <si>
    <t>Zn DAY VALUE</t>
  </si>
  <si>
    <t>Zn DAY COUNTED</t>
  </si>
  <si>
    <t>CN RESULT</t>
  </si>
  <si>
    <t>CN QUAL</t>
  </si>
  <si>
    <t>CN REVISED</t>
  </si>
  <si>
    <t>CN REJECTED</t>
  </si>
  <si>
    <t>CN VALID</t>
  </si>
  <si>
    <t>CN MEASUREMENT</t>
  </si>
  <si>
    <t>CN TREATED</t>
  </si>
  <si>
    <t>CN DAY VALUE</t>
  </si>
  <si>
    <t>CN DAY COUNTED</t>
  </si>
  <si>
    <t>FIELD PH</t>
  </si>
  <si>
    <t>REPORT NO.</t>
  </si>
  <si>
    <t>REPORT ISSUED</t>
  </si>
  <si>
    <t>DATE ON THE LAB FILE</t>
  </si>
  <si>
    <t>BASIS FOR THE CALL</t>
  </si>
  <si>
    <t>COLLECTED, SERIAL</t>
  </si>
  <si>
    <t>METALS ANALYZED, SERIAL</t>
  </si>
  <si>
    <t>CYANIDE ANALYZED, SERIAL</t>
  </si>
  <si>
    <t>COLLECTED TIME</t>
  </si>
  <si>
    <t>METALS ANALYZED TIME</t>
  </si>
  <si>
    <t>CYANIDE ANALYZED TIME</t>
  </si>
  <si>
    <t>CYANIDE HOLD HOURS</t>
  </si>
  <si>
    <t>VP-260331</t>
  </si>
  <si>
    <t>03/31/2026</t>
  </si>
  <si>
    <t>Mar</t>
  </si>
  <si>
    <t>Routine</t>
  </si>
  <si>
    <t>Permittee</t>
  </si>
  <si>
    <t>OF-001</t>
  </si>
  <si>
    <t>04/03/2026</t>
  </si>
  <si>
    <t>04/04/2026</t>
  </si>
  <si>
    <t>GLA-26-1187</t>
  </si>
  <si>
    <t>04/09/2026 10:20</t>
  </si>
  <si>
    <t>Collected before April 1, outside the six-month period</t>
  </si>
  <si>
    <t>06:45</t>
  </si>
  <si>
    <t>13:20</t>
  </si>
  <si>
    <t>09:15</t>
  </si>
  <si>
    <t>VP-260407</t>
  </si>
  <si>
    <t>04/07/2026</t>
  </si>
  <si>
    <t>Apr</t>
  </si>
  <si>
    <t>05/14/2026</t>
  </si>
  <si>
    <t>04/12/2026</t>
  </si>
  <si>
    <t>U</t>
  </si>
  <si>
    <t>GLA-26-1214</t>
  </si>
  <si>
    <t>05/15/2026 10:40</t>
  </si>
  <si>
    <t>Metals analyzed at 37 days, inside the 6 months</t>
  </si>
  <si>
    <t>06:40</t>
  </si>
  <si>
    <t>11:05</t>
  </si>
  <si>
    <t>10:30</t>
  </si>
  <si>
    <t>VP-260421</t>
  </si>
  <si>
    <t>04/21/2026</t>
  </si>
  <si>
    <t>04/25/2026</t>
  </si>
  <si>
    <t>04/23/2026</t>
  </si>
  <si>
    <t>GLA-26-1263</t>
  </si>
  <si>
    <t>04/30/2026 15:05</t>
  </si>
  <si>
    <t>06:35</t>
  </si>
  <si>
    <t>09:40</t>
  </si>
  <si>
    <t>14:05</t>
  </si>
  <si>
    <t>VP-260505</t>
  </si>
  <si>
    <t>05/05/2026</t>
  </si>
  <si>
    <t>May</t>
  </si>
  <si>
    <t>05/08/2026</t>
  </si>
  <si>
    <t>05/19/2026</t>
  </si>
  <si>
    <t>X</t>
  </si>
  <si>
    <t>GLA-26-1329</t>
  </si>
  <si>
    <t>05/20/2026 09:15</t>
  </si>
  <si>
    <t>Cyanide analyzed 05/19/2026 at 06:30, 335.7 hours after the 06:50 grab, inside the 14-day holding time by 20 minutes</t>
  </si>
  <si>
    <t>06:50</t>
  </si>
  <si>
    <t>10:50</t>
  </si>
  <si>
    <t>06:30</t>
  </si>
  <si>
    <t>VP-260519</t>
  </si>
  <si>
    <t>05/26/2026</t>
  </si>
  <si>
    <t>05/25/2026</t>
  </si>
  <si>
    <t>J</t>
  </si>
  <si>
    <t>GLA-26-1388</t>
  </si>
  <si>
    <t>05/29/2026 13:30</t>
  </si>
  <si>
    <t>Cyanide J value used as reported</t>
  </si>
  <si>
    <t>13:15</t>
  </si>
  <si>
    <t>09:20</t>
  </si>
  <si>
    <t>City, first</t>
  </si>
  <si>
    <t>05/27/2026</t>
  </si>
  <si>
    <t>City composite</t>
  </si>
  <si>
    <t>City</t>
  </si>
  <si>
    <t>manhole 44-118</t>
  </si>
  <si>
    <t>under limit</t>
  </si>
  <si>
    <t>NS</t>
  </si>
  <si>
    <t>Sampler set 05/26, composite pulled the next morning (Coordinator's note); manhole 44-118 is Outfall 001</t>
  </si>
  <si>
    <t>VP-260602</t>
  </si>
  <si>
    <t>06/02/2026</t>
  </si>
  <si>
    <t>Jun</t>
  </si>
  <si>
    <t>06/08/2026</t>
  </si>
  <si>
    <t>06/07/2026</t>
  </si>
  <si>
    <t>GLA-26-1441</t>
  </si>
  <si>
    <t>06/12/2026 11:10</t>
  </si>
  <si>
    <t>11:30</t>
  </si>
  <si>
    <t>10:10</t>
  </si>
  <si>
    <t>VP-260616</t>
  </si>
  <si>
    <t>06/16/2026</t>
  </si>
  <si>
    <t>06/20/2026</t>
  </si>
  <si>
    <t>06/18/2026</t>
  </si>
  <si>
    <t>GLA-26-1502</t>
  </si>
  <si>
    <t>06/26/2026 09:50</t>
  </si>
  <si>
    <t>06:55</t>
  </si>
  <si>
    <t>09:55</t>
  </si>
  <si>
    <t>14:40</t>
  </si>
  <si>
    <t>City, grab</t>
  </si>
  <si>
    <t>06/23/2026</t>
  </si>
  <si>
    <t>City grab</t>
  </si>
  <si>
    <t>Grab dipped at manhole 44-118 at 10:40 (Coordinator's note), one dip and not a 24-hour composite of at least twelve aliquots, so not collected as Section 2.1 requires and not a valid sample result</t>
  </si>
  <si>
    <t>VP-260707</t>
  </si>
  <si>
    <t>07/07/2026</t>
  </si>
  <si>
    <t>Jul</t>
  </si>
  <si>
    <t>07/11/2026</t>
  </si>
  <si>
    <t>07/13/2026</t>
  </si>
  <si>
    <t>GLA-26-1611</t>
  </si>
  <si>
    <t>07/16/2026 14:45</t>
  </si>
  <si>
    <t>Sampler stopped at 15:10 on 07/06 with 9 aliquots (July log); the cyanide grab stands</t>
  </si>
  <si>
    <t>14:10</t>
  </si>
  <si>
    <t>10:25</t>
  </si>
  <si>
    <t>VP-260721</t>
  </si>
  <si>
    <t>08/04/2026</t>
  </si>
  <si>
    <t>Y</t>
  </si>
  <si>
    <t>GLA-26-1668</t>
  </si>
  <si>
    <t>07/30/2026 14:05</t>
  </si>
  <si>
    <t>Zinc rejected by the laboratory in the narrative for GLA-26-1668; cyanide analyzed 08/04/2026 at 10:20, 339.8 hours after the 06:30 grab, outside the 14-day holding time by 3 hours 50 minutes</t>
  </si>
  <si>
    <t>10:40</t>
  </si>
  <si>
    <t>10:20</t>
  </si>
  <si>
    <t>VP-260811</t>
  </si>
  <si>
    <t>Aug</t>
  </si>
  <si>
    <t>08/15/2026</t>
  </si>
  <si>
    <t>08/26/2026</t>
  </si>
  <si>
    <t>GLA-26-1742</t>
  </si>
  <si>
    <t>08/27/2026 09:30</t>
  </si>
  <si>
    <t>Copper reported from the dilution; cyanide analyzed at 15 days</t>
  </si>
  <si>
    <t>09:30</t>
  </si>
  <si>
    <t>13:50</t>
  </si>
  <si>
    <t>VP-260818</t>
  </si>
  <si>
    <t>Additional</t>
  </si>
  <si>
    <t>08/23/2026</t>
  </si>
  <si>
    <t>08/24/2026</t>
  </si>
  <si>
    <t>GLA-26-1771</t>
  </si>
  <si>
    <t>08/26/2026 15:40</t>
  </si>
  <si>
    <t>08/18/2026</t>
  </si>
  <si>
    <t>Additional composite, a sample under Section 2.5; started 08/18 and pulled 08/19 at 06:40 (August log)</t>
  </si>
  <si>
    <t>11:15</t>
  </si>
  <si>
    <t>10:05</t>
  </si>
  <si>
    <t>VP-260819</t>
  </si>
  <si>
    <t>Clar. weir</t>
  </si>
  <si>
    <t>not collected</t>
  </si>
  <si>
    <t>GLA-26-1772</t>
  </si>
  <si>
    <t>Grab at the clarifier weir, process control information under Section 2.5</t>
  </si>
  <si>
    <t>07:10</t>
  </si>
  <si>
    <t>City, second</t>
  </si>
  <si>
    <t>Sampler set 08/18, composite pulled 08/19 at 08:20 (Coordinator's note and August log)</t>
  </si>
  <si>
    <t>VP-260825</t>
  </si>
  <si>
    <t>08/29/2026</t>
  </si>
  <si>
    <t>GLA-26-1789</t>
  </si>
  <si>
    <t>09/04/2026 13:15</t>
  </si>
  <si>
    <t>Copper corrected to 4.15 by Revision 1, issued 09/14/2026 at 10:15; 19 aliquots across the 24 hours</t>
  </si>
  <si>
    <t>10:35</t>
  </si>
  <si>
    <t>09:45</t>
  </si>
  <si>
    <t>VP-260909</t>
  </si>
  <si>
    <t>Sep</t>
  </si>
  <si>
    <t>09/12/2026</t>
  </si>
  <si>
    <t>09/14/2026</t>
  </si>
  <si>
    <t>GLA-26-1811</t>
  </si>
  <si>
    <t>09/15/2026 11:20</t>
  </si>
  <si>
    <t>Composite period ended at 06:40 per the chain of custody, before the 07:50 overflow; cyanide rejected by the laboratory in Revision 1 of 09/25/2026</t>
  </si>
  <si>
    <t>13:40</t>
  </si>
  <si>
    <t>VP-260922</t>
  </si>
  <si>
    <t>09/22/2026</t>
  </si>
  <si>
    <t>09/29/2026</t>
  </si>
  <si>
    <t>09/28/2026</t>
  </si>
  <si>
    <t>GLA-26-1897</t>
  </si>
  <si>
    <t>10/01/2026 10:05</t>
  </si>
  <si>
    <t>09:50</t>
  </si>
  <si>
    <t>14:15</t>
  </si>
  <si>
    <t>VP-260923</t>
  </si>
  <si>
    <t>09/23/2026</t>
  </si>
  <si>
    <t>Resample</t>
  </si>
  <si>
    <t>09/26/2026</t>
  </si>
  <si>
    <t>GLA-26-1904</t>
  </si>
  <si>
    <t>Resample after the 09/09 zinc result, metals only</t>
  </si>
  <si>
    <t>07:05</t>
  </si>
  <si>
    <t>11:20</t>
  </si>
  <si>
    <t>Monthly averages and daily maximums by parameter, July through September 2026</t>
  </si>
  <si>
    <t>Monthly average is the arithmetic mean of the valid results collected by the permittee in the month, with non-detects carried at zero (Section 2.2). A resample or an additional Outfall 001 sample counts in the month's average. Daily maximum is the highest valid result in the month. The monitoring frequency is met where the valid results of the month come from two days at least ten days apart (Section 2.1), and a month that does not meet it is monitored below frequency (Section 2.3). The City's composites are not carried here (Section 2.5).</t>
  </si>
  <si>
    <t>DAILY MAXIMUM LIMIT</t>
  </si>
  <si>
    <t>MONTHLY AVERAGE LIMIT</t>
  </si>
  <si>
    <t>MONTHLY AVERAGE</t>
  </si>
  <si>
    <t>DAILY MAXIMUM</t>
  </si>
  <si>
    <t>MONTHLY AVERAGE STATUS</t>
  </si>
  <si>
    <t>DAILY MAXIMUM STATUS</t>
  </si>
  <si>
    <t>FREQUENCY STATUS</t>
  </si>
  <si>
    <t>DAYS FIRST TO LAST VALID SAMPLE</t>
  </si>
  <si>
    <t>Significant noncompliance evaluation, April 1 through September 30, 2026, Section 3.4 of the permit</t>
  </si>
  <si>
    <t>Every valid result from a sample collected at Outfall 001 in the period is a measurement, whether the sample was collected by the permittee or by the City, with resamples and additional samples included. Valid results of the same calendar day are averaged into the one measurement for that day. Each measurement is compared with the daily maximum limitation and with the limitation multiplied by the technical review criterion of 1.2.</t>
  </si>
  <si>
    <t>MEASUREMENTS</t>
  </si>
  <si>
    <t>TRC MULTIPLIER</t>
  </si>
  <si>
    <t>TRC THRESHOLD MG/L</t>
  </si>
  <si>
    <t>ABOVE THE LIMIT</t>
  </si>
  <si>
    <t>SHARE ABOVE THE LIMIT PCT</t>
  </si>
  <si>
    <t>ABOVE THE TRC THRESHOLD</t>
  </si>
  <si>
    <t>SHARE ABOVE THE TRC THRESHOLD PCT</t>
  </si>
  <si>
    <t>CHRONIC AT 66 PCT</t>
  </si>
  <si>
    <t>TRC AT 33 PCT</t>
  </si>
  <si>
    <t>SIGNIFICANT NONCOMPLIANCE</t>
  </si>
  <si>
    <t>CHRONIC THRESHOLD PCT</t>
  </si>
  <si>
    <t>TRC THRESHOLD PCT</t>
  </si>
  <si>
    <t>No parameter reaches the percentage tests. Copper stands at 4 of its 14 measurements over the threshold and zinc at 4 of its 13, so each is one result short of the 33 percent test, and the City's grab of June 23 would be that result if it were a sample. The plant is in significant noncompliance for the period on the report arm below, on the second quarter report.</t>
  </si>
  <si>
    <t>RECORD LEFT OUT</t>
  </si>
  <si>
    <t>RESULTS LEFT OUT</t>
  </si>
  <si>
    <t>WHY</t>
  </si>
  <si>
    <t>WHERE THE FILE SHOWS IT</t>
  </si>
  <si>
    <t>VP-260331, collected 03/31/2026</t>
  </si>
  <si>
    <t>All six parameters</t>
  </si>
  <si>
    <t>Laboratory results, collection date</t>
  </si>
  <si>
    <t>VP-260707, collected 07/07/2026</t>
  </si>
  <si>
    <t>Cadmium, chromium, copper, nickel, zinc</t>
  </si>
  <si>
    <t>Composite of 9 aliquots, stopped at 15:10 on 07/06, against at least twelve across the 24 hours</t>
  </si>
  <si>
    <t>July operator log, 07/07; permit Section 2.1</t>
  </si>
  <si>
    <t>VP-260721, collected 07/21/2026</t>
  </si>
  <si>
    <t>Zinc, printed at 3.48 mg/L</t>
  </si>
  <si>
    <t>Rejected by the laboratory after a failed calibration verification</t>
  </si>
  <si>
    <t>Case narrative for GLA-26-1668; permit Section 2.3</t>
  </si>
  <si>
    <t>VP-260811, collected 08/11/2026</t>
  </si>
  <si>
    <t>Cyanide</t>
  </si>
  <si>
    <t>Analyzed 08/26/2026, 15 days after collection, outside the 14-day holding time</t>
  </si>
  <si>
    <t>Chain of custody log and Methods tab; permit Section 2.3</t>
  </si>
  <si>
    <t>VP-260819, collected 08/19/2026</t>
  </si>
  <si>
    <t>All five metals and its pH of 9.4</t>
  </si>
  <si>
    <t>Grab at the clarifier weir, not at Outfall 001</t>
  </si>
  <si>
    <t>Chain of custody log and August operator log, 08/19; permit Section 2.5</t>
  </si>
  <si>
    <t>City grab, dipped 06/23/2026</t>
  </si>
  <si>
    <t>Copper 4.71 and zinc 1.36</t>
  </si>
  <si>
    <t>A grab dipped at 10:40, not a 24-hour composite of at least twelve aliquots, so not collected as Section 2.1 requires; counted, copper would stand at 5 of 15, which is 33.3 percent</t>
  </si>
  <si>
    <t>Coordinator's note of September 30; permit Sections 2.1, 2.3 and 3.4</t>
  </si>
  <si>
    <t>Test kit reading, 09/24/2026</t>
  </si>
  <si>
    <t>Copper, about 3.9</t>
  </si>
  <si>
    <t>Read on a field test kit, not a method approved under 40 CFR Part 136, so process control information and not a sample</t>
  </si>
  <si>
    <t>September operator log, 09/24; permit Section 2.5</t>
  </si>
  <si>
    <t>Analyzed 08/04/2026 at 10:20, 339.8 hours after the 06:30 grab, outside the 14-day holding time by 3 hours 50 minutes</t>
  </si>
  <si>
    <t>VP-260909, collected 09/09/2026</t>
  </si>
  <si>
    <t>Rejected by the laboratory in Revision 1 of 09/25/2026 after a failed matrix spike</t>
  </si>
  <si>
    <t>Case narrative for GLA-26-1811; permit Section 2.3</t>
  </si>
  <si>
    <t>RECORD COUNTED</t>
  </si>
  <si>
    <t>RESULTS COUNTED</t>
  </si>
  <si>
    <t>City composite pulled 05/27/2026</t>
  </si>
  <si>
    <t>Copper 2.26, zinc 0.97, and cadmium, chromium, nickel under their limits</t>
  </si>
  <si>
    <t>Collected by the City at manhole 44-118, which is Outfall 001; sampler set 05/26 and pulled the next morning</t>
  </si>
  <si>
    <t>Coordinator's note of September 30; permit Section 3.4</t>
  </si>
  <si>
    <t>City composite pulled 08/19/2026 with VP-260818</t>
  </si>
  <si>
    <t>Copper 4.27 and 3.45 averaged to 3.86; zinc 1.08 and 1.21 averaged to 1.145</t>
  </si>
  <si>
    <t>Two valid Outfall 001 results of the same calendar day are the one measurement for that day</t>
  </si>
  <si>
    <t>August operator log, 08/19, and the Coordinator's note; permit Sections 2.2 and 3.4</t>
  </si>
  <si>
    <t>VP-260818, pulled 08/19/2026</t>
  </si>
  <si>
    <t>Five metals and cyanide</t>
  </si>
  <si>
    <t>Additional composite at Outfall 001, 25 aliquots; the laboratory's file carries 08/18/2026, the day it was started</t>
  </si>
  <si>
    <t>August operator log, 08/18 and 08/19; permit Sections 2.2 and 2.5</t>
  </si>
  <si>
    <t>VP-260825, collected 08/25/2026</t>
  </si>
  <si>
    <t>Copper at 4.15 mg/L in place of the 3.15 mg/L printed</t>
  </si>
  <si>
    <t>Revision 1 of 09/14/2026 corrected a keying error</t>
  </si>
  <si>
    <t>Case narrative for GLA-26-1789; permit Section 2.2</t>
  </si>
  <si>
    <t>Five metals</t>
  </si>
  <si>
    <t>Composite of 19 aliquots across the 24 hours</t>
  </si>
  <si>
    <t>August operator log, 08/25; permit Section 2.1</t>
  </si>
  <si>
    <t>VP-260407, collected 04/07/2026</t>
  </si>
  <si>
    <t>Analyzed at 37 days against a holding time of 6 months</t>
  </si>
  <si>
    <t>Chain of custody log and Methods tab</t>
  </si>
  <si>
    <t>VP-260505, collected 05/05/2026</t>
  </si>
  <si>
    <t>Cyanide and chromium</t>
  </si>
  <si>
    <t>Cyanide analyzed 05/19/2026 at 06:30, 335.7 hours after the grab and inside the 14-day holding time by 20 minutes; chromium reported as measured after a low matrix spike</t>
  </si>
  <si>
    <t>Chain of custody log; case narrative for GLA-26-1329</t>
  </si>
  <si>
    <t>REPORT</t>
  </si>
  <si>
    <t>DUE</t>
  </si>
  <si>
    <t>RECEIVED BY THE CITY</t>
  </si>
  <si>
    <t>45-DAY ARM OF SECTION 3.4</t>
  </si>
  <si>
    <t>FORTY-FIFTH DAY</t>
  </si>
  <si>
    <t>DAYS AFTER THE DUE DATE</t>
  </si>
  <si>
    <t>First quarter self-monitoring report (Section 3.1)</t>
  </si>
  <si>
    <t>04/15/2026</t>
  </si>
  <si>
    <t>05/28/2026</t>
  </si>
  <si>
    <t>Not counted</t>
  </si>
  <si>
    <t>05/30/2026</t>
  </si>
  <si>
    <t>Second quarter self-monitoring report (Section 3.1)</t>
  </si>
  <si>
    <t>07/15/2026</t>
  </si>
  <si>
    <t>Significant noncompliance</t>
  </si>
  <si>
    <t>The second quarter report reached the City on 08/31/2026 by the Coordinator's note of September 30, 47 days after its 07/15/2026 due date under Section 3.1; the forty-fifth day fell on 08/29/2026, inside the period, so Section 3.4 counts the failure in this review. The first quarter report reached the City on 05/28/2026 by the plant manager's email of October 5, 43 days after 04/15/2026 and inside the 45, so it is not counted even though the City noticed a violation of Section 3.1 on it.</t>
  </si>
  <si>
    <t>Daily flow, July through September 2026, gallons, worked from the totalizer register readings in the operator logs</t>
  </si>
  <si>
    <t>Each log carries the register at 07:00 the following morning; a day's flow is that reading less the one before it. The register was replaced at 07:05 on 07/17/2026 and the new one started at zero, so the 07/17 flow is read against zero and not against the old register's last reading. The totalizer sits ahead of the sewer connection, so the volume that went to the sewer around the meter on 09/09/2026 is added to that day's discharge. The August 31 line of the log carries two digits transposed, and the register the September log opens on is used for that day.</t>
  </si>
  <si>
    <t>REGISTER AT 07:00 NEXT DAY, GAL</t>
  </si>
  <si>
    <t>DAILY FLOW, GAL</t>
  </si>
  <si>
    <t>ABOVE LIMIT</t>
  </si>
  <si>
    <t>BASIS</t>
  </si>
  <si>
    <t>Register at 07:00 on 07/01/2026</t>
  </si>
  <si>
    <t>07/01/2026</t>
  </si>
  <si>
    <t>07/02/2026</t>
  </si>
  <si>
    <t>07/03/2026</t>
  </si>
  <si>
    <t>07/04/2026</t>
  </si>
  <si>
    <t>07/05/2026</t>
  </si>
  <si>
    <t>07/06/2026</t>
  </si>
  <si>
    <t>07/08/2026</t>
  </si>
  <si>
    <t>07/09/2026</t>
  </si>
  <si>
    <t>07/10/2026</t>
  </si>
  <si>
    <t>07/12/2026</t>
  </si>
  <si>
    <t>07/14/2026</t>
  </si>
  <si>
    <t>07/16/2026</t>
  </si>
  <si>
    <t>New register installed at 07:05 on 07/17/2026, after the 07:00 read</t>
  </si>
  <si>
    <t>07/17/2026</t>
  </si>
  <si>
    <t>07/18/2026</t>
  </si>
  <si>
    <t>07/19/2026</t>
  </si>
  <si>
    <t>07/20/2026</t>
  </si>
  <si>
    <t>07/22/2026</t>
  </si>
  <si>
    <t>07/23/2026</t>
  </si>
  <si>
    <t>07/24/2026</t>
  </si>
  <si>
    <t>07/25/2026</t>
  </si>
  <si>
    <t>07/27/2026</t>
  </si>
  <si>
    <t>07/28/2026</t>
  </si>
  <si>
    <t>07/29/2026</t>
  </si>
  <si>
    <t>07/30/2026</t>
  </si>
  <si>
    <t>08/01/2026</t>
  </si>
  <si>
    <t>08/02/2026</t>
  </si>
  <si>
    <t>08/03/2026</t>
  </si>
  <si>
    <t>08/05/2026</t>
  </si>
  <si>
    <t>08/06/2026</t>
  </si>
  <si>
    <t>08/07/2026</t>
  </si>
  <si>
    <t>08/08/2026</t>
  </si>
  <si>
    <t>08/09/2026</t>
  </si>
  <si>
    <t>08/10/2026</t>
  </si>
  <si>
    <t>08/12/2026</t>
  </si>
  <si>
    <t>08/16/2026</t>
  </si>
  <si>
    <t>08/17/2026</t>
  </si>
  <si>
    <t>08/22/2026</t>
  </si>
  <si>
    <t>08/30/2026</t>
  </si>
  <si>
    <t>The log line reads 1,137,773; the operator's month-end line and the September opening read 1,173,773, two digits transposed on the line</t>
  </si>
  <si>
    <t>09/01/2026</t>
  </si>
  <si>
    <t>09/02/2026</t>
  </si>
  <si>
    <t>09/03/2026</t>
  </si>
  <si>
    <t>09/04/2026</t>
  </si>
  <si>
    <t>09/05/2026</t>
  </si>
  <si>
    <t>09/06/2026</t>
  </si>
  <si>
    <t>09/07/2026</t>
  </si>
  <si>
    <t>09/08/2026</t>
  </si>
  <si>
    <t>09/11/2026</t>
  </si>
  <si>
    <t>09/13/2026</t>
  </si>
  <si>
    <t>09/16/2026</t>
  </si>
  <si>
    <t>09/25/2026</t>
  </si>
  <si>
    <t>09/19/2026</t>
  </si>
  <si>
    <t>09/20/2026</t>
  </si>
  <si>
    <t>09/21/2026</t>
  </si>
  <si>
    <t>09/24/2026</t>
  </si>
  <si>
    <t>09/27/2026</t>
  </si>
  <si>
    <t>HIGHEST METERED DAY, GAL</t>
  </si>
  <si>
    <t>DAYS ABOVE THE LIMIT</t>
  </si>
  <si>
    <t>TOTAL, GAL</t>
  </si>
  <si>
    <t>Quarter metered total, the sum of the daily register differences</t>
  </si>
  <si>
    <t>DISCHARGE OF 09/09/2026</t>
  </si>
  <si>
    <t>GALLONS</t>
  </si>
  <si>
    <t>Metered flow of 09/09/2026, register difference</t>
  </si>
  <si>
    <t>Rinse water pumped to the sewer around the meter, operator's estimate</t>
  </si>
  <si>
    <t>Discharge of 09/09/2026, metered flow plus the volume around the meter</t>
  </si>
  <si>
    <t>Highest daily discharge in September</t>
  </si>
  <si>
    <t>Notifications and repeat sampling the quarter required, with the dates due and the dates done</t>
  </si>
  <si>
    <t>Awareness of a sample result runs from the time the laboratory issued the report or the revision that carries it (Section 3.2). Calls are from the City's telephone log for July 1 through September 30. A repeat sample satisfies Section 3.3 where it is a valid result collected after the permittee became aware and its report reaches the Coordinator within the 30 days. Duties that began on June results and fell due in the quarter are carried on the first two lines.</t>
  </si>
  <si>
    <t>EVENT</t>
  </si>
  <si>
    <t>AWARE</t>
  </si>
  <si>
    <t>REQUIREMENT</t>
  </si>
  <si>
    <t>DONE</t>
  </si>
  <si>
    <t>STATUS</t>
  </si>
  <si>
    <t>Copper daily maximum exceedance, sample VP-260616, 3.97 mg/L, carried from June</t>
  </si>
  <si>
    <t>06/26/2026 09:50, lab report</t>
  </si>
  <si>
    <t>Valid repeat result at the City within 30 days</t>
  </si>
  <si>
    <t>07/30/2026, sample VP-260721; the 07/07 composite was not valid</t>
  </si>
  <si>
    <t>Late</t>
  </si>
  <si>
    <t>Zinc daily maximum exceedance, sample VP-260616, 3.22 mg/L, carried from June</t>
  </si>
  <si>
    <t>08/27/2026, sample VP-260811; the 07/07 composite was not valid and the 07/21 zinc was rejected</t>
  </si>
  <si>
    <t>Copper daily maximum exceedance, sample VP-260721, 4.09 mg/L</t>
  </si>
  <si>
    <t>07/30/2026 14:05, lab report</t>
  </si>
  <si>
    <t>Telephone notice within 24 hours</t>
  </si>
  <si>
    <t>07/31/2026 14:05</t>
  </si>
  <si>
    <t>07/31/2026 09:40</t>
  </si>
  <si>
    <t>Copper daily maximum exceedance, sample VP-260721, repeat sampling</t>
  </si>
  <si>
    <t>08/27/2026, sample VP-260811</t>
  </si>
  <si>
    <t>Replacement samples in July, Section 2.3, after the 07/21 zinc and cyanide results fell</t>
  </si>
  <si>
    <t>Replacement sample within the calendar month</t>
  </si>
  <si>
    <t>None collected</t>
  </si>
  <si>
    <t>Not made</t>
  </si>
  <si>
    <t>Flow of 46,150 gallons on 08/13/2026</t>
  </si>
  <si>
    <t>08/14/2026 07:00, register read</t>
  </si>
  <si>
    <t>08/15/2026 07:00</t>
  </si>
  <si>
    <t>In-line pH of 9.2 on 08/20/2026, telephone notice</t>
  </si>
  <si>
    <t>08/20/2026, chart; the log gives no time</t>
  </si>
  <si>
    <t>In-line pH of 9.2 on 08/20/2026, written report</t>
  </si>
  <si>
    <t>Written report within 5 days</t>
  </si>
  <si>
    <t>None among the written reports the City holds</t>
  </si>
  <si>
    <t>Copper daily maximum exceedance, sample VP-260818, 3.45 mg/L</t>
  </si>
  <si>
    <t>08/26/2026 15:40, lab report</t>
  </si>
  <si>
    <t>08/27/2026 15:40</t>
  </si>
  <si>
    <t>08/27/2026 17:05, a voicemail per the August log, 25 hours 25 minutes after the report; no call in the City's log</t>
  </si>
  <si>
    <t>Copper daily maximum exceedance, sample VP-260818, repeat sampling</t>
  </si>
  <si>
    <t>09/15/2026, sample VP-260909</t>
  </si>
  <si>
    <t>Copper daily maximum exceedance, sample VP-260811, 4.33 mg/L</t>
  </si>
  <si>
    <t>08/27/2026 09:30, lab report</t>
  </si>
  <si>
    <t>08/28/2026 09:30</t>
  </si>
  <si>
    <t>08/28/2026 16:10, 30 hours 40 minutes after the report</t>
  </si>
  <si>
    <t>Copper daily maximum exceedance, sample VP-260811, repeat sampling</t>
  </si>
  <si>
    <t>Replacement cyanide sample in August, Section 2.3, after the 08/11 cyanide fell outside the holding time</t>
  </si>
  <si>
    <t>None collected after the report</t>
  </si>
  <si>
    <t>Rinse tank RT-4 overflow, a bypass of the pretreatment system</t>
  </si>
  <si>
    <t>Section 3.2 and Section 4.1</t>
  </si>
  <si>
    <t>09/09/2026 07:50, the event</t>
  </si>
  <si>
    <t>09/10/2026 07:50</t>
  </si>
  <si>
    <t>09/10/2026 16:30, 32 hours 40 minutes after the event</t>
  </si>
  <si>
    <t>Rinse tank RT-4 overflow, written report</t>
  </si>
  <si>
    <t>Copper daily maximum exceedance, sample VP-260825, 4.15 mg/L</t>
  </si>
  <si>
    <t>09/14/2026 10:15, Revision 1</t>
  </si>
  <si>
    <t>09/15/2026 10:15</t>
  </si>
  <si>
    <t>Copper daily maximum exceedance, sample VP-260825, repeat sampling</t>
  </si>
  <si>
    <t>10/14/2026</t>
  </si>
  <si>
    <t>10/01/2026, sample VP-260922</t>
  </si>
  <si>
    <t>Zinc daily maximum exceedance, sample VP-260909, 3.14 mg/L</t>
  </si>
  <si>
    <t>09/15/2026 11:20, lab report</t>
  </si>
  <si>
    <t>09/16/2026 11:20</t>
  </si>
  <si>
    <t>09/16/2026 10:05</t>
  </si>
  <si>
    <t>Zinc daily maximum exceedance, sample VP-260909, repeat sampling</t>
  </si>
  <si>
    <t>10/15/2026</t>
  </si>
  <si>
    <t>10/01/2026, samples VP-260922 and VP-260923</t>
  </si>
  <si>
    <t>Replacement cyanide sample in September, Section 2.3, after the laboratory rejected the 09/09 cyanide</t>
  </si>
  <si>
    <t>09/25/2026 09:40, Revision 1</t>
  </si>
  <si>
    <t>In-line pH of 5.8 on 09/17/2026, 14:10 to 14:55, telephone notice</t>
  </si>
  <si>
    <t>09/17/2026 14:10</t>
  </si>
  <si>
    <t>09/25/2026 14:10</t>
  </si>
  <si>
    <t>09/17/2026 15:20</t>
  </si>
  <si>
    <t>In-line pH of 5.8 on 09/17/2026, written report</t>
  </si>
  <si>
    <t>Second quarter self-monitoring report</t>
  </si>
  <si>
    <t>Section 3.1 and Section 3.4</t>
  </si>
  <si>
    <t>06/30/2026, quarter end</t>
  </si>
  <si>
    <t>Report in the Attachment B format by the 15th</t>
  </si>
  <si>
    <t>08/31/2026, received by the City, 47 days after the due date; the forty-fifth day fell on 08/29/2026</t>
  </si>
  <si>
    <t>Third quarter self-monitoring report</t>
  </si>
  <si>
    <t>Section 3.1</t>
  </si>
  <si>
    <t>09/30/2026, quarter end</t>
  </si>
  <si>
    <t>Report in the Attachment B format, signed</t>
  </si>
  <si>
    <t>Signing planned 10/13/2026</t>
  </si>
  <si>
    <t>Pending</t>
  </si>
  <si>
    <t>Designation of the signer of the third quarter report</t>
  </si>
  <si>
    <t>Section 3.5</t>
  </si>
  <si>
    <t>The permit names Harlan Vandeveer, President</t>
  </si>
  <si>
    <t>Written designation filed with the Coordinator before the report is submitted</t>
  </si>
  <si>
    <t>Before the report goes in</t>
  </si>
  <si>
    <t>None in the file</t>
  </si>
  <si>
    <t>Open</t>
  </si>
  <si>
    <t>NOTICES, REPEAT RESULTS AND REPLACEMENTS BY STATUS</t>
  </si>
  <si>
    <t>LINES</t>
  </si>
  <si>
    <t>Lines standing at Met</t>
  </si>
  <si>
    <t>Lines standing at Late</t>
  </si>
  <si>
    <t>Lines standing at Not made</t>
  </si>
  <si>
    <t>Lines standing at Pending</t>
  </si>
  <si>
    <t>Lines standing at Open</t>
  </si>
  <si>
    <t>To: Gordon Pfeiffer, Plant Manager</t>
  </si>
  <si>
    <t>Date: October 12, 2026</t>
  </si>
  <si>
    <t>Re: Third quarter 2026 self-monitoring report, Permit IP-0421, before you sign</t>
  </si>
  <si>
    <t>The overflow is not the quarter's only problem, and the six-month review will put the plant in significant noncompliance. It does so on the report arm of Section 3.4 and not on copper. Renee's note puts the second quarter report at her office on August 31, 47 days after its July 15 due date, and Section 3.4 counts a report more than 45 days late in the period in which the forty-fifth day falls. That day was August 29, inside April through September. Your email calls that report a little late but fine; the permit does not. The first quarter report, the one Renee wrote up, reached her on May 28, 43 days after April 15 and inside the 45, so it is not counted.</t>
  </si>
  <si>
    <t>Copper and zinc both fall short of the percentage tests, each by one result. Copper has 14 measurements in the period, and 4 of them exceed the daily maximum by more than the technical review criterion of 1.2, a threshold of 4.056 mg/L. That is 28.6 percent against the 33 percent test. Zinc has 13 measurements with 4 over its threshold of 3.132 mg/L, which is 30.8 percent.</t>
  </si>
  <si>
    <t>The count of 14 is not the count in the laboratory's table. Section 3.4 counts every valid result from Outfall 001 whether the sample was collected by the permittee or by the City, with resamples and additional samples included, and it averages valid results of the same calendar day into one measurement. The City's second composite and our additional composite VP-260818 were both pulled on August 19, so their copper results of 4.27 and 3.45 mg/L are one measurement of 3.86 mg/L. Counted apart they would put copper at 5 of 15, which is 33.3 percent. Renee's crew also dipped a grab at the same manhole on June 23, which came back at 4.71 mg/L copper. A grab is not a sample collected as Section 2.1 requires, which makes metals 24-hour composites of at least twelve aliquots, so it is not a valid sample result and not a measurement. Counted, it would be the fifth result over the threshold and put copper at 33.3 percent.</t>
  </si>
  <si>
    <t>The dates behind that call sit in three files. The laboratory's file dates VP-260818 on August 18, the day the composite was started, and Luis's log shows it pulled at 06:40 on August 19. Renee's note dates the City's sampler by the day it was set, August 18, and says the composite was pulled the next morning. Section 2.2 makes a composite a sample of the day on which the composite is pulled. The sample of March 31 was collected before April 1 and is outside the period, and the clarifier weir grab of August 19 is process control information under Section 2.5.</t>
  </si>
  <si>
    <t>Three figures in the laboratory's table do not stand as printed. The July 7 composite stopped at 15:10 on July 6 with 9 aliquots in the bottle, short of the twelve across 24 hours that Section 2.1 requires, so its five metals are not valid results. The August 25 copper is 4.15 mg/L and not the 3.15 mg/L in the table, because Revision 1 of September 14 corrected it and the revised result replaces the result first reported. The zinc figure of 3.48 mg/L printed for July 21 is not counted because the laboratory has rejected it in its case narrative.</t>
  </si>
  <si>
    <t>Two duties that began on a June result fell due in the quarter and were missed. The June 16 sample, reported June 26, was over the daily maximum for copper and for zinc, and each needed a valid repeat result at the City by July 26. The July 7 composite was not valid, so the first copper result is the July 21 sample reported July 30. The July 21 zinc was rejected, so the first zinc result is the August 11 sample reported August 27.</t>
  </si>
  <si>
    <t>The signature needs attention before you sign. The permit names Harlan Vandeveer, President, as the authorized representative, and Section 3.5 lets another person sign only where he has designated that person in a writing filed with Renee before the report is submitted. Renee's note says the second quarter report came in over Mr. Vandeveer's signature, and the file holds no designation for you. The certification is laid out for your signature as you asked, so either the designation is filed before the report goes in or Mr. Vandeveer signs. The designation letter Harlan signed for the air permit reports is on file with EGLE and not with Renee, and it names the air reports, so it does not stand for this report under Section 3.5.</t>
  </si>
  <si>
    <t>July is reported as monitored below the required frequency for all five metals. Cadmium, chromium, copper, and nickel have one valid sample, the July 21 composite, and zinc has none. July copper therefore rests on 4.09 mg/L alone against the 2.07 mg/L monthly limit.</t>
  </si>
  <si>
    <t>August copper exceeded the daily maximum three times, at 4.33 mg/L on August 11, 3.45 mg/L on the additional composite of August 19, and 4.15 mg/L on August 25. The additional composite is a sample under Section 2.5 and counts in the month's average, which is 3.977 mg/L on three valid samples. The City's results are not carried on the report. The other metals met their limits in August. The August 25 composite held 19 aliquots across the 24 hours and is valid. The metals on the April 7 sample were analyzed at 37 days against a holding time of 6 months for total metals, and they stand.</t>
  </si>
  <si>
    <t>August is below the required frequency for cyanide even though it has two valid results. The August 11 cyanide was analyzed on August 26, 15 days after collection and outside the 14-day holding time. The valid grabs are those of August 19 and August 25, which are 6 days apart, and Section 2.1 counts the frequency as met only where valid results come from two days at least ten days apart. The May 5 cyanide was analyzed on the fourteenth day and stands. July and September are also below frequency for cyanide. The July 21 cyanide was analyzed at 10:20 on August 4, 339.8 hours after the 06:30 grab, and the permit runs the holding time in elapsed hours from the time on the chain of custody, so it is outside 14 days by 3 hours 50 minutes. The laboratory rejected the September 9 cyanide in its revision of September 25, and the September 23 resample carried no cyanide grab. The May 5 cyanide was analyzed 335.7 hours after its grab and stands by 20 minutes.</t>
  </si>
  <si>
    <t>Section 2.3 also required a replacement sample in the month each time a result was not valid while the month was open, and none was collected after the result was known. The July 21 routine composite stands as the replacement for the July 7 composite for cadmium, chromium, copper and nickel, and zinc had no valid result in July after the 7th. The July 21 zinc was rejected, and the July 21 cyanide fell outside its holding time, both on the July 30 report with a day of the month left. The August 11 cyanide fell outside its holding time on the August 27 report with four days left, and the September 9 cyanide was rejected on September 25 with five days left. Each month is listed as a violation of Section 2.3.</t>
  </si>
  <si>
    <t>Your note says no day in July or August ran above the flow limit and that the in-line pH stayed inside the range. Luis's logs say otherwise on two counts. The register difference for August 13 is 46,150 gallons against the 45,000 gallon limit, and the meter chart for August 20 reached 9.2. July is clean, with a highest day of 44,880 gallons and a highest reading of 9.0, which is inside the range. The pH of 9.4 on August 19 was read at the clarifier weir and is not an Outfall 001 reading. Two other July entries are not violations. The RT-2 float stuck on July 15, and the rinse tank went to the floor trench. The sump was valved to the equalization tank, and nothing reached the sewer connection. That is not a bypass under Section 4.1. The totalizer register was replaced at 07:05 on July 17, and the new one started at zero. The July 17 flow is 30,947 gallons read against zero, and the flow working carries the replacement as its own line.</t>
  </si>
  <si>
    <t>September 9 is a flow violation as well as a bypass. The register shows 43,650 gallons for the day, which is under the limit, but the totalizer sits ahead of the sewer connection and the rinse water went to the sewer around the meter. The day's discharge is the metered flow plus about 2,900 gallons, or about 46,550 gallons against the 45,000 gallon limit. The call to Renee at 16:30 on September 10 came 32 hours 40 minutes after the 07:50 event. Luis's August 31 line reads 1,137,773, but his month-end line and the September opening read 1,173,773, two digits transposed, so the August 31 flow is 34,598 gallons and not a negative figure.</t>
  </si>
  <si>
    <t>Zinc at 3.14 mg/L on September 9 carries the September zinc average to 1.653 mg/L against the 1.48 mg/L limit. Its cause is not established. The chain of custody puts the end of the composite period at 06:40, before the 07:50 overflow, so Luis's note that the composite ran through the event does not hold, and the report does not attribute the result to the overflow. September copper averages 2.053 mg/L and meets the limit because the September 23 resample counts in the month's average. The 5.8 reading of September 17 is a violation that was called in and reported on time, and the 6.0 of September 11 is inside the range. Not-detected results are carried at zero in the averages, as Section 2.2 directs, which is why the September cadmium average reads 0.004 mg/L. The copper test kit reading of 3.9 mg/L on an Outfall 001 grab on September 24 is process control information under Section 2.5, since a test kit is not a method approved under 40 CFR Part 136, and it is not carried as a sample result.</t>
  </si>
  <si>
    <t>You also wrote that you or Luis call Renee whenever a result comes back over a daily limit. Her telephone log shows the July 21 copper and the September 9 zinc called in on time. It shows the August 11 copper called in at 16:10 on August 28, which is 30 hours 40 minutes after the report was issued. It shows no call for the 3.45 mg/L copper reported August 26, and the voicemail Luis logged at 17:05 on August 27 came 25 hours 25 minutes after that report. It shows no call for the 4.15 mg/L copper in Revision 1, none for the August 13 flow, and none for the August 20 pH, which also has no written report. Each is listed as a violation of Section 3.2.</t>
  </si>
  <si>
    <t>Four things the file leaves open. The log gives no time, duration, or cause for the 9.2 reading of August 20 beyond the valve service at 11:00, and Attachment B asks for them, so Luis should pull the chart before you sign. The file does not show why copper has run high, and the report states the cause only as far as the logs go. The City's two laboratory reports are not in the folder, and the copper and zinc figures used for them are the ones in Renee's note. Whether Renee credits the August 27 voicemail as a telephone notice is her call, and it is late on either reading.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</si>
</sst>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7" x14ac:knownFonts="1">
    <font>
      <sz val="11"/>
      <color theme="1"/>
      <name val="Calibri"/>
      <family val="2"/>
      <scheme val="minor"/>
    </font>
    <font>
      <b/>
      <sz val="12"/>
      <name val="Arial"/>
      <family val="2"/>
    </font>
    <font>
      <b/>
      <sz val="10"/>
      <name val="Arial"/>
      <family val="2"/>
    </font>
    <font>
      <sz val="10"/>
      <name val="Arial"/>
      <family val="2"/>
    </font>
    <font>
      <sz val="10"/>
      <name val="Arial"/>
      <family val="2"/>
    </font>
    <font>
      <b/>
      <sz val="10"/>
      <name val="Arial"/>
      <family val="2"/>
    </font>
    <font>
      <b/>
      <sz val="12"/>
      <name val="Arial"/>
      <family val="2"/>
    </font>
  </fonts>
  <fills count="4">
    <fill>
      <patternFill patternType="none"/>
    </fill>
    <fill>
      <patternFill patternType="gray125"/>
    </fill>
    <fill>
      <patternFill patternType="solid">
        <fgColor rgb="FFD9D9D9"/>
      </patternFill>
    </fill>
    <fill>
      <patternFill patternType="solid">
        <fgColor rgb="FFFFF2CC"/>
      </patternFill>
    </fill>
  </fills>
  <borders count="3">
    <border>
      <left/>
      <right/>
      <top/>
      <bottom/>
      <diagonal/>
    </border>
    <border>
      <left/>
      <right/>
      <top/>
      <bottom style="thin">
        <color rgb="FF808080"/>
      </bottom>
      <diagonal/>
    </border>
    <border>
      <left/>
      <right/>
      <top/>
      <bottom style="thin">
        <color auto="1"/>
      </bottom>
      <diagonal/>
    </border>
  </borders>
  <cellStyleXfs count="1">
    <xf numFmtId="0" fontId="0" fillId="0" borderId="0"/>
  </cellStyleXfs>
  <cellXfs count="27">
    <xf numFmtId="0" fontId="0" fillId="0" borderId="0" xfId="0"/>
    <xf numFmtId="0" fontId="1" fillId="0" borderId="0" xfId="0" applyFont="1"/>
    <xf numFmtId="0" fontId="3" fillId="0" borderId="0" xfId="0" applyFont="1"/>
    <xf numFmtId="0" fontId="2" fillId="2" borderId="1" xfId="0" applyFont="1" applyFill="1" applyBorder="1"/>
    <xf numFmtId="2" fontId="3" fillId="0" borderId="0" xfId="0" applyNumberFormat="1" applyFont="1"/>
    <xf numFmtId="164" fontId="3" fillId="0" borderId="0" xfId="0" applyNumberFormat="1" applyFont="1"/>
    <xf numFmtId="165" fontId="3" fillId="0" borderId="0" xfId="0" applyNumberFormat="1" applyFont="1"/>
    <xf numFmtId="3" fontId="3" fillId="0" borderId="0" xfId="0" applyNumberFormat="1" applyFont="1"/>
    <xf numFmtId="0" fontId="2" fillId="0" borderId="0" xfId="0" applyFont="1"/>
    <xf numFmtId="1" fontId="3" fillId="0" borderId="0" xfId="0" applyNumberFormat="1" applyFont="1"/>
    <xf numFmtId="3" fontId="2" fillId="3" borderId="0" xfId="0" applyNumberFormat="1" applyFont="1" applyFill="1"/>
    <xf numFmtId="1" fontId="2" fillId="3" borderId="0" xfId="0" applyNumberFormat="1" applyFont="1" applyFill="1"/>
    <xf numFmtId="0" fontId="6" fillId="0" borderId="0" xfId="0" applyFont="1"/>
    <xf numFmtId="0" fontId="4" fillId="0" borderId="0" xfId="0" applyFont="1"/>
    <xf numFmtId="0" fontId="5" fillId="2" borderId="0" xfId="0" applyFont="1" applyFill="1"/>
    <xf numFmtId="0" fontId="5" fillId="2" borderId="2" xfId="0" applyFont="1" applyFill="1" applyBorder="1"/>
    <xf numFmtId="2" fontId="4" fillId="0" borderId="0" xfId="0" applyNumberFormat="1" applyFont="1"/>
    <xf numFmtId="1" fontId="4" fillId="0" borderId="0" xfId="0" applyNumberFormat="1" applyFont="1"/>
    <xf numFmtId="164" fontId="4" fillId="0" borderId="0" xfId="0" applyNumberFormat="1" applyFont="1"/>
    <xf numFmtId="165" fontId="4" fillId="0" borderId="0" xfId="0" applyNumberFormat="1" applyFont="1"/>
    <xf numFmtId="3" fontId="4" fillId="0" borderId="0" xfId="0" applyNumberFormat="1" applyFont="1"/>
    <xf numFmtId="0" fontId="4" fillId="0" borderId="0" xfId="0" applyFont="1" applyAlignment="1">
      <alignment vertical="top" wrapText="1"/>
    </xf>
    <xf numFmtId="2" fontId="4" fillId="0" borderId="0" xfId="0" applyNumberFormat="1" applyFont="1" applyAlignment="1">
      <alignment vertical="top" wrapText="1"/>
    </xf>
    <xf numFmtId="164" fontId="4" fillId="0" borderId="0" xfId="0" applyNumberFormat="1" applyFont="1" applyAlignment="1">
      <alignment vertical="top" wrapText="1"/>
    </xf>
    <xf numFmtId="1" fontId="4" fillId="0" borderId="0" xfId="0" applyNumberFormat="1" applyFont="1" applyAlignment="1">
      <alignment vertical="top" wrapText="1"/>
    </xf>
    <xf numFmtId="3" fontId="4" fillId="0" borderId="0" xfId="0" applyNumberFormat="1" applyFont="1" applyAlignment="1">
      <alignment vertical="top" wrapText="1"/>
    </xf>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0"/>
  <sheetViews>
    <sheetView tabSelected="1" workbookViewId="0"/>
  </sheetViews>
  <sheetFormatPr baseColWidth="10" defaultColWidth="8.83203125" defaultRowHeight="15" x14ac:dyDescent="0.2"/>
  <cols>
    <col min="1" max="1" width="50" customWidth="1"/>
    <col min="2" max="2" width="24" customWidth="1"/>
    <col min="3" max="3" width="26" customWidth="1"/>
    <col min="4" max="4" width="22" customWidth="1"/>
    <col min="5" max="5" width="24" customWidth="1"/>
    <col min="6" max="6" width="60" customWidth="1"/>
    <col min="7" max="7" width="16" customWidth="1"/>
    <col min="8" max="8" width="30" customWidth="1"/>
    <col min="9" max="9" width="18" customWidth="1"/>
    <col min="10" max="10" width="16" customWidth="1"/>
  </cols>
  <sheetData>
    <row r="1" spans="1:10" ht="16" customHeight="1" x14ac:dyDescent="0.2">
      <c r="A1" s="12" t="s">
        <v>0</v>
      </c>
    </row>
    <row r="2" spans="1:10" x14ac:dyDescent="0.2">
      <c r="A2" s="13" t="s">
        <v>1</v>
      </c>
    </row>
    <row r="3" spans="1:10" x14ac:dyDescent="0.2">
      <c r="A3" s="13" t="s">
        <v>2</v>
      </c>
    </row>
    <row r="4" spans="1:10" x14ac:dyDescent="0.2">
      <c r="A4" s="13" t="s">
        <v>3</v>
      </c>
    </row>
    <row r="6" spans="1:10" x14ac:dyDescent="0.2">
      <c r="A6" s="14" t="s">
        <v>4</v>
      </c>
    </row>
    <row r="7" spans="1:10" x14ac:dyDescent="0.2">
      <c r="A7" s="15" t="s">
        <v>5</v>
      </c>
      <c r="B7" s="15" t="s">
        <v>6</v>
      </c>
      <c r="C7" s="15" t="s">
        <v>7</v>
      </c>
      <c r="D7" s="15" t="s">
        <v>8</v>
      </c>
      <c r="E7" s="15" t="s">
        <v>9</v>
      </c>
      <c r="F7" s="15" t="s">
        <v>10</v>
      </c>
      <c r="G7" s="15" t="s">
        <v>11</v>
      </c>
      <c r="H7" s="15" t="s">
        <v>12</v>
      </c>
      <c r="I7" s="15" t="s">
        <v>13</v>
      </c>
      <c r="J7" s="15" t="s">
        <v>14</v>
      </c>
    </row>
    <row r="8" spans="1:10" x14ac:dyDescent="0.2">
      <c r="A8" s="13" t="s">
        <v>15</v>
      </c>
      <c r="B8" s="16">
        <f>'Monthly Stats'!C5</f>
        <v>0.11</v>
      </c>
      <c r="C8" s="16">
        <f>'Monthly Stats'!D5</f>
        <v>0.07</v>
      </c>
      <c r="D8" s="17">
        <f>'Monthly Stats'!E5</f>
        <v>1</v>
      </c>
      <c r="E8" s="17">
        <f>'Monthly Stats'!F5</f>
        <v>2</v>
      </c>
      <c r="F8" s="18">
        <f>'Monthly Stats'!G5</f>
        <v>0</v>
      </c>
      <c r="G8" s="18">
        <f>'Monthly Stats'!H5</f>
        <v>0</v>
      </c>
      <c r="H8" s="13" t="str">
        <f>'Monthly Stats'!I5</f>
        <v>Met</v>
      </c>
      <c r="I8" s="13" t="str">
        <f>'Monthly Stats'!J5</f>
        <v>Met</v>
      </c>
      <c r="J8" s="13" t="str">
        <f>'Monthly Stats'!K5</f>
        <v>Below frequency</v>
      </c>
    </row>
    <row r="9" spans="1:10" x14ac:dyDescent="0.2">
      <c r="A9" s="13" t="s">
        <v>16</v>
      </c>
      <c r="B9" s="16">
        <f>'Monthly Stats'!C6</f>
        <v>2.77</v>
      </c>
      <c r="C9" s="16">
        <f>'Monthly Stats'!D6</f>
        <v>1.71</v>
      </c>
      <c r="D9" s="17">
        <f>'Monthly Stats'!E6</f>
        <v>1</v>
      </c>
      <c r="E9" s="17">
        <f>'Monthly Stats'!F6</f>
        <v>2</v>
      </c>
      <c r="F9" s="18">
        <f>'Monthly Stats'!G6</f>
        <v>1.21</v>
      </c>
      <c r="G9" s="18">
        <f>'Monthly Stats'!H6</f>
        <v>1.21</v>
      </c>
      <c r="H9" s="13" t="str">
        <f>'Monthly Stats'!I6</f>
        <v>Met</v>
      </c>
      <c r="I9" s="13" t="str">
        <f>'Monthly Stats'!J6</f>
        <v>Met</v>
      </c>
      <c r="J9" s="13" t="str">
        <f>'Monthly Stats'!K6</f>
        <v>Below frequency</v>
      </c>
    </row>
    <row r="10" spans="1:10" x14ac:dyDescent="0.2">
      <c r="A10" s="13" t="s">
        <v>17</v>
      </c>
      <c r="B10" s="16">
        <f>'Monthly Stats'!C7</f>
        <v>3.38</v>
      </c>
      <c r="C10" s="16">
        <f>'Monthly Stats'!D7</f>
        <v>2.07</v>
      </c>
      <c r="D10" s="17">
        <f>'Monthly Stats'!E7</f>
        <v>1</v>
      </c>
      <c r="E10" s="17">
        <f>'Monthly Stats'!F7</f>
        <v>2</v>
      </c>
      <c r="F10" s="18">
        <f>'Monthly Stats'!G7</f>
        <v>4.09</v>
      </c>
      <c r="G10" s="18">
        <f>'Monthly Stats'!H7</f>
        <v>4.09</v>
      </c>
      <c r="H10" s="13" t="str">
        <f>'Monthly Stats'!I7</f>
        <v>Exceeded</v>
      </c>
      <c r="I10" s="13" t="str">
        <f>'Monthly Stats'!J7</f>
        <v>Exceeded</v>
      </c>
      <c r="J10" s="13" t="str">
        <f>'Monthly Stats'!K7</f>
        <v>Below frequency</v>
      </c>
    </row>
    <row r="11" spans="1:10" x14ac:dyDescent="0.2">
      <c r="A11" s="13" t="s">
        <v>18</v>
      </c>
      <c r="B11" s="16">
        <f>'Monthly Stats'!C8</f>
        <v>3.98</v>
      </c>
      <c r="C11" s="16">
        <f>'Monthly Stats'!D8</f>
        <v>2.38</v>
      </c>
      <c r="D11" s="17">
        <f>'Monthly Stats'!E8</f>
        <v>1</v>
      </c>
      <c r="E11" s="17">
        <f>'Monthly Stats'!F8</f>
        <v>2</v>
      </c>
      <c r="F11" s="18">
        <f>'Monthly Stats'!G8</f>
        <v>1.57</v>
      </c>
      <c r="G11" s="18">
        <f>'Monthly Stats'!H8</f>
        <v>1.57</v>
      </c>
      <c r="H11" s="13" t="str">
        <f>'Monthly Stats'!I8</f>
        <v>Met</v>
      </c>
      <c r="I11" s="13" t="str">
        <f>'Monthly Stats'!J8</f>
        <v>Met</v>
      </c>
      <c r="J11" s="13" t="str">
        <f>'Monthly Stats'!K8</f>
        <v>Below frequency</v>
      </c>
    </row>
    <row r="12" spans="1:10" x14ac:dyDescent="0.2">
      <c r="A12" s="13" t="s">
        <v>19</v>
      </c>
      <c r="B12" s="16">
        <f>'Monthly Stats'!C9</f>
        <v>2.61</v>
      </c>
      <c r="C12" s="16">
        <f>'Monthly Stats'!D9</f>
        <v>1.48</v>
      </c>
      <c r="D12" s="17">
        <f>'Monthly Stats'!E9</f>
        <v>0</v>
      </c>
      <c r="E12" s="17">
        <f>'Monthly Stats'!F9</f>
        <v>2</v>
      </c>
      <c r="F12" s="18" t="str">
        <f>'Monthly Stats'!G9</f>
        <v>none</v>
      </c>
      <c r="G12" s="18" t="str">
        <f>'Monthly Stats'!H9</f>
        <v>none</v>
      </c>
      <c r="H12" s="13" t="str">
        <f>'Monthly Stats'!I9</f>
        <v>No valid sample</v>
      </c>
      <c r="I12" s="13" t="str">
        <f>'Monthly Stats'!J9</f>
        <v>No valid sample</v>
      </c>
      <c r="J12" s="13" t="str">
        <f>'Monthly Stats'!K9</f>
        <v>Below frequency</v>
      </c>
    </row>
    <row r="13" spans="1:10" x14ac:dyDescent="0.2">
      <c r="A13" s="13" t="s">
        <v>20</v>
      </c>
      <c r="B13" s="16">
        <f>'Monthly Stats'!C10</f>
        <v>1.2</v>
      </c>
      <c r="C13" s="16">
        <f>'Monthly Stats'!D10</f>
        <v>0.65</v>
      </c>
      <c r="D13" s="17">
        <f>'Monthly Stats'!E10</f>
        <v>1</v>
      </c>
      <c r="E13" s="17">
        <f>'Monthly Stats'!F10</f>
        <v>2</v>
      </c>
      <c r="F13" s="18">
        <f>'Monthly Stats'!G10</f>
        <v>0.27</v>
      </c>
      <c r="G13" s="18">
        <f>'Monthly Stats'!H10</f>
        <v>0.27</v>
      </c>
      <c r="H13" s="13" t="str">
        <f>'Monthly Stats'!I10</f>
        <v>Met</v>
      </c>
      <c r="I13" s="13" t="str">
        <f>'Monthly Stats'!J10</f>
        <v>Met</v>
      </c>
      <c r="J13" s="13" t="str">
        <f>'Monthly Stats'!K10</f>
        <v>Below frequency</v>
      </c>
    </row>
    <row r="14" spans="1:10" x14ac:dyDescent="0.2">
      <c r="A14" s="13" t="s">
        <v>21</v>
      </c>
      <c r="B14" s="13" t="s">
        <v>22</v>
      </c>
      <c r="C14" s="13" t="s">
        <v>23</v>
      </c>
      <c r="D14" s="17">
        <f>COUNTIFS('Lab Data'!$C$5:$C$23,"Jul",'Lab Data'!$E$5:$E$23,"Permittee",'Lab Data'!$G$5:$G$23,"Y")</f>
        <v>2</v>
      </c>
      <c r="E14" s="17">
        <f>Parameters!$B$15</f>
        <v>2</v>
      </c>
      <c r="F14" s="19">
        <f>_xlfn.MINIFS('Lab Data'!$BS$5:$BS$23,'Lab Data'!$C$5:$C$23,"Jul",'Lab Data'!$E$5:$E$23,"Permittee",'Lab Data'!$G$5:$G$23,"Y")</f>
        <v>7.2</v>
      </c>
      <c r="G14" s="19">
        <f>_xlfn.MAXIFS('Lab Data'!$BS$5:$BS$23,'Lab Data'!$C$5:$C$23,"Jul",'Lab Data'!$E$5:$E$23,"Permittee",'Lab Data'!$G$5:$G$23,"Y")</f>
        <v>8.4</v>
      </c>
      <c r="H14" s="13" t="s">
        <v>24</v>
      </c>
      <c r="I14" s="13" t="s">
        <v>25</v>
      </c>
      <c r="J14" s="13" t="s">
        <v>25</v>
      </c>
    </row>
    <row r="15" spans="1:10" x14ac:dyDescent="0.2">
      <c r="A15" s="13" t="s">
        <v>26</v>
      </c>
      <c r="B15" s="20">
        <f>Parameters!$B$12</f>
        <v>45000</v>
      </c>
      <c r="C15" s="13" t="s">
        <v>23</v>
      </c>
      <c r="D15" s="13" t="s">
        <v>27</v>
      </c>
      <c r="E15" s="13" t="s">
        <v>27</v>
      </c>
      <c r="G15" s="20">
        <f>'Flow Q3'!$B$100</f>
        <v>44880</v>
      </c>
      <c r="H15" s="13" t="s">
        <v>23</v>
      </c>
      <c r="I15" s="13" t="str">
        <f>IF(G15&gt;B15,"Exceeded","Met")</f>
        <v>Met</v>
      </c>
      <c r="J15" s="13" t="s">
        <v>25</v>
      </c>
    </row>
    <row r="17" spans="1:10" x14ac:dyDescent="0.2">
      <c r="A17" s="14" t="s">
        <v>28</v>
      </c>
    </row>
    <row r="18" spans="1:10" x14ac:dyDescent="0.2">
      <c r="A18" s="15" t="s">
        <v>5</v>
      </c>
      <c r="B18" s="15" t="s">
        <v>6</v>
      </c>
      <c r="C18" s="15" t="s">
        <v>7</v>
      </c>
      <c r="D18" s="15" t="s">
        <v>8</v>
      </c>
      <c r="E18" s="15" t="s">
        <v>9</v>
      </c>
      <c r="F18" s="15" t="s">
        <v>10</v>
      </c>
      <c r="G18" s="15" t="s">
        <v>11</v>
      </c>
      <c r="H18" s="15" t="s">
        <v>12</v>
      </c>
      <c r="I18" s="15" t="s">
        <v>13</v>
      </c>
      <c r="J18" s="15" t="s">
        <v>14</v>
      </c>
    </row>
    <row r="19" spans="1:10" x14ac:dyDescent="0.2">
      <c r="A19" s="13" t="s">
        <v>15</v>
      </c>
      <c r="B19" s="16">
        <f>'Monthly Stats'!C11</f>
        <v>0.11</v>
      </c>
      <c r="C19" s="16">
        <f>'Monthly Stats'!D11</f>
        <v>0.07</v>
      </c>
      <c r="D19" s="17">
        <f>'Monthly Stats'!E11</f>
        <v>3</v>
      </c>
      <c r="E19" s="17">
        <f>'Monthly Stats'!F11</f>
        <v>2</v>
      </c>
      <c r="F19" s="18">
        <f>'Monthly Stats'!G11</f>
        <v>0.005</v>
      </c>
      <c r="G19" s="18">
        <f>'Monthly Stats'!H11</f>
        <v>0.014</v>
      </c>
      <c r="H19" s="13" t="str">
        <f>'Monthly Stats'!I11</f>
        <v>Met</v>
      </c>
      <c r="I19" s="13" t="str">
        <f>'Monthly Stats'!J11</f>
        <v>Met</v>
      </c>
      <c r="J19" s="13" t="str">
        <f>'Monthly Stats'!K11</f>
        <v>Met</v>
      </c>
    </row>
    <row r="20" spans="1:10" x14ac:dyDescent="0.2">
      <c r="A20" s="13" t="s">
        <v>16</v>
      </c>
      <c r="B20" s="16">
        <f>'Monthly Stats'!C12</f>
        <v>2.77</v>
      </c>
      <c r="C20" s="16">
        <f>'Monthly Stats'!D12</f>
        <v>1.71</v>
      </c>
      <c r="D20" s="17">
        <f>'Monthly Stats'!E12</f>
        <v>3</v>
      </c>
      <c r="E20" s="17">
        <f>'Monthly Stats'!F12</f>
        <v>2</v>
      </c>
      <c r="F20" s="18">
        <f>'Monthly Stats'!G12</f>
        <v>0.697</v>
      </c>
      <c r="G20" s="18">
        <f>'Monthly Stats'!H12</f>
        <v>0.74</v>
      </c>
      <c r="H20" s="13" t="str">
        <f>'Monthly Stats'!I12</f>
        <v>Met</v>
      </c>
      <c r="I20" s="13" t="str">
        <f>'Monthly Stats'!J12</f>
        <v>Met</v>
      </c>
      <c r="J20" s="13" t="str">
        <f>'Monthly Stats'!K12</f>
        <v>Met</v>
      </c>
    </row>
    <row r="21" spans="1:10" x14ac:dyDescent="0.2">
      <c r="A21" s="13" t="s">
        <v>17</v>
      </c>
      <c r="B21" s="16">
        <f>'Monthly Stats'!C13</f>
        <v>3.38</v>
      </c>
      <c r="C21" s="16">
        <f>'Monthly Stats'!D13</f>
        <v>2.07</v>
      </c>
      <c r="D21" s="17">
        <f>'Monthly Stats'!E13</f>
        <v>3</v>
      </c>
      <c r="E21" s="17">
        <f>'Monthly Stats'!F13</f>
        <v>2</v>
      </c>
      <c r="F21" s="18">
        <f>'Monthly Stats'!G13</f>
        <v>3.977</v>
      </c>
      <c r="G21" s="18">
        <f>'Monthly Stats'!H13</f>
        <v>4.33</v>
      </c>
      <c r="H21" s="13" t="str">
        <f>'Monthly Stats'!I13</f>
        <v>Exceeded</v>
      </c>
      <c r="I21" s="13" t="str">
        <f>'Monthly Stats'!J13</f>
        <v>Exceeded</v>
      </c>
      <c r="J21" s="13" t="str">
        <f>'Monthly Stats'!K13</f>
        <v>Met</v>
      </c>
    </row>
    <row r="22" spans="1:10" x14ac:dyDescent="0.2">
      <c r="A22" s="13" t="s">
        <v>18</v>
      </c>
      <c r="B22" s="16">
        <f>'Monthly Stats'!C14</f>
        <v>3.98</v>
      </c>
      <c r="C22" s="16">
        <f>'Monthly Stats'!D14</f>
        <v>2.38</v>
      </c>
      <c r="D22" s="17">
        <f>'Monthly Stats'!E14</f>
        <v>3</v>
      </c>
      <c r="E22" s="17">
        <f>'Monthly Stats'!F14</f>
        <v>2</v>
      </c>
      <c r="F22" s="18">
        <f>'Monthly Stats'!G14</f>
        <v>2.083</v>
      </c>
      <c r="G22" s="18">
        <f>'Monthly Stats'!H14</f>
        <v>2.61</v>
      </c>
      <c r="H22" s="13" t="str">
        <f>'Monthly Stats'!I14</f>
        <v>Met</v>
      </c>
      <c r="I22" s="13" t="str">
        <f>'Monthly Stats'!J14</f>
        <v>Met</v>
      </c>
      <c r="J22" s="13" t="str">
        <f>'Monthly Stats'!K14</f>
        <v>Met</v>
      </c>
    </row>
    <row r="23" spans="1:10" x14ac:dyDescent="0.2">
      <c r="A23" s="13" t="s">
        <v>19</v>
      </c>
      <c r="B23" s="16">
        <f>'Monthly Stats'!C15</f>
        <v>2.61</v>
      </c>
      <c r="C23" s="16">
        <f>'Monthly Stats'!D15</f>
        <v>1.48</v>
      </c>
      <c r="D23" s="17">
        <f>'Monthly Stats'!E15</f>
        <v>3</v>
      </c>
      <c r="E23" s="17">
        <f>'Monthly Stats'!F15</f>
        <v>2</v>
      </c>
      <c r="F23" s="18">
        <f>'Monthly Stats'!G15</f>
        <v>1.093</v>
      </c>
      <c r="G23" s="18">
        <f>'Monthly Stats'!H15</f>
        <v>1.21</v>
      </c>
      <c r="H23" s="13" t="str">
        <f>'Monthly Stats'!I15</f>
        <v>Met</v>
      </c>
      <c r="I23" s="13" t="str">
        <f>'Monthly Stats'!J15</f>
        <v>Met</v>
      </c>
      <c r="J23" s="13" t="str">
        <f>'Monthly Stats'!K15</f>
        <v>Met</v>
      </c>
    </row>
    <row r="24" spans="1:10" x14ac:dyDescent="0.2">
      <c r="A24" s="13" t="s">
        <v>20</v>
      </c>
      <c r="B24" s="16">
        <f>'Monthly Stats'!C16</f>
        <v>1.2</v>
      </c>
      <c r="C24" s="16">
        <f>'Monthly Stats'!D16</f>
        <v>0.65</v>
      </c>
      <c r="D24" s="17">
        <f>'Monthly Stats'!E16</f>
        <v>2</v>
      </c>
      <c r="E24" s="17">
        <f>'Monthly Stats'!F16</f>
        <v>2</v>
      </c>
      <c r="F24" s="18">
        <f>'Monthly Stats'!G16</f>
        <v>0.255</v>
      </c>
      <c r="G24" s="18">
        <f>'Monthly Stats'!H16</f>
        <v>0.29</v>
      </c>
      <c r="H24" s="13" t="str">
        <f>'Monthly Stats'!I16</f>
        <v>Met</v>
      </c>
      <c r="I24" s="13" t="str">
        <f>'Monthly Stats'!J16</f>
        <v>Met</v>
      </c>
      <c r="J24" s="13" t="str">
        <f>'Monthly Stats'!K16</f>
        <v>Below frequency</v>
      </c>
    </row>
    <row r="25" spans="1:10" x14ac:dyDescent="0.2">
      <c r="A25" s="13" t="s">
        <v>21</v>
      </c>
      <c r="B25" s="13" t="s">
        <v>22</v>
      </c>
      <c r="C25" s="13" t="s">
        <v>23</v>
      </c>
      <c r="D25" s="17">
        <f>COUNTIFS('Lab Data'!$C$5:$C$23,"Aug",'Lab Data'!$E$5:$E$23,"Permittee",'Lab Data'!$G$5:$G$23,"Y")</f>
        <v>3</v>
      </c>
      <c r="E25" s="17">
        <f>Parameters!$B$15</f>
        <v>2</v>
      </c>
      <c r="F25" s="19">
        <f>_xlfn.MINIFS('Lab Data'!$BS$5:$BS$23,'Lab Data'!$C$5:$C$23,"Aug",'Lab Data'!$E$5:$E$23,"Permittee",'Lab Data'!$G$5:$G$23,"Y")</f>
        <v>6.8</v>
      </c>
      <c r="G25" s="19">
        <f>_xlfn.MAXIFS('Lab Data'!$BS$5:$BS$23,'Lab Data'!$C$5:$C$23,"Aug",'Lab Data'!$E$5:$E$23,"Permittee",'Lab Data'!$G$5:$G$23,"Y")</f>
        <v>7.5</v>
      </c>
      <c r="H25" s="13" t="s">
        <v>29</v>
      </c>
      <c r="I25" s="13" t="s">
        <v>30</v>
      </c>
      <c r="J25" s="13" t="s">
        <v>25</v>
      </c>
    </row>
    <row r="26" spans="1:10" x14ac:dyDescent="0.2">
      <c r="A26" s="13" t="s">
        <v>26</v>
      </c>
      <c r="B26" s="20">
        <f>Parameters!$B$12</f>
        <v>45000</v>
      </c>
      <c r="C26" s="13" t="s">
        <v>23</v>
      </c>
      <c r="D26" s="13" t="s">
        <v>27</v>
      </c>
      <c r="E26" s="13" t="s">
        <v>27</v>
      </c>
      <c r="G26" s="20">
        <f>'Flow Q3'!$B$101</f>
        <v>46150</v>
      </c>
      <c r="H26" s="13" t="s">
        <v>23</v>
      </c>
      <c r="I26" s="13" t="str">
        <f>IF(G26&gt;B26,"Exceeded","Met")</f>
        <v>Exceeded</v>
      </c>
      <c r="J26" s="13" t="s">
        <v>25</v>
      </c>
    </row>
    <row r="28" spans="1:10" x14ac:dyDescent="0.2">
      <c r="A28" s="14" t="s">
        <v>31</v>
      </c>
    </row>
    <row r="29" spans="1:10" x14ac:dyDescent="0.2">
      <c r="A29" s="15" t="s">
        <v>5</v>
      </c>
      <c r="B29" s="15" t="s">
        <v>6</v>
      </c>
      <c r="C29" s="15" t="s">
        <v>7</v>
      </c>
      <c r="D29" s="15" t="s">
        <v>8</v>
      </c>
      <c r="E29" s="15" t="s">
        <v>9</v>
      </c>
      <c r="F29" s="15" t="s">
        <v>10</v>
      </c>
      <c r="G29" s="15" t="s">
        <v>11</v>
      </c>
      <c r="H29" s="15" t="s">
        <v>12</v>
      </c>
      <c r="I29" s="15" t="s">
        <v>13</v>
      </c>
      <c r="J29" s="15" t="s">
        <v>14</v>
      </c>
    </row>
    <row r="30" spans="1:10" x14ac:dyDescent="0.2">
      <c r="A30" s="13" t="s">
        <v>15</v>
      </c>
      <c r="B30" s="16">
        <f>'Monthly Stats'!C17</f>
        <v>0.11</v>
      </c>
      <c r="C30" s="16">
        <f>'Monthly Stats'!D17</f>
        <v>0.07</v>
      </c>
      <c r="D30" s="17">
        <f>'Monthly Stats'!E17</f>
        <v>3</v>
      </c>
      <c r="E30" s="17">
        <f>'Monthly Stats'!F17</f>
        <v>2</v>
      </c>
      <c r="F30" s="18">
        <f>'Monthly Stats'!G17</f>
        <v>0.004</v>
      </c>
      <c r="G30" s="18">
        <f>'Monthly Stats'!H17</f>
        <v>0.012</v>
      </c>
      <c r="H30" s="13" t="str">
        <f>'Monthly Stats'!I17</f>
        <v>Met</v>
      </c>
      <c r="I30" s="13" t="str">
        <f>'Monthly Stats'!J17</f>
        <v>Met</v>
      </c>
      <c r="J30" s="13" t="str">
        <f>'Monthly Stats'!K17</f>
        <v>Met</v>
      </c>
    </row>
    <row r="31" spans="1:10" x14ac:dyDescent="0.2">
      <c r="A31" s="13" t="s">
        <v>16</v>
      </c>
      <c r="B31" s="16">
        <f>'Monthly Stats'!C18</f>
        <v>2.77</v>
      </c>
      <c r="C31" s="16">
        <f>'Monthly Stats'!D18</f>
        <v>1.71</v>
      </c>
      <c r="D31" s="17">
        <f>'Monthly Stats'!E18</f>
        <v>3</v>
      </c>
      <c r="E31" s="17">
        <f>'Monthly Stats'!F18</f>
        <v>2</v>
      </c>
      <c r="F31" s="18">
        <f>'Monthly Stats'!G18</f>
        <v>0.697</v>
      </c>
      <c r="G31" s="18">
        <f>'Monthly Stats'!H18</f>
        <v>1.02</v>
      </c>
      <c r="H31" s="13" t="str">
        <f>'Monthly Stats'!I18</f>
        <v>Met</v>
      </c>
      <c r="I31" s="13" t="str">
        <f>'Monthly Stats'!J18</f>
        <v>Met</v>
      </c>
      <c r="J31" s="13" t="str">
        <f>'Monthly Stats'!K18</f>
        <v>Met</v>
      </c>
    </row>
    <row r="32" spans="1:10" x14ac:dyDescent="0.2">
      <c r="A32" s="13" t="s">
        <v>17</v>
      </c>
      <c r="B32" s="16">
        <f>'Monthly Stats'!C19</f>
        <v>3.38</v>
      </c>
      <c r="C32" s="16">
        <f>'Monthly Stats'!D19</f>
        <v>2.07</v>
      </c>
      <c r="D32" s="17">
        <f>'Monthly Stats'!E19</f>
        <v>3</v>
      </c>
      <c r="E32" s="17">
        <f>'Monthly Stats'!F19</f>
        <v>2</v>
      </c>
      <c r="F32" s="18">
        <f>'Monthly Stats'!G19</f>
        <v>2.053</v>
      </c>
      <c r="G32" s="18">
        <f>'Monthly Stats'!H19</f>
        <v>2.96</v>
      </c>
      <c r="H32" s="13" t="str">
        <f>'Monthly Stats'!I19</f>
        <v>Met</v>
      </c>
      <c r="I32" s="13" t="str">
        <f>'Monthly Stats'!J19</f>
        <v>Met</v>
      </c>
      <c r="J32" s="13" t="str">
        <f>'Monthly Stats'!K19</f>
        <v>Met</v>
      </c>
    </row>
    <row r="33" spans="1:10" x14ac:dyDescent="0.2">
      <c r="A33" s="13" t="s">
        <v>18</v>
      </c>
      <c r="B33" s="16">
        <f>'Monthly Stats'!C20</f>
        <v>3.98</v>
      </c>
      <c r="C33" s="16">
        <f>'Monthly Stats'!D20</f>
        <v>2.38</v>
      </c>
      <c r="D33" s="17">
        <f>'Monthly Stats'!E20</f>
        <v>3</v>
      </c>
      <c r="E33" s="17">
        <f>'Monthly Stats'!F20</f>
        <v>2</v>
      </c>
      <c r="F33" s="18">
        <f>'Monthly Stats'!G20</f>
        <v>1.15</v>
      </c>
      <c r="G33" s="18">
        <f>'Monthly Stats'!H20</f>
        <v>1.36</v>
      </c>
      <c r="H33" s="13" t="str">
        <f>'Monthly Stats'!I20</f>
        <v>Met</v>
      </c>
      <c r="I33" s="13" t="str">
        <f>'Monthly Stats'!J20</f>
        <v>Met</v>
      </c>
      <c r="J33" s="13" t="str">
        <f>'Monthly Stats'!K20</f>
        <v>Met</v>
      </c>
    </row>
    <row r="34" spans="1:10" x14ac:dyDescent="0.2">
      <c r="A34" s="13" t="s">
        <v>19</v>
      </c>
      <c r="B34" s="16">
        <f>'Monthly Stats'!C21</f>
        <v>2.61</v>
      </c>
      <c r="C34" s="16">
        <f>'Monthly Stats'!D21</f>
        <v>1.48</v>
      </c>
      <c r="D34" s="17">
        <f>'Monthly Stats'!E21</f>
        <v>3</v>
      </c>
      <c r="E34" s="17">
        <f>'Monthly Stats'!F21</f>
        <v>2</v>
      </c>
      <c r="F34" s="18">
        <f>'Monthly Stats'!G21</f>
        <v>1.653</v>
      </c>
      <c r="G34" s="18">
        <f>'Monthly Stats'!H21</f>
        <v>3.14</v>
      </c>
      <c r="H34" s="13" t="str">
        <f>'Monthly Stats'!I21</f>
        <v>Exceeded</v>
      </c>
      <c r="I34" s="13" t="str">
        <f>'Monthly Stats'!J21</f>
        <v>Exceeded</v>
      </c>
      <c r="J34" s="13" t="str">
        <f>'Monthly Stats'!K21</f>
        <v>Met</v>
      </c>
    </row>
    <row r="35" spans="1:10" x14ac:dyDescent="0.2">
      <c r="A35" s="13" t="s">
        <v>20</v>
      </c>
      <c r="B35" s="16">
        <f>'Monthly Stats'!C22</f>
        <v>1.2</v>
      </c>
      <c r="C35" s="16">
        <f>'Monthly Stats'!D22</f>
        <v>0.65</v>
      </c>
      <c r="D35" s="17">
        <f>'Monthly Stats'!E22</f>
        <v>1</v>
      </c>
      <c r="E35" s="17">
        <f>'Monthly Stats'!F22</f>
        <v>2</v>
      </c>
      <c r="F35" s="18">
        <f>'Monthly Stats'!G22</f>
        <v>0.24</v>
      </c>
      <c r="G35" s="18">
        <f>'Monthly Stats'!H22</f>
        <v>0.24</v>
      </c>
      <c r="H35" s="13" t="str">
        <f>'Monthly Stats'!I22</f>
        <v>Met</v>
      </c>
      <c r="I35" s="13" t="str">
        <f>'Monthly Stats'!J22</f>
        <v>Met</v>
      </c>
      <c r="J35" s="13" t="str">
        <f>'Monthly Stats'!K22</f>
        <v>Below frequency</v>
      </c>
    </row>
    <row r="36" spans="1:10" x14ac:dyDescent="0.2">
      <c r="A36" s="13" t="s">
        <v>21</v>
      </c>
      <c r="B36" s="13" t="s">
        <v>22</v>
      </c>
      <c r="C36" s="13" t="s">
        <v>23</v>
      </c>
      <c r="D36" s="17">
        <f>COUNTIFS('Lab Data'!$C$5:$C$23,"Sep",'Lab Data'!$E$5:$E$23,"Permittee",'Lab Data'!$G$5:$G$23,"Y")</f>
        <v>3</v>
      </c>
      <c r="E36" s="17">
        <f>Parameters!$B$15</f>
        <v>2</v>
      </c>
      <c r="F36" s="19">
        <f>_xlfn.MINIFS('Lab Data'!$BS$5:$BS$23,'Lab Data'!$C$5:$C$23,"Sep",'Lab Data'!$E$5:$E$23,"Permittee",'Lab Data'!$G$5:$G$23,"Y")</f>
        <v>7.3</v>
      </c>
      <c r="G36" s="19">
        <f>_xlfn.MAXIFS('Lab Data'!$BS$5:$BS$23,'Lab Data'!$C$5:$C$23,"Sep",'Lab Data'!$E$5:$E$23,"Permittee",'Lab Data'!$G$5:$G$23,"Y")</f>
        <v>7.9</v>
      </c>
      <c r="H36" s="13" t="s">
        <v>32</v>
      </c>
      <c r="I36" s="13" t="s">
        <v>30</v>
      </c>
      <c r="J36" s="13" t="s">
        <v>25</v>
      </c>
    </row>
    <row r="37" spans="1:10" x14ac:dyDescent="0.2">
      <c r="A37" s="13" t="s">
        <v>26</v>
      </c>
      <c r="B37" s="20">
        <f>Parameters!$B$12</f>
        <v>45000</v>
      </c>
      <c r="C37" s="13" t="s">
        <v>23</v>
      </c>
      <c r="D37" s="13" t="s">
        <v>27</v>
      </c>
      <c r="E37" s="13" t="s">
        <v>27</v>
      </c>
      <c r="G37" s="20">
        <f>'Flow Q3'!$B$110</f>
        <v>46550</v>
      </c>
      <c r="H37" s="13" t="s">
        <v>23</v>
      </c>
      <c r="I37" s="13" t="str">
        <f>IF(G37&gt;B37,"Exceeded","Met")</f>
        <v>Exceeded</v>
      </c>
      <c r="J37" s="13" t="s">
        <v>25</v>
      </c>
    </row>
    <row r="39" spans="1:10" x14ac:dyDescent="0.2">
      <c r="A39" s="14" t="s">
        <v>33</v>
      </c>
    </row>
    <row r="40" spans="1:10" x14ac:dyDescent="0.2">
      <c r="A40" s="15" t="s">
        <v>34</v>
      </c>
      <c r="B40" s="15" t="s">
        <v>35</v>
      </c>
      <c r="C40" s="15" t="s">
        <v>36</v>
      </c>
      <c r="D40" s="15" t="s">
        <v>37</v>
      </c>
      <c r="E40" s="15" t="s">
        <v>38</v>
      </c>
      <c r="F40" s="15" t="s">
        <v>39</v>
      </c>
    </row>
    <row r="41" spans="1:10" ht="28" customHeight="1" x14ac:dyDescent="0.2">
      <c r="A41" s="21" t="s">
        <v>40</v>
      </c>
      <c r="B41" s="21" t="s">
        <v>41</v>
      </c>
      <c r="C41" s="22">
        <f>'Lab Data'!AO15</f>
        <v>4.09</v>
      </c>
      <c r="D41" s="21" t="s">
        <v>42</v>
      </c>
      <c r="E41" s="21" t="s">
        <v>43</v>
      </c>
      <c r="F41" s="21" t="s">
        <v>44</v>
      </c>
    </row>
    <row r="42" spans="1:10" ht="28" customHeight="1" x14ac:dyDescent="0.2">
      <c r="A42" s="21" t="s">
        <v>45</v>
      </c>
      <c r="B42" s="21" t="s">
        <v>46</v>
      </c>
      <c r="C42" s="23">
        <f>'Monthly Stats'!G7</f>
        <v>4.09</v>
      </c>
      <c r="D42" s="21" t="s">
        <v>47</v>
      </c>
      <c r="E42" s="21" t="s">
        <v>43</v>
      </c>
      <c r="F42" s="21" t="s">
        <v>48</v>
      </c>
    </row>
    <row r="43" spans="1:10" ht="42" customHeight="1" x14ac:dyDescent="0.2">
      <c r="A43" s="21" t="s">
        <v>45</v>
      </c>
      <c r="B43" s="21" t="s">
        <v>49</v>
      </c>
      <c r="C43" s="24">
        <f>'Monthly Stats'!E7</f>
        <v>1</v>
      </c>
      <c r="D43" s="21" t="s">
        <v>50</v>
      </c>
      <c r="E43" s="21" t="s">
        <v>51</v>
      </c>
      <c r="F43" s="21" t="s">
        <v>52</v>
      </c>
    </row>
    <row r="44" spans="1:10" ht="42" customHeight="1" x14ac:dyDescent="0.2">
      <c r="A44" s="21" t="s">
        <v>45</v>
      </c>
      <c r="B44" s="21" t="s">
        <v>53</v>
      </c>
      <c r="C44" s="24">
        <f>'Monthly Stats'!E9</f>
        <v>0</v>
      </c>
      <c r="D44" s="21" t="s">
        <v>50</v>
      </c>
      <c r="E44" s="21" t="s">
        <v>51</v>
      </c>
      <c r="F44" s="21" t="s">
        <v>54</v>
      </c>
    </row>
    <row r="45" spans="1:10" ht="84" customHeight="1" x14ac:dyDescent="0.2">
      <c r="A45" s="21" t="s">
        <v>45</v>
      </c>
      <c r="B45" s="21" t="s">
        <v>55</v>
      </c>
      <c r="C45" s="24">
        <f>'Monthly Stats'!E10</f>
        <v>1</v>
      </c>
      <c r="D45" s="21" t="s">
        <v>50</v>
      </c>
      <c r="E45" s="21" t="s">
        <v>51</v>
      </c>
      <c r="F45" s="21" t="s">
        <v>56</v>
      </c>
    </row>
    <row r="46" spans="1:10" ht="112" customHeight="1" x14ac:dyDescent="0.2">
      <c r="A46" s="21" t="s">
        <v>57</v>
      </c>
      <c r="B46" s="21" t="s">
        <v>58</v>
      </c>
      <c r="C46" s="24" t="s">
        <v>59</v>
      </c>
      <c r="D46" s="21" t="s">
        <v>60</v>
      </c>
      <c r="E46" s="21" t="s">
        <v>61</v>
      </c>
      <c r="F46" s="21" t="s">
        <v>62</v>
      </c>
    </row>
    <row r="47" spans="1:10" ht="84" customHeight="1" x14ac:dyDescent="0.2">
      <c r="A47" s="21" t="s">
        <v>63</v>
      </c>
      <c r="B47" s="21" t="s">
        <v>64</v>
      </c>
      <c r="C47" s="21" t="s">
        <v>65</v>
      </c>
      <c r="D47" s="21" t="s">
        <v>66</v>
      </c>
      <c r="E47" s="21" t="s">
        <v>67</v>
      </c>
      <c r="F47" s="21" t="s">
        <v>68</v>
      </c>
    </row>
    <row r="48" spans="1:10" ht="84" customHeight="1" x14ac:dyDescent="0.2">
      <c r="A48" s="21" t="s">
        <v>63</v>
      </c>
      <c r="B48" s="21" t="s">
        <v>69</v>
      </c>
      <c r="C48" s="21" t="s">
        <v>70</v>
      </c>
      <c r="D48" s="21" t="s">
        <v>66</v>
      </c>
      <c r="E48" s="21" t="s">
        <v>67</v>
      </c>
      <c r="F48" s="21" t="s">
        <v>71</v>
      </c>
    </row>
    <row r="49" spans="1:6" ht="28" customHeight="1" x14ac:dyDescent="0.2">
      <c r="A49" s="21" t="s">
        <v>72</v>
      </c>
      <c r="B49" s="21" t="s">
        <v>73</v>
      </c>
      <c r="C49" s="22">
        <f>'Lab Data'!AO16</f>
        <v>4.33</v>
      </c>
      <c r="D49" s="21" t="s">
        <v>42</v>
      </c>
      <c r="E49" s="21" t="s">
        <v>43</v>
      </c>
      <c r="F49" s="21" t="s">
        <v>44</v>
      </c>
    </row>
    <row r="50" spans="1:6" ht="42" customHeight="1" x14ac:dyDescent="0.2">
      <c r="A50" s="21" t="s">
        <v>74</v>
      </c>
      <c r="B50" s="21" t="s">
        <v>75</v>
      </c>
      <c r="C50" s="25">
        <f>'Flow Q3'!$B$101</f>
        <v>46150</v>
      </c>
      <c r="D50" s="21" t="s">
        <v>76</v>
      </c>
      <c r="E50" s="21" t="s">
        <v>43</v>
      </c>
      <c r="F50" s="21" t="s">
        <v>77</v>
      </c>
    </row>
    <row r="51" spans="1:6" ht="42" customHeight="1" x14ac:dyDescent="0.2">
      <c r="A51" s="21" t="s">
        <v>78</v>
      </c>
      <c r="B51" s="21" t="s">
        <v>79</v>
      </c>
      <c r="C51" s="21" t="s">
        <v>80</v>
      </c>
      <c r="D51" s="21" t="s">
        <v>81</v>
      </c>
      <c r="E51" s="21" t="s">
        <v>82</v>
      </c>
      <c r="F51" s="21" t="s">
        <v>83</v>
      </c>
    </row>
    <row r="52" spans="1:6" ht="42" customHeight="1" x14ac:dyDescent="0.2">
      <c r="A52" s="21" t="s">
        <v>84</v>
      </c>
      <c r="B52" s="21" t="s">
        <v>85</v>
      </c>
      <c r="C52" s="22">
        <f>'Lab Data'!AO17</f>
        <v>3.45</v>
      </c>
      <c r="D52" s="21" t="s">
        <v>42</v>
      </c>
      <c r="E52" s="21" t="s">
        <v>43</v>
      </c>
      <c r="F52" s="21" t="s">
        <v>44</v>
      </c>
    </row>
    <row r="53" spans="1:6" ht="28" customHeight="1" x14ac:dyDescent="0.2">
      <c r="A53" s="21" t="s">
        <v>86</v>
      </c>
      <c r="B53" s="21" t="s">
        <v>87</v>
      </c>
      <c r="C53" s="21" t="s">
        <v>88</v>
      </c>
      <c r="D53" s="21" t="s">
        <v>22</v>
      </c>
      <c r="E53" s="21" t="s">
        <v>89</v>
      </c>
      <c r="F53" s="21" t="s">
        <v>90</v>
      </c>
    </row>
    <row r="54" spans="1:6" ht="56" customHeight="1" x14ac:dyDescent="0.2">
      <c r="A54" s="21" t="s">
        <v>91</v>
      </c>
      <c r="B54" s="21" t="s">
        <v>92</v>
      </c>
      <c r="C54" s="21" t="s">
        <v>80</v>
      </c>
      <c r="D54" s="21" t="s">
        <v>93</v>
      </c>
      <c r="E54" s="21" t="s">
        <v>82</v>
      </c>
      <c r="F54" s="21" t="s">
        <v>94</v>
      </c>
    </row>
    <row r="55" spans="1:6" ht="42" customHeight="1" x14ac:dyDescent="0.2">
      <c r="A55" s="21" t="s">
        <v>95</v>
      </c>
      <c r="B55" s="21" t="s">
        <v>96</v>
      </c>
      <c r="C55" s="22">
        <f>'Lab Data'!AO20</f>
        <v>4.15</v>
      </c>
      <c r="D55" s="21" t="s">
        <v>42</v>
      </c>
      <c r="E55" s="21" t="s">
        <v>43</v>
      </c>
      <c r="F55" s="21" t="s">
        <v>44</v>
      </c>
    </row>
    <row r="56" spans="1:6" ht="28" customHeight="1" x14ac:dyDescent="0.2">
      <c r="A56" s="21" t="s">
        <v>97</v>
      </c>
      <c r="B56" s="21" t="s">
        <v>98</v>
      </c>
      <c r="C56" s="23">
        <f>'Monthly Stats'!G13</f>
        <v>3.977</v>
      </c>
      <c r="D56" s="21" t="s">
        <v>47</v>
      </c>
      <c r="E56" s="21" t="s">
        <v>43</v>
      </c>
      <c r="F56" s="21" t="s">
        <v>99</v>
      </c>
    </row>
    <row r="57" spans="1:6" ht="42" customHeight="1" x14ac:dyDescent="0.2">
      <c r="A57" s="21" t="s">
        <v>97</v>
      </c>
      <c r="B57" s="21" t="s">
        <v>100</v>
      </c>
      <c r="C57" s="24">
        <f>'Monthly Stats'!L16</f>
        <v>6</v>
      </c>
      <c r="D57" s="21" t="s">
        <v>101</v>
      </c>
      <c r="E57" s="21" t="s">
        <v>51</v>
      </c>
      <c r="F57" s="21" t="s">
        <v>102</v>
      </c>
    </row>
    <row r="58" spans="1:6" ht="84" customHeight="1" x14ac:dyDescent="0.2">
      <c r="A58" s="21" t="s">
        <v>103</v>
      </c>
      <c r="B58" s="21" t="s">
        <v>104</v>
      </c>
      <c r="C58" s="24" t="s">
        <v>59</v>
      </c>
      <c r="D58" s="21" t="s">
        <v>60</v>
      </c>
      <c r="E58" s="21" t="s">
        <v>61</v>
      </c>
      <c r="F58" s="21" t="s">
        <v>105</v>
      </c>
    </row>
    <row r="59" spans="1:6" ht="70" customHeight="1" x14ac:dyDescent="0.2">
      <c r="A59" s="21" t="s">
        <v>106</v>
      </c>
      <c r="B59" s="21" t="s">
        <v>107</v>
      </c>
      <c r="C59" s="21" t="s">
        <v>108</v>
      </c>
      <c r="D59" s="21" t="s">
        <v>81</v>
      </c>
      <c r="E59" s="21" t="s">
        <v>82</v>
      </c>
      <c r="F59" s="21" t="s">
        <v>109</v>
      </c>
    </row>
    <row r="60" spans="1:6" ht="56" customHeight="1" x14ac:dyDescent="0.2">
      <c r="A60" s="21" t="s">
        <v>110</v>
      </c>
      <c r="B60" s="21" t="s">
        <v>111</v>
      </c>
      <c r="C60" s="21" t="s">
        <v>112</v>
      </c>
      <c r="D60" s="21" t="s">
        <v>81</v>
      </c>
      <c r="E60" s="21" t="s">
        <v>82</v>
      </c>
      <c r="F60" s="21" t="s">
        <v>113</v>
      </c>
    </row>
    <row r="61" spans="1:6" ht="98" customHeight="1" x14ac:dyDescent="0.2">
      <c r="A61" s="21" t="s">
        <v>114</v>
      </c>
      <c r="B61" s="21" t="s">
        <v>115</v>
      </c>
      <c r="C61" s="22">
        <f>'Lab Data'!BG21</f>
        <v>3.14</v>
      </c>
      <c r="D61" s="21" t="s">
        <v>116</v>
      </c>
      <c r="E61" s="21" t="s">
        <v>43</v>
      </c>
      <c r="F61" s="21" t="s">
        <v>117</v>
      </c>
    </row>
    <row r="62" spans="1:6" ht="14" customHeight="1" x14ac:dyDescent="0.2">
      <c r="A62" s="21" t="s">
        <v>118</v>
      </c>
      <c r="B62" s="21" t="s">
        <v>119</v>
      </c>
      <c r="C62" s="23">
        <f>'Monthly Stats'!G21</f>
        <v>1.653</v>
      </c>
      <c r="D62" s="21" t="s">
        <v>120</v>
      </c>
      <c r="E62" s="21" t="s">
        <v>43</v>
      </c>
      <c r="F62" s="21" t="s">
        <v>121</v>
      </c>
    </row>
    <row r="63" spans="1:6" ht="70" customHeight="1" x14ac:dyDescent="0.2">
      <c r="A63" s="21" t="s">
        <v>118</v>
      </c>
      <c r="B63" s="21" t="s">
        <v>55</v>
      </c>
      <c r="C63" s="24">
        <f>'Monthly Stats'!E22</f>
        <v>1</v>
      </c>
      <c r="D63" s="21" t="s">
        <v>50</v>
      </c>
      <c r="E63" s="21" t="s">
        <v>51</v>
      </c>
      <c r="F63" s="21" t="s">
        <v>122</v>
      </c>
    </row>
    <row r="64" spans="1:6" ht="70" customHeight="1" x14ac:dyDescent="0.2">
      <c r="A64" s="21" t="s">
        <v>123</v>
      </c>
      <c r="B64" s="21" t="s">
        <v>124</v>
      </c>
      <c r="C64" s="24" t="s">
        <v>59</v>
      </c>
      <c r="D64" s="21" t="s">
        <v>60</v>
      </c>
      <c r="E64" s="21" t="s">
        <v>61</v>
      </c>
      <c r="F64" s="21" t="s">
        <v>125</v>
      </c>
    </row>
    <row r="65" spans="1:6" ht="56" customHeight="1" x14ac:dyDescent="0.2">
      <c r="A65" s="21" t="s">
        <v>114</v>
      </c>
      <c r="B65" s="21" t="s">
        <v>126</v>
      </c>
      <c r="C65" s="25">
        <f>'Flow Q3'!$B$109</f>
        <v>46550</v>
      </c>
      <c r="D65" s="21" t="s">
        <v>76</v>
      </c>
      <c r="E65" s="21" t="s">
        <v>43</v>
      </c>
      <c r="F65" s="21" t="s">
        <v>127</v>
      </c>
    </row>
    <row r="66" spans="1:6" ht="42" customHeight="1" x14ac:dyDescent="0.2">
      <c r="A66" s="21" t="s">
        <v>114</v>
      </c>
      <c r="B66" s="21" t="s">
        <v>128</v>
      </c>
      <c r="C66" s="21" t="s">
        <v>129</v>
      </c>
      <c r="D66" s="21" t="s">
        <v>130</v>
      </c>
      <c r="E66" s="21" t="s">
        <v>131</v>
      </c>
      <c r="F66" s="21" t="s">
        <v>132</v>
      </c>
    </row>
    <row r="67" spans="1:6" ht="28" customHeight="1" x14ac:dyDescent="0.2">
      <c r="A67" s="21" t="s">
        <v>133</v>
      </c>
      <c r="B67" s="21" t="s">
        <v>134</v>
      </c>
      <c r="C67" s="21" t="s">
        <v>135</v>
      </c>
      <c r="D67" s="21" t="s">
        <v>81</v>
      </c>
      <c r="E67" s="21" t="s">
        <v>82</v>
      </c>
      <c r="F67" s="21" t="s">
        <v>136</v>
      </c>
    </row>
    <row r="68" spans="1:6" ht="56" customHeight="1" x14ac:dyDescent="0.2">
      <c r="A68" s="21" t="s">
        <v>137</v>
      </c>
      <c r="B68" s="21" t="s">
        <v>138</v>
      </c>
      <c r="C68" s="21" t="s">
        <v>80</v>
      </c>
      <c r="D68" s="21" t="s">
        <v>81</v>
      </c>
      <c r="E68" s="21" t="s">
        <v>82</v>
      </c>
      <c r="F68" s="21" t="s">
        <v>139</v>
      </c>
    </row>
    <row r="69" spans="1:6" ht="28" customHeight="1" x14ac:dyDescent="0.2">
      <c r="A69" s="21" t="s">
        <v>140</v>
      </c>
      <c r="B69" s="21" t="s">
        <v>141</v>
      </c>
      <c r="C69" s="21" t="s">
        <v>142</v>
      </c>
      <c r="D69" s="21" t="s">
        <v>22</v>
      </c>
      <c r="E69" s="21" t="s">
        <v>89</v>
      </c>
      <c r="F69" s="21" t="s">
        <v>143</v>
      </c>
    </row>
    <row r="71" spans="1:6" x14ac:dyDescent="0.2">
      <c r="A71" s="14" t="s">
        <v>144</v>
      </c>
    </row>
    <row r="72" spans="1:6" x14ac:dyDescent="0.2">
      <c r="A72" s="13" t="s">
        <v>145</v>
      </c>
      <c r="B72" s="17">
        <f>'SNC Review'!B7</f>
        <v>14</v>
      </c>
    </row>
    <row r="73" spans="1:6" x14ac:dyDescent="0.2">
      <c r="A73" s="13" t="s">
        <v>146</v>
      </c>
      <c r="B73" s="17">
        <f>'SNC Review'!H7</f>
        <v>4</v>
      </c>
    </row>
    <row r="74" spans="1:6" x14ac:dyDescent="0.2">
      <c r="A74" s="13" t="s">
        <v>147</v>
      </c>
      <c r="B74" s="19">
        <f>'SNC Review'!I7</f>
        <v>28.6</v>
      </c>
    </row>
    <row r="75" spans="1:6" x14ac:dyDescent="0.2">
      <c r="A75" s="13" t="s">
        <v>148</v>
      </c>
      <c r="B75" s="26" t="str">
        <f>'SNC Review'!L7</f>
        <v>Not in significant noncompliance</v>
      </c>
    </row>
    <row r="76" spans="1:6" x14ac:dyDescent="0.2">
      <c r="A76" s="13" t="s">
        <v>149</v>
      </c>
      <c r="B76" s="17">
        <f>'SNC Review'!B9</f>
        <v>13</v>
      </c>
    </row>
    <row r="77" spans="1:6" x14ac:dyDescent="0.2">
      <c r="A77" s="13" t="s">
        <v>150</v>
      </c>
      <c r="B77" s="17">
        <f>'SNC Review'!H9</f>
        <v>4</v>
      </c>
    </row>
    <row r="78" spans="1:6" x14ac:dyDescent="0.2">
      <c r="A78" s="13" t="s">
        <v>151</v>
      </c>
      <c r="B78" s="19">
        <f>'SNC Review'!I9</f>
        <v>30.8</v>
      </c>
    </row>
    <row r="79" spans="1:6" x14ac:dyDescent="0.2">
      <c r="A79" s="13" t="s">
        <v>152</v>
      </c>
      <c r="B79" s="26" t="str">
        <f>'SNC Review'!L9</f>
        <v>Not in significant noncompliance</v>
      </c>
    </row>
    <row r="80" spans="1:6" x14ac:dyDescent="0.2">
      <c r="A80" s="13" t="s">
        <v>153</v>
      </c>
      <c r="B80" s="17">
        <f>Parameters!$B$18</f>
        <v>33</v>
      </c>
    </row>
    <row r="81" spans="1:2" x14ac:dyDescent="0.2">
      <c r="A81" s="13" t="s">
        <v>154</v>
      </c>
      <c r="B81" s="17">
        <f>'SNC Review'!F36</f>
        <v>47</v>
      </c>
    </row>
    <row r="82" spans="1:2" x14ac:dyDescent="0.2">
      <c r="A82" s="13" t="s">
        <v>155</v>
      </c>
      <c r="B82" s="26" t="str">
        <f>'SNC Review'!B38</f>
        <v>Significant noncompliance</v>
      </c>
    </row>
    <row r="83" spans="1:2" x14ac:dyDescent="0.2">
      <c r="A83" s="13" t="s">
        <v>156</v>
      </c>
    </row>
    <row r="85" spans="1:2" x14ac:dyDescent="0.2">
      <c r="A85" s="14" t="s">
        <v>157</v>
      </c>
    </row>
    <row r="86" spans="1:2" ht="150" customHeight="1" x14ac:dyDescent="0.2">
      <c r="A86" s="21" t="s">
        <v>158</v>
      </c>
    </row>
    <row r="87" spans="1:2" x14ac:dyDescent="0.2">
      <c r="A87" s="13" t="s">
        <v>159</v>
      </c>
    </row>
    <row r="88" spans="1:2" x14ac:dyDescent="0.2">
      <c r="A88" s="13" t="s">
        <v>160</v>
      </c>
    </row>
    <row r="89" spans="1:2" x14ac:dyDescent="0.2">
      <c r="A89" s="13" t="s">
        <v>161</v>
      </c>
    </row>
    <row r="90" spans="1:2" x14ac:dyDescent="0.2">
      <c r="A90" s="13" t="s">
        <v>162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1"/>
  <sheetViews>
    <sheetView workbookViewId="0"/>
  </sheetViews>
  <sheetFormatPr baseColWidth="10" defaultColWidth="8.83203125" defaultRowHeight="15" x14ac:dyDescent="0.2"/>
  <cols>
    <col min="1" max="1" width="70" customWidth="1"/>
    <col min="2" max="2" width="18" customWidth="1"/>
    <col min="3" max="3" width="20" customWidth="1"/>
    <col min="4" max="4" width="10" customWidth="1"/>
    <col min="5" max="5" width="48" customWidth="1"/>
  </cols>
  <sheetData>
    <row r="1" spans="1:5" ht="16" customHeight="1" x14ac:dyDescent="0.2">
      <c r="A1" s="1" t="s">
        <v>163</v>
      </c>
    </row>
    <row r="3" spans="1:5" x14ac:dyDescent="0.2">
      <c r="A3" s="3" t="s">
        <v>5</v>
      </c>
      <c r="B3" s="3" t="s">
        <v>11</v>
      </c>
      <c r="C3" s="3" t="s">
        <v>10</v>
      </c>
      <c r="D3" s="3" t="s">
        <v>164</v>
      </c>
      <c r="E3" s="3" t="s">
        <v>165</v>
      </c>
    </row>
    <row r="4" spans="1:5" x14ac:dyDescent="0.2">
      <c r="A4" s="2" t="s">
        <v>15</v>
      </c>
      <c r="B4" s="4">
        <v>0.11</v>
      </c>
      <c r="C4" s="4">
        <v>0.07</v>
      </c>
      <c r="D4" s="5">
        <v>0.005</v>
      </c>
      <c r="E4" s="2" t="s">
        <v>166</v>
      </c>
    </row>
    <row r="5" spans="1:5" x14ac:dyDescent="0.2">
      <c r="A5" s="2" t="s">
        <v>16</v>
      </c>
      <c r="B5" s="4">
        <v>2.77</v>
      </c>
      <c r="C5" s="4">
        <v>1.71</v>
      </c>
      <c r="D5" s="5">
        <v>0.01</v>
      </c>
      <c r="E5" s="2" t="s">
        <v>166</v>
      </c>
    </row>
    <row r="6" spans="1:5" x14ac:dyDescent="0.2">
      <c r="A6" s="2" t="s">
        <v>17</v>
      </c>
      <c r="B6" s="4">
        <v>3.38</v>
      </c>
      <c r="C6" s="4">
        <v>2.07</v>
      </c>
      <c r="D6" s="5">
        <v>0.01</v>
      </c>
      <c r="E6" s="2" t="s">
        <v>166</v>
      </c>
    </row>
    <row r="7" spans="1:5" x14ac:dyDescent="0.2">
      <c r="A7" s="2" t="s">
        <v>18</v>
      </c>
      <c r="B7" s="4">
        <v>3.98</v>
      </c>
      <c r="C7" s="4">
        <v>2.38</v>
      </c>
      <c r="D7" s="5">
        <v>0.02</v>
      </c>
      <c r="E7" s="2" t="s">
        <v>166</v>
      </c>
    </row>
    <row r="8" spans="1:5" x14ac:dyDescent="0.2">
      <c r="A8" s="2" t="s">
        <v>19</v>
      </c>
      <c r="B8" s="4">
        <v>2.61</v>
      </c>
      <c r="C8" s="4">
        <v>1.48</v>
      </c>
      <c r="D8" s="5">
        <v>0.02</v>
      </c>
      <c r="E8" s="2" t="s">
        <v>166</v>
      </c>
    </row>
    <row r="9" spans="1:5" x14ac:dyDescent="0.2">
      <c r="A9" s="2" t="s">
        <v>20</v>
      </c>
      <c r="B9" s="4">
        <v>1.2</v>
      </c>
      <c r="C9" s="4">
        <v>0.65</v>
      </c>
      <c r="D9" s="5">
        <v>0.005</v>
      </c>
      <c r="E9" s="2" t="s">
        <v>166</v>
      </c>
    </row>
    <row r="11" spans="1:5" x14ac:dyDescent="0.2">
      <c r="A11" s="3" t="s">
        <v>167</v>
      </c>
      <c r="B11" s="3" t="s">
        <v>36</v>
      </c>
      <c r="C11" s="3"/>
      <c r="D11" s="3"/>
      <c r="E11" s="3" t="s">
        <v>165</v>
      </c>
    </row>
    <row r="12" spans="1:5" x14ac:dyDescent="0.2">
      <c r="A12" s="2" t="s">
        <v>168</v>
      </c>
      <c r="B12" s="7">
        <v>45000</v>
      </c>
      <c r="E12" s="2" t="s">
        <v>169</v>
      </c>
    </row>
    <row r="13" spans="1:5" x14ac:dyDescent="0.2">
      <c r="A13" s="2" t="s">
        <v>170</v>
      </c>
      <c r="B13" s="6">
        <v>6</v>
      </c>
      <c r="E13" s="2" t="s">
        <v>169</v>
      </c>
    </row>
    <row r="14" spans="1:5" x14ac:dyDescent="0.2">
      <c r="A14" s="2" t="s">
        <v>171</v>
      </c>
      <c r="B14" s="6">
        <v>9</v>
      </c>
      <c r="E14" s="2" t="s">
        <v>169</v>
      </c>
    </row>
    <row r="15" spans="1:5" x14ac:dyDescent="0.2">
      <c r="A15" s="2" t="s">
        <v>172</v>
      </c>
      <c r="B15" s="9">
        <v>2</v>
      </c>
      <c r="E15" s="2" t="s">
        <v>173</v>
      </c>
    </row>
    <row r="16" spans="1:5" x14ac:dyDescent="0.2">
      <c r="A16" s="2" t="s">
        <v>174</v>
      </c>
      <c r="B16" s="6">
        <v>1.2</v>
      </c>
      <c r="E16" s="2" t="s">
        <v>175</v>
      </c>
    </row>
    <row r="17" spans="1:5" x14ac:dyDescent="0.2">
      <c r="A17" s="2" t="s">
        <v>176</v>
      </c>
      <c r="B17" s="9">
        <v>66</v>
      </c>
      <c r="E17" s="2" t="s">
        <v>175</v>
      </c>
    </row>
    <row r="18" spans="1:5" x14ac:dyDescent="0.2">
      <c r="A18" s="2" t="s">
        <v>177</v>
      </c>
      <c r="B18" s="9">
        <v>33</v>
      </c>
      <c r="E18" s="2" t="s">
        <v>175</v>
      </c>
    </row>
    <row r="19" spans="1:5" x14ac:dyDescent="0.2">
      <c r="A19" s="2" t="s">
        <v>178</v>
      </c>
      <c r="B19" s="9">
        <v>24</v>
      </c>
      <c r="E19" s="2" t="s">
        <v>179</v>
      </c>
    </row>
    <row r="20" spans="1:5" x14ac:dyDescent="0.2">
      <c r="A20" s="2" t="s">
        <v>180</v>
      </c>
      <c r="B20" s="9">
        <v>5</v>
      </c>
      <c r="E20" s="2" t="s">
        <v>179</v>
      </c>
    </row>
    <row r="21" spans="1:5" x14ac:dyDescent="0.2">
      <c r="A21" s="2" t="s">
        <v>181</v>
      </c>
      <c r="B21" s="9">
        <v>30</v>
      </c>
      <c r="E21" s="2" t="s">
        <v>182</v>
      </c>
    </row>
    <row r="22" spans="1:5" x14ac:dyDescent="0.2">
      <c r="A22" s="2" t="s">
        <v>183</v>
      </c>
      <c r="B22" s="9">
        <v>15</v>
      </c>
      <c r="E22" s="2" t="s">
        <v>184</v>
      </c>
    </row>
    <row r="23" spans="1:5" x14ac:dyDescent="0.2">
      <c r="A23" s="2" t="s">
        <v>185</v>
      </c>
      <c r="B23" s="9">
        <v>6</v>
      </c>
      <c r="E23" s="2" t="s">
        <v>186</v>
      </c>
    </row>
    <row r="24" spans="1:5" x14ac:dyDescent="0.2">
      <c r="A24" s="2" t="s">
        <v>187</v>
      </c>
      <c r="B24" s="9">
        <v>14</v>
      </c>
      <c r="E24" s="2" t="s">
        <v>188</v>
      </c>
    </row>
    <row r="25" spans="1:5" x14ac:dyDescent="0.2">
      <c r="A25" s="13" t="s">
        <v>189</v>
      </c>
      <c r="B25" s="17">
        <v>12</v>
      </c>
      <c r="E25" s="13" t="s">
        <v>173</v>
      </c>
    </row>
    <row r="26" spans="1:5" x14ac:dyDescent="0.2">
      <c r="A26" s="13" t="s">
        <v>190</v>
      </c>
      <c r="B26" s="13" t="s">
        <v>191</v>
      </c>
      <c r="E26" s="13" t="s">
        <v>192</v>
      </c>
    </row>
    <row r="27" spans="1:5" x14ac:dyDescent="0.2">
      <c r="A27" s="13" t="s">
        <v>193</v>
      </c>
      <c r="B27" s="13" t="s">
        <v>123</v>
      </c>
      <c r="E27" s="13" t="s">
        <v>175</v>
      </c>
    </row>
    <row r="28" spans="1:5" x14ac:dyDescent="0.2">
      <c r="A28" s="13" t="s">
        <v>194</v>
      </c>
      <c r="B28" s="17">
        <f>DATE(VALUE(RIGHT(B26,4)),VALUE(LEFT(B26,2)),VALUE(MID(B26,4,2)))</f>
        <v>46113</v>
      </c>
      <c r="E28" s="13" t="s">
        <v>195</v>
      </c>
    </row>
    <row r="29" spans="1:5" x14ac:dyDescent="0.2">
      <c r="A29" s="13" t="s">
        <v>196</v>
      </c>
      <c r="B29" s="17">
        <f>DATE(VALUE(RIGHT(B27,4)),VALUE(LEFT(B27,2)),VALUE(MID(B27,4,2)))</f>
        <v>46295</v>
      </c>
      <c r="E29" s="13" t="s">
        <v>197</v>
      </c>
    </row>
    <row r="30" spans="1:5" x14ac:dyDescent="0.2">
      <c r="A30" s="13" t="s">
        <v>198</v>
      </c>
      <c r="B30" s="17">
        <v>10</v>
      </c>
      <c r="E30" s="13" t="s">
        <v>173</v>
      </c>
    </row>
    <row r="31" spans="1:5" x14ac:dyDescent="0.2">
      <c r="A31" s="13" t="s">
        <v>199</v>
      </c>
      <c r="B31" s="17">
        <f>B24*24</f>
        <v>336</v>
      </c>
      <c r="E31" s="13" t="s">
        <v>200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D23"/>
  <sheetViews>
    <sheetView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13" customWidth="1"/>
    <col min="2" max="2" width="12" customWidth="1"/>
    <col min="3" max="3" width="8" customWidth="1"/>
    <col min="4" max="4" width="11" customWidth="1"/>
    <col min="5" max="5" width="13" customWidth="1"/>
    <col min="6" max="6" width="15" customWidth="1"/>
    <col min="7" max="7" width="11" customWidth="1"/>
    <col min="8" max="8" width="10" customWidth="1"/>
    <col min="9" max="9" width="11" customWidth="1"/>
    <col min="10" max="10" width="10" customWidth="1"/>
    <col min="11" max="11" width="16" customWidth="1"/>
    <col min="12" max="12" width="17" customWidth="1"/>
    <col min="13" max="16" width="12" customWidth="1"/>
    <col min="17" max="17" width="10" customWidth="1"/>
    <col min="18" max="18" width="7" customWidth="1"/>
    <col min="19" max="20" width="10" customWidth="1"/>
    <col min="21" max="21" width="9" customWidth="1"/>
    <col min="22" max="22" width="13" customWidth="1"/>
    <col min="23" max="23" width="10" customWidth="1"/>
    <col min="24" max="25" width="11" customWidth="1"/>
    <col min="26" max="26" width="10" customWidth="1"/>
    <col min="27" max="27" width="7" customWidth="1"/>
    <col min="28" max="29" width="10" customWidth="1"/>
    <col min="30" max="30" width="9" customWidth="1"/>
    <col min="31" max="31" width="13" customWidth="1"/>
    <col min="32" max="32" width="10" customWidth="1"/>
    <col min="33" max="34" width="11" customWidth="1"/>
    <col min="35" max="35" width="10" customWidth="1"/>
    <col min="36" max="36" width="7" customWidth="1"/>
    <col min="37" max="38" width="10" customWidth="1"/>
    <col min="39" max="39" width="9" customWidth="1"/>
    <col min="40" max="40" width="13" customWidth="1"/>
    <col min="41" max="41" width="10" customWidth="1"/>
    <col min="42" max="43" width="11" customWidth="1"/>
    <col min="44" max="44" width="10" customWidth="1"/>
    <col min="45" max="45" width="7" customWidth="1"/>
    <col min="46" max="47" width="10" customWidth="1"/>
    <col min="48" max="48" width="9" customWidth="1"/>
    <col min="49" max="49" width="13" customWidth="1"/>
    <col min="50" max="50" width="10" customWidth="1"/>
    <col min="51" max="52" width="11" customWidth="1"/>
    <col min="53" max="53" width="10" customWidth="1"/>
    <col min="54" max="54" width="7" customWidth="1"/>
    <col min="55" max="56" width="10" customWidth="1"/>
    <col min="57" max="57" width="9" customWidth="1"/>
    <col min="58" max="58" width="13" customWidth="1"/>
    <col min="59" max="59" width="10" customWidth="1"/>
    <col min="60" max="61" width="11" customWidth="1"/>
    <col min="62" max="62" width="10" customWidth="1"/>
    <col min="63" max="63" width="7" customWidth="1"/>
    <col min="64" max="65" width="10" customWidth="1"/>
    <col min="66" max="66" width="9" customWidth="1"/>
    <col min="67" max="67" width="13" customWidth="1"/>
    <col min="68" max="68" width="10" customWidth="1"/>
    <col min="69" max="70" width="11" customWidth="1"/>
    <col min="71" max="71" width="9" customWidth="1"/>
    <col min="72" max="72" width="13" customWidth="1"/>
    <col min="73" max="73" width="17" customWidth="1"/>
    <col min="74" max="74" width="14" customWidth="1"/>
    <col min="75" max="75" width="70" customWidth="1"/>
    <col min="76" max="78" width="12" customWidth="1"/>
    <col min="79" max="82" width="13" customWidth="1"/>
  </cols>
  <sheetData>
    <row r="1" spans="1:82" ht="16" customHeight="1" x14ac:dyDescent="0.2">
      <c r="A1" s="12" t="s">
        <v>201</v>
      </c>
    </row>
    <row r="2" spans="1:82" x14ac:dyDescent="0.2">
      <c r="A2" s="13" t="s">
        <v>202</v>
      </c>
    </row>
    <row r="3" spans="1:82" x14ac:dyDescent="0.2">
      <c r="A3" s="13" t="s">
        <v>203</v>
      </c>
    </row>
    <row r="4" spans="1:82" x14ac:dyDescent="0.2">
      <c r="A4" s="15" t="s">
        <v>204</v>
      </c>
      <c r="B4" s="15" t="s">
        <v>205</v>
      </c>
      <c r="C4" s="15" t="s">
        <v>206</v>
      </c>
      <c r="D4" s="15" t="s">
        <v>207</v>
      </c>
      <c r="E4" s="15" t="s">
        <v>208</v>
      </c>
      <c r="F4" s="15" t="s">
        <v>209</v>
      </c>
      <c r="G4" s="15" t="s">
        <v>210</v>
      </c>
      <c r="H4" s="15" t="s">
        <v>211</v>
      </c>
      <c r="I4" s="15" t="s">
        <v>212</v>
      </c>
      <c r="J4" s="15" t="s">
        <v>213</v>
      </c>
      <c r="K4" s="15" t="s">
        <v>214</v>
      </c>
      <c r="L4" s="15" t="s">
        <v>215</v>
      </c>
      <c r="M4" s="15" t="s">
        <v>216</v>
      </c>
      <c r="N4" s="15" t="s">
        <v>217</v>
      </c>
      <c r="O4" s="15" t="s">
        <v>218</v>
      </c>
      <c r="P4" s="15" t="s">
        <v>219</v>
      </c>
      <c r="Q4" s="15" t="s">
        <v>220</v>
      </c>
      <c r="R4" s="15" t="s">
        <v>221</v>
      </c>
      <c r="S4" s="15" t="s">
        <v>222</v>
      </c>
      <c r="T4" s="15" t="s">
        <v>223</v>
      </c>
      <c r="U4" s="15" t="s">
        <v>224</v>
      </c>
      <c r="V4" s="15" t="s">
        <v>225</v>
      </c>
      <c r="W4" s="15" t="s">
        <v>226</v>
      </c>
      <c r="X4" s="15" t="s">
        <v>227</v>
      </c>
      <c r="Y4" s="15" t="s">
        <v>228</v>
      </c>
      <c r="Z4" s="15" t="s">
        <v>229</v>
      </c>
      <c r="AA4" s="15" t="s">
        <v>230</v>
      </c>
      <c r="AB4" s="15" t="s">
        <v>231</v>
      </c>
      <c r="AC4" s="15" t="s">
        <v>232</v>
      </c>
      <c r="AD4" s="15" t="s">
        <v>233</v>
      </c>
      <c r="AE4" s="15" t="s">
        <v>234</v>
      </c>
      <c r="AF4" s="15" t="s">
        <v>235</v>
      </c>
      <c r="AG4" s="15" t="s">
        <v>236</v>
      </c>
      <c r="AH4" s="15" t="s">
        <v>237</v>
      </c>
      <c r="AI4" s="15" t="s">
        <v>238</v>
      </c>
      <c r="AJ4" s="15" t="s">
        <v>239</v>
      </c>
      <c r="AK4" s="15" t="s">
        <v>240</v>
      </c>
      <c r="AL4" s="15" t="s">
        <v>241</v>
      </c>
      <c r="AM4" s="15" t="s">
        <v>242</v>
      </c>
      <c r="AN4" s="15" t="s">
        <v>243</v>
      </c>
      <c r="AO4" s="15" t="s">
        <v>244</v>
      </c>
      <c r="AP4" s="15" t="s">
        <v>245</v>
      </c>
      <c r="AQ4" s="15" t="s">
        <v>246</v>
      </c>
      <c r="AR4" s="15" t="s">
        <v>247</v>
      </c>
      <c r="AS4" s="15" t="s">
        <v>248</v>
      </c>
      <c r="AT4" s="15" t="s">
        <v>249</v>
      </c>
      <c r="AU4" s="15" t="s">
        <v>250</v>
      </c>
      <c r="AV4" s="15" t="s">
        <v>251</v>
      </c>
      <c r="AW4" s="15" t="s">
        <v>252</v>
      </c>
      <c r="AX4" s="15" t="s">
        <v>253</v>
      </c>
      <c r="AY4" s="15" t="s">
        <v>254</v>
      </c>
      <c r="AZ4" s="15" t="s">
        <v>255</v>
      </c>
      <c r="BA4" s="15" t="s">
        <v>256</v>
      </c>
      <c r="BB4" s="15" t="s">
        <v>257</v>
      </c>
      <c r="BC4" s="15" t="s">
        <v>258</v>
      </c>
      <c r="BD4" s="15" t="s">
        <v>259</v>
      </c>
      <c r="BE4" s="15" t="s">
        <v>260</v>
      </c>
      <c r="BF4" s="15" t="s">
        <v>261</v>
      </c>
      <c r="BG4" s="15" t="s">
        <v>262</v>
      </c>
      <c r="BH4" s="15" t="s">
        <v>263</v>
      </c>
      <c r="BI4" s="15" t="s">
        <v>264</v>
      </c>
      <c r="BJ4" s="15" t="s">
        <v>265</v>
      </c>
      <c r="BK4" s="15" t="s">
        <v>266</v>
      </c>
      <c r="BL4" s="15" t="s">
        <v>267</v>
      </c>
      <c r="BM4" s="15" t="s">
        <v>268</v>
      </c>
      <c r="BN4" s="15" t="s">
        <v>269</v>
      </c>
      <c r="BO4" s="15" t="s">
        <v>270</v>
      </c>
      <c r="BP4" s="15" t="s">
        <v>271</v>
      </c>
      <c r="BQ4" s="15" t="s">
        <v>272</v>
      </c>
      <c r="BR4" s="15" t="s">
        <v>273</v>
      </c>
      <c r="BS4" s="15" t="s">
        <v>274</v>
      </c>
      <c r="BT4" s="15" t="s">
        <v>275</v>
      </c>
      <c r="BU4" s="15" t="s">
        <v>276</v>
      </c>
      <c r="BV4" s="15" t="s">
        <v>277</v>
      </c>
      <c r="BW4" s="15" t="s">
        <v>278</v>
      </c>
      <c r="BX4" s="15" t="s">
        <v>279</v>
      </c>
      <c r="BY4" s="15" t="s">
        <v>280</v>
      </c>
      <c r="BZ4" s="15" t="s">
        <v>281</v>
      </c>
      <c r="CA4" s="15" t="s">
        <v>282</v>
      </c>
      <c r="CB4" s="15" t="s">
        <v>283</v>
      </c>
      <c r="CC4" s="15" t="s">
        <v>284</v>
      </c>
      <c r="CD4" s="15" t="s">
        <v>285</v>
      </c>
    </row>
    <row r="5" spans="1:82" x14ac:dyDescent="0.2">
      <c r="A5" s="13" t="s">
        <v>286</v>
      </c>
      <c r="B5" s="13" t="s">
        <v>287</v>
      </c>
      <c r="C5" s="13" t="s">
        <v>288</v>
      </c>
      <c r="D5" s="13" t="s">
        <v>289</v>
      </c>
      <c r="E5" s="13" t="s">
        <v>290</v>
      </c>
      <c r="F5" s="13" t="s">
        <v>291</v>
      </c>
      <c r="G5" s="13" t="str">
        <f t="shared" ref="G5:G23" si="0">IF(OR(F5="OF-001",F5="manhole 44-118"),"Y","N")</f>
        <v>Y</v>
      </c>
      <c r="I5" s="13" t="str">
        <f>IF(H5="","Y",IF(H5&gt;=Parameters!$B$25,"Y","N"))</f>
        <v>Y</v>
      </c>
      <c r="J5" s="13" t="str">
        <f>IF(AND(BX5&gt;=Parameters!$B$28,BX5&lt;=Parameters!$B$29),"Y","N")</f>
        <v>N</v>
      </c>
      <c r="K5" s="13" t="s">
        <v>292</v>
      </c>
      <c r="L5" s="13" t="s">
        <v>293</v>
      </c>
      <c r="M5" s="17">
        <f t="shared" ref="M5:M23" si="1">IF(K5="","",_xlfn.DAYS(BY5,BX5))</f>
        <v>3</v>
      </c>
      <c r="N5" s="17">
        <f t="shared" ref="N5:N23" si="2">IF(OR(L5="",L5="not collected"),"",_xlfn.DAYS(BZ5,BX5))</f>
        <v>4</v>
      </c>
      <c r="O5" s="13" t="str">
        <f>IF(K5="","Y",IF(BY5&lt;=EDATE(BX5,Parameters!$B$23),"Y","N"))</f>
        <v>Y</v>
      </c>
      <c r="P5" s="13" t="str">
        <f>IF(CD5="","Y",IF(CD5&lt;=Parameters!$B$31,"Y","N"))</f>
        <v>Y</v>
      </c>
      <c r="Q5" s="18">
        <v>0.011</v>
      </c>
      <c r="U5" s="13" t="str">
        <f t="shared" ref="U5:U23" si="3">IF(AND($E5="Permittee",$G5="Y",$I5="Y",$O5="Y",R5&lt;&gt;"NS",T5&lt;&gt;"Y",Q5&lt;&gt;""),"Y","N")</f>
        <v>Y</v>
      </c>
      <c r="V5" s="13" t="str">
        <f t="shared" ref="V5:V23" si="4">IF(AND($J5="Y",$G5="Y",$I5="Y",$O5="Y",R5&lt;&gt;"NS",T5&lt;&gt;"Y",Q5&lt;&gt;""),"Y","N")</f>
        <v>N</v>
      </c>
      <c r="W5" s="18">
        <f t="shared" ref="W5:W23" si="5">IF(R5="NS","",IF(R5="U",0,IF(S5&lt;&gt;"",S5,Q5)))</f>
        <v>0.011</v>
      </c>
      <c r="X5" s="18" t="str">
        <f t="shared" ref="X5:X23" si="6">IF(V5="Y",IFERROR(ROUND(AVERAGEIFS($W$5:$W$23,$BX$5:$BX$23,$BX5,$V$5:$V$23,"Y"),3),"under limit"),"")</f>
        <v/>
      </c>
      <c r="Y5" s="13" t="str">
        <f>IF(AND(V5="Y",COUNTIFS($BX$5:$BX5,$BX5,$V$5:$V5,"Y")=1),"Y","N")</f>
        <v>N</v>
      </c>
      <c r="Z5" s="16">
        <v>0.81</v>
      </c>
      <c r="AD5" s="13" t="str">
        <f t="shared" ref="AD5:AD23" si="7">IF(AND($E5="Permittee",$G5="Y",$I5="Y",$O5="Y",AA5&lt;&gt;"NS",AC5&lt;&gt;"Y",Z5&lt;&gt;""),"Y","N")</f>
        <v>Y</v>
      </c>
      <c r="AE5" s="13" t="str">
        <f t="shared" ref="AE5:AE23" si="8">IF(AND($J5="Y",$G5="Y",$I5="Y",$O5="Y",AA5&lt;&gt;"NS",AC5&lt;&gt;"Y",Z5&lt;&gt;""),"Y","N")</f>
        <v>N</v>
      </c>
      <c r="AF5" s="16">
        <f t="shared" ref="AF5:AF23" si="9">IF(AA5="NS","",IF(AA5="U",0,IF(AB5&lt;&gt;"",AB5,Z5)))</f>
        <v>0.81</v>
      </c>
      <c r="AG5" s="18" t="str">
        <f t="shared" ref="AG5:AG23" si="10">IF(AE5="Y",IFERROR(ROUND(AVERAGEIFS($AF$5:$AF$23,$BX$5:$BX$23,$BX5,$AE$5:$AE$23,"Y"),3),"under limit"),"")</f>
        <v/>
      </c>
      <c r="AH5" s="13" t="str">
        <f>IF(AND(AE5="Y",COUNTIFS($BX$5:$BX5,$BX5,$AE$5:$AE5,"Y")=1),"Y","N")</f>
        <v>N</v>
      </c>
      <c r="AI5" s="16">
        <v>4.38</v>
      </c>
      <c r="AM5" s="13" t="str">
        <f t="shared" ref="AM5:AM23" si="11">IF(AND($E5="Permittee",$G5="Y",$I5="Y",$O5="Y",AJ5&lt;&gt;"NS",AL5&lt;&gt;"Y",AI5&lt;&gt;""),"Y","N")</f>
        <v>Y</v>
      </c>
      <c r="AN5" s="13" t="str">
        <f t="shared" ref="AN5:AN23" si="12">IF(AND($J5="Y",$G5="Y",$I5="Y",$O5="Y",AJ5&lt;&gt;"NS",AL5&lt;&gt;"Y",AI5&lt;&gt;""),"Y","N")</f>
        <v>N</v>
      </c>
      <c r="AO5" s="16">
        <f t="shared" ref="AO5:AO23" si="13">IF(AJ5="NS","",IF(AJ5="U",0,IF(AK5&lt;&gt;"",AK5,AI5)))</f>
        <v>4.38</v>
      </c>
      <c r="AP5" s="18" t="str">
        <f t="shared" ref="AP5:AP23" si="14">IF(AN5="Y",IFERROR(ROUND(AVERAGEIFS($AO$5:$AO$23,$BX$5:$BX$23,$BX5,$AN$5:$AN$23,"Y"),3),"under limit"),"")</f>
        <v/>
      </c>
      <c r="AQ5" s="13" t="str">
        <f>IF(AND(AN5="Y",COUNTIFS($BX$5:$BX5,$BX5,$AN$5:$AN5,"Y")=1),"Y","N")</f>
        <v>N</v>
      </c>
      <c r="AR5" s="16">
        <v>1.12</v>
      </c>
      <c r="AV5" s="13" t="str">
        <f t="shared" ref="AV5:AV23" si="15">IF(AND($E5="Permittee",$G5="Y",$I5="Y",$O5="Y",AS5&lt;&gt;"NS",AU5&lt;&gt;"Y",AR5&lt;&gt;""),"Y","N")</f>
        <v>Y</v>
      </c>
      <c r="AW5" s="13" t="str">
        <f t="shared" ref="AW5:AW23" si="16">IF(AND($J5="Y",$G5="Y",$I5="Y",$O5="Y",AS5&lt;&gt;"NS",AU5&lt;&gt;"Y",AR5&lt;&gt;""),"Y","N")</f>
        <v>N</v>
      </c>
      <c r="AX5" s="16">
        <f t="shared" ref="AX5:AX23" si="17">IF(AS5="NS","",IF(AS5="U",0,IF(AT5&lt;&gt;"",AT5,AR5)))</f>
        <v>1.12</v>
      </c>
      <c r="AY5" s="18" t="str">
        <f t="shared" ref="AY5:AY23" si="18">IF(AW5="Y",IFERROR(ROUND(AVERAGEIFS($AX$5:$AX$23,$BX$5:$BX$23,$BX5,$AW$5:$AW$23,"Y"),3),"under limit"),"")</f>
        <v/>
      </c>
      <c r="AZ5" s="13" t="str">
        <f>IF(AND(AW5="Y",COUNTIFS($BX$5:$BX5,$BX5,$AW$5:$AW5,"Y")=1),"Y","N")</f>
        <v>N</v>
      </c>
      <c r="BA5" s="16">
        <v>3.58</v>
      </c>
      <c r="BE5" s="13" t="str">
        <f t="shared" ref="BE5:BE23" si="19">IF(AND($E5="Permittee",$G5="Y",$I5="Y",$O5="Y",BB5&lt;&gt;"NS",BD5&lt;&gt;"Y",BA5&lt;&gt;""),"Y","N")</f>
        <v>Y</v>
      </c>
      <c r="BF5" s="13" t="str">
        <f t="shared" ref="BF5:BF23" si="20">IF(AND($J5="Y",$G5="Y",$I5="Y",$O5="Y",BB5&lt;&gt;"NS",BD5&lt;&gt;"Y",BA5&lt;&gt;""),"Y","N")</f>
        <v>N</v>
      </c>
      <c r="BG5" s="16">
        <f t="shared" ref="BG5:BG23" si="21">IF(BB5="NS","",IF(BB5="U",0,IF(BC5&lt;&gt;"",BC5,BA5)))</f>
        <v>3.58</v>
      </c>
      <c r="BH5" s="18" t="str">
        <f t="shared" ref="BH5:BH23" si="22">IF(BF5="Y",IFERROR(ROUND(AVERAGEIFS($BG$5:$BG$23,$BX$5:$BX$23,$BX5,$BF$5:$BF$23,"Y"),3),"under limit"),"")</f>
        <v/>
      </c>
      <c r="BI5" s="13" t="str">
        <f>IF(AND(BF5="Y",COUNTIFS($BX$5:$BX5,$BX5,$BF$5:$BF5,"Y")=1),"Y","N")</f>
        <v>N</v>
      </c>
      <c r="BJ5" s="18">
        <v>0.26</v>
      </c>
      <c r="BN5" s="13" t="str">
        <f t="shared" ref="BN5:BN23" si="23">IF(AND($E5="Permittee",$G5="Y",$P5="Y",BK5&lt;&gt;"NS",BM5&lt;&gt;"Y",BJ5&lt;&gt;""),"Y","N")</f>
        <v>Y</v>
      </c>
      <c r="BO5" s="13" t="str">
        <f t="shared" ref="BO5:BO23" si="24">IF(AND($J5="Y",$G5="Y",$P5="Y",BK5&lt;&gt;"NS",BM5&lt;&gt;"Y",BJ5&lt;&gt;""),"Y","N")</f>
        <v>N</v>
      </c>
      <c r="BP5" s="18">
        <f t="shared" ref="BP5:BP23" si="25">IF(BK5="NS","",IF(BK5="U",0,IF(BL5&lt;&gt;"",BL5,BJ5)))</f>
        <v>0.26</v>
      </c>
      <c r="BQ5" s="18" t="str">
        <f t="shared" ref="BQ5:BQ23" si="26">IF(BO5="Y",IFERROR(ROUND(AVERAGEIFS($BP$5:$BP$23,$BX$5:$BX$23,$BX5,$BO$5:$BO$23,"Y"),3),"under limit"),"")</f>
        <v/>
      </c>
      <c r="BR5" s="13" t="str">
        <f>IF(AND(BO5="Y",COUNTIFS($BX$5:$BX5,$BX5,$BO$5:$BO5,"Y")=1),"Y","N")</f>
        <v>N</v>
      </c>
      <c r="BS5" s="19">
        <v>7.7</v>
      </c>
      <c r="BT5" s="13" t="s">
        <v>294</v>
      </c>
      <c r="BU5" s="13" t="s">
        <v>295</v>
      </c>
      <c r="BV5" s="13" t="s">
        <v>287</v>
      </c>
      <c r="BW5" s="13" t="s">
        <v>296</v>
      </c>
      <c r="BX5" s="17">
        <f t="shared" ref="BX5:BX23" si="27">DATE(VALUE(RIGHT(B5,4)),VALUE(LEFT(B5,2)),VALUE(MID(B5,4,2)))</f>
        <v>46112</v>
      </c>
      <c r="BY5" s="17">
        <f t="shared" ref="BY5:BZ9" si="28">DATE(VALUE(RIGHT(K5,4)),VALUE(LEFT(K5,2)),VALUE(MID(K5,4,2)))</f>
        <v>46115</v>
      </c>
      <c r="BZ5" s="17">
        <f t="shared" si="28"/>
        <v>46116</v>
      </c>
      <c r="CA5" s="17" t="s">
        <v>297</v>
      </c>
      <c r="CB5" s="17" t="s">
        <v>298</v>
      </c>
      <c r="CC5" s="17" t="s">
        <v>299</v>
      </c>
      <c r="CD5" s="19">
        <f>IF(OR(L5="",L5="not collected",CC5=""),"",ROUND((BZ5+TIMEVALUE(CC5)-BX5-TIMEVALUE(CA5))*24,1))</f>
        <v>98.5</v>
      </c>
    </row>
    <row r="6" spans="1:82" x14ac:dyDescent="0.2">
      <c r="A6" s="13" t="s">
        <v>300</v>
      </c>
      <c r="B6" s="13" t="s">
        <v>301</v>
      </c>
      <c r="C6" s="13" t="s">
        <v>302</v>
      </c>
      <c r="D6" s="13" t="s">
        <v>289</v>
      </c>
      <c r="E6" s="13" t="s">
        <v>290</v>
      </c>
      <c r="F6" s="13" t="s">
        <v>291</v>
      </c>
      <c r="G6" s="13" t="str">
        <f t="shared" si="0"/>
        <v>Y</v>
      </c>
      <c r="I6" s="13" t="str">
        <f>IF(H6="","Y",IF(H6&gt;=Parameters!$B$25,"Y","N"))</f>
        <v>Y</v>
      </c>
      <c r="J6" s="13" t="str">
        <f>IF(AND(BX6&gt;=Parameters!$B$28,BX6&lt;=Parameters!$B$29),"Y","N")</f>
        <v>Y</v>
      </c>
      <c r="K6" s="13" t="s">
        <v>303</v>
      </c>
      <c r="L6" s="13" t="s">
        <v>304</v>
      </c>
      <c r="M6" s="17">
        <f t="shared" si="1"/>
        <v>37</v>
      </c>
      <c r="N6" s="17">
        <f t="shared" si="2"/>
        <v>5</v>
      </c>
      <c r="O6" s="13" t="str">
        <f>IF(K6="","Y",IF(BY6&lt;=EDATE(BX6,Parameters!$B$23),"Y","N"))</f>
        <v>Y</v>
      </c>
      <c r="P6" s="13" t="str">
        <f>IF(CD6="","Y",IF(CD6&lt;=Parameters!$B$31,"Y","N"))</f>
        <v>Y</v>
      </c>
      <c r="Q6" s="18">
        <v>0.005</v>
      </c>
      <c r="R6" s="13" t="s">
        <v>305</v>
      </c>
      <c r="U6" s="13" t="str">
        <f t="shared" si="3"/>
        <v>Y</v>
      </c>
      <c r="V6" s="13" t="str">
        <f t="shared" si="4"/>
        <v>Y</v>
      </c>
      <c r="W6" s="18">
        <f t="shared" si="5"/>
        <v>0</v>
      </c>
      <c r="X6" s="18">
        <f t="shared" si="6"/>
        <v>0</v>
      </c>
      <c r="Y6" s="13" t="str">
        <f>IF(AND(V6="Y",COUNTIFS($BX$5:$BX6,$BX6,$V$5:$V6,"Y")=1),"Y","N")</f>
        <v>Y</v>
      </c>
      <c r="Z6" s="16">
        <v>0.62</v>
      </c>
      <c r="AD6" s="13" t="str">
        <f t="shared" si="7"/>
        <v>Y</v>
      </c>
      <c r="AE6" s="13" t="str">
        <f t="shared" si="8"/>
        <v>Y</v>
      </c>
      <c r="AF6" s="16">
        <f t="shared" si="9"/>
        <v>0.62</v>
      </c>
      <c r="AG6" s="18">
        <f t="shared" si="10"/>
        <v>0.62</v>
      </c>
      <c r="AH6" s="13" t="str">
        <f>IF(AND(AE6="Y",COUNTIFS($BX$5:$BX6,$BX6,$AE$5:$AE6,"Y")=1),"Y","N")</f>
        <v>Y</v>
      </c>
      <c r="AI6" s="16">
        <v>1.84</v>
      </c>
      <c r="AM6" s="13" t="str">
        <f t="shared" si="11"/>
        <v>Y</v>
      </c>
      <c r="AN6" s="13" t="str">
        <f t="shared" si="12"/>
        <v>Y</v>
      </c>
      <c r="AO6" s="16">
        <f t="shared" si="13"/>
        <v>1.84</v>
      </c>
      <c r="AP6" s="18">
        <f t="shared" si="14"/>
        <v>1.84</v>
      </c>
      <c r="AQ6" s="13" t="str">
        <f>IF(AND(AN6="Y",COUNTIFS($BX$5:$BX6,$BX6,$AN$5:$AN6,"Y")=1),"Y","N")</f>
        <v>Y</v>
      </c>
      <c r="AR6" s="16">
        <v>0.91</v>
      </c>
      <c r="AV6" s="13" t="str">
        <f t="shared" si="15"/>
        <v>Y</v>
      </c>
      <c r="AW6" s="13" t="str">
        <f t="shared" si="16"/>
        <v>Y</v>
      </c>
      <c r="AX6" s="16">
        <f t="shared" si="17"/>
        <v>0.91</v>
      </c>
      <c r="AY6" s="18">
        <f t="shared" si="18"/>
        <v>0.91</v>
      </c>
      <c r="AZ6" s="13" t="str">
        <f>IF(AND(AW6="Y",COUNTIFS($BX$5:$BX6,$BX6,$AW$5:$AW6,"Y")=1),"Y","N")</f>
        <v>Y</v>
      </c>
      <c r="BA6" s="16">
        <v>0.74</v>
      </c>
      <c r="BE6" s="13" t="str">
        <f t="shared" si="19"/>
        <v>Y</v>
      </c>
      <c r="BF6" s="13" t="str">
        <f t="shared" si="20"/>
        <v>Y</v>
      </c>
      <c r="BG6" s="16">
        <f t="shared" si="21"/>
        <v>0.74</v>
      </c>
      <c r="BH6" s="18">
        <f t="shared" si="22"/>
        <v>0.74</v>
      </c>
      <c r="BI6" s="13" t="str">
        <f>IF(AND(BF6="Y",COUNTIFS($BX$5:$BX6,$BX6,$BF$5:$BF6,"Y")=1),"Y","N")</f>
        <v>Y</v>
      </c>
      <c r="BJ6" s="18">
        <v>0.18</v>
      </c>
      <c r="BN6" s="13" t="str">
        <f t="shared" si="23"/>
        <v>Y</v>
      </c>
      <c r="BO6" s="13" t="str">
        <f t="shared" si="24"/>
        <v>Y</v>
      </c>
      <c r="BP6" s="18">
        <f t="shared" si="25"/>
        <v>0.18</v>
      </c>
      <c r="BQ6" s="18">
        <f t="shared" si="26"/>
        <v>0.18</v>
      </c>
      <c r="BR6" s="13" t="str">
        <f>IF(AND(BO6="Y",COUNTIFS($BX$5:$BX6,$BX6,$BO$5:$BO6,"Y")=1),"Y","N")</f>
        <v>Y</v>
      </c>
      <c r="BS6" s="19">
        <v>7.4</v>
      </c>
      <c r="BT6" s="13" t="s">
        <v>306</v>
      </c>
      <c r="BU6" s="13" t="s">
        <v>307</v>
      </c>
      <c r="BV6" s="13" t="s">
        <v>301</v>
      </c>
      <c r="BW6" s="13" t="s">
        <v>308</v>
      </c>
      <c r="BX6" s="17">
        <f t="shared" si="27"/>
        <v>46119</v>
      </c>
      <c r="BY6" s="17">
        <f t="shared" si="28"/>
        <v>46156</v>
      </c>
      <c r="BZ6" s="17">
        <f t="shared" si="28"/>
        <v>46124</v>
      </c>
      <c r="CA6" s="17" t="s">
        <v>309</v>
      </c>
      <c r="CB6" s="17" t="s">
        <v>310</v>
      </c>
      <c r="CC6" s="17" t="s">
        <v>311</v>
      </c>
      <c r="CD6" s="19">
        <f>IF(OR(L6="",L6="not collected",CC6=""),"",ROUND((BZ6+TIMEVALUE(CC6)-BX6-TIMEVALUE(CA6))*24,1))</f>
        <v>123.8</v>
      </c>
    </row>
    <row r="7" spans="1:82" x14ac:dyDescent="0.2">
      <c r="A7" s="13" t="s">
        <v>312</v>
      </c>
      <c r="B7" s="13" t="s">
        <v>313</v>
      </c>
      <c r="C7" s="13" t="s">
        <v>302</v>
      </c>
      <c r="D7" s="13" t="s">
        <v>289</v>
      </c>
      <c r="E7" s="13" t="s">
        <v>290</v>
      </c>
      <c r="F7" s="13" t="s">
        <v>291</v>
      </c>
      <c r="G7" s="13" t="str">
        <f t="shared" si="0"/>
        <v>Y</v>
      </c>
      <c r="I7" s="13" t="str">
        <f>IF(H7="","Y",IF(H7&gt;=Parameters!$B$25,"Y","N"))</f>
        <v>Y</v>
      </c>
      <c r="J7" s="13" t="str">
        <f>IF(AND(BX7&gt;=Parameters!$B$28,BX7&lt;=Parameters!$B$29),"Y","N")</f>
        <v>Y</v>
      </c>
      <c r="K7" s="13" t="s">
        <v>314</v>
      </c>
      <c r="L7" s="13" t="s">
        <v>315</v>
      </c>
      <c r="M7" s="17">
        <f t="shared" si="1"/>
        <v>4</v>
      </c>
      <c r="N7" s="17">
        <f t="shared" si="2"/>
        <v>2</v>
      </c>
      <c r="O7" s="13" t="str">
        <f>IF(K7="","Y",IF(BY7&lt;=EDATE(BX7,Parameters!$B$23),"Y","N"))</f>
        <v>Y</v>
      </c>
      <c r="P7" s="13" t="str">
        <f>IF(CD7="","Y",IF(CD7&lt;=Parameters!$B$31,"Y","N"))</f>
        <v>Y</v>
      </c>
      <c r="Q7" s="18">
        <v>0.012</v>
      </c>
      <c r="U7" s="13" t="str">
        <f t="shared" si="3"/>
        <v>Y</v>
      </c>
      <c r="V7" s="13" t="str">
        <f t="shared" si="4"/>
        <v>Y</v>
      </c>
      <c r="W7" s="18">
        <f t="shared" si="5"/>
        <v>0.012</v>
      </c>
      <c r="X7" s="18">
        <f t="shared" si="6"/>
        <v>0.012</v>
      </c>
      <c r="Y7" s="13" t="str">
        <f>IF(AND(V7="Y",COUNTIFS($BX$5:$BX7,$BX7,$V$5:$V7,"Y")=1),"Y","N")</f>
        <v>Y</v>
      </c>
      <c r="Z7" s="16">
        <v>0.48</v>
      </c>
      <c r="AD7" s="13" t="str">
        <f t="shared" si="7"/>
        <v>Y</v>
      </c>
      <c r="AE7" s="13" t="str">
        <f t="shared" si="8"/>
        <v>Y</v>
      </c>
      <c r="AF7" s="16">
        <f t="shared" si="9"/>
        <v>0.48</v>
      </c>
      <c r="AG7" s="18">
        <f t="shared" si="10"/>
        <v>0.48</v>
      </c>
      <c r="AH7" s="13" t="str">
        <f>IF(AND(AE7="Y",COUNTIFS($BX$5:$BX7,$BX7,$AE$5:$AE7,"Y")=1),"Y","N")</f>
        <v>Y</v>
      </c>
      <c r="AI7" s="16">
        <v>3.62</v>
      </c>
      <c r="AM7" s="13" t="str">
        <f t="shared" si="11"/>
        <v>Y</v>
      </c>
      <c r="AN7" s="13" t="str">
        <f t="shared" si="12"/>
        <v>Y</v>
      </c>
      <c r="AO7" s="16">
        <f t="shared" si="13"/>
        <v>3.62</v>
      </c>
      <c r="AP7" s="18">
        <f t="shared" si="14"/>
        <v>3.62</v>
      </c>
      <c r="AQ7" s="13" t="str">
        <f>IF(AND(AN7="Y",COUNTIFS($BX$5:$BX7,$BX7,$AN$5:$AN7,"Y")=1),"Y","N")</f>
        <v>Y</v>
      </c>
      <c r="AR7" s="16">
        <v>1.44</v>
      </c>
      <c r="AV7" s="13" t="str">
        <f t="shared" si="15"/>
        <v>Y</v>
      </c>
      <c r="AW7" s="13" t="str">
        <f t="shared" si="16"/>
        <v>Y</v>
      </c>
      <c r="AX7" s="16">
        <f t="shared" si="17"/>
        <v>1.44</v>
      </c>
      <c r="AY7" s="18">
        <f t="shared" si="18"/>
        <v>1.44</v>
      </c>
      <c r="AZ7" s="13" t="str">
        <f>IF(AND(AW7="Y",COUNTIFS($BX$5:$BX7,$BX7,$AW$5:$AW7,"Y")=1),"Y","N")</f>
        <v>Y</v>
      </c>
      <c r="BA7" s="16">
        <v>3.31</v>
      </c>
      <c r="BE7" s="13" t="str">
        <f t="shared" si="19"/>
        <v>Y</v>
      </c>
      <c r="BF7" s="13" t="str">
        <f t="shared" si="20"/>
        <v>Y</v>
      </c>
      <c r="BG7" s="16">
        <f t="shared" si="21"/>
        <v>3.31</v>
      </c>
      <c r="BH7" s="18">
        <f t="shared" si="22"/>
        <v>3.31</v>
      </c>
      <c r="BI7" s="13" t="str">
        <f>IF(AND(BF7="Y",COUNTIFS($BX$5:$BX7,$BX7,$BF$5:$BF7,"Y")=1),"Y","N")</f>
        <v>Y</v>
      </c>
      <c r="BJ7" s="18">
        <v>0.31</v>
      </c>
      <c r="BN7" s="13" t="str">
        <f t="shared" si="23"/>
        <v>Y</v>
      </c>
      <c r="BO7" s="13" t="str">
        <f t="shared" si="24"/>
        <v>Y</v>
      </c>
      <c r="BP7" s="18">
        <f t="shared" si="25"/>
        <v>0.31</v>
      </c>
      <c r="BQ7" s="18">
        <f t="shared" si="26"/>
        <v>0.31</v>
      </c>
      <c r="BR7" s="13" t="str">
        <f>IF(AND(BO7="Y",COUNTIFS($BX$5:$BX7,$BX7,$BO$5:$BO7,"Y")=1),"Y","N")</f>
        <v>Y</v>
      </c>
      <c r="BS7" s="19">
        <v>7.1</v>
      </c>
      <c r="BT7" s="13" t="s">
        <v>316</v>
      </c>
      <c r="BU7" s="13" t="s">
        <v>317</v>
      </c>
      <c r="BV7" s="13" t="s">
        <v>313</v>
      </c>
      <c r="BX7" s="17">
        <f t="shared" si="27"/>
        <v>46133</v>
      </c>
      <c r="BY7" s="17">
        <f t="shared" si="28"/>
        <v>46137</v>
      </c>
      <c r="BZ7" s="17">
        <f t="shared" si="28"/>
        <v>46135</v>
      </c>
      <c r="CA7" s="17" t="s">
        <v>318</v>
      </c>
      <c r="CB7" s="17" t="s">
        <v>319</v>
      </c>
      <c r="CC7" s="17" t="s">
        <v>320</v>
      </c>
      <c r="CD7" s="19">
        <f>IF(OR(L7="",L7="not collected",CC7=""),"",ROUND((BZ7+TIMEVALUE(CC7)-BX7-TIMEVALUE(CA7))*24,1))</f>
        <v>55.5</v>
      </c>
    </row>
    <row r="8" spans="1:82" x14ac:dyDescent="0.2">
      <c r="A8" s="13" t="s">
        <v>321</v>
      </c>
      <c r="B8" s="13" t="s">
        <v>322</v>
      </c>
      <c r="C8" s="13" t="s">
        <v>323</v>
      </c>
      <c r="D8" s="13" t="s">
        <v>289</v>
      </c>
      <c r="E8" s="13" t="s">
        <v>290</v>
      </c>
      <c r="F8" s="13" t="s">
        <v>291</v>
      </c>
      <c r="G8" s="13" t="str">
        <f t="shared" si="0"/>
        <v>Y</v>
      </c>
      <c r="I8" s="13" t="str">
        <f>IF(H8="","Y",IF(H8&gt;=Parameters!$B$25,"Y","N"))</f>
        <v>Y</v>
      </c>
      <c r="J8" s="13" t="str">
        <f>IF(AND(BX8&gt;=Parameters!$B$28,BX8&lt;=Parameters!$B$29),"Y","N")</f>
        <v>Y</v>
      </c>
      <c r="K8" s="13" t="s">
        <v>324</v>
      </c>
      <c r="L8" s="13" t="s">
        <v>325</v>
      </c>
      <c r="M8" s="17">
        <f t="shared" si="1"/>
        <v>3</v>
      </c>
      <c r="N8" s="17">
        <f t="shared" si="2"/>
        <v>14</v>
      </c>
      <c r="O8" s="13" t="str">
        <f>IF(K8="","Y",IF(BY8&lt;=EDATE(BX8,Parameters!$B$23),"Y","N"))</f>
        <v>Y</v>
      </c>
      <c r="P8" s="13" t="str">
        <f>IF(CD8="","Y",IF(CD8&lt;=Parameters!$B$31,"Y","N"))</f>
        <v>Y</v>
      </c>
      <c r="Q8" s="18">
        <v>0.005</v>
      </c>
      <c r="R8" s="13" t="s">
        <v>305</v>
      </c>
      <c r="U8" s="13" t="str">
        <f t="shared" si="3"/>
        <v>Y</v>
      </c>
      <c r="V8" s="13" t="str">
        <f t="shared" si="4"/>
        <v>Y</v>
      </c>
      <c r="W8" s="18">
        <f t="shared" si="5"/>
        <v>0</v>
      </c>
      <c r="X8" s="18">
        <f t="shared" si="6"/>
        <v>0</v>
      </c>
      <c r="Y8" s="13" t="str">
        <f>IF(AND(V8="Y",COUNTIFS($BX$5:$BX8,$BX8,$V$5:$V8,"Y")=1),"Y","N")</f>
        <v>Y</v>
      </c>
      <c r="Z8" s="16">
        <v>1.13</v>
      </c>
      <c r="AA8" s="13" t="s">
        <v>326</v>
      </c>
      <c r="AD8" s="13" t="str">
        <f t="shared" si="7"/>
        <v>Y</v>
      </c>
      <c r="AE8" s="13" t="str">
        <f t="shared" si="8"/>
        <v>Y</v>
      </c>
      <c r="AF8" s="16">
        <f t="shared" si="9"/>
        <v>1.13</v>
      </c>
      <c r="AG8" s="18">
        <f t="shared" si="10"/>
        <v>1.13</v>
      </c>
      <c r="AH8" s="13" t="str">
        <f>IF(AND(AE8="Y",COUNTIFS($BX$5:$BX8,$BX8,$AE$5:$AE8,"Y")=1),"Y","N")</f>
        <v>Y</v>
      </c>
      <c r="AI8" s="16">
        <v>4.21</v>
      </c>
      <c r="AM8" s="13" t="str">
        <f t="shared" si="11"/>
        <v>Y</v>
      </c>
      <c r="AN8" s="13" t="str">
        <f t="shared" si="12"/>
        <v>Y</v>
      </c>
      <c r="AO8" s="16">
        <f t="shared" si="13"/>
        <v>4.21</v>
      </c>
      <c r="AP8" s="18">
        <f t="shared" si="14"/>
        <v>4.21</v>
      </c>
      <c r="AQ8" s="13" t="str">
        <f>IF(AND(AN8="Y",COUNTIFS($BX$5:$BX8,$BX8,$AN$5:$AN8,"Y")=1),"Y","N")</f>
        <v>Y</v>
      </c>
      <c r="AR8" s="16">
        <v>0.77</v>
      </c>
      <c r="AV8" s="13" t="str">
        <f t="shared" si="15"/>
        <v>Y</v>
      </c>
      <c r="AW8" s="13" t="str">
        <f t="shared" si="16"/>
        <v>Y</v>
      </c>
      <c r="AX8" s="16">
        <f t="shared" si="17"/>
        <v>0.77</v>
      </c>
      <c r="AY8" s="18">
        <f t="shared" si="18"/>
        <v>0.77</v>
      </c>
      <c r="AZ8" s="13" t="str">
        <f>IF(AND(AW8="Y",COUNTIFS($BX$5:$BX8,$BX8,$AW$5:$AW8,"Y")=1),"Y","N")</f>
        <v>Y</v>
      </c>
      <c r="BA8" s="16">
        <v>0.68</v>
      </c>
      <c r="BE8" s="13" t="str">
        <f t="shared" si="19"/>
        <v>Y</v>
      </c>
      <c r="BF8" s="13" t="str">
        <f t="shared" si="20"/>
        <v>Y</v>
      </c>
      <c r="BG8" s="16">
        <f t="shared" si="21"/>
        <v>0.68</v>
      </c>
      <c r="BH8" s="18">
        <f t="shared" si="22"/>
        <v>0.68</v>
      </c>
      <c r="BI8" s="13" t="str">
        <f>IF(AND(BF8="Y",COUNTIFS($BX$5:$BX8,$BX8,$BF$5:$BF8,"Y")=1),"Y","N")</f>
        <v>Y</v>
      </c>
      <c r="BJ8" s="18">
        <v>0.22</v>
      </c>
      <c r="BN8" s="13" t="str">
        <f t="shared" si="23"/>
        <v>Y</v>
      </c>
      <c r="BO8" s="13" t="str">
        <f t="shared" si="24"/>
        <v>Y</v>
      </c>
      <c r="BP8" s="18">
        <f t="shared" si="25"/>
        <v>0.22</v>
      </c>
      <c r="BQ8" s="18">
        <f t="shared" si="26"/>
        <v>0.22</v>
      </c>
      <c r="BR8" s="13" t="str">
        <f>IF(AND(BO8="Y",COUNTIFS($BX$5:$BX8,$BX8,$BO$5:$BO8,"Y")=1),"Y","N")</f>
        <v>Y</v>
      </c>
      <c r="BS8" s="19">
        <v>8.2</v>
      </c>
      <c r="BT8" s="13" t="s">
        <v>327</v>
      </c>
      <c r="BU8" s="13" t="s">
        <v>328</v>
      </c>
      <c r="BV8" s="13" t="s">
        <v>322</v>
      </c>
      <c r="BW8" s="13" t="s">
        <v>329</v>
      </c>
      <c r="BX8" s="17">
        <f t="shared" si="27"/>
        <v>46147</v>
      </c>
      <c r="BY8" s="17">
        <f t="shared" si="28"/>
        <v>46150</v>
      </c>
      <c r="BZ8" s="17">
        <f t="shared" si="28"/>
        <v>46161</v>
      </c>
      <c r="CA8" s="17" t="s">
        <v>330</v>
      </c>
      <c r="CB8" s="17" t="s">
        <v>331</v>
      </c>
      <c r="CC8" s="17" t="s">
        <v>332</v>
      </c>
      <c r="CD8" s="19">
        <f>IF(OR(L8="",L8="not collected",CC8=""),"",ROUND((BZ8+TIMEVALUE(CC8)-BX8-TIMEVALUE(CA8))*24,1))</f>
        <v>335.7</v>
      </c>
    </row>
    <row r="9" spans="1:82" x14ac:dyDescent="0.2">
      <c r="A9" s="13" t="s">
        <v>333</v>
      </c>
      <c r="B9" s="13" t="s">
        <v>325</v>
      </c>
      <c r="C9" s="13" t="s">
        <v>323</v>
      </c>
      <c r="D9" s="13" t="s">
        <v>289</v>
      </c>
      <c r="E9" s="13" t="s">
        <v>290</v>
      </c>
      <c r="F9" s="13" t="s">
        <v>291</v>
      </c>
      <c r="G9" s="13" t="str">
        <f t="shared" si="0"/>
        <v>Y</v>
      </c>
      <c r="I9" s="13" t="str">
        <f>IF(H9="","Y",IF(H9&gt;=Parameters!$B$25,"Y","N"))</f>
        <v>Y</v>
      </c>
      <c r="J9" s="13" t="str">
        <f>IF(AND(BX9&gt;=Parameters!$B$28,BX9&lt;=Parameters!$B$29),"Y","N")</f>
        <v>Y</v>
      </c>
      <c r="K9" s="13" t="s">
        <v>334</v>
      </c>
      <c r="L9" s="13" t="s">
        <v>335</v>
      </c>
      <c r="M9" s="17">
        <f t="shared" si="1"/>
        <v>7</v>
      </c>
      <c r="N9" s="17">
        <f t="shared" si="2"/>
        <v>6</v>
      </c>
      <c r="O9" s="13" t="str">
        <f>IF(K9="","Y",IF(BY9&lt;=EDATE(BX9,Parameters!$B$23),"Y","N"))</f>
        <v>Y</v>
      </c>
      <c r="P9" s="13" t="str">
        <f>IF(CD9="","Y",IF(CD9&lt;=Parameters!$B$31,"Y","N"))</f>
        <v>Y</v>
      </c>
      <c r="Q9" s="18">
        <v>0.005</v>
      </c>
      <c r="R9" s="13" t="s">
        <v>305</v>
      </c>
      <c r="U9" s="13" t="str">
        <f t="shared" si="3"/>
        <v>Y</v>
      </c>
      <c r="V9" s="13" t="str">
        <f t="shared" si="4"/>
        <v>Y</v>
      </c>
      <c r="W9" s="18">
        <f t="shared" si="5"/>
        <v>0</v>
      </c>
      <c r="X9" s="18">
        <f t="shared" si="6"/>
        <v>0</v>
      </c>
      <c r="Y9" s="13" t="str">
        <f>IF(AND(V9="Y",COUNTIFS($BX$5:$BX9,$BX9,$V$5:$V9,"Y")=1),"Y","N")</f>
        <v>Y</v>
      </c>
      <c r="Z9" s="16">
        <v>0.71</v>
      </c>
      <c r="AD9" s="13" t="str">
        <f t="shared" si="7"/>
        <v>Y</v>
      </c>
      <c r="AE9" s="13" t="str">
        <f t="shared" si="8"/>
        <v>Y</v>
      </c>
      <c r="AF9" s="16">
        <f t="shared" si="9"/>
        <v>0.71</v>
      </c>
      <c r="AG9" s="18">
        <f t="shared" si="10"/>
        <v>0.71</v>
      </c>
      <c r="AH9" s="13" t="str">
        <f>IF(AND(AE9="Y",COUNTIFS($BX$5:$BX9,$BX9,$AE$5:$AE9,"Y")=1),"Y","N")</f>
        <v>Y</v>
      </c>
      <c r="AI9" s="16">
        <v>1.95</v>
      </c>
      <c r="AM9" s="13" t="str">
        <f t="shared" si="11"/>
        <v>Y</v>
      </c>
      <c r="AN9" s="13" t="str">
        <f t="shared" si="12"/>
        <v>Y</v>
      </c>
      <c r="AO9" s="16">
        <f t="shared" si="13"/>
        <v>1.95</v>
      </c>
      <c r="AP9" s="18">
        <f t="shared" si="14"/>
        <v>1.95</v>
      </c>
      <c r="AQ9" s="13" t="str">
        <f>IF(AND(AN9="Y",COUNTIFS($BX$5:$BX9,$BX9,$AN$5:$AN9,"Y")=1),"Y","N")</f>
        <v>Y</v>
      </c>
      <c r="AR9" s="16">
        <v>1.68</v>
      </c>
      <c r="AV9" s="13" t="str">
        <f t="shared" si="15"/>
        <v>Y</v>
      </c>
      <c r="AW9" s="13" t="str">
        <f t="shared" si="16"/>
        <v>Y</v>
      </c>
      <c r="AX9" s="16">
        <f t="shared" si="17"/>
        <v>1.68</v>
      </c>
      <c r="AY9" s="18">
        <f t="shared" si="18"/>
        <v>1.68</v>
      </c>
      <c r="AZ9" s="13" t="str">
        <f>IF(AND(AW9="Y",COUNTIFS($BX$5:$BX9,$BX9,$AW$5:$AW9,"Y")=1),"Y","N")</f>
        <v>Y</v>
      </c>
      <c r="BA9" s="16">
        <v>3.47</v>
      </c>
      <c r="BE9" s="13" t="str">
        <f t="shared" si="19"/>
        <v>Y</v>
      </c>
      <c r="BF9" s="13" t="str">
        <f t="shared" si="20"/>
        <v>Y</v>
      </c>
      <c r="BG9" s="16">
        <f t="shared" si="21"/>
        <v>3.47</v>
      </c>
      <c r="BH9" s="18">
        <f t="shared" si="22"/>
        <v>3.47</v>
      </c>
      <c r="BI9" s="13" t="str">
        <f>IF(AND(BF9="Y",COUNTIFS($BX$5:$BX9,$BX9,$BF$5:$BF9,"Y")=1),"Y","N")</f>
        <v>Y</v>
      </c>
      <c r="BJ9" s="18">
        <v>0.008</v>
      </c>
      <c r="BK9" s="13" t="s">
        <v>336</v>
      </c>
      <c r="BN9" s="13" t="str">
        <f t="shared" si="23"/>
        <v>Y</v>
      </c>
      <c r="BO9" s="13" t="str">
        <f t="shared" si="24"/>
        <v>Y</v>
      </c>
      <c r="BP9" s="18">
        <f t="shared" si="25"/>
        <v>0.008</v>
      </c>
      <c r="BQ9" s="18">
        <f t="shared" si="26"/>
        <v>0.008</v>
      </c>
      <c r="BR9" s="13" t="str">
        <f>IF(AND(BO9="Y",COUNTIFS($BX$5:$BX9,$BX9,$BO$5:$BO9,"Y")=1),"Y","N")</f>
        <v>Y</v>
      </c>
      <c r="BS9" s="19">
        <v>7.6</v>
      </c>
      <c r="BT9" s="13" t="s">
        <v>337</v>
      </c>
      <c r="BU9" s="13" t="s">
        <v>338</v>
      </c>
      <c r="BV9" s="13" t="s">
        <v>325</v>
      </c>
      <c r="BW9" s="13" t="s">
        <v>339</v>
      </c>
      <c r="BX9" s="17">
        <f t="shared" si="27"/>
        <v>46161</v>
      </c>
      <c r="BY9" s="17">
        <f t="shared" si="28"/>
        <v>46168</v>
      </c>
      <c r="BZ9" s="17">
        <f t="shared" si="28"/>
        <v>46167</v>
      </c>
      <c r="CA9" s="17" t="s">
        <v>297</v>
      </c>
      <c r="CB9" s="17" t="s">
        <v>340</v>
      </c>
      <c r="CC9" s="17" t="s">
        <v>341</v>
      </c>
      <c r="CD9" s="19">
        <f>IF(OR(L9="",L9="not collected",CC9=""),"",ROUND((BZ9+TIMEVALUE(CC9)-BX9-TIMEVALUE(CA9))*24,1))</f>
        <v>146.6</v>
      </c>
    </row>
    <row r="10" spans="1:82" x14ac:dyDescent="0.2">
      <c r="A10" s="13" t="s">
        <v>342</v>
      </c>
      <c r="B10" s="13" t="s">
        <v>343</v>
      </c>
      <c r="C10" s="13" t="s">
        <v>323</v>
      </c>
      <c r="D10" s="13" t="s">
        <v>344</v>
      </c>
      <c r="E10" s="13" t="s">
        <v>345</v>
      </c>
      <c r="F10" s="13" t="s">
        <v>346</v>
      </c>
      <c r="G10" s="13" t="str">
        <f t="shared" si="0"/>
        <v>Y</v>
      </c>
      <c r="I10" s="13" t="str">
        <f>IF(H10="","Y",IF(H10&gt;=Parameters!$B$25,"Y","N"))</f>
        <v>Y</v>
      </c>
      <c r="J10" s="13" t="str">
        <f>IF(AND(BX10&gt;=Parameters!$B$28,BX10&lt;=Parameters!$B$29),"Y","N")</f>
        <v>Y</v>
      </c>
      <c r="M10" s="17" t="str">
        <f t="shared" si="1"/>
        <v/>
      </c>
      <c r="N10" s="17" t="str">
        <f t="shared" si="2"/>
        <v/>
      </c>
      <c r="O10" s="13" t="str">
        <f>IF(K10="","Y",IF(BY10&lt;=EDATE(BX10,Parameters!$B$23),"Y","N"))</f>
        <v>Y</v>
      </c>
      <c r="P10" s="13" t="str">
        <f>IF(N10="","Y",IF(N10&lt;=Parameters!$B$24,"Y","N"))</f>
        <v>Y</v>
      </c>
      <c r="Q10" s="13" t="s">
        <v>347</v>
      </c>
      <c r="U10" s="13" t="str">
        <f t="shared" si="3"/>
        <v>N</v>
      </c>
      <c r="V10" s="13" t="str">
        <f t="shared" si="4"/>
        <v>Y</v>
      </c>
      <c r="W10" s="18" t="str">
        <f t="shared" si="5"/>
        <v>under limit</v>
      </c>
      <c r="X10" s="18" t="str">
        <f t="shared" si="6"/>
        <v>under limit</v>
      </c>
      <c r="Y10" s="13" t="str">
        <f>IF(AND(V10="Y",COUNTIFS($BX$5:$BX10,$BX10,$V$5:$V10,"Y")=1),"Y","N")</f>
        <v>Y</v>
      </c>
      <c r="Z10" s="13" t="s">
        <v>347</v>
      </c>
      <c r="AD10" s="13" t="str">
        <f t="shared" si="7"/>
        <v>N</v>
      </c>
      <c r="AE10" s="13" t="str">
        <f t="shared" si="8"/>
        <v>Y</v>
      </c>
      <c r="AF10" s="16" t="str">
        <f t="shared" si="9"/>
        <v>under limit</v>
      </c>
      <c r="AG10" s="18" t="str">
        <f t="shared" si="10"/>
        <v>under limit</v>
      </c>
      <c r="AH10" s="13" t="str">
        <f>IF(AND(AE10="Y",COUNTIFS($BX$5:$BX10,$BX10,$AE$5:$AE10,"Y")=1),"Y","N")</f>
        <v>Y</v>
      </c>
      <c r="AI10" s="16">
        <v>2.26</v>
      </c>
      <c r="AM10" s="13" t="str">
        <f t="shared" si="11"/>
        <v>N</v>
      </c>
      <c r="AN10" s="13" t="str">
        <f t="shared" si="12"/>
        <v>Y</v>
      </c>
      <c r="AO10" s="16">
        <f t="shared" si="13"/>
        <v>2.26</v>
      </c>
      <c r="AP10" s="18">
        <f t="shared" si="14"/>
        <v>2.26</v>
      </c>
      <c r="AQ10" s="13" t="str">
        <f>IF(AND(AN10="Y",COUNTIFS($BX$5:$BX10,$BX10,$AN$5:$AN10,"Y")=1),"Y","N")</f>
        <v>Y</v>
      </c>
      <c r="AR10" s="13" t="s">
        <v>347</v>
      </c>
      <c r="AV10" s="13" t="str">
        <f t="shared" si="15"/>
        <v>N</v>
      </c>
      <c r="AW10" s="13" t="str">
        <f t="shared" si="16"/>
        <v>Y</v>
      </c>
      <c r="AX10" s="16" t="str">
        <f t="shared" si="17"/>
        <v>under limit</v>
      </c>
      <c r="AY10" s="18" t="str">
        <f t="shared" si="18"/>
        <v>under limit</v>
      </c>
      <c r="AZ10" s="13" t="str">
        <f>IF(AND(AW10="Y",COUNTIFS($BX$5:$BX10,$BX10,$AW$5:$AW10,"Y")=1),"Y","N")</f>
        <v>Y</v>
      </c>
      <c r="BA10" s="16">
        <v>0.97</v>
      </c>
      <c r="BE10" s="13" t="str">
        <f t="shared" si="19"/>
        <v>N</v>
      </c>
      <c r="BF10" s="13" t="str">
        <f t="shared" si="20"/>
        <v>Y</v>
      </c>
      <c r="BG10" s="16">
        <f t="shared" si="21"/>
        <v>0.97</v>
      </c>
      <c r="BH10" s="18">
        <f t="shared" si="22"/>
        <v>0.97</v>
      </c>
      <c r="BI10" s="13" t="str">
        <f>IF(AND(BF10="Y",COUNTIFS($BX$5:$BX10,$BX10,$BF$5:$BF10,"Y")=1),"Y","N")</f>
        <v>Y</v>
      </c>
      <c r="BK10" s="13" t="s">
        <v>348</v>
      </c>
      <c r="BN10" s="13" t="str">
        <f t="shared" si="23"/>
        <v>N</v>
      </c>
      <c r="BO10" s="13" t="str">
        <f t="shared" si="24"/>
        <v>N</v>
      </c>
      <c r="BP10" s="18" t="str">
        <f t="shared" si="25"/>
        <v/>
      </c>
      <c r="BQ10" s="18" t="str">
        <f t="shared" si="26"/>
        <v/>
      </c>
      <c r="BR10" s="13" t="str">
        <f>IF(AND(BO10="Y",COUNTIFS($BX$5:$BX10,$BX10,$BO$5:$BO10,"Y")=1),"Y","N")</f>
        <v>N</v>
      </c>
      <c r="BW10" s="13" t="s">
        <v>349</v>
      </c>
      <c r="BX10" s="17">
        <f t="shared" si="27"/>
        <v>46169</v>
      </c>
      <c r="CA10" s="17"/>
      <c r="CB10" s="17"/>
      <c r="CC10" s="17"/>
      <c r="CD10" s="17"/>
    </row>
    <row r="11" spans="1:82" x14ac:dyDescent="0.2">
      <c r="A11" s="13" t="s">
        <v>350</v>
      </c>
      <c r="B11" s="13" t="s">
        <v>351</v>
      </c>
      <c r="C11" s="13" t="s">
        <v>352</v>
      </c>
      <c r="D11" s="13" t="s">
        <v>289</v>
      </c>
      <c r="E11" s="13" t="s">
        <v>290</v>
      </c>
      <c r="F11" s="13" t="s">
        <v>291</v>
      </c>
      <c r="G11" s="13" t="str">
        <f t="shared" si="0"/>
        <v>Y</v>
      </c>
      <c r="I11" s="13" t="str">
        <f>IF(H11="","Y",IF(H11&gt;=Parameters!$B$25,"Y","N"))</f>
        <v>Y</v>
      </c>
      <c r="J11" s="13" t="str">
        <f>IF(AND(BX11&gt;=Parameters!$B$28,BX11&lt;=Parameters!$B$29),"Y","N")</f>
        <v>Y</v>
      </c>
      <c r="K11" s="13" t="s">
        <v>353</v>
      </c>
      <c r="L11" s="13" t="s">
        <v>354</v>
      </c>
      <c r="M11" s="17">
        <f t="shared" si="1"/>
        <v>6</v>
      </c>
      <c r="N11" s="17">
        <f t="shared" si="2"/>
        <v>5</v>
      </c>
      <c r="O11" s="13" t="str">
        <f>IF(K11="","Y",IF(BY11&lt;=EDATE(BX11,Parameters!$B$23),"Y","N"))</f>
        <v>Y</v>
      </c>
      <c r="P11" s="13" t="str">
        <f>IF(CD11="","Y",IF(CD11&lt;=Parameters!$B$31,"Y","N"))</f>
        <v>Y</v>
      </c>
      <c r="Q11" s="18">
        <v>0.019</v>
      </c>
      <c r="U11" s="13" t="str">
        <f t="shared" si="3"/>
        <v>Y</v>
      </c>
      <c r="V11" s="13" t="str">
        <f t="shared" si="4"/>
        <v>Y</v>
      </c>
      <c r="W11" s="18">
        <f t="shared" si="5"/>
        <v>0.019</v>
      </c>
      <c r="X11" s="18">
        <f t="shared" si="6"/>
        <v>0.019</v>
      </c>
      <c r="Y11" s="13" t="str">
        <f>IF(AND(V11="Y",COUNTIFS($BX$5:$BX11,$BX11,$V$5:$V11,"Y")=1),"Y","N")</f>
        <v>Y</v>
      </c>
      <c r="Z11" s="16">
        <v>0.55</v>
      </c>
      <c r="AD11" s="13" t="str">
        <f t="shared" si="7"/>
        <v>Y</v>
      </c>
      <c r="AE11" s="13" t="str">
        <f t="shared" si="8"/>
        <v>Y</v>
      </c>
      <c r="AF11" s="16">
        <f t="shared" si="9"/>
        <v>0.55</v>
      </c>
      <c r="AG11" s="18">
        <f t="shared" si="10"/>
        <v>0.55</v>
      </c>
      <c r="AH11" s="13" t="str">
        <f>IF(AND(AE11="Y",COUNTIFS($BX$5:$BX11,$BX11,$AE$5:$AE11,"Y")=1),"Y","N")</f>
        <v>Y</v>
      </c>
      <c r="AI11" s="16">
        <v>2.4</v>
      </c>
      <c r="AM11" s="13" t="str">
        <f t="shared" si="11"/>
        <v>Y</v>
      </c>
      <c r="AN11" s="13" t="str">
        <f t="shared" si="12"/>
        <v>Y</v>
      </c>
      <c r="AO11" s="16">
        <f t="shared" si="13"/>
        <v>2.4</v>
      </c>
      <c r="AP11" s="18">
        <f t="shared" si="14"/>
        <v>2.4</v>
      </c>
      <c r="AQ11" s="13" t="str">
        <f>IF(AND(AN11="Y",COUNTIFS($BX$5:$BX11,$BX11,$AN$5:$AN11,"Y")=1),"Y","N")</f>
        <v>Y</v>
      </c>
      <c r="AR11" s="16">
        <v>1.05</v>
      </c>
      <c r="AV11" s="13" t="str">
        <f t="shared" si="15"/>
        <v>Y</v>
      </c>
      <c r="AW11" s="13" t="str">
        <f t="shared" si="16"/>
        <v>Y</v>
      </c>
      <c r="AX11" s="16">
        <f t="shared" si="17"/>
        <v>1.05</v>
      </c>
      <c r="AY11" s="18">
        <f t="shared" si="18"/>
        <v>1.05</v>
      </c>
      <c r="AZ11" s="13" t="str">
        <f>IF(AND(AW11="Y",COUNTIFS($BX$5:$BX11,$BX11,$AW$5:$AW11,"Y")=1),"Y","N")</f>
        <v>Y</v>
      </c>
      <c r="BA11" s="16">
        <v>1.31</v>
      </c>
      <c r="BE11" s="13" t="str">
        <f t="shared" si="19"/>
        <v>Y</v>
      </c>
      <c r="BF11" s="13" t="str">
        <f t="shared" si="20"/>
        <v>Y</v>
      </c>
      <c r="BG11" s="16">
        <f t="shared" si="21"/>
        <v>1.31</v>
      </c>
      <c r="BH11" s="18">
        <f t="shared" si="22"/>
        <v>1.31</v>
      </c>
      <c r="BI11" s="13" t="str">
        <f>IF(AND(BF11="Y",COUNTIFS($BX$5:$BX11,$BX11,$BF$5:$BF11,"Y")=1),"Y","N")</f>
        <v>Y</v>
      </c>
      <c r="BJ11" s="18">
        <v>0.71</v>
      </c>
      <c r="BN11" s="13" t="str">
        <f t="shared" si="23"/>
        <v>Y</v>
      </c>
      <c r="BO11" s="13" t="str">
        <f t="shared" si="24"/>
        <v>Y</v>
      </c>
      <c r="BP11" s="18">
        <f t="shared" si="25"/>
        <v>0.71</v>
      </c>
      <c r="BQ11" s="18">
        <f t="shared" si="26"/>
        <v>0.71</v>
      </c>
      <c r="BR11" s="13" t="str">
        <f>IF(AND(BO11="Y",COUNTIFS($BX$5:$BX11,$BX11,$BO$5:$BO11,"Y")=1),"Y","N")</f>
        <v>Y</v>
      </c>
      <c r="BS11" s="19">
        <v>6.9</v>
      </c>
      <c r="BT11" s="13" t="s">
        <v>355</v>
      </c>
      <c r="BU11" s="13" t="s">
        <v>356</v>
      </c>
      <c r="BV11" s="13" t="s">
        <v>351</v>
      </c>
      <c r="BX11" s="17">
        <f t="shared" si="27"/>
        <v>46175</v>
      </c>
      <c r="BY11" s="17">
        <f>DATE(VALUE(RIGHT(K11,4)),VALUE(LEFT(K11,2)),VALUE(MID(K11,4,2)))</f>
        <v>46181</v>
      </c>
      <c r="BZ11" s="17">
        <f>DATE(VALUE(RIGHT(L11,4)),VALUE(LEFT(L11,2)),VALUE(MID(L11,4,2)))</f>
        <v>46180</v>
      </c>
      <c r="CA11" s="17" t="s">
        <v>309</v>
      </c>
      <c r="CB11" s="17" t="s">
        <v>357</v>
      </c>
      <c r="CC11" s="17" t="s">
        <v>358</v>
      </c>
      <c r="CD11" s="19">
        <f>IF(OR(L11="",L11="not collected",CC11=""),"",ROUND((BZ11+TIMEVALUE(CC11)-BX11-TIMEVALUE(CA11))*24,1))</f>
        <v>123.5</v>
      </c>
    </row>
    <row r="12" spans="1:82" x14ac:dyDescent="0.2">
      <c r="A12" s="13" t="s">
        <v>359</v>
      </c>
      <c r="B12" s="13" t="s">
        <v>360</v>
      </c>
      <c r="C12" s="13" t="s">
        <v>352</v>
      </c>
      <c r="D12" s="13" t="s">
        <v>289</v>
      </c>
      <c r="E12" s="13" t="s">
        <v>290</v>
      </c>
      <c r="F12" s="13" t="s">
        <v>291</v>
      </c>
      <c r="G12" s="13" t="str">
        <f t="shared" si="0"/>
        <v>Y</v>
      </c>
      <c r="I12" s="13" t="str">
        <f>IF(H12="","Y",IF(H12&gt;=Parameters!$B$25,"Y","N"))</f>
        <v>Y</v>
      </c>
      <c r="J12" s="13" t="str">
        <f>IF(AND(BX12&gt;=Parameters!$B$28,BX12&lt;=Parameters!$B$29),"Y","N")</f>
        <v>Y</v>
      </c>
      <c r="K12" s="13" t="s">
        <v>361</v>
      </c>
      <c r="L12" s="13" t="s">
        <v>362</v>
      </c>
      <c r="M12" s="17">
        <f t="shared" si="1"/>
        <v>4</v>
      </c>
      <c r="N12" s="17">
        <f t="shared" si="2"/>
        <v>2</v>
      </c>
      <c r="O12" s="13" t="str">
        <f>IF(K12="","Y",IF(BY12&lt;=EDATE(BX12,Parameters!$B$23),"Y","N"))</f>
        <v>Y</v>
      </c>
      <c r="P12" s="13" t="str">
        <f>IF(CD12="","Y",IF(CD12&lt;=Parameters!$B$31,"Y","N"))</f>
        <v>Y</v>
      </c>
      <c r="Q12" s="18">
        <v>0.005</v>
      </c>
      <c r="R12" s="13" t="s">
        <v>305</v>
      </c>
      <c r="U12" s="13" t="str">
        <f t="shared" si="3"/>
        <v>Y</v>
      </c>
      <c r="V12" s="13" t="str">
        <f t="shared" si="4"/>
        <v>Y</v>
      </c>
      <c r="W12" s="18">
        <f t="shared" si="5"/>
        <v>0</v>
      </c>
      <c r="X12" s="18">
        <f t="shared" si="6"/>
        <v>0</v>
      </c>
      <c r="Y12" s="13" t="str">
        <f>IF(AND(V12="Y",COUNTIFS($BX$5:$BX12,$BX12,$V$5:$V12,"Y")=1),"Y","N")</f>
        <v>Y</v>
      </c>
      <c r="Z12" s="16">
        <v>0.93</v>
      </c>
      <c r="AD12" s="13" t="str">
        <f t="shared" si="7"/>
        <v>Y</v>
      </c>
      <c r="AE12" s="13" t="str">
        <f t="shared" si="8"/>
        <v>Y</v>
      </c>
      <c r="AF12" s="16">
        <f t="shared" si="9"/>
        <v>0.93</v>
      </c>
      <c r="AG12" s="18">
        <f t="shared" si="10"/>
        <v>0.93</v>
      </c>
      <c r="AH12" s="13" t="str">
        <f>IF(AND(AE12="Y",COUNTIFS($BX$5:$BX12,$BX12,$AE$5:$AE12,"Y")=1),"Y","N")</f>
        <v>Y</v>
      </c>
      <c r="AI12" s="16">
        <v>3.97</v>
      </c>
      <c r="AM12" s="13" t="str">
        <f t="shared" si="11"/>
        <v>Y</v>
      </c>
      <c r="AN12" s="13" t="str">
        <f t="shared" si="12"/>
        <v>Y</v>
      </c>
      <c r="AO12" s="16">
        <f t="shared" si="13"/>
        <v>3.97</v>
      </c>
      <c r="AP12" s="18">
        <f t="shared" si="14"/>
        <v>3.97</v>
      </c>
      <c r="AQ12" s="13" t="str">
        <f>IF(AND(AN12="Y",COUNTIFS($BX$5:$BX12,$BX12,$AN$5:$AN12,"Y")=1),"Y","N")</f>
        <v>Y</v>
      </c>
      <c r="AR12" s="16">
        <v>0.83</v>
      </c>
      <c r="AV12" s="13" t="str">
        <f t="shared" si="15"/>
        <v>Y</v>
      </c>
      <c r="AW12" s="13" t="str">
        <f t="shared" si="16"/>
        <v>Y</v>
      </c>
      <c r="AX12" s="16">
        <f t="shared" si="17"/>
        <v>0.83</v>
      </c>
      <c r="AY12" s="18">
        <f t="shared" si="18"/>
        <v>0.83</v>
      </c>
      <c r="AZ12" s="13" t="str">
        <f>IF(AND(AW12="Y",COUNTIFS($BX$5:$BX12,$BX12,$AW$5:$AW12,"Y")=1),"Y","N")</f>
        <v>Y</v>
      </c>
      <c r="BA12" s="16">
        <v>3.22</v>
      </c>
      <c r="BE12" s="13" t="str">
        <f t="shared" si="19"/>
        <v>Y</v>
      </c>
      <c r="BF12" s="13" t="str">
        <f t="shared" si="20"/>
        <v>Y</v>
      </c>
      <c r="BG12" s="16">
        <f t="shared" si="21"/>
        <v>3.22</v>
      </c>
      <c r="BH12" s="18">
        <f t="shared" si="22"/>
        <v>3.22</v>
      </c>
      <c r="BI12" s="13" t="str">
        <f>IF(AND(BF12="Y",COUNTIFS($BX$5:$BX12,$BX12,$BF$5:$BF12,"Y")=1),"Y","N")</f>
        <v>Y</v>
      </c>
      <c r="BJ12" s="18">
        <v>0.44</v>
      </c>
      <c r="BN12" s="13" t="str">
        <f t="shared" si="23"/>
        <v>Y</v>
      </c>
      <c r="BO12" s="13" t="str">
        <f t="shared" si="24"/>
        <v>Y</v>
      </c>
      <c r="BP12" s="18">
        <f t="shared" si="25"/>
        <v>0.44</v>
      </c>
      <c r="BQ12" s="18">
        <f t="shared" si="26"/>
        <v>0.44</v>
      </c>
      <c r="BR12" s="13" t="str">
        <f>IF(AND(BO12="Y",COUNTIFS($BX$5:$BX12,$BX12,$BO$5:$BO12,"Y")=1),"Y","N")</f>
        <v>Y</v>
      </c>
      <c r="BS12" s="19">
        <v>7.8</v>
      </c>
      <c r="BT12" s="13" t="s">
        <v>363</v>
      </c>
      <c r="BU12" s="13" t="s">
        <v>364</v>
      </c>
      <c r="BV12" s="13" t="s">
        <v>360</v>
      </c>
      <c r="BX12" s="17">
        <f t="shared" si="27"/>
        <v>46189</v>
      </c>
      <c r="BY12" s="17">
        <f>DATE(VALUE(RIGHT(K12,4)),VALUE(LEFT(K12,2)),VALUE(MID(K12,4,2)))</f>
        <v>46193</v>
      </c>
      <c r="BZ12" s="17">
        <f>DATE(VALUE(RIGHT(L12,4)),VALUE(LEFT(L12,2)),VALUE(MID(L12,4,2)))</f>
        <v>46191</v>
      </c>
      <c r="CA12" s="17" t="s">
        <v>365</v>
      </c>
      <c r="CB12" s="17" t="s">
        <v>366</v>
      </c>
      <c r="CC12" s="17" t="s">
        <v>367</v>
      </c>
      <c r="CD12" s="19">
        <f>IF(OR(L12="",L12="not collected",CC12=""),"",ROUND((BZ12+TIMEVALUE(CC12)-BX12-TIMEVALUE(CA12))*24,1))</f>
        <v>55.7</v>
      </c>
    </row>
    <row r="13" spans="1:82" x14ac:dyDescent="0.2">
      <c r="A13" s="13" t="s">
        <v>368</v>
      </c>
      <c r="B13" s="13" t="s">
        <v>369</v>
      </c>
      <c r="C13" s="13" t="s">
        <v>352</v>
      </c>
      <c r="D13" s="13" t="s">
        <v>370</v>
      </c>
      <c r="E13" s="13" t="s">
        <v>345</v>
      </c>
      <c r="F13" s="13" t="s">
        <v>346</v>
      </c>
      <c r="G13" s="13" t="str">
        <f t="shared" si="0"/>
        <v>Y</v>
      </c>
      <c r="H13">
        <v>1</v>
      </c>
      <c r="I13" s="13" t="str">
        <f>IF(H13="","Y",IF(H13&gt;=Parameters!$B$25,"Y","N"))</f>
        <v>N</v>
      </c>
      <c r="J13" s="13" t="str">
        <f>IF(AND(BX13&gt;=Parameters!$B$28,BX13&lt;=Parameters!$B$29),"Y","N")</f>
        <v>Y</v>
      </c>
      <c r="M13" s="17" t="str">
        <f t="shared" si="1"/>
        <v/>
      </c>
      <c r="N13" s="17" t="str">
        <f t="shared" si="2"/>
        <v/>
      </c>
      <c r="O13" s="13" t="str">
        <f>IF(K13="","Y",IF(BY13&lt;=EDATE(BX13,Parameters!$B$23),"Y","N"))</f>
        <v>Y</v>
      </c>
      <c r="P13" s="13" t="str">
        <f>IF(N13="","Y",IF(N13&lt;=Parameters!$B$24,"Y","N"))</f>
        <v>Y</v>
      </c>
      <c r="Q13" s="13" t="s">
        <v>347</v>
      </c>
      <c r="U13" s="13" t="str">
        <f t="shared" si="3"/>
        <v>N</v>
      </c>
      <c r="V13" s="13" t="str">
        <f t="shared" si="4"/>
        <v>N</v>
      </c>
      <c r="W13" s="18" t="str">
        <f t="shared" si="5"/>
        <v>under limit</v>
      </c>
      <c r="X13" s="18" t="str">
        <f t="shared" si="6"/>
        <v/>
      </c>
      <c r="Y13" s="13" t="str">
        <f>IF(AND(V13="Y",COUNTIFS($BX$5:$BX13,$BX13,$V$5:$V13,"Y")=1),"Y","N")</f>
        <v>N</v>
      </c>
      <c r="Z13" s="13" t="s">
        <v>347</v>
      </c>
      <c r="AD13" s="13" t="str">
        <f t="shared" si="7"/>
        <v>N</v>
      </c>
      <c r="AE13" s="13" t="str">
        <f t="shared" si="8"/>
        <v>N</v>
      </c>
      <c r="AF13" s="16" t="str">
        <f t="shared" si="9"/>
        <v>under limit</v>
      </c>
      <c r="AG13" s="18" t="str">
        <f t="shared" si="10"/>
        <v/>
      </c>
      <c r="AH13" s="13" t="str">
        <f>IF(AND(AE13="Y",COUNTIFS($BX$5:$BX13,$BX13,$AE$5:$AE13,"Y")=1),"Y","N")</f>
        <v>N</v>
      </c>
      <c r="AI13" s="16">
        <v>4.71</v>
      </c>
      <c r="AM13" s="13" t="str">
        <f t="shared" si="11"/>
        <v>N</v>
      </c>
      <c r="AN13" s="13" t="str">
        <f t="shared" si="12"/>
        <v>N</v>
      </c>
      <c r="AO13" s="16">
        <f t="shared" si="13"/>
        <v>4.71</v>
      </c>
      <c r="AP13" s="18" t="str">
        <f t="shared" si="14"/>
        <v/>
      </c>
      <c r="AQ13" s="13" t="str">
        <f>IF(AND(AN13="Y",COUNTIFS($BX$5:$BX13,$BX13,$AN$5:$AN13,"Y")=1),"Y","N")</f>
        <v>N</v>
      </c>
      <c r="AR13" s="13" t="s">
        <v>347</v>
      </c>
      <c r="AV13" s="13" t="str">
        <f t="shared" si="15"/>
        <v>N</v>
      </c>
      <c r="AW13" s="13" t="str">
        <f t="shared" si="16"/>
        <v>N</v>
      </c>
      <c r="AX13" s="16" t="str">
        <f t="shared" si="17"/>
        <v>under limit</v>
      </c>
      <c r="AY13" s="18" t="str">
        <f t="shared" si="18"/>
        <v/>
      </c>
      <c r="AZ13" s="13" t="str">
        <f>IF(AND(AW13="Y",COUNTIFS($BX$5:$BX13,$BX13,$AW$5:$AW13,"Y")=1),"Y","N")</f>
        <v>N</v>
      </c>
      <c r="BA13" s="16">
        <v>1.36</v>
      </c>
      <c r="BE13" s="13" t="str">
        <f t="shared" si="19"/>
        <v>N</v>
      </c>
      <c r="BF13" s="13" t="str">
        <f t="shared" si="20"/>
        <v>N</v>
      </c>
      <c r="BG13" s="16">
        <f t="shared" si="21"/>
        <v>1.36</v>
      </c>
      <c r="BH13" s="18" t="str">
        <f t="shared" si="22"/>
        <v/>
      </c>
      <c r="BI13" s="13" t="str">
        <f>IF(AND(BF13="Y",COUNTIFS($BX$5:$BX13,$BX13,$BF$5:$BF13,"Y")=1),"Y","N")</f>
        <v>N</v>
      </c>
      <c r="BK13" s="13" t="s">
        <v>348</v>
      </c>
      <c r="BN13" s="13" t="str">
        <f t="shared" si="23"/>
        <v>N</v>
      </c>
      <c r="BO13" s="13" t="str">
        <f t="shared" si="24"/>
        <v>N</v>
      </c>
      <c r="BP13" s="18" t="str">
        <f t="shared" si="25"/>
        <v/>
      </c>
      <c r="BQ13" s="18" t="str">
        <f t="shared" si="26"/>
        <v/>
      </c>
      <c r="BR13" s="13" t="str">
        <f>IF(AND(BO13="Y",COUNTIFS($BX$5:$BX13,$BX13,$BO$5:$BO13,"Y")=1),"Y","N")</f>
        <v>N</v>
      </c>
      <c r="BV13" t="s">
        <v>369</v>
      </c>
      <c r="BW13" s="13" t="s">
        <v>371</v>
      </c>
      <c r="BX13" s="17">
        <f t="shared" si="27"/>
        <v>46196</v>
      </c>
      <c r="CA13" s="17"/>
      <c r="CB13" s="17"/>
      <c r="CC13" s="17"/>
      <c r="CD13" s="17"/>
    </row>
    <row r="14" spans="1:82" x14ac:dyDescent="0.2">
      <c r="A14" s="13" t="s">
        <v>372</v>
      </c>
      <c r="B14" s="13" t="s">
        <v>373</v>
      </c>
      <c r="C14" s="13" t="s">
        <v>374</v>
      </c>
      <c r="D14" s="13" t="s">
        <v>289</v>
      </c>
      <c r="E14" s="13" t="s">
        <v>290</v>
      </c>
      <c r="F14" s="13" t="s">
        <v>291</v>
      </c>
      <c r="G14" s="13" t="str">
        <f t="shared" si="0"/>
        <v>Y</v>
      </c>
      <c r="H14" s="17">
        <v>9</v>
      </c>
      <c r="I14" s="13" t="str">
        <f>IF(H14="","Y",IF(H14&gt;=Parameters!$B$25,"Y","N"))</f>
        <v>N</v>
      </c>
      <c r="J14" s="13" t="str">
        <f>IF(AND(BX14&gt;=Parameters!$B$28,BX14&lt;=Parameters!$B$29),"Y","N")</f>
        <v>Y</v>
      </c>
      <c r="K14" s="13" t="s">
        <v>375</v>
      </c>
      <c r="L14" s="13" t="s">
        <v>376</v>
      </c>
      <c r="M14" s="17">
        <f t="shared" si="1"/>
        <v>4</v>
      </c>
      <c r="N14" s="17">
        <f t="shared" si="2"/>
        <v>6</v>
      </c>
      <c r="O14" s="13" t="str">
        <f>IF(K14="","Y",IF(BY14&lt;=EDATE(BX14,Parameters!$B$23),"Y","N"))</f>
        <v>Y</v>
      </c>
      <c r="P14" s="13" t="str">
        <f>IF(CD14="","Y",IF(CD14&lt;=Parameters!$B$31,"Y","N"))</f>
        <v>Y</v>
      </c>
      <c r="Q14" s="18">
        <v>0.005</v>
      </c>
      <c r="R14" s="13" t="s">
        <v>305</v>
      </c>
      <c r="U14" s="13" t="str">
        <f t="shared" si="3"/>
        <v>N</v>
      </c>
      <c r="V14" s="13" t="str">
        <f t="shared" si="4"/>
        <v>N</v>
      </c>
      <c r="W14" s="18">
        <f t="shared" si="5"/>
        <v>0</v>
      </c>
      <c r="X14" s="18" t="str">
        <f t="shared" si="6"/>
        <v/>
      </c>
      <c r="Y14" s="13" t="str">
        <f>IF(AND(V14="Y",COUNTIFS($BX$5:$BX14,$BX14,$V$5:$V14,"Y")=1),"Y","N")</f>
        <v>N</v>
      </c>
      <c r="Z14" s="16">
        <v>0.87</v>
      </c>
      <c r="AD14" s="13" t="str">
        <f t="shared" si="7"/>
        <v>N</v>
      </c>
      <c r="AE14" s="13" t="str">
        <f t="shared" si="8"/>
        <v>N</v>
      </c>
      <c r="AF14" s="16">
        <f t="shared" si="9"/>
        <v>0.87</v>
      </c>
      <c r="AG14" s="18" t="str">
        <f t="shared" si="10"/>
        <v/>
      </c>
      <c r="AH14" s="13" t="str">
        <f>IF(AND(AE14="Y",COUNTIFS($BX$5:$BX14,$BX14,$AE$5:$AE14,"Y")=1),"Y","N")</f>
        <v>N</v>
      </c>
      <c r="AI14" s="16">
        <v>1.77</v>
      </c>
      <c r="AM14" s="13" t="str">
        <f t="shared" si="11"/>
        <v>N</v>
      </c>
      <c r="AN14" s="13" t="str">
        <f t="shared" si="12"/>
        <v>N</v>
      </c>
      <c r="AO14" s="16">
        <f t="shared" si="13"/>
        <v>1.77</v>
      </c>
      <c r="AP14" s="18" t="str">
        <f t="shared" si="14"/>
        <v/>
      </c>
      <c r="AQ14" s="13" t="str">
        <f>IF(AND(AN14="Y",COUNTIFS($BX$5:$BX14,$BX14,$AN$5:$AN14,"Y")=1),"Y","N")</f>
        <v>N</v>
      </c>
      <c r="AR14" s="16">
        <v>1.22</v>
      </c>
      <c r="AV14" s="13" t="str">
        <f t="shared" si="15"/>
        <v>N</v>
      </c>
      <c r="AW14" s="13" t="str">
        <f t="shared" si="16"/>
        <v>N</v>
      </c>
      <c r="AX14" s="16">
        <f t="shared" si="17"/>
        <v>1.22</v>
      </c>
      <c r="AY14" s="18" t="str">
        <f t="shared" si="18"/>
        <v/>
      </c>
      <c r="AZ14" s="13" t="str">
        <f>IF(AND(AW14="Y",COUNTIFS($BX$5:$BX14,$BX14,$AW$5:$AW14,"Y")=1),"Y","N")</f>
        <v>N</v>
      </c>
      <c r="BA14" s="16">
        <v>1.06</v>
      </c>
      <c r="BE14" s="13" t="str">
        <f t="shared" si="19"/>
        <v>N</v>
      </c>
      <c r="BF14" s="13" t="str">
        <f t="shared" si="20"/>
        <v>N</v>
      </c>
      <c r="BG14" s="16">
        <f t="shared" si="21"/>
        <v>1.06</v>
      </c>
      <c r="BH14" s="18" t="str">
        <f t="shared" si="22"/>
        <v/>
      </c>
      <c r="BI14" s="13" t="str">
        <f>IF(AND(BF14="Y",COUNTIFS($BX$5:$BX14,$BX14,$BF$5:$BF14,"Y")=1),"Y","N")</f>
        <v>N</v>
      </c>
      <c r="BJ14" s="18">
        <v>0.27</v>
      </c>
      <c r="BN14" s="13" t="str">
        <f t="shared" si="23"/>
        <v>Y</v>
      </c>
      <c r="BO14" s="13" t="str">
        <f t="shared" si="24"/>
        <v>Y</v>
      </c>
      <c r="BP14" s="18">
        <f t="shared" si="25"/>
        <v>0.27</v>
      </c>
      <c r="BQ14" s="18">
        <f t="shared" si="26"/>
        <v>0.27</v>
      </c>
      <c r="BR14" s="13" t="str">
        <f>IF(AND(BO14="Y",COUNTIFS($BX$5:$BX14,$BX14,$BO$5:$BO14,"Y")=1),"Y","N")</f>
        <v>Y</v>
      </c>
      <c r="BS14" s="19">
        <v>7.2</v>
      </c>
      <c r="BT14" s="13" t="s">
        <v>377</v>
      </c>
      <c r="BU14" s="13" t="s">
        <v>378</v>
      </c>
      <c r="BV14" s="13" t="s">
        <v>373</v>
      </c>
      <c r="BW14" s="13" t="s">
        <v>379</v>
      </c>
      <c r="BX14" s="17">
        <f t="shared" si="27"/>
        <v>46210</v>
      </c>
      <c r="BY14" s="17">
        <f t="shared" ref="BY14:BZ17" si="29">DATE(VALUE(RIGHT(K14,4)),VALUE(LEFT(K14,2)),VALUE(MID(K14,4,2)))</f>
        <v>46214</v>
      </c>
      <c r="BZ14" s="17">
        <f t="shared" si="29"/>
        <v>46216</v>
      </c>
      <c r="CA14" s="17" t="s">
        <v>309</v>
      </c>
      <c r="CB14" s="17" t="s">
        <v>380</v>
      </c>
      <c r="CC14" s="17" t="s">
        <v>381</v>
      </c>
      <c r="CD14" s="19">
        <f>IF(OR(L14="",L14="not collected",CC14=""),"",ROUND((BZ14+TIMEVALUE(CC14)-BX14-TIMEVALUE(CA14))*24,1))</f>
        <v>147.8</v>
      </c>
    </row>
    <row r="15" spans="1:82" x14ac:dyDescent="0.2">
      <c r="A15" s="13" t="s">
        <v>382</v>
      </c>
      <c r="B15" s="13" t="s">
        <v>40</v>
      </c>
      <c r="C15" s="13" t="s">
        <v>374</v>
      </c>
      <c r="D15" s="13" t="s">
        <v>289</v>
      </c>
      <c r="E15" s="13" t="s">
        <v>290</v>
      </c>
      <c r="F15" s="13" t="s">
        <v>291</v>
      </c>
      <c r="G15" s="13" t="str">
        <f t="shared" si="0"/>
        <v>Y</v>
      </c>
      <c r="H15" s="17">
        <v>26</v>
      </c>
      <c r="I15" s="13" t="str">
        <f>IF(H15="","Y",IF(H15&gt;=Parameters!$B$25,"Y","N"))</f>
        <v>Y</v>
      </c>
      <c r="J15" s="13" t="str">
        <f>IF(AND(BX15&gt;=Parameters!$B$28,BX15&lt;=Parameters!$B$29),"Y","N")</f>
        <v>Y</v>
      </c>
      <c r="K15" s="13" t="s">
        <v>63</v>
      </c>
      <c r="L15" s="13" t="s">
        <v>383</v>
      </c>
      <c r="M15" s="17">
        <f t="shared" si="1"/>
        <v>5</v>
      </c>
      <c r="N15" s="17">
        <f t="shared" si="2"/>
        <v>14</v>
      </c>
      <c r="O15" s="13" t="str">
        <f>IF(K15="","Y",IF(BY15&lt;=EDATE(BX15,Parameters!$B$23),"Y","N"))</f>
        <v>Y</v>
      </c>
      <c r="P15" s="13" t="str">
        <f>IF(CD15="","Y",IF(CD15&lt;=Parameters!$B$31,"Y","N"))</f>
        <v>N</v>
      </c>
      <c r="Q15" s="18">
        <v>0.005</v>
      </c>
      <c r="R15" s="13" t="s">
        <v>305</v>
      </c>
      <c r="U15" s="13" t="str">
        <f t="shared" si="3"/>
        <v>Y</v>
      </c>
      <c r="V15" s="13" t="str">
        <f t="shared" si="4"/>
        <v>Y</v>
      </c>
      <c r="W15" s="18">
        <f t="shared" si="5"/>
        <v>0</v>
      </c>
      <c r="X15" s="18">
        <f t="shared" si="6"/>
        <v>0</v>
      </c>
      <c r="Y15" s="13" t="str">
        <f>IF(AND(V15="Y",COUNTIFS($BX$5:$BX15,$BX15,$V$5:$V15,"Y")=1),"Y","N")</f>
        <v>Y</v>
      </c>
      <c r="Z15" s="16">
        <v>1.21</v>
      </c>
      <c r="AD15" s="13" t="str">
        <f t="shared" si="7"/>
        <v>Y</v>
      </c>
      <c r="AE15" s="13" t="str">
        <f t="shared" si="8"/>
        <v>Y</v>
      </c>
      <c r="AF15" s="16">
        <f t="shared" si="9"/>
        <v>1.21</v>
      </c>
      <c r="AG15" s="18">
        <f t="shared" si="10"/>
        <v>1.21</v>
      </c>
      <c r="AH15" s="13" t="str">
        <f>IF(AND(AE15="Y",COUNTIFS($BX$5:$BX15,$BX15,$AE$5:$AE15,"Y")=1),"Y","N")</f>
        <v>Y</v>
      </c>
      <c r="AI15" s="16">
        <v>4.09</v>
      </c>
      <c r="AM15" s="13" t="str">
        <f t="shared" si="11"/>
        <v>Y</v>
      </c>
      <c r="AN15" s="13" t="str">
        <f t="shared" si="12"/>
        <v>Y</v>
      </c>
      <c r="AO15" s="16">
        <f t="shared" si="13"/>
        <v>4.09</v>
      </c>
      <c r="AP15" s="18">
        <f t="shared" si="14"/>
        <v>4.09</v>
      </c>
      <c r="AQ15" s="13" t="str">
        <f>IF(AND(AN15="Y",COUNTIFS($BX$5:$BX15,$BX15,$AN$5:$AN15,"Y")=1),"Y","N")</f>
        <v>Y</v>
      </c>
      <c r="AR15" s="16">
        <v>1.57</v>
      </c>
      <c r="AV15" s="13" t="str">
        <f t="shared" si="15"/>
        <v>Y</v>
      </c>
      <c r="AW15" s="13" t="str">
        <f t="shared" si="16"/>
        <v>Y</v>
      </c>
      <c r="AX15" s="16">
        <f t="shared" si="17"/>
        <v>1.57</v>
      </c>
      <c r="AY15" s="18">
        <f t="shared" si="18"/>
        <v>1.57</v>
      </c>
      <c r="AZ15" s="13" t="str">
        <f>IF(AND(AW15="Y",COUNTIFS($BX$5:$BX15,$BX15,$AW$5:$AW15,"Y")=1),"Y","N")</f>
        <v>Y</v>
      </c>
      <c r="BA15" s="16">
        <v>3.48</v>
      </c>
      <c r="BB15" s="13" t="s">
        <v>326</v>
      </c>
      <c r="BD15" s="13" t="s">
        <v>384</v>
      </c>
      <c r="BE15" s="13" t="str">
        <f t="shared" si="19"/>
        <v>N</v>
      </c>
      <c r="BF15" s="13" t="str">
        <f t="shared" si="20"/>
        <v>N</v>
      </c>
      <c r="BG15" s="16">
        <f t="shared" si="21"/>
        <v>3.48</v>
      </c>
      <c r="BH15" s="18" t="str">
        <f t="shared" si="22"/>
        <v/>
      </c>
      <c r="BI15" s="13" t="str">
        <f>IF(AND(BF15="Y",COUNTIFS($BX$5:$BX15,$BX15,$BF$5:$BF15,"Y")=1),"Y","N")</f>
        <v>N</v>
      </c>
      <c r="BJ15" s="18">
        <v>0.35</v>
      </c>
      <c r="BN15" s="13" t="str">
        <f t="shared" si="23"/>
        <v>N</v>
      </c>
      <c r="BO15" s="13" t="str">
        <f t="shared" si="24"/>
        <v>N</v>
      </c>
      <c r="BP15" s="18">
        <f t="shared" si="25"/>
        <v>0.35</v>
      </c>
      <c r="BQ15" s="18" t="str">
        <f t="shared" si="26"/>
        <v/>
      </c>
      <c r="BR15" s="13" t="str">
        <f>IF(AND(BO15="Y",COUNTIFS($BX$5:$BX15,$BX15,$BO$5:$BO15,"Y")=1),"Y","N")</f>
        <v>N</v>
      </c>
      <c r="BS15" s="19">
        <v>8.4</v>
      </c>
      <c r="BT15" s="13" t="s">
        <v>385</v>
      </c>
      <c r="BU15" s="13" t="s">
        <v>386</v>
      </c>
      <c r="BV15" s="13" t="s">
        <v>40</v>
      </c>
      <c r="BW15" s="13" t="s">
        <v>387</v>
      </c>
      <c r="BX15" s="17">
        <f t="shared" si="27"/>
        <v>46224</v>
      </c>
      <c r="BY15" s="17">
        <f t="shared" si="29"/>
        <v>46229</v>
      </c>
      <c r="BZ15" s="17">
        <f t="shared" si="29"/>
        <v>46238</v>
      </c>
      <c r="CA15" s="17" t="s">
        <v>332</v>
      </c>
      <c r="CB15" s="17" t="s">
        <v>388</v>
      </c>
      <c r="CC15" s="17" t="s">
        <v>389</v>
      </c>
      <c r="CD15" s="19">
        <f>IF(OR(L15="",L15="not collected",CC15=""),"",ROUND((BZ15+TIMEVALUE(CC15)-BX15-TIMEVALUE(CA15))*24,1))</f>
        <v>339.8</v>
      </c>
    </row>
    <row r="16" spans="1:82" x14ac:dyDescent="0.2">
      <c r="A16" s="13" t="s">
        <v>390</v>
      </c>
      <c r="B16" s="13" t="s">
        <v>72</v>
      </c>
      <c r="C16" s="13" t="s">
        <v>391</v>
      </c>
      <c r="D16" s="13" t="s">
        <v>289</v>
      </c>
      <c r="E16" s="13" t="s">
        <v>290</v>
      </c>
      <c r="F16" s="13" t="s">
        <v>291</v>
      </c>
      <c r="G16" s="13" t="str">
        <f t="shared" si="0"/>
        <v>Y</v>
      </c>
      <c r="H16" s="17">
        <v>24</v>
      </c>
      <c r="I16" s="13" t="str">
        <f>IF(H16="","Y",IF(H16&gt;=Parameters!$B$25,"Y","N"))</f>
        <v>Y</v>
      </c>
      <c r="J16" s="13" t="str">
        <f>IF(AND(BX16&gt;=Parameters!$B$28,BX16&lt;=Parameters!$B$29),"Y","N")</f>
        <v>Y</v>
      </c>
      <c r="K16" s="13" t="s">
        <v>392</v>
      </c>
      <c r="L16" s="13" t="s">
        <v>393</v>
      </c>
      <c r="M16" s="17">
        <f t="shared" si="1"/>
        <v>4</v>
      </c>
      <c r="N16" s="17">
        <f t="shared" si="2"/>
        <v>15</v>
      </c>
      <c r="O16" s="13" t="str">
        <f>IF(K16="","Y",IF(BY16&lt;=EDATE(BX16,Parameters!$B$23),"Y","N"))</f>
        <v>Y</v>
      </c>
      <c r="P16" s="13" t="str">
        <f>IF(CD16="","Y",IF(CD16&lt;=Parameters!$B$31,"Y","N"))</f>
        <v>N</v>
      </c>
      <c r="Q16" s="18">
        <v>0.014</v>
      </c>
      <c r="U16" s="13" t="str">
        <f t="shared" si="3"/>
        <v>Y</v>
      </c>
      <c r="V16" s="13" t="str">
        <f t="shared" si="4"/>
        <v>Y</v>
      </c>
      <c r="W16" s="18">
        <f t="shared" si="5"/>
        <v>0.014</v>
      </c>
      <c r="X16" s="18">
        <f t="shared" si="6"/>
        <v>0.014</v>
      </c>
      <c r="Y16" s="13" t="str">
        <f>IF(AND(V16="Y",COUNTIFS($BX$5:$BX16,$BX16,$V$5:$V16,"Y")=1),"Y","N")</f>
        <v>Y</v>
      </c>
      <c r="Z16" s="16">
        <v>0.66</v>
      </c>
      <c r="AD16" s="13" t="str">
        <f t="shared" si="7"/>
        <v>Y</v>
      </c>
      <c r="AE16" s="13" t="str">
        <f t="shared" si="8"/>
        <v>Y</v>
      </c>
      <c r="AF16" s="16">
        <f t="shared" si="9"/>
        <v>0.66</v>
      </c>
      <c r="AG16" s="18">
        <f t="shared" si="10"/>
        <v>0.66</v>
      </c>
      <c r="AH16" s="13" t="str">
        <f>IF(AND(AE16="Y",COUNTIFS($BX$5:$BX16,$BX16,$AE$5:$AE16,"Y")=1),"Y","N")</f>
        <v>Y</v>
      </c>
      <c r="AI16" s="16">
        <v>4.33</v>
      </c>
      <c r="AJ16" s="13" t="s">
        <v>326</v>
      </c>
      <c r="AM16" s="13" t="str">
        <f t="shared" si="11"/>
        <v>Y</v>
      </c>
      <c r="AN16" s="13" t="str">
        <f t="shared" si="12"/>
        <v>Y</v>
      </c>
      <c r="AO16" s="16">
        <f t="shared" si="13"/>
        <v>4.33</v>
      </c>
      <c r="AP16" s="18">
        <f t="shared" si="14"/>
        <v>4.33</v>
      </c>
      <c r="AQ16" s="13" t="str">
        <f>IF(AND(AN16="Y",COUNTIFS($BX$5:$BX16,$BX16,$AN$5:$AN16,"Y")=1),"Y","N")</f>
        <v>Y</v>
      </c>
      <c r="AR16" s="16">
        <v>2.61</v>
      </c>
      <c r="AV16" s="13" t="str">
        <f t="shared" si="15"/>
        <v>Y</v>
      </c>
      <c r="AW16" s="13" t="str">
        <f t="shared" si="16"/>
        <v>Y</v>
      </c>
      <c r="AX16" s="16">
        <f t="shared" si="17"/>
        <v>2.61</v>
      </c>
      <c r="AY16" s="18">
        <f t="shared" si="18"/>
        <v>2.61</v>
      </c>
      <c r="AZ16" s="13" t="str">
        <f>IF(AND(AW16="Y",COUNTIFS($BX$5:$BX16,$BX16,$AW$5:$AW16,"Y")=1),"Y","N")</f>
        <v>Y</v>
      </c>
      <c r="BA16" s="16">
        <v>0.89</v>
      </c>
      <c r="BE16" s="13" t="str">
        <f t="shared" si="19"/>
        <v>Y</v>
      </c>
      <c r="BF16" s="13" t="str">
        <f t="shared" si="20"/>
        <v>Y</v>
      </c>
      <c r="BG16" s="16">
        <f t="shared" si="21"/>
        <v>0.89</v>
      </c>
      <c r="BH16" s="18">
        <f t="shared" si="22"/>
        <v>0.89</v>
      </c>
      <c r="BI16" s="13" t="str">
        <f>IF(AND(BF16="Y",COUNTIFS($BX$5:$BX16,$BX16,$BF$5:$BF16,"Y")=1),"Y","N")</f>
        <v>Y</v>
      </c>
      <c r="BJ16" s="18">
        <v>0.19</v>
      </c>
      <c r="BN16" s="13" t="str">
        <f t="shared" si="23"/>
        <v>N</v>
      </c>
      <c r="BO16" s="13" t="str">
        <f t="shared" si="24"/>
        <v>N</v>
      </c>
      <c r="BP16" s="18">
        <f t="shared" si="25"/>
        <v>0.19</v>
      </c>
      <c r="BQ16" s="18" t="str">
        <f t="shared" si="26"/>
        <v/>
      </c>
      <c r="BR16" s="13" t="str">
        <f>IF(AND(BO16="Y",COUNTIFS($BX$5:$BX16,$BX16,$BO$5:$BO16,"Y")=1),"Y","N")</f>
        <v>N</v>
      </c>
      <c r="BS16" s="19">
        <v>6.8</v>
      </c>
      <c r="BT16" s="13" t="s">
        <v>394</v>
      </c>
      <c r="BU16" s="13" t="s">
        <v>395</v>
      </c>
      <c r="BV16" s="13" t="s">
        <v>72</v>
      </c>
      <c r="BW16" s="13" t="s">
        <v>396</v>
      </c>
      <c r="BX16" s="17">
        <f t="shared" si="27"/>
        <v>46245</v>
      </c>
      <c r="BY16" s="17">
        <f t="shared" si="29"/>
        <v>46249</v>
      </c>
      <c r="BZ16" s="17">
        <f t="shared" si="29"/>
        <v>46260</v>
      </c>
      <c r="CA16" s="17" t="s">
        <v>297</v>
      </c>
      <c r="CB16" s="17" t="s">
        <v>397</v>
      </c>
      <c r="CC16" s="17" t="s">
        <v>398</v>
      </c>
      <c r="CD16" s="19">
        <f>IF(OR(L16="",L16="not collected",CC16=""),"",ROUND((BZ16+TIMEVALUE(CC16)-BX16-TIMEVALUE(CA16))*24,1))</f>
        <v>367.1</v>
      </c>
    </row>
    <row r="17" spans="1:82" x14ac:dyDescent="0.2">
      <c r="A17" s="13" t="s">
        <v>399</v>
      </c>
      <c r="B17" s="13" t="s">
        <v>84</v>
      </c>
      <c r="C17" s="13" t="s">
        <v>391</v>
      </c>
      <c r="D17" s="13" t="s">
        <v>400</v>
      </c>
      <c r="E17" s="13" t="s">
        <v>290</v>
      </c>
      <c r="F17" s="13" t="s">
        <v>291</v>
      </c>
      <c r="G17" s="13" t="str">
        <f t="shared" si="0"/>
        <v>Y</v>
      </c>
      <c r="H17" s="17">
        <v>25</v>
      </c>
      <c r="I17" s="13" t="str">
        <f>IF(H17="","Y",IF(H17&gt;=Parameters!$B$25,"Y","N"))</f>
        <v>Y</v>
      </c>
      <c r="J17" s="13" t="str">
        <f>IF(AND(BX17&gt;=Parameters!$B$28,BX17&lt;=Parameters!$B$29),"Y","N")</f>
        <v>Y</v>
      </c>
      <c r="K17" s="13" t="s">
        <v>401</v>
      </c>
      <c r="L17" s="13" t="s">
        <v>402</v>
      </c>
      <c r="M17" s="17">
        <f t="shared" si="1"/>
        <v>4</v>
      </c>
      <c r="N17" s="17">
        <f t="shared" si="2"/>
        <v>5</v>
      </c>
      <c r="O17" s="13" t="str">
        <f>IF(K17="","Y",IF(BY17&lt;=EDATE(BX17,Parameters!$B$23),"Y","N"))</f>
        <v>Y</v>
      </c>
      <c r="P17" s="13" t="str">
        <f>IF(CD17="","Y",IF(CD17&lt;=Parameters!$B$31,"Y","N"))</f>
        <v>Y</v>
      </c>
      <c r="Q17" s="18">
        <v>0.005</v>
      </c>
      <c r="R17" s="13" t="s">
        <v>305</v>
      </c>
      <c r="U17" s="13" t="str">
        <f t="shared" si="3"/>
        <v>Y</v>
      </c>
      <c r="V17" s="13" t="str">
        <f t="shared" si="4"/>
        <v>Y</v>
      </c>
      <c r="W17" s="18">
        <f t="shared" si="5"/>
        <v>0</v>
      </c>
      <c r="X17" s="18">
        <f t="shared" si="6"/>
        <v>0</v>
      </c>
      <c r="Y17" s="13" t="str">
        <f>IF(AND(V17="Y",COUNTIFS($BX$5:$BX17,$BX17,$V$5:$V17,"Y")=1),"Y","N")</f>
        <v>Y</v>
      </c>
      <c r="Z17" s="16">
        <v>0.69</v>
      </c>
      <c r="AD17" s="13" t="str">
        <f t="shared" si="7"/>
        <v>Y</v>
      </c>
      <c r="AE17" s="13" t="str">
        <f t="shared" si="8"/>
        <v>Y</v>
      </c>
      <c r="AF17" s="16">
        <f t="shared" si="9"/>
        <v>0.69</v>
      </c>
      <c r="AG17" s="18">
        <f t="shared" si="10"/>
        <v>0.69</v>
      </c>
      <c r="AH17" s="13" t="str">
        <f>IF(AND(AE17="Y",COUNTIFS($BX$5:$BX17,$BX17,$AE$5:$AE17,"Y")=1),"Y","N")</f>
        <v>Y</v>
      </c>
      <c r="AI17" s="16">
        <v>3.45</v>
      </c>
      <c r="AM17" s="13" t="str">
        <f t="shared" si="11"/>
        <v>Y</v>
      </c>
      <c r="AN17" s="13" t="str">
        <f t="shared" si="12"/>
        <v>Y</v>
      </c>
      <c r="AO17" s="16">
        <f t="shared" si="13"/>
        <v>3.45</v>
      </c>
      <c r="AP17" s="18">
        <f t="shared" si="14"/>
        <v>3.86</v>
      </c>
      <c r="AQ17" s="13" t="str">
        <f>IF(AND(AN17="Y",COUNTIFS($BX$5:$BX17,$BX17,$AN$5:$AN17,"Y")=1),"Y","N")</f>
        <v>Y</v>
      </c>
      <c r="AR17" s="16">
        <v>1.74</v>
      </c>
      <c r="AV17" s="13" t="str">
        <f t="shared" si="15"/>
        <v>Y</v>
      </c>
      <c r="AW17" s="13" t="str">
        <f t="shared" si="16"/>
        <v>Y</v>
      </c>
      <c r="AX17" s="16">
        <f t="shared" si="17"/>
        <v>1.74</v>
      </c>
      <c r="AY17" s="18">
        <f t="shared" si="18"/>
        <v>1.74</v>
      </c>
      <c r="AZ17" s="13" t="str">
        <f>IF(AND(AW17="Y",COUNTIFS($BX$5:$BX17,$BX17,$AW$5:$AW17,"Y")=1),"Y","N")</f>
        <v>Y</v>
      </c>
      <c r="BA17" s="16">
        <v>1.21</v>
      </c>
      <c r="BE17" s="13" t="str">
        <f t="shared" si="19"/>
        <v>Y</v>
      </c>
      <c r="BF17" s="13" t="str">
        <f t="shared" si="20"/>
        <v>Y</v>
      </c>
      <c r="BG17" s="16">
        <f t="shared" si="21"/>
        <v>1.21</v>
      </c>
      <c r="BH17" s="18">
        <f t="shared" si="22"/>
        <v>1.145</v>
      </c>
      <c r="BI17" s="13" t="str">
        <f>IF(AND(BF17="Y",COUNTIFS($BX$5:$BX17,$BX17,$BF$5:$BF17,"Y")=1),"Y","N")</f>
        <v>Y</v>
      </c>
      <c r="BJ17" s="18">
        <v>0.22</v>
      </c>
      <c r="BN17" s="13" t="str">
        <f t="shared" si="23"/>
        <v>Y</v>
      </c>
      <c r="BO17" s="13" t="str">
        <f t="shared" si="24"/>
        <v>Y</v>
      </c>
      <c r="BP17" s="18">
        <f t="shared" si="25"/>
        <v>0.22</v>
      </c>
      <c r="BQ17" s="18">
        <f t="shared" si="26"/>
        <v>0.22</v>
      </c>
      <c r="BR17" s="13" t="str">
        <f>IF(AND(BO17="Y",COUNTIFS($BX$5:$BX17,$BX17,$BO$5:$BO17,"Y")=1),"Y","N")</f>
        <v>Y</v>
      </c>
      <c r="BS17" s="19">
        <v>7.4</v>
      </c>
      <c r="BT17" s="13" t="s">
        <v>403</v>
      </c>
      <c r="BU17" s="13" t="s">
        <v>404</v>
      </c>
      <c r="BV17" s="13" t="s">
        <v>405</v>
      </c>
      <c r="BW17" s="13" t="s">
        <v>406</v>
      </c>
      <c r="BX17" s="17">
        <f t="shared" si="27"/>
        <v>46253</v>
      </c>
      <c r="BY17" s="17">
        <f t="shared" si="29"/>
        <v>46257</v>
      </c>
      <c r="BZ17" s="17">
        <f t="shared" si="29"/>
        <v>46258</v>
      </c>
      <c r="CA17" s="17" t="s">
        <v>309</v>
      </c>
      <c r="CB17" s="17" t="s">
        <v>407</v>
      </c>
      <c r="CC17" s="17" t="s">
        <v>408</v>
      </c>
      <c r="CD17" s="19">
        <f>IF(OR(L17="",L17="not collected",CC17=""),"",ROUND((BZ17+TIMEVALUE(CC17)-BX17-TIMEVALUE(CA17))*24,1))</f>
        <v>123.4</v>
      </c>
    </row>
    <row r="18" spans="1:82" x14ac:dyDescent="0.2">
      <c r="A18" s="13" t="s">
        <v>409</v>
      </c>
      <c r="B18" s="13" t="s">
        <v>84</v>
      </c>
      <c r="C18" s="13" t="s">
        <v>391</v>
      </c>
      <c r="D18" s="13" t="s">
        <v>400</v>
      </c>
      <c r="E18" s="13" t="s">
        <v>290</v>
      </c>
      <c r="F18" s="13" t="s">
        <v>410</v>
      </c>
      <c r="G18" s="13" t="str">
        <f t="shared" si="0"/>
        <v>N</v>
      </c>
      <c r="I18" s="13" t="str">
        <f>IF(H18="","Y",IF(H18&gt;=Parameters!$B$25,"Y","N"))</f>
        <v>Y</v>
      </c>
      <c r="J18" s="13" t="str">
        <f>IF(AND(BX18&gt;=Parameters!$B$28,BX18&lt;=Parameters!$B$29),"Y","N")</f>
        <v>Y</v>
      </c>
      <c r="K18" s="13" t="s">
        <v>401</v>
      </c>
      <c r="L18" s="13" t="s">
        <v>411</v>
      </c>
      <c r="M18" s="17">
        <f t="shared" si="1"/>
        <v>4</v>
      </c>
      <c r="N18" s="17" t="str">
        <f t="shared" si="2"/>
        <v/>
      </c>
      <c r="O18" s="13" t="str">
        <f>IF(K18="","Y",IF(BY18&lt;=EDATE(BX18,Parameters!$B$23),"Y","N"))</f>
        <v>Y</v>
      </c>
      <c r="P18" s="13" t="str">
        <f>IF(CD18="","Y",IF(CD18&lt;=Parameters!$B$31,"Y","N"))</f>
        <v>Y</v>
      </c>
      <c r="Q18" s="18">
        <v>0.016</v>
      </c>
      <c r="U18" s="13" t="str">
        <f t="shared" si="3"/>
        <v>N</v>
      </c>
      <c r="V18" s="13" t="str">
        <f t="shared" si="4"/>
        <v>N</v>
      </c>
      <c r="W18" s="18">
        <f t="shared" si="5"/>
        <v>0.016</v>
      </c>
      <c r="X18" s="18" t="str">
        <f t="shared" si="6"/>
        <v/>
      </c>
      <c r="Y18" s="13" t="str">
        <f>IF(AND(V18="Y",COUNTIFS($BX$5:$BX18,$BX18,$V$5:$V18,"Y")=1),"Y","N")</f>
        <v>N</v>
      </c>
      <c r="Z18" s="16">
        <v>0.92</v>
      </c>
      <c r="AD18" s="13" t="str">
        <f t="shared" si="7"/>
        <v>N</v>
      </c>
      <c r="AE18" s="13" t="str">
        <f t="shared" si="8"/>
        <v>N</v>
      </c>
      <c r="AF18" s="16">
        <f t="shared" si="9"/>
        <v>0.92</v>
      </c>
      <c r="AG18" s="18" t="str">
        <f t="shared" si="10"/>
        <v/>
      </c>
      <c r="AH18" s="13" t="str">
        <f>IF(AND(AE18="Y",COUNTIFS($BX$5:$BX18,$BX18,$AE$5:$AE18,"Y")=1),"Y","N")</f>
        <v>N</v>
      </c>
      <c r="AI18" s="16">
        <v>4.62</v>
      </c>
      <c r="AM18" s="13" t="str">
        <f t="shared" si="11"/>
        <v>N</v>
      </c>
      <c r="AN18" s="13" t="str">
        <f t="shared" si="12"/>
        <v>N</v>
      </c>
      <c r="AO18" s="16">
        <f t="shared" si="13"/>
        <v>4.62</v>
      </c>
      <c r="AP18" s="18" t="str">
        <f t="shared" si="14"/>
        <v/>
      </c>
      <c r="AQ18" s="13" t="str">
        <f>IF(AND(AN18="Y",COUNTIFS($BX$5:$BX18,$BX18,$AN$5:$AN18,"Y")=1),"Y","N")</f>
        <v>N</v>
      </c>
      <c r="AR18" s="16">
        <v>2.05</v>
      </c>
      <c r="AV18" s="13" t="str">
        <f t="shared" si="15"/>
        <v>N</v>
      </c>
      <c r="AW18" s="13" t="str">
        <f t="shared" si="16"/>
        <v>N</v>
      </c>
      <c r="AX18" s="16">
        <f t="shared" si="17"/>
        <v>2.05</v>
      </c>
      <c r="AY18" s="18" t="str">
        <f t="shared" si="18"/>
        <v/>
      </c>
      <c r="AZ18" s="13" t="str">
        <f>IF(AND(AW18="Y",COUNTIFS($BX$5:$BX18,$BX18,$AW$5:$AW18,"Y")=1),"Y","N")</f>
        <v>N</v>
      </c>
      <c r="BA18" s="16">
        <v>3.41</v>
      </c>
      <c r="BE18" s="13" t="str">
        <f t="shared" si="19"/>
        <v>N</v>
      </c>
      <c r="BF18" s="13" t="str">
        <f t="shared" si="20"/>
        <v>N</v>
      </c>
      <c r="BG18" s="16">
        <f t="shared" si="21"/>
        <v>3.41</v>
      </c>
      <c r="BH18" s="18" t="str">
        <f t="shared" si="22"/>
        <v/>
      </c>
      <c r="BI18" s="13" t="str">
        <f>IF(AND(BF18="Y",COUNTIFS($BX$5:$BX18,$BX18,$BF$5:$BF18,"Y")=1),"Y","N")</f>
        <v>N</v>
      </c>
      <c r="BK18" s="13" t="s">
        <v>348</v>
      </c>
      <c r="BN18" s="13" t="str">
        <f t="shared" si="23"/>
        <v>N</v>
      </c>
      <c r="BO18" s="13" t="str">
        <f t="shared" si="24"/>
        <v>N</v>
      </c>
      <c r="BP18" s="18" t="str">
        <f t="shared" si="25"/>
        <v/>
      </c>
      <c r="BQ18" s="18" t="str">
        <f t="shared" si="26"/>
        <v/>
      </c>
      <c r="BR18" s="13" t="str">
        <f>IF(AND(BO18="Y",COUNTIFS($BX$5:$BX18,$BX18,$BO$5:$BO18,"Y")=1),"Y","N")</f>
        <v>N</v>
      </c>
      <c r="BS18" s="19">
        <v>9.4</v>
      </c>
      <c r="BT18" s="13" t="s">
        <v>412</v>
      </c>
      <c r="BU18" s="13" t="s">
        <v>404</v>
      </c>
      <c r="BV18" s="13" t="s">
        <v>84</v>
      </c>
      <c r="BW18" s="13" t="s">
        <v>413</v>
      </c>
      <c r="BX18" s="17">
        <f t="shared" si="27"/>
        <v>46253</v>
      </c>
      <c r="BY18" s="17">
        <f>DATE(VALUE(RIGHT(K18,4)),VALUE(LEFT(K18,2)),VALUE(MID(K18,4,2)))</f>
        <v>46257</v>
      </c>
      <c r="CA18" s="17" t="s">
        <v>414</v>
      </c>
      <c r="CB18" s="17" t="s">
        <v>407</v>
      </c>
      <c r="CC18" s="17"/>
      <c r="CD18" s="19" t="str">
        <f>IF(OR(L18="",L18="not collected",CC18=""),"",ROUND((BZ18+TIMEVALUE(CC18)-BX18-TIMEVALUE(CA18))*24,1))</f>
        <v/>
      </c>
    </row>
    <row r="19" spans="1:82" x14ac:dyDescent="0.2">
      <c r="A19" s="13" t="s">
        <v>415</v>
      </c>
      <c r="B19" s="13" t="s">
        <v>84</v>
      </c>
      <c r="C19" s="13" t="s">
        <v>391</v>
      </c>
      <c r="D19" s="13" t="s">
        <v>344</v>
      </c>
      <c r="E19" s="13" t="s">
        <v>345</v>
      </c>
      <c r="F19" s="13" t="s">
        <v>346</v>
      </c>
      <c r="G19" s="13" t="str">
        <f t="shared" si="0"/>
        <v>Y</v>
      </c>
      <c r="I19" s="13" t="str">
        <f>IF(H19="","Y",IF(H19&gt;=Parameters!$B$25,"Y","N"))</f>
        <v>Y</v>
      </c>
      <c r="J19" s="13" t="str">
        <f>IF(AND(BX19&gt;=Parameters!$B$28,BX19&lt;=Parameters!$B$29),"Y","N")</f>
        <v>Y</v>
      </c>
      <c r="M19" s="17" t="str">
        <f t="shared" si="1"/>
        <v/>
      </c>
      <c r="N19" s="17" t="str">
        <f t="shared" si="2"/>
        <v/>
      </c>
      <c r="O19" s="13" t="str">
        <f>IF(K19="","Y",IF(BY19&lt;=EDATE(BX19,Parameters!$B$23),"Y","N"))</f>
        <v>Y</v>
      </c>
      <c r="P19" s="13" t="str">
        <f>IF(N19="","Y",IF(N19&lt;=Parameters!$B$24,"Y","N"))</f>
        <v>Y</v>
      </c>
      <c r="Q19" s="13" t="s">
        <v>347</v>
      </c>
      <c r="U19" s="13" t="str">
        <f t="shared" si="3"/>
        <v>N</v>
      </c>
      <c r="V19" s="13" t="str">
        <f t="shared" si="4"/>
        <v>Y</v>
      </c>
      <c r="W19" s="18" t="str">
        <f t="shared" si="5"/>
        <v>under limit</v>
      </c>
      <c r="X19" s="18">
        <f t="shared" si="6"/>
        <v>0</v>
      </c>
      <c r="Y19" s="13" t="str">
        <f>IF(AND(V19="Y",COUNTIFS($BX$5:$BX19,$BX19,$V$5:$V19,"Y")=1),"Y","N")</f>
        <v>N</v>
      </c>
      <c r="Z19" s="13" t="s">
        <v>347</v>
      </c>
      <c r="AD19" s="13" t="str">
        <f t="shared" si="7"/>
        <v>N</v>
      </c>
      <c r="AE19" s="13" t="str">
        <f t="shared" si="8"/>
        <v>Y</v>
      </c>
      <c r="AF19" s="16" t="str">
        <f t="shared" si="9"/>
        <v>under limit</v>
      </c>
      <c r="AG19" s="18">
        <f t="shared" si="10"/>
        <v>0.69</v>
      </c>
      <c r="AH19" s="13" t="str">
        <f>IF(AND(AE19="Y",COUNTIFS($BX$5:$BX19,$BX19,$AE$5:$AE19,"Y")=1),"Y","N")</f>
        <v>N</v>
      </c>
      <c r="AI19" s="16">
        <v>4.27</v>
      </c>
      <c r="AM19" s="13" t="str">
        <f t="shared" si="11"/>
        <v>N</v>
      </c>
      <c r="AN19" s="13" t="str">
        <f t="shared" si="12"/>
        <v>Y</v>
      </c>
      <c r="AO19" s="16">
        <f t="shared" si="13"/>
        <v>4.27</v>
      </c>
      <c r="AP19" s="18">
        <f t="shared" si="14"/>
        <v>3.86</v>
      </c>
      <c r="AQ19" s="13" t="str">
        <f>IF(AND(AN19="Y",COUNTIFS($BX$5:$BX19,$BX19,$AN$5:$AN19,"Y")=1),"Y","N")</f>
        <v>N</v>
      </c>
      <c r="AR19" s="13" t="s">
        <v>347</v>
      </c>
      <c r="AV19" s="13" t="str">
        <f t="shared" si="15"/>
        <v>N</v>
      </c>
      <c r="AW19" s="13" t="str">
        <f t="shared" si="16"/>
        <v>Y</v>
      </c>
      <c r="AX19" s="16" t="str">
        <f t="shared" si="17"/>
        <v>under limit</v>
      </c>
      <c r="AY19" s="18">
        <f t="shared" si="18"/>
        <v>1.74</v>
      </c>
      <c r="AZ19" s="13" t="str">
        <f>IF(AND(AW19="Y",COUNTIFS($BX$5:$BX19,$BX19,$AW$5:$AW19,"Y")=1),"Y","N")</f>
        <v>N</v>
      </c>
      <c r="BA19" s="16">
        <v>1.08</v>
      </c>
      <c r="BE19" s="13" t="str">
        <f t="shared" si="19"/>
        <v>N</v>
      </c>
      <c r="BF19" s="13" t="str">
        <f t="shared" si="20"/>
        <v>Y</v>
      </c>
      <c r="BG19" s="16">
        <f t="shared" si="21"/>
        <v>1.08</v>
      </c>
      <c r="BH19" s="18">
        <f t="shared" si="22"/>
        <v>1.145</v>
      </c>
      <c r="BI19" s="13" t="str">
        <f>IF(AND(BF19="Y",COUNTIFS($BX$5:$BX19,$BX19,$BF$5:$BF19,"Y")=1),"Y","N")</f>
        <v>N</v>
      </c>
      <c r="BK19" s="13" t="s">
        <v>348</v>
      </c>
      <c r="BN19" s="13" t="str">
        <f t="shared" si="23"/>
        <v>N</v>
      </c>
      <c r="BO19" s="13" t="str">
        <f t="shared" si="24"/>
        <v>N</v>
      </c>
      <c r="BP19" s="18" t="str">
        <f t="shared" si="25"/>
        <v/>
      </c>
      <c r="BQ19" s="18" t="str">
        <f t="shared" si="26"/>
        <v/>
      </c>
      <c r="BR19" s="13" t="str">
        <f>IF(AND(BO19="Y",COUNTIFS($BX$5:$BX19,$BX19,$BO$5:$BO19,"Y")=1),"Y","N")</f>
        <v>N</v>
      </c>
      <c r="BW19" s="13" t="s">
        <v>416</v>
      </c>
      <c r="BX19" s="17">
        <f t="shared" si="27"/>
        <v>46253</v>
      </c>
      <c r="CA19" s="17"/>
      <c r="CB19" s="17"/>
      <c r="CC19" s="17"/>
      <c r="CD19" s="17"/>
    </row>
    <row r="20" spans="1:82" x14ac:dyDescent="0.2">
      <c r="A20" s="13" t="s">
        <v>417</v>
      </c>
      <c r="B20" s="13" t="s">
        <v>95</v>
      </c>
      <c r="C20" s="13" t="s">
        <v>391</v>
      </c>
      <c r="D20" s="13" t="s">
        <v>289</v>
      </c>
      <c r="E20" s="13" t="s">
        <v>290</v>
      </c>
      <c r="F20" s="13" t="s">
        <v>291</v>
      </c>
      <c r="G20" s="13" t="str">
        <f t="shared" si="0"/>
        <v>Y</v>
      </c>
      <c r="H20" s="17">
        <v>19</v>
      </c>
      <c r="I20" s="13" t="str">
        <f>IF(H20="","Y",IF(H20&gt;=Parameters!$B$25,"Y","N"))</f>
        <v>Y</v>
      </c>
      <c r="J20" s="13" t="str">
        <f>IF(AND(BX20&gt;=Parameters!$B$28,BX20&lt;=Parameters!$B$29),"Y","N")</f>
        <v>Y</v>
      </c>
      <c r="K20" s="13" t="s">
        <v>418</v>
      </c>
      <c r="L20" s="13" t="s">
        <v>106</v>
      </c>
      <c r="M20" s="17">
        <f t="shared" si="1"/>
        <v>4</v>
      </c>
      <c r="N20" s="17">
        <f t="shared" si="2"/>
        <v>2</v>
      </c>
      <c r="O20" s="13" t="str">
        <f>IF(K20="","Y",IF(BY20&lt;=EDATE(BX20,Parameters!$B$23),"Y","N"))</f>
        <v>Y</v>
      </c>
      <c r="P20" s="13" t="str">
        <f>IF(CD20="","Y",IF(CD20&lt;=Parameters!$B$31,"Y","N"))</f>
        <v>Y</v>
      </c>
      <c r="Q20" s="18">
        <v>0.005</v>
      </c>
      <c r="R20" s="13" t="s">
        <v>305</v>
      </c>
      <c r="U20" s="13" t="str">
        <f t="shared" si="3"/>
        <v>Y</v>
      </c>
      <c r="V20" s="13" t="str">
        <f t="shared" si="4"/>
        <v>Y</v>
      </c>
      <c r="W20" s="18">
        <f t="shared" si="5"/>
        <v>0</v>
      </c>
      <c r="X20" s="18">
        <f t="shared" si="6"/>
        <v>0</v>
      </c>
      <c r="Y20" s="13" t="str">
        <f>IF(AND(V20="Y",COUNTIFS($BX$5:$BX20,$BX20,$V$5:$V20,"Y")=1),"Y","N")</f>
        <v>Y</v>
      </c>
      <c r="Z20" s="16">
        <v>0.74</v>
      </c>
      <c r="AD20" s="13" t="str">
        <f t="shared" si="7"/>
        <v>Y</v>
      </c>
      <c r="AE20" s="13" t="str">
        <f t="shared" si="8"/>
        <v>Y</v>
      </c>
      <c r="AF20" s="16">
        <f t="shared" si="9"/>
        <v>0.74</v>
      </c>
      <c r="AG20" s="18">
        <f t="shared" si="10"/>
        <v>0.74</v>
      </c>
      <c r="AH20" s="13" t="str">
        <f>IF(AND(AE20="Y",COUNTIFS($BX$5:$BX20,$BX20,$AE$5:$AE20,"Y")=1),"Y","N")</f>
        <v>Y</v>
      </c>
      <c r="AI20" s="16">
        <v>3.15</v>
      </c>
      <c r="AJ20" s="13" t="s">
        <v>326</v>
      </c>
      <c r="AK20" s="16">
        <v>4.15</v>
      </c>
      <c r="AM20" s="13" t="str">
        <f t="shared" si="11"/>
        <v>Y</v>
      </c>
      <c r="AN20" s="13" t="str">
        <f t="shared" si="12"/>
        <v>Y</v>
      </c>
      <c r="AO20" s="16">
        <f t="shared" si="13"/>
        <v>4.15</v>
      </c>
      <c r="AP20" s="18">
        <f t="shared" si="14"/>
        <v>4.15</v>
      </c>
      <c r="AQ20" s="13" t="str">
        <f>IF(AND(AN20="Y",COUNTIFS($BX$5:$BX20,$BX20,$AN$5:$AN20,"Y")=1),"Y","N")</f>
        <v>Y</v>
      </c>
      <c r="AR20" s="16">
        <v>1.9</v>
      </c>
      <c r="AV20" s="13" t="str">
        <f t="shared" si="15"/>
        <v>Y</v>
      </c>
      <c r="AW20" s="13" t="str">
        <f t="shared" si="16"/>
        <v>Y</v>
      </c>
      <c r="AX20" s="16">
        <f t="shared" si="17"/>
        <v>1.9</v>
      </c>
      <c r="AY20" s="18">
        <f t="shared" si="18"/>
        <v>1.9</v>
      </c>
      <c r="AZ20" s="13" t="str">
        <f>IF(AND(AW20="Y",COUNTIFS($BX$5:$BX20,$BX20,$AW$5:$AW20,"Y")=1),"Y","N")</f>
        <v>Y</v>
      </c>
      <c r="BA20" s="16">
        <v>1.18</v>
      </c>
      <c r="BE20" s="13" t="str">
        <f t="shared" si="19"/>
        <v>Y</v>
      </c>
      <c r="BF20" s="13" t="str">
        <f t="shared" si="20"/>
        <v>Y</v>
      </c>
      <c r="BG20" s="16">
        <f t="shared" si="21"/>
        <v>1.18</v>
      </c>
      <c r="BH20" s="18">
        <f t="shared" si="22"/>
        <v>1.18</v>
      </c>
      <c r="BI20" s="13" t="str">
        <f>IF(AND(BF20="Y",COUNTIFS($BX$5:$BX20,$BX20,$BF$5:$BF20,"Y")=1),"Y","N")</f>
        <v>Y</v>
      </c>
      <c r="BJ20" s="18">
        <v>0.29</v>
      </c>
      <c r="BN20" s="13" t="str">
        <f t="shared" si="23"/>
        <v>Y</v>
      </c>
      <c r="BO20" s="13" t="str">
        <f t="shared" si="24"/>
        <v>Y</v>
      </c>
      <c r="BP20" s="18">
        <f t="shared" si="25"/>
        <v>0.29</v>
      </c>
      <c r="BQ20" s="18">
        <f t="shared" si="26"/>
        <v>0.29</v>
      </c>
      <c r="BR20" s="13" t="str">
        <f>IF(AND(BO20="Y",COUNTIFS($BX$5:$BX20,$BX20,$BO$5:$BO20,"Y")=1),"Y","N")</f>
        <v>Y</v>
      </c>
      <c r="BS20" s="19">
        <v>7.5</v>
      </c>
      <c r="BT20" s="13" t="s">
        <v>419</v>
      </c>
      <c r="BU20" s="13" t="s">
        <v>420</v>
      </c>
      <c r="BV20" s="13" t="s">
        <v>95</v>
      </c>
      <c r="BW20" s="13" t="s">
        <v>421</v>
      </c>
      <c r="BX20" s="17">
        <f t="shared" si="27"/>
        <v>46259</v>
      </c>
      <c r="BY20" s="17">
        <f t="shared" ref="BY20:BZ22" si="30">DATE(VALUE(RIGHT(K20,4)),VALUE(LEFT(K20,2)),VALUE(MID(K20,4,2)))</f>
        <v>46263</v>
      </c>
      <c r="BZ20" s="17">
        <f t="shared" si="30"/>
        <v>46261</v>
      </c>
      <c r="CA20" s="17" t="s">
        <v>330</v>
      </c>
      <c r="CB20" s="17" t="s">
        <v>422</v>
      </c>
      <c r="CC20" s="17" t="s">
        <v>423</v>
      </c>
      <c r="CD20" s="19">
        <f>IF(OR(L20="",L20="not collected",CC20=""),"",ROUND((BZ20+TIMEVALUE(CC20)-BX20-TIMEVALUE(CA20))*24,1))</f>
        <v>50.9</v>
      </c>
    </row>
    <row r="21" spans="1:82" x14ac:dyDescent="0.2">
      <c r="A21" s="13" t="s">
        <v>424</v>
      </c>
      <c r="B21" s="13" t="s">
        <v>114</v>
      </c>
      <c r="C21" s="13" t="s">
        <v>425</v>
      </c>
      <c r="D21" s="13" t="s">
        <v>289</v>
      </c>
      <c r="E21" s="13" t="s">
        <v>290</v>
      </c>
      <c r="F21" s="13" t="s">
        <v>291</v>
      </c>
      <c r="G21" s="13" t="str">
        <f t="shared" si="0"/>
        <v>Y</v>
      </c>
      <c r="H21" s="17">
        <v>27</v>
      </c>
      <c r="I21" s="13" t="str">
        <f>IF(H21="","Y",IF(H21&gt;=Parameters!$B$25,"Y","N"))</f>
        <v>Y</v>
      </c>
      <c r="J21" s="13" t="str">
        <f>IF(AND(BX21&gt;=Parameters!$B$28,BX21&lt;=Parameters!$B$29),"Y","N")</f>
        <v>Y</v>
      </c>
      <c r="K21" s="13" t="s">
        <v>426</v>
      </c>
      <c r="L21" s="13" t="s">
        <v>427</v>
      </c>
      <c r="M21" s="17">
        <f t="shared" si="1"/>
        <v>3</v>
      </c>
      <c r="N21" s="17">
        <f t="shared" si="2"/>
        <v>5</v>
      </c>
      <c r="O21" s="13" t="str">
        <f>IF(K21="","Y",IF(BY21&lt;=EDATE(BX21,Parameters!$B$23),"Y","N"))</f>
        <v>Y</v>
      </c>
      <c r="P21" s="13" t="str">
        <f>IF(CD21="","Y",IF(CD21&lt;=Parameters!$B$31,"Y","N"))</f>
        <v>Y</v>
      </c>
      <c r="Q21" s="18">
        <v>0.012</v>
      </c>
      <c r="U21" s="13" t="str">
        <f t="shared" si="3"/>
        <v>Y</v>
      </c>
      <c r="V21" s="13" t="str">
        <f t="shared" si="4"/>
        <v>Y</v>
      </c>
      <c r="W21" s="18">
        <f t="shared" si="5"/>
        <v>0.012</v>
      </c>
      <c r="X21" s="18">
        <f t="shared" si="6"/>
        <v>0.012</v>
      </c>
      <c r="Y21" s="13" t="str">
        <f>IF(AND(V21="Y",COUNTIFS($BX$5:$BX21,$BX21,$V$5:$V21,"Y")=1),"Y","N")</f>
        <v>Y</v>
      </c>
      <c r="Z21" s="16">
        <v>1.02</v>
      </c>
      <c r="AD21" s="13" t="str">
        <f t="shared" si="7"/>
        <v>Y</v>
      </c>
      <c r="AE21" s="13" t="str">
        <f t="shared" si="8"/>
        <v>Y</v>
      </c>
      <c r="AF21" s="16">
        <f t="shared" si="9"/>
        <v>1.02</v>
      </c>
      <c r="AG21" s="18">
        <f t="shared" si="10"/>
        <v>1.02</v>
      </c>
      <c r="AH21" s="13" t="str">
        <f>IF(AND(AE21="Y",COUNTIFS($BX$5:$BX21,$BX21,$AE$5:$AE21,"Y")=1),"Y","N")</f>
        <v>Y</v>
      </c>
      <c r="AI21" s="16">
        <v>2.96</v>
      </c>
      <c r="AM21" s="13" t="str">
        <f t="shared" si="11"/>
        <v>Y</v>
      </c>
      <c r="AN21" s="13" t="str">
        <f t="shared" si="12"/>
        <v>Y</v>
      </c>
      <c r="AO21" s="16">
        <f t="shared" si="13"/>
        <v>2.96</v>
      </c>
      <c r="AP21" s="18">
        <f t="shared" si="14"/>
        <v>2.96</v>
      </c>
      <c r="AQ21" s="13" t="str">
        <f>IF(AND(AN21="Y",COUNTIFS($BX$5:$BX21,$BX21,$AN$5:$AN21,"Y")=1),"Y","N")</f>
        <v>Y</v>
      </c>
      <c r="AR21" s="16">
        <v>1.36</v>
      </c>
      <c r="AV21" s="13" t="str">
        <f t="shared" si="15"/>
        <v>Y</v>
      </c>
      <c r="AW21" s="13" t="str">
        <f t="shared" si="16"/>
        <v>Y</v>
      </c>
      <c r="AX21" s="16">
        <f t="shared" si="17"/>
        <v>1.36</v>
      </c>
      <c r="AY21" s="18">
        <f t="shared" si="18"/>
        <v>1.36</v>
      </c>
      <c r="AZ21" s="13" t="str">
        <f>IF(AND(AW21="Y",COUNTIFS($BX$5:$BX21,$BX21,$AW$5:$AW21,"Y")=1),"Y","N")</f>
        <v>Y</v>
      </c>
      <c r="BA21" s="16">
        <v>3.14</v>
      </c>
      <c r="BE21" s="13" t="str">
        <f t="shared" si="19"/>
        <v>Y</v>
      </c>
      <c r="BF21" s="13" t="str">
        <f t="shared" si="20"/>
        <v>Y</v>
      </c>
      <c r="BG21" s="16">
        <f t="shared" si="21"/>
        <v>3.14</v>
      </c>
      <c r="BH21" s="18">
        <f t="shared" si="22"/>
        <v>3.14</v>
      </c>
      <c r="BI21" s="13" t="str">
        <f>IF(AND(BF21="Y",COUNTIFS($BX$5:$BX21,$BX21,$BF$5:$BF21,"Y")=1),"Y","N")</f>
        <v>Y</v>
      </c>
      <c r="BJ21" s="18">
        <v>0.41</v>
      </c>
      <c r="BK21" t="s">
        <v>326</v>
      </c>
      <c r="BM21" t="s">
        <v>384</v>
      </c>
      <c r="BN21" s="13" t="str">
        <f t="shared" si="23"/>
        <v>N</v>
      </c>
      <c r="BO21" s="13" t="str">
        <f t="shared" si="24"/>
        <v>N</v>
      </c>
      <c r="BP21" s="18">
        <f t="shared" si="25"/>
        <v>0.41</v>
      </c>
      <c r="BQ21" s="18" t="str">
        <f t="shared" si="26"/>
        <v/>
      </c>
      <c r="BR21" s="13" t="str">
        <f>IF(AND(BO21="Y",COUNTIFS($BX$5:$BX21,$BX21,$BO$5:$BO21,"Y")=1),"Y","N")</f>
        <v>N</v>
      </c>
      <c r="BS21" s="19">
        <v>7.9</v>
      </c>
      <c r="BT21" s="13" t="s">
        <v>428</v>
      </c>
      <c r="BU21" s="13" t="s">
        <v>429</v>
      </c>
      <c r="BV21" s="13" t="s">
        <v>114</v>
      </c>
      <c r="BW21" s="13" t="s">
        <v>430</v>
      </c>
      <c r="BX21" s="17">
        <f t="shared" si="27"/>
        <v>46274</v>
      </c>
      <c r="BY21" s="17">
        <f t="shared" si="30"/>
        <v>46277</v>
      </c>
      <c r="BZ21" s="17">
        <f t="shared" si="30"/>
        <v>46279</v>
      </c>
      <c r="CA21" s="17" t="s">
        <v>309</v>
      </c>
      <c r="CB21" s="17" t="s">
        <v>431</v>
      </c>
      <c r="CC21" s="17" t="s">
        <v>311</v>
      </c>
      <c r="CD21" s="19">
        <f>IF(OR(L21="",L21="not collected",CC21=""),"",ROUND((BZ21+TIMEVALUE(CC21)-BX21-TIMEVALUE(CA21))*24,1))</f>
        <v>123.8</v>
      </c>
    </row>
    <row r="22" spans="1:82" x14ac:dyDescent="0.2">
      <c r="A22" s="13" t="s">
        <v>432</v>
      </c>
      <c r="B22" s="13" t="s">
        <v>433</v>
      </c>
      <c r="C22" s="13" t="s">
        <v>425</v>
      </c>
      <c r="D22" s="13" t="s">
        <v>289</v>
      </c>
      <c r="E22" s="13" t="s">
        <v>290</v>
      </c>
      <c r="F22" s="13" t="s">
        <v>291</v>
      </c>
      <c r="G22" s="13" t="str">
        <f t="shared" si="0"/>
        <v>Y</v>
      </c>
      <c r="H22" s="17">
        <v>24</v>
      </c>
      <c r="I22" s="13" t="str">
        <f>IF(H22="","Y",IF(H22&gt;=Parameters!$B$25,"Y","N"))</f>
        <v>Y</v>
      </c>
      <c r="J22" s="13" t="str">
        <f>IF(AND(BX22&gt;=Parameters!$B$28,BX22&lt;=Parameters!$B$29),"Y","N")</f>
        <v>Y</v>
      </c>
      <c r="K22" s="13" t="s">
        <v>434</v>
      </c>
      <c r="L22" s="13" t="s">
        <v>435</v>
      </c>
      <c r="M22" s="17">
        <f t="shared" si="1"/>
        <v>7</v>
      </c>
      <c r="N22" s="17">
        <f t="shared" si="2"/>
        <v>6</v>
      </c>
      <c r="O22" s="13" t="str">
        <f>IF(K22="","Y",IF(BY22&lt;=EDATE(BX22,Parameters!$B$23),"Y","N"))</f>
        <v>Y</v>
      </c>
      <c r="P22" s="13" t="str">
        <f>IF(CD22="","Y",IF(CD22&lt;=Parameters!$B$31,"Y","N"))</f>
        <v>Y</v>
      </c>
      <c r="Q22" s="18">
        <v>0.005</v>
      </c>
      <c r="R22" s="13" t="s">
        <v>305</v>
      </c>
      <c r="U22" s="13" t="str">
        <f t="shared" si="3"/>
        <v>Y</v>
      </c>
      <c r="V22" s="13" t="str">
        <f t="shared" si="4"/>
        <v>Y</v>
      </c>
      <c r="W22" s="18">
        <f t="shared" si="5"/>
        <v>0</v>
      </c>
      <c r="X22" s="18">
        <f t="shared" si="6"/>
        <v>0</v>
      </c>
      <c r="Y22" s="13" t="str">
        <f>IF(AND(V22="Y",COUNTIFS($BX$5:$BX22,$BX22,$V$5:$V22,"Y")=1),"Y","N")</f>
        <v>Y</v>
      </c>
      <c r="Z22" s="16">
        <v>0.58</v>
      </c>
      <c r="AD22" s="13" t="str">
        <f t="shared" si="7"/>
        <v>Y</v>
      </c>
      <c r="AE22" s="13" t="str">
        <f t="shared" si="8"/>
        <v>Y</v>
      </c>
      <c r="AF22" s="16">
        <f t="shared" si="9"/>
        <v>0.58</v>
      </c>
      <c r="AG22" s="18">
        <f t="shared" si="10"/>
        <v>0.58</v>
      </c>
      <c r="AH22" s="13" t="str">
        <f>IF(AND(AE22="Y",COUNTIFS($BX$5:$BX22,$BX22,$AE$5:$AE22,"Y")=1),"Y","N")</f>
        <v>Y</v>
      </c>
      <c r="AI22" s="16">
        <v>1.68</v>
      </c>
      <c r="AM22" s="13" t="str">
        <f t="shared" si="11"/>
        <v>Y</v>
      </c>
      <c r="AN22" s="13" t="str">
        <f t="shared" si="12"/>
        <v>Y</v>
      </c>
      <c r="AO22" s="16">
        <f t="shared" si="13"/>
        <v>1.68</v>
      </c>
      <c r="AP22" s="18">
        <f t="shared" si="14"/>
        <v>1.68</v>
      </c>
      <c r="AQ22" s="13" t="str">
        <f>IF(AND(AN22="Y",COUNTIFS($BX$5:$BX22,$BX22,$AN$5:$AN22,"Y")=1),"Y","N")</f>
        <v>Y</v>
      </c>
      <c r="AR22" s="16">
        <v>0.98</v>
      </c>
      <c r="AV22" s="13" t="str">
        <f t="shared" si="15"/>
        <v>Y</v>
      </c>
      <c r="AW22" s="13" t="str">
        <f t="shared" si="16"/>
        <v>Y</v>
      </c>
      <c r="AX22" s="16">
        <f t="shared" si="17"/>
        <v>0.98</v>
      </c>
      <c r="AY22" s="18">
        <f t="shared" si="18"/>
        <v>0.98</v>
      </c>
      <c r="AZ22" s="13" t="str">
        <f>IF(AND(AW22="Y",COUNTIFS($BX$5:$BX22,$BX22,$AW$5:$AW22,"Y")=1),"Y","N")</f>
        <v>Y</v>
      </c>
      <c r="BA22" s="16">
        <v>0.94</v>
      </c>
      <c r="BE22" s="13" t="str">
        <f t="shared" si="19"/>
        <v>Y</v>
      </c>
      <c r="BF22" s="13" t="str">
        <f t="shared" si="20"/>
        <v>Y</v>
      </c>
      <c r="BG22" s="16">
        <f t="shared" si="21"/>
        <v>0.94</v>
      </c>
      <c r="BH22" s="18">
        <f t="shared" si="22"/>
        <v>0.94</v>
      </c>
      <c r="BI22" s="13" t="str">
        <f>IF(AND(BF22="Y",COUNTIFS($BX$5:$BX22,$BX22,$BF$5:$BF22,"Y")=1),"Y","N")</f>
        <v>Y</v>
      </c>
      <c r="BJ22" s="18">
        <v>0.24</v>
      </c>
      <c r="BN22" s="13" t="str">
        <f t="shared" si="23"/>
        <v>Y</v>
      </c>
      <c r="BO22" s="13" t="str">
        <f t="shared" si="24"/>
        <v>Y</v>
      </c>
      <c r="BP22" s="18">
        <f t="shared" si="25"/>
        <v>0.24</v>
      </c>
      <c r="BQ22" s="18">
        <f t="shared" si="26"/>
        <v>0.24</v>
      </c>
      <c r="BR22" s="13" t="str">
        <f>IF(AND(BO22="Y",COUNTIFS($BX$5:$BX22,$BX22,$BO$5:$BO22,"Y")=1),"Y","N")</f>
        <v>Y</v>
      </c>
      <c r="BS22" s="19">
        <v>7.3</v>
      </c>
      <c r="BT22" s="13" t="s">
        <v>436</v>
      </c>
      <c r="BU22" s="13" t="s">
        <v>437</v>
      </c>
      <c r="BV22" s="13" t="s">
        <v>433</v>
      </c>
      <c r="BX22" s="17">
        <f t="shared" si="27"/>
        <v>46287</v>
      </c>
      <c r="BY22" s="17">
        <f t="shared" si="30"/>
        <v>46294</v>
      </c>
      <c r="BZ22" s="17">
        <f t="shared" si="30"/>
        <v>46293</v>
      </c>
      <c r="CA22" s="17" t="s">
        <v>318</v>
      </c>
      <c r="CB22" s="17" t="s">
        <v>438</v>
      </c>
      <c r="CC22" s="17" t="s">
        <v>439</v>
      </c>
      <c r="CD22" s="19">
        <f>IF(OR(L22="",L22="not collected",CC22=""),"",ROUND((BZ22+TIMEVALUE(CC22)-BX22-TIMEVALUE(CA22))*24,1))</f>
        <v>151.7</v>
      </c>
    </row>
    <row r="23" spans="1:82" x14ac:dyDescent="0.2">
      <c r="A23" s="13" t="s">
        <v>440</v>
      </c>
      <c r="B23" s="13" t="s">
        <v>441</v>
      </c>
      <c r="C23" s="13" t="s">
        <v>425</v>
      </c>
      <c r="D23" s="13" t="s">
        <v>442</v>
      </c>
      <c r="E23" s="13" t="s">
        <v>290</v>
      </c>
      <c r="F23" s="13" t="s">
        <v>291</v>
      </c>
      <c r="G23" s="13" t="str">
        <f t="shared" si="0"/>
        <v>Y</v>
      </c>
      <c r="H23" s="17">
        <v>25</v>
      </c>
      <c r="I23" s="13" t="str">
        <f>IF(H23="","Y",IF(H23&gt;=Parameters!$B$25,"Y","N"))</f>
        <v>Y</v>
      </c>
      <c r="J23" s="13" t="str">
        <f>IF(AND(BX23&gt;=Parameters!$B$28,BX23&lt;=Parameters!$B$29),"Y","N")</f>
        <v>Y</v>
      </c>
      <c r="K23" s="13" t="s">
        <v>443</v>
      </c>
      <c r="L23" s="13" t="s">
        <v>411</v>
      </c>
      <c r="M23" s="17">
        <f t="shared" si="1"/>
        <v>3</v>
      </c>
      <c r="N23" s="17" t="str">
        <f t="shared" si="2"/>
        <v/>
      </c>
      <c r="O23" s="13" t="str">
        <f>IF(K23="","Y",IF(BY23&lt;=EDATE(BX23,Parameters!$B$23),"Y","N"))</f>
        <v>Y</v>
      </c>
      <c r="P23" s="13" t="str">
        <f>IF(CD23="","Y",IF(CD23&lt;=Parameters!$B$31,"Y","N"))</f>
        <v>Y</v>
      </c>
      <c r="Q23" s="18">
        <v>0.005</v>
      </c>
      <c r="R23" s="13" t="s">
        <v>305</v>
      </c>
      <c r="U23" s="13" t="str">
        <f t="shared" si="3"/>
        <v>Y</v>
      </c>
      <c r="V23" s="13" t="str">
        <f t="shared" si="4"/>
        <v>Y</v>
      </c>
      <c r="W23" s="18">
        <f t="shared" si="5"/>
        <v>0</v>
      </c>
      <c r="X23" s="18">
        <f t="shared" si="6"/>
        <v>0</v>
      </c>
      <c r="Y23" s="13" t="str">
        <f>IF(AND(V23="Y",COUNTIFS($BX$5:$BX23,$BX23,$V$5:$V23,"Y")=1),"Y","N")</f>
        <v>Y</v>
      </c>
      <c r="Z23" s="16">
        <v>0.49</v>
      </c>
      <c r="AD23" s="13" t="str">
        <f t="shared" si="7"/>
        <v>Y</v>
      </c>
      <c r="AE23" s="13" t="str">
        <f t="shared" si="8"/>
        <v>Y</v>
      </c>
      <c r="AF23" s="16">
        <f t="shared" si="9"/>
        <v>0.49</v>
      </c>
      <c r="AG23" s="18">
        <f t="shared" si="10"/>
        <v>0.49</v>
      </c>
      <c r="AH23" s="13" t="str">
        <f>IF(AND(AE23="Y",COUNTIFS($BX$5:$BX23,$BX23,$AE$5:$AE23,"Y")=1),"Y","N")</f>
        <v>Y</v>
      </c>
      <c r="AI23" s="16">
        <v>1.52</v>
      </c>
      <c r="AM23" s="13" t="str">
        <f t="shared" si="11"/>
        <v>Y</v>
      </c>
      <c r="AN23" s="13" t="str">
        <f t="shared" si="12"/>
        <v>Y</v>
      </c>
      <c r="AO23" s="16">
        <f t="shared" si="13"/>
        <v>1.52</v>
      </c>
      <c r="AP23" s="18">
        <f t="shared" si="14"/>
        <v>1.52</v>
      </c>
      <c r="AQ23" s="13" t="str">
        <f>IF(AND(AN23="Y",COUNTIFS($BX$5:$BX23,$BX23,$AN$5:$AN23,"Y")=1),"Y","N")</f>
        <v>Y</v>
      </c>
      <c r="AR23" s="16">
        <v>1.11</v>
      </c>
      <c r="AV23" s="13" t="str">
        <f t="shared" si="15"/>
        <v>Y</v>
      </c>
      <c r="AW23" s="13" t="str">
        <f t="shared" si="16"/>
        <v>Y</v>
      </c>
      <c r="AX23" s="16">
        <f t="shared" si="17"/>
        <v>1.11</v>
      </c>
      <c r="AY23" s="18">
        <f t="shared" si="18"/>
        <v>1.11</v>
      </c>
      <c r="AZ23" s="13" t="str">
        <f>IF(AND(AW23="Y",COUNTIFS($BX$5:$BX23,$BX23,$AW$5:$AW23,"Y")=1),"Y","N")</f>
        <v>Y</v>
      </c>
      <c r="BA23" s="16">
        <v>0.88</v>
      </c>
      <c r="BE23" s="13" t="str">
        <f t="shared" si="19"/>
        <v>Y</v>
      </c>
      <c r="BF23" s="13" t="str">
        <f t="shared" si="20"/>
        <v>Y</v>
      </c>
      <c r="BG23" s="16">
        <f t="shared" si="21"/>
        <v>0.88</v>
      </c>
      <c r="BH23" s="18">
        <f t="shared" si="22"/>
        <v>0.88</v>
      </c>
      <c r="BI23" s="13" t="str">
        <f>IF(AND(BF23="Y",COUNTIFS($BX$5:$BX23,$BX23,$BF$5:$BF23,"Y")=1),"Y","N")</f>
        <v>Y</v>
      </c>
      <c r="BK23" s="13" t="s">
        <v>348</v>
      </c>
      <c r="BN23" s="13" t="str">
        <f t="shared" si="23"/>
        <v>N</v>
      </c>
      <c r="BO23" s="13" t="str">
        <f t="shared" si="24"/>
        <v>N</v>
      </c>
      <c r="BP23" s="18" t="str">
        <f t="shared" si="25"/>
        <v/>
      </c>
      <c r="BQ23" s="18" t="str">
        <f t="shared" si="26"/>
        <v/>
      </c>
      <c r="BR23" s="13" t="str">
        <f>IF(AND(BO23="Y",COUNTIFS($BX$5:$BX23,$BX23,$BO$5:$BO23,"Y")=1),"Y","N")</f>
        <v>N</v>
      </c>
      <c r="BS23" s="19">
        <v>7.4</v>
      </c>
      <c r="BT23" s="13" t="s">
        <v>444</v>
      </c>
      <c r="BU23" s="13" t="s">
        <v>437</v>
      </c>
      <c r="BV23" s="13" t="s">
        <v>441</v>
      </c>
      <c r="BW23" s="13" t="s">
        <v>445</v>
      </c>
      <c r="BX23" s="17">
        <f t="shared" si="27"/>
        <v>46288</v>
      </c>
      <c r="BY23" s="17">
        <f>DATE(VALUE(RIGHT(K23,4)),VALUE(LEFT(K23,2)),VALUE(MID(K23,4,2)))</f>
        <v>46291</v>
      </c>
      <c r="CA23" s="17" t="s">
        <v>446</v>
      </c>
      <c r="CB23" s="17" t="s">
        <v>447</v>
      </c>
      <c r="CC23" s="17"/>
      <c r="CD23" s="19" t="str">
        <f>IF(OR(L23="",L23="not collected",CC23=""),"",ROUND((BZ23+TIMEVALUE(CC23)-BX23-TIMEVALUE(CA23))*24,1))</f>
        <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2"/>
  <sheetViews>
    <sheetView workbookViewId="0">
      <pane xSplit="2" ySplit="4" topLeftCell="C5" activePane="bottomRight" state="frozen"/>
      <selection pane="topRight"/>
      <selection pane="bottomLeft"/>
      <selection pane="bottomRight"/>
    </sheetView>
  </sheetViews>
  <sheetFormatPr baseColWidth="10" defaultColWidth="8.83203125" defaultRowHeight="15" x14ac:dyDescent="0.2"/>
  <cols>
    <col min="1" max="1" width="7" customWidth="1"/>
    <col min="2" max="2" width="18" customWidth="1"/>
    <col min="3" max="4" width="14" customWidth="1"/>
    <col min="5" max="6" width="10" customWidth="1"/>
    <col min="7" max="8" width="12" customWidth="1"/>
    <col min="9" max="10" width="18" customWidth="1"/>
    <col min="11" max="12" width="16" customWidth="1"/>
  </cols>
  <sheetData>
    <row r="1" spans="1:12" ht="16" customHeight="1" x14ac:dyDescent="0.2">
      <c r="A1" s="12" t="s">
        <v>448</v>
      </c>
    </row>
    <row r="2" spans="1:12" x14ac:dyDescent="0.2">
      <c r="A2" s="13" t="s">
        <v>449</v>
      </c>
    </row>
    <row r="4" spans="1:12" x14ac:dyDescent="0.2">
      <c r="A4" s="15" t="s">
        <v>206</v>
      </c>
      <c r="B4" s="15" t="s">
        <v>5</v>
      </c>
      <c r="C4" s="15" t="s">
        <v>450</v>
      </c>
      <c r="D4" s="15" t="s">
        <v>451</v>
      </c>
      <c r="E4" s="15" t="s">
        <v>8</v>
      </c>
      <c r="F4" s="15" t="s">
        <v>9</v>
      </c>
      <c r="G4" s="15" t="s">
        <v>452</v>
      </c>
      <c r="H4" s="15" t="s">
        <v>453</v>
      </c>
      <c r="I4" s="15" t="s">
        <v>454</v>
      </c>
      <c r="J4" s="15" t="s">
        <v>455</v>
      </c>
      <c r="K4" s="15" t="s">
        <v>456</v>
      </c>
      <c r="L4" s="15" t="s">
        <v>457</v>
      </c>
    </row>
    <row r="5" spans="1:12" x14ac:dyDescent="0.2">
      <c r="A5" s="13" t="s">
        <v>374</v>
      </c>
      <c r="B5" s="13" t="s">
        <v>15</v>
      </c>
      <c r="C5" s="16">
        <f>Parameters!$B$4</f>
        <v>0.11</v>
      </c>
      <c r="D5" s="16">
        <f>Parameters!$C$4</f>
        <v>0.07</v>
      </c>
      <c r="E5" s="17">
        <f>COUNTIFS('Lab Data'!$C$5:$C$23,"Jul",'Lab Data'!$U$5:$U$23,"Y")</f>
        <v>1</v>
      </c>
      <c r="F5" s="17">
        <f>Parameters!$B$15</f>
        <v>2</v>
      </c>
      <c r="G5" s="18">
        <f>IF(E5=0,"none",ROUND(AVERAGEIFS('Lab Data'!$W$5:$W$23,'Lab Data'!$C$5:$C$23,"Jul",'Lab Data'!$U$5:$U$23,"Y"),3))</f>
        <v>0</v>
      </c>
      <c r="H5" s="18">
        <f>IF(E5=0,"none",_xlfn.MAXIFS('Lab Data'!$W$5:$W$23,'Lab Data'!$C$5:$C$23,"Jul",'Lab Data'!$U$5:$U$23,"Y"))</f>
        <v>0</v>
      </c>
      <c r="I5" s="13" t="str">
        <f t="shared" ref="I5:I22" si="0">IF(E5=0,"No valid sample",IF(G5&lt;=D5,"Met","Exceeded"))</f>
        <v>Met</v>
      </c>
      <c r="J5" s="13" t="str">
        <f t="shared" ref="J5:J22" si="1">IF(E5=0,"No valid sample",IF(H5&lt;=C5,"Met","Exceeded"))</f>
        <v>Met</v>
      </c>
      <c r="K5" s="13" t="str">
        <f>IF(AND(E5&gt;=F5,L5&gt;=Parameters!$B$30),"Met","Below frequency")</f>
        <v>Below frequency</v>
      </c>
      <c r="L5" s="17">
        <f>IF(E5=0,0,_xlfn.MAXIFS('Lab Data'!$BX$5:$BX$23,'Lab Data'!$C$5:$C$23,"Jul",'Lab Data'!$U$5:$U$23,"Y")-_xlfn.MINIFS('Lab Data'!$BX$5:$BX$23,'Lab Data'!$C$5:$C$23,"Jul",'Lab Data'!$U$5:$U$23,"Y"))</f>
        <v>0</v>
      </c>
    </row>
    <row r="6" spans="1:12" x14ac:dyDescent="0.2">
      <c r="A6" s="13" t="s">
        <v>374</v>
      </c>
      <c r="B6" s="13" t="s">
        <v>16</v>
      </c>
      <c r="C6" s="16">
        <f>Parameters!$B$5</f>
        <v>2.77</v>
      </c>
      <c r="D6" s="16">
        <f>Parameters!$C$5</f>
        <v>1.71</v>
      </c>
      <c r="E6" s="17">
        <f>COUNTIFS('Lab Data'!$C$5:$C$23,"Jul",'Lab Data'!$AD$5:$AD$23,"Y")</f>
        <v>1</v>
      </c>
      <c r="F6" s="17">
        <f>Parameters!$B$15</f>
        <v>2</v>
      </c>
      <c r="G6" s="18">
        <f>IF(E6=0,"none",ROUND(AVERAGEIFS('Lab Data'!$AF$5:$AF$23,'Lab Data'!$C$5:$C$23,"Jul",'Lab Data'!$AD$5:$AD$23,"Y"),3))</f>
        <v>1.21</v>
      </c>
      <c r="H6" s="18">
        <f>IF(E6=0,"none",_xlfn.MAXIFS('Lab Data'!$AF$5:$AF$23,'Lab Data'!$C$5:$C$23,"Jul",'Lab Data'!$AD$5:$AD$23,"Y"))</f>
        <v>1.21</v>
      </c>
      <c r="I6" s="13" t="str">
        <f t="shared" si="0"/>
        <v>Met</v>
      </c>
      <c r="J6" s="13" t="str">
        <f t="shared" si="1"/>
        <v>Met</v>
      </c>
      <c r="K6" s="13" t="str">
        <f>IF(AND(E6&gt;=F6,L6&gt;=Parameters!$B$30),"Met","Below frequency")</f>
        <v>Below frequency</v>
      </c>
      <c r="L6" s="17">
        <f>IF(E6=0,0,_xlfn.MAXIFS('Lab Data'!$BX$5:$BX$23,'Lab Data'!$C$5:$C$23,"Jul",'Lab Data'!$AD$5:$AD$23,"Y")-_xlfn.MINIFS('Lab Data'!$BX$5:$BX$23,'Lab Data'!$C$5:$C$23,"Jul",'Lab Data'!$AD$5:$AD$23,"Y"))</f>
        <v>0</v>
      </c>
    </row>
    <row r="7" spans="1:12" x14ac:dyDescent="0.2">
      <c r="A7" s="13" t="s">
        <v>374</v>
      </c>
      <c r="B7" s="13" t="s">
        <v>17</v>
      </c>
      <c r="C7" s="16">
        <f>Parameters!$B$6</f>
        <v>3.38</v>
      </c>
      <c r="D7" s="16">
        <f>Parameters!$C$6</f>
        <v>2.07</v>
      </c>
      <c r="E7" s="17">
        <f>COUNTIFS('Lab Data'!$C$5:$C$23,"Jul",'Lab Data'!$AM$5:$AM$23,"Y")</f>
        <v>1</v>
      </c>
      <c r="F7" s="17">
        <f>Parameters!$B$15</f>
        <v>2</v>
      </c>
      <c r="G7" s="18">
        <f>IF(E7=0,"none",ROUND(AVERAGEIFS('Lab Data'!$AO$5:$AO$23,'Lab Data'!$C$5:$C$23,"Jul",'Lab Data'!$AM$5:$AM$23,"Y"),3))</f>
        <v>4.09</v>
      </c>
      <c r="H7" s="18">
        <f>IF(E7=0,"none",_xlfn.MAXIFS('Lab Data'!$AO$5:$AO$23,'Lab Data'!$C$5:$C$23,"Jul",'Lab Data'!$AM$5:$AM$23,"Y"))</f>
        <v>4.09</v>
      </c>
      <c r="I7" s="13" t="str">
        <f t="shared" si="0"/>
        <v>Exceeded</v>
      </c>
      <c r="J7" s="13" t="str">
        <f t="shared" si="1"/>
        <v>Exceeded</v>
      </c>
      <c r="K7" s="13" t="str">
        <f>IF(AND(E7&gt;=F7,L7&gt;=Parameters!$B$30),"Met","Below frequency")</f>
        <v>Below frequency</v>
      </c>
      <c r="L7" s="17">
        <f>IF(E7=0,0,_xlfn.MAXIFS('Lab Data'!$BX$5:$BX$23,'Lab Data'!$C$5:$C$23,"Jul",'Lab Data'!$AM$5:$AM$23,"Y")-_xlfn.MINIFS('Lab Data'!$BX$5:$BX$23,'Lab Data'!$C$5:$C$23,"Jul",'Lab Data'!$AM$5:$AM$23,"Y"))</f>
        <v>0</v>
      </c>
    </row>
    <row r="8" spans="1:12" x14ac:dyDescent="0.2">
      <c r="A8" s="13" t="s">
        <v>374</v>
      </c>
      <c r="B8" s="13" t="s">
        <v>18</v>
      </c>
      <c r="C8" s="16">
        <f>Parameters!$B$7</f>
        <v>3.98</v>
      </c>
      <c r="D8" s="16">
        <f>Parameters!$C$7</f>
        <v>2.38</v>
      </c>
      <c r="E8" s="17">
        <f>COUNTIFS('Lab Data'!$C$5:$C$23,"Jul",'Lab Data'!$AV$5:$AV$23,"Y")</f>
        <v>1</v>
      </c>
      <c r="F8" s="17">
        <f>Parameters!$B$15</f>
        <v>2</v>
      </c>
      <c r="G8" s="18">
        <f>IF(E8=0,"none",ROUND(AVERAGEIFS('Lab Data'!$AX$5:$AX$23,'Lab Data'!$C$5:$C$23,"Jul",'Lab Data'!$AV$5:$AV$23,"Y"),3))</f>
        <v>1.57</v>
      </c>
      <c r="H8" s="18">
        <f>IF(E8=0,"none",_xlfn.MAXIFS('Lab Data'!$AX$5:$AX$23,'Lab Data'!$C$5:$C$23,"Jul",'Lab Data'!$AV$5:$AV$23,"Y"))</f>
        <v>1.57</v>
      </c>
      <c r="I8" s="13" t="str">
        <f t="shared" si="0"/>
        <v>Met</v>
      </c>
      <c r="J8" s="13" t="str">
        <f t="shared" si="1"/>
        <v>Met</v>
      </c>
      <c r="K8" s="13" t="str">
        <f>IF(AND(E8&gt;=F8,L8&gt;=Parameters!$B$30),"Met","Below frequency")</f>
        <v>Below frequency</v>
      </c>
      <c r="L8" s="17">
        <f>IF(E8=0,0,_xlfn.MAXIFS('Lab Data'!$BX$5:$BX$23,'Lab Data'!$C$5:$C$23,"Jul",'Lab Data'!$AV$5:$AV$23,"Y")-_xlfn.MINIFS('Lab Data'!$BX$5:$BX$23,'Lab Data'!$C$5:$C$23,"Jul",'Lab Data'!$AV$5:$AV$23,"Y"))</f>
        <v>0</v>
      </c>
    </row>
    <row r="9" spans="1:12" x14ac:dyDescent="0.2">
      <c r="A9" s="13" t="s">
        <v>374</v>
      </c>
      <c r="B9" s="13" t="s">
        <v>19</v>
      </c>
      <c r="C9" s="16">
        <f>Parameters!$B$8</f>
        <v>2.61</v>
      </c>
      <c r="D9" s="16">
        <f>Parameters!$C$8</f>
        <v>1.48</v>
      </c>
      <c r="E9" s="17">
        <f>COUNTIFS('Lab Data'!$C$5:$C$23,"Jul",'Lab Data'!$BE$5:$BE$23,"Y")</f>
        <v>0</v>
      </c>
      <c r="F9" s="17">
        <f>Parameters!$B$15</f>
        <v>2</v>
      </c>
      <c r="G9" s="18" t="str">
        <f>IF(E9=0,"none",ROUND(AVERAGEIFS('Lab Data'!$BG$5:$BG$23,'Lab Data'!$C$5:$C$23,"Jul",'Lab Data'!$BE$5:$BE$23,"Y"),3))</f>
        <v>none</v>
      </c>
      <c r="H9" s="18" t="str">
        <f>IF(E9=0,"none",_xlfn.MAXIFS('Lab Data'!$BG$5:$BG$23,'Lab Data'!$C$5:$C$23,"Jul",'Lab Data'!$BE$5:$BE$23,"Y"))</f>
        <v>none</v>
      </c>
      <c r="I9" s="13" t="str">
        <f t="shared" si="0"/>
        <v>No valid sample</v>
      </c>
      <c r="J9" s="13" t="str">
        <f t="shared" si="1"/>
        <v>No valid sample</v>
      </c>
      <c r="K9" s="13" t="str">
        <f>IF(AND(E9&gt;=F9,L9&gt;=Parameters!$B$30),"Met","Below frequency")</f>
        <v>Below frequency</v>
      </c>
      <c r="L9" s="17">
        <f>IF(E9=0,0,_xlfn.MAXIFS('Lab Data'!$BX$5:$BX$23,'Lab Data'!$C$5:$C$23,"Jul",'Lab Data'!$BE$5:$BE$23,"Y")-_xlfn.MINIFS('Lab Data'!$BX$5:$BX$23,'Lab Data'!$C$5:$C$23,"Jul",'Lab Data'!$BE$5:$BE$23,"Y"))</f>
        <v>0</v>
      </c>
    </row>
    <row r="10" spans="1:12" x14ac:dyDescent="0.2">
      <c r="A10" s="13" t="s">
        <v>374</v>
      </c>
      <c r="B10" s="13" t="s">
        <v>20</v>
      </c>
      <c r="C10" s="16">
        <f>Parameters!$B$9</f>
        <v>1.2</v>
      </c>
      <c r="D10" s="16">
        <f>Parameters!$C$9</f>
        <v>0.65</v>
      </c>
      <c r="E10" s="17">
        <f>COUNTIFS('Lab Data'!$C$5:$C$23,"Jul",'Lab Data'!$BN$5:$BN$23,"Y")</f>
        <v>1</v>
      </c>
      <c r="F10" s="17">
        <f>Parameters!$B$15</f>
        <v>2</v>
      </c>
      <c r="G10" s="18">
        <f>IF(E10=0,"none",ROUND(AVERAGEIFS('Lab Data'!$BP$5:$BP$23,'Lab Data'!$C$5:$C$23,"Jul",'Lab Data'!$BN$5:$BN$23,"Y"),3))</f>
        <v>0.27</v>
      </c>
      <c r="H10" s="18">
        <f>IF(E10=0,"none",_xlfn.MAXIFS('Lab Data'!$BP$5:$BP$23,'Lab Data'!$C$5:$C$23,"Jul",'Lab Data'!$BN$5:$BN$23,"Y"))</f>
        <v>0.27</v>
      </c>
      <c r="I10" s="13" t="str">
        <f t="shared" si="0"/>
        <v>Met</v>
      </c>
      <c r="J10" s="13" t="str">
        <f t="shared" si="1"/>
        <v>Met</v>
      </c>
      <c r="K10" s="13" t="str">
        <f>IF(AND(E10&gt;=F10,L10&gt;=Parameters!$B$30),"Met","Below frequency")</f>
        <v>Below frequency</v>
      </c>
      <c r="L10" s="17">
        <f>IF(E10=0,0,_xlfn.MAXIFS('Lab Data'!$BX$5:$BX$23,'Lab Data'!$C$5:$C$23,"Jul",'Lab Data'!$BN$5:$BN$23,"Y")-_xlfn.MINIFS('Lab Data'!$BX$5:$BX$23,'Lab Data'!$C$5:$C$23,"Jul",'Lab Data'!$BN$5:$BN$23,"Y"))</f>
        <v>0</v>
      </c>
    </row>
    <row r="11" spans="1:12" x14ac:dyDescent="0.2">
      <c r="A11" s="13" t="s">
        <v>391</v>
      </c>
      <c r="B11" s="13" t="s">
        <v>15</v>
      </c>
      <c r="C11" s="16">
        <f>Parameters!$B$4</f>
        <v>0.11</v>
      </c>
      <c r="D11" s="16">
        <f>Parameters!$C$4</f>
        <v>0.07</v>
      </c>
      <c r="E11" s="17">
        <f>COUNTIFS('Lab Data'!$C$5:$C$23,"Aug",'Lab Data'!$U$5:$U$23,"Y")</f>
        <v>3</v>
      </c>
      <c r="F11" s="17">
        <f>Parameters!$B$15</f>
        <v>2</v>
      </c>
      <c r="G11" s="18">
        <f>IF(E11=0,"none",ROUND(AVERAGEIFS('Lab Data'!$W$5:$W$23,'Lab Data'!$C$5:$C$23,"Aug",'Lab Data'!$U$5:$U$23,"Y"),3))</f>
        <v>0.005</v>
      </c>
      <c r="H11" s="18">
        <f>IF(E11=0,"none",_xlfn.MAXIFS('Lab Data'!$W$5:$W$23,'Lab Data'!$C$5:$C$23,"Aug",'Lab Data'!$U$5:$U$23,"Y"))</f>
        <v>0.014</v>
      </c>
      <c r="I11" s="13" t="str">
        <f t="shared" si="0"/>
        <v>Met</v>
      </c>
      <c r="J11" s="13" t="str">
        <f t="shared" si="1"/>
        <v>Met</v>
      </c>
      <c r="K11" s="13" t="str">
        <f>IF(AND(E11&gt;=F11,L11&gt;=Parameters!$B$30),"Met","Below frequency")</f>
        <v>Met</v>
      </c>
      <c r="L11" s="17">
        <f>IF(E11=0,0,_xlfn.MAXIFS('Lab Data'!$BX$5:$BX$23,'Lab Data'!$C$5:$C$23,"Aug",'Lab Data'!$U$5:$U$23,"Y")-_xlfn.MINIFS('Lab Data'!$BX$5:$BX$23,'Lab Data'!$C$5:$C$23,"Aug",'Lab Data'!$U$5:$U$23,"Y"))</f>
        <v>14</v>
      </c>
    </row>
    <row r="12" spans="1:12" x14ac:dyDescent="0.2">
      <c r="A12" s="13" t="s">
        <v>391</v>
      </c>
      <c r="B12" s="13" t="s">
        <v>16</v>
      </c>
      <c r="C12" s="16">
        <f>Parameters!$B$5</f>
        <v>2.77</v>
      </c>
      <c r="D12" s="16">
        <f>Parameters!$C$5</f>
        <v>1.71</v>
      </c>
      <c r="E12" s="17">
        <f>COUNTIFS('Lab Data'!$C$5:$C$23,"Aug",'Lab Data'!$AD$5:$AD$23,"Y")</f>
        <v>3</v>
      </c>
      <c r="F12" s="17">
        <f>Parameters!$B$15</f>
        <v>2</v>
      </c>
      <c r="G12" s="18">
        <f>IF(E12=0,"none",ROUND(AVERAGEIFS('Lab Data'!$AF$5:$AF$23,'Lab Data'!$C$5:$C$23,"Aug",'Lab Data'!$AD$5:$AD$23,"Y"),3))</f>
        <v>0.697</v>
      </c>
      <c r="H12" s="18">
        <f>IF(E12=0,"none",_xlfn.MAXIFS('Lab Data'!$AF$5:$AF$23,'Lab Data'!$C$5:$C$23,"Aug",'Lab Data'!$AD$5:$AD$23,"Y"))</f>
        <v>0.74</v>
      </c>
      <c r="I12" s="13" t="str">
        <f t="shared" si="0"/>
        <v>Met</v>
      </c>
      <c r="J12" s="13" t="str">
        <f t="shared" si="1"/>
        <v>Met</v>
      </c>
      <c r="K12" s="13" t="str">
        <f>IF(AND(E12&gt;=F12,L12&gt;=Parameters!$B$30),"Met","Below frequency")</f>
        <v>Met</v>
      </c>
      <c r="L12" s="17">
        <f>IF(E12=0,0,_xlfn.MAXIFS('Lab Data'!$BX$5:$BX$23,'Lab Data'!$C$5:$C$23,"Aug",'Lab Data'!$AD$5:$AD$23,"Y")-_xlfn.MINIFS('Lab Data'!$BX$5:$BX$23,'Lab Data'!$C$5:$C$23,"Aug",'Lab Data'!$AD$5:$AD$23,"Y"))</f>
        <v>14</v>
      </c>
    </row>
    <row r="13" spans="1:12" x14ac:dyDescent="0.2">
      <c r="A13" s="13" t="s">
        <v>391</v>
      </c>
      <c r="B13" s="13" t="s">
        <v>17</v>
      </c>
      <c r="C13" s="16">
        <f>Parameters!$B$6</f>
        <v>3.38</v>
      </c>
      <c r="D13" s="16">
        <f>Parameters!$C$6</f>
        <v>2.07</v>
      </c>
      <c r="E13" s="17">
        <f>COUNTIFS('Lab Data'!$C$5:$C$23,"Aug",'Lab Data'!$AM$5:$AM$23,"Y")</f>
        <v>3</v>
      </c>
      <c r="F13" s="17">
        <f>Parameters!$B$15</f>
        <v>2</v>
      </c>
      <c r="G13" s="18">
        <f>IF(E13=0,"none",ROUND(AVERAGEIFS('Lab Data'!$AO$5:$AO$23,'Lab Data'!$C$5:$C$23,"Aug",'Lab Data'!$AM$5:$AM$23,"Y"),3))</f>
        <v>3.977</v>
      </c>
      <c r="H13" s="18">
        <f>IF(E13=0,"none",_xlfn.MAXIFS('Lab Data'!$AO$5:$AO$23,'Lab Data'!$C$5:$C$23,"Aug",'Lab Data'!$AM$5:$AM$23,"Y"))</f>
        <v>4.33</v>
      </c>
      <c r="I13" s="13" t="str">
        <f t="shared" si="0"/>
        <v>Exceeded</v>
      </c>
      <c r="J13" s="13" t="str">
        <f t="shared" si="1"/>
        <v>Exceeded</v>
      </c>
      <c r="K13" s="13" t="str">
        <f>IF(AND(E13&gt;=F13,L13&gt;=Parameters!$B$30),"Met","Below frequency")</f>
        <v>Met</v>
      </c>
      <c r="L13" s="17">
        <f>IF(E13=0,0,_xlfn.MAXIFS('Lab Data'!$BX$5:$BX$23,'Lab Data'!$C$5:$C$23,"Aug",'Lab Data'!$AM$5:$AM$23,"Y")-_xlfn.MINIFS('Lab Data'!$BX$5:$BX$23,'Lab Data'!$C$5:$C$23,"Aug",'Lab Data'!$AM$5:$AM$23,"Y"))</f>
        <v>14</v>
      </c>
    </row>
    <row r="14" spans="1:12" x14ac:dyDescent="0.2">
      <c r="A14" s="13" t="s">
        <v>391</v>
      </c>
      <c r="B14" s="13" t="s">
        <v>18</v>
      </c>
      <c r="C14" s="16">
        <f>Parameters!$B$7</f>
        <v>3.98</v>
      </c>
      <c r="D14" s="16">
        <f>Parameters!$C$7</f>
        <v>2.38</v>
      </c>
      <c r="E14" s="17">
        <f>COUNTIFS('Lab Data'!$C$5:$C$23,"Aug",'Lab Data'!$AV$5:$AV$23,"Y")</f>
        <v>3</v>
      </c>
      <c r="F14" s="17">
        <f>Parameters!$B$15</f>
        <v>2</v>
      </c>
      <c r="G14" s="18">
        <f>IF(E14=0,"none",ROUND(AVERAGEIFS('Lab Data'!$AX$5:$AX$23,'Lab Data'!$C$5:$C$23,"Aug",'Lab Data'!$AV$5:$AV$23,"Y"),3))</f>
        <v>2.083</v>
      </c>
      <c r="H14" s="18">
        <f>IF(E14=0,"none",_xlfn.MAXIFS('Lab Data'!$AX$5:$AX$23,'Lab Data'!$C$5:$C$23,"Aug",'Lab Data'!$AV$5:$AV$23,"Y"))</f>
        <v>2.61</v>
      </c>
      <c r="I14" s="13" t="str">
        <f t="shared" si="0"/>
        <v>Met</v>
      </c>
      <c r="J14" s="13" t="str">
        <f t="shared" si="1"/>
        <v>Met</v>
      </c>
      <c r="K14" s="13" t="str">
        <f>IF(AND(E14&gt;=F14,L14&gt;=Parameters!$B$30),"Met","Below frequency")</f>
        <v>Met</v>
      </c>
      <c r="L14" s="17">
        <f>IF(E14=0,0,_xlfn.MAXIFS('Lab Data'!$BX$5:$BX$23,'Lab Data'!$C$5:$C$23,"Aug",'Lab Data'!$AV$5:$AV$23,"Y")-_xlfn.MINIFS('Lab Data'!$BX$5:$BX$23,'Lab Data'!$C$5:$C$23,"Aug",'Lab Data'!$AV$5:$AV$23,"Y"))</f>
        <v>14</v>
      </c>
    </row>
    <row r="15" spans="1:12" x14ac:dyDescent="0.2">
      <c r="A15" s="13" t="s">
        <v>391</v>
      </c>
      <c r="B15" s="13" t="s">
        <v>19</v>
      </c>
      <c r="C15" s="16">
        <f>Parameters!$B$8</f>
        <v>2.61</v>
      </c>
      <c r="D15" s="16">
        <f>Parameters!$C$8</f>
        <v>1.48</v>
      </c>
      <c r="E15" s="17">
        <f>COUNTIFS('Lab Data'!$C$5:$C$23,"Aug",'Lab Data'!$BE$5:$BE$23,"Y")</f>
        <v>3</v>
      </c>
      <c r="F15" s="17">
        <f>Parameters!$B$15</f>
        <v>2</v>
      </c>
      <c r="G15" s="18">
        <f>IF(E15=0,"none",ROUND(AVERAGEIFS('Lab Data'!$BG$5:$BG$23,'Lab Data'!$C$5:$C$23,"Aug",'Lab Data'!$BE$5:$BE$23,"Y"),3))</f>
        <v>1.093</v>
      </c>
      <c r="H15" s="18">
        <f>IF(E15=0,"none",_xlfn.MAXIFS('Lab Data'!$BG$5:$BG$23,'Lab Data'!$C$5:$C$23,"Aug",'Lab Data'!$BE$5:$BE$23,"Y"))</f>
        <v>1.21</v>
      </c>
      <c r="I15" s="13" t="str">
        <f t="shared" si="0"/>
        <v>Met</v>
      </c>
      <c r="J15" s="13" t="str">
        <f t="shared" si="1"/>
        <v>Met</v>
      </c>
      <c r="K15" s="13" t="str">
        <f>IF(AND(E15&gt;=F15,L15&gt;=Parameters!$B$30),"Met","Below frequency")</f>
        <v>Met</v>
      </c>
      <c r="L15" s="17">
        <f>IF(E15=0,0,_xlfn.MAXIFS('Lab Data'!$BX$5:$BX$23,'Lab Data'!$C$5:$C$23,"Aug",'Lab Data'!$BE$5:$BE$23,"Y")-_xlfn.MINIFS('Lab Data'!$BX$5:$BX$23,'Lab Data'!$C$5:$C$23,"Aug",'Lab Data'!$BE$5:$BE$23,"Y"))</f>
        <v>14</v>
      </c>
    </row>
    <row r="16" spans="1:12" x14ac:dyDescent="0.2">
      <c r="A16" s="13" t="s">
        <v>391</v>
      </c>
      <c r="B16" s="13" t="s">
        <v>20</v>
      </c>
      <c r="C16" s="16">
        <f>Parameters!$B$9</f>
        <v>1.2</v>
      </c>
      <c r="D16" s="16">
        <f>Parameters!$C$9</f>
        <v>0.65</v>
      </c>
      <c r="E16" s="17">
        <f>COUNTIFS('Lab Data'!$C$5:$C$23,"Aug",'Lab Data'!$BN$5:$BN$23,"Y")</f>
        <v>2</v>
      </c>
      <c r="F16" s="17">
        <f>Parameters!$B$15</f>
        <v>2</v>
      </c>
      <c r="G16" s="18">
        <f>IF(E16=0,"none",ROUND(AVERAGEIFS('Lab Data'!$BP$5:$BP$23,'Lab Data'!$C$5:$C$23,"Aug",'Lab Data'!$BN$5:$BN$23,"Y"),3))</f>
        <v>0.255</v>
      </c>
      <c r="H16" s="18">
        <f>IF(E16=0,"none",_xlfn.MAXIFS('Lab Data'!$BP$5:$BP$23,'Lab Data'!$C$5:$C$23,"Aug",'Lab Data'!$BN$5:$BN$23,"Y"))</f>
        <v>0.29</v>
      </c>
      <c r="I16" s="13" t="str">
        <f t="shared" si="0"/>
        <v>Met</v>
      </c>
      <c r="J16" s="13" t="str">
        <f t="shared" si="1"/>
        <v>Met</v>
      </c>
      <c r="K16" s="13" t="str">
        <f>IF(AND(E16&gt;=F16,L16&gt;=Parameters!$B$30),"Met","Below frequency")</f>
        <v>Below frequency</v>
      </c>
      <c r="L16" s="17">
        <f>IF(E16=0,0,_xlfn.MAXIFS('Lab Data'!$BX$5:$BX$23,'Lab Data'!$C$5:$C$23,"Aug",'Lab Data'!$BN$5:$BN$23,"Y")-_xlfn.MINIFS('Lab Data'!$BX$5:$BX$23,'Lab Data'!$C$5:$C$23,"Aug",'Lab Data'!$BN$5:$BN$23,"Y"))</f>
        <v>6</v>
      </c>
    </row>
    <row r="17" spans="1:12" x14ac:dyDescent="0.2">
      <c r="A17" s="13" t="s">
        <v>425</v>
      </c>
      <c r="B17" s="13" t="s">
        <v>15</v>
      </c>
      <c r="C17" s="16">
        <f>Parameters!$B$4</f>
        <v>0.11</v>
      </c>
      <c r="D17" s="16">
        <f>Parameters!$C$4</f>
        <v>0.07</v>
      </c>
      <c r="E17" s="17">
        <f>COUNTIFS('Lab Data'!$C$5:$C$23,"Sep",'Lab Data'!$U$5:$U$23,"Y")</f>
        <v>3</v>
      </c>
      <c r="F17" s="17">
        <f>Parameters!$B$15</f>
        <v>2</v>
      </c>
      <c r="G17" s="18">
        <f>IF(E17=0,"none",ROUND(AVERAGEIFS('Lab Data'!$W$5:$W$23,'Lab Data'!$C$5:$C$23,"Sep",'Lab Data'!$U$5:$U$23,"Y"),3))</f>
        <v>0.004</v>
      </c>
      <c r="H17" s="18">
        <f>IF(E17=0,"none",_xlfn.MAXIFS('Lab Data'!$W$5:$W$23,'Lab Data'!$C$5:$C$23,"Sep",'Lab Data'!$U$5:$U$23,"Y"))</f>
        <v>0.012</v>
      </c>
      <c r="I17" s="13" t="str">
        <f t="shared" si="0"/>
        <v>Met</v>
      </c>
      <c r="J17" s="13" t="str">
        <f t="shared" si="1"/>
        <v>Met</v>
      </c>
      <c r="K17" s="13" t="str">
        <f>IF(AND(E17&gt;=F17,L17&gt;=Parameters!$B$30),"Met","Below frequency")</f>
        <v>Met</v>
      </c>
      <c r="L17" s="17">
        <f>IF(E17=0,0,_xlfn.MAXIFS('Lab Data'!$BX$5:$BX$23,'Lab Data'!$C$5:$C$23,"Sep",'Lab Data'!$U$5:$U$23,"Y")-_xlfn.MINIFS('Lab Data'!$BX$5:$BX$23,'Lab Data'!$C$5:$C$23,"Sep",'Lab Data'!$U$5:$U$23,"Y"))</f>
        <v>14</v>
      </c>
    </row>
    <row r="18" spans="1:12" x14ac:dyDescent="0.2">
      <c r="A18" s="13" t="s">
        <v>425</v>
      </c>
      <c r="B18" s="13" t="s">
        <v>16</v>
      </c>
      <c r="C18" s="16">
        <f>Parameters!$B$5</f>
        <v>2.77</v>
      </c>
      <c r="D18" s="16">
        <f>Parameters!$C$5</f>
        <v>1.71</v>
      </c>
      <c r="E18" s="17">
        <f>COUNTIFS('Lab Data'!$C$5:$C$23,"Sep",'Lab Data'!$AD$5:$AD$23,"Y")</f>
        <v>3</v>
      </c>
      <c r="F18" s="17">
        <f>Parameters!$B$15</f>
        <v>2</v>
      </c>
      <c r="G18" s="18">
        <f>IF(E18=0,"none",ROUND(AVERAGEIFS('Lab Data'!$AF$5:$AF$23,'Lab Data'!$C$5:$C$23,"Sep",'Lab Data'!$AD$5:$AD$23,"Y"),3))</f>
        <v>0.697</v>
      </c>
      <c r="H18" s="18">
        <f>IF(E18=0,"none",_xlfn.MAXIFS('Lab Data'!$AF$5:$AF$23,'Lab Data'!$C$5:$C$23,"Sep",'Lab Data'!$AD$5:$AD$23,"Y"))</f>
        <v>1.02</v>
      </c>
      <c r="I18" s="13" t="str">
        <f t="shared" si="0"/>
        <v>Met</v>
      </c>
      <c r="J18" s="13" t="str">
        <f t="shared" si="1"/>
        <v>Met</v>
      </c>
      <c r="K18" s="13" t="str">
        <f>IF(AND(E18&gt;=F18,L18&gt;=Parameters!$B$30),"Met","Below frequency")</f>
        <v>Met</v>
      </c>
      <c r="L18" s="17">
        <f>IF(E18=0,0,_xlfn.MAXIFS('Lab Data'!$BX$5:$BX$23,'Lab Data'!$C$5:$C$23,"Sep",'Lab Data'!$AD$5:$AD$23,"Y")-_xlfn.MINIFS('Lab Data'!$BX$5:$BX$23,'Lab Data'!$C$5:$C$23,"Sep",'Lab Data'!$AD$5:$AD$23,"Y"))</f>
        <v>14</v>
      </c>
    </row>
    <row r="19" spans="1:12" x14ac:dyDescent="0.2">
      <c r="A19" s="13" t="s">
        <v>425</v>
      </c>
      <c r="B19" s="13" t="s">
        <v>17</v>
      </c>
      <c r="C19" s="16">
        <f>Parameters!$B$6</f>
        <v>3.38</v>
      </c>
      <c r="D19" s="16">
        <f>Parameters!$C$6</f>
        <v>2.07</v>
      </c>
      <c r="E19" s="17">
        <f>COUNTIFS('Lab Data'!$C$5:$C$23,"Sep",'Lab Data'!$AM$5:$AM$23,"Y")</f>
        <v>3</v>
      </c>
      <c r="F19" s="17">
        <f>Parameters!$B$15</f>
        <v>2</v>
      </c>
      <c r="G19" s="18">
        <f>IF(E19=0,"none",ROUND(AVERAGEIFS('Lab Data'!$AO$5:$AO$23,'Lab Data'!$C$5:$C$23,"Sep",'Lab Data'!$AM$5:$AM$23,"Y"),3))</f>
        <v>2.053</v>
      </c>
      <c r="H19" s="18">
        <f>IF(E19=0,"none",_xlfn.MAXIFS('Lab Data'!$AO$5:$AO$23,'Lab Data'!$C$5:$C$23,"Sep",'Lab Data'!$AM$5:$AM$23,"Y"))</f>
        <v>2.96</v>
      </c>
      <c r="I19" s="13" t="str">
        <f t="shared" si="0"/>
        <v>Met</v>
      </c>
      <c r="J19" s="13" t="str">
        <f t="shared" si="1"/>
        <v>Met</v>
      </c>
      <c r="K19" s="13" t="str">
        <f>IF(AND(E19&gt;=F19,L19&gt;=Parameters!$B$30),"Met","Below frequency")</f>
        <v>Met</v>
      </c>
      <c r="L19" s="17">
        <f>IF(E19=0,0,_xlfn.MAXIFS('Lab Data'!$BX$5:$BX$23,'Lab Data'!$C$5:$C$23,"Sep",'Lab Data'!$AM$5:$AM$23,"Y")-_xlfn.MINIFS('Lab Data'!$BX$5:$BX$23,'Lab Data'!$C$5:$C$23,"Sep",'Lab Data'!$AM$5:$AM$23,"Y"))</f>
        <v>14</v>
      </c>
    </row>
    <row r="20" spans="1:12" x14ac:dyDescent="0.2">
      <c r="A20" s="13" t="s">
        <v>425</v>
      </c>
      <c r="B20" s="13" t="s">
        <v>18</v>
      </c>
      <c r="C20" s="16">
        <f>Parameters!$B$7</f>
        <v>3.98</v>
      </c>
      <c r="D20" s="16">
        <f>Parameters!$C$7</f>
        <v>2.38</v>
      </c>
      <c r="E20" s="17">
        <f>COUNTIFS('Lab Data'!$C$5:$C$23,"Sep",'Lab Data'!$AV$5:$AV$23,"Y")</f>
        <v>3</v>
      </c>
      <c r="F20" s="17">
        <f>Parameters!$B$15</f>
        <v>2</v>
      </c>
      <c r="G20" s="18">
        <f>IF(E20=0,"none",ROUND(AVERAGEIFS('Lab Data'!$AX$5:$AX$23,'Lab Data'!$C$5:$C$23,"Sep",'Lab Data'!$AV$5:$AV$23,"Y"),3))</f>
        <v>1.15</v>
      </c>
      <c r="H20" s="18">
        <f>IF(E20=0,"none",_xlfn.MAXIFS('Lab Data'!$AX$5:$AX$23,'Lab Data'!$C$5:$C$23,"Sep",'Lab Data'!$AV$5:$AV$23,"Y"))</f>
        <v>1.36</v>
      </c>
      <c r="I20" s="13" t="str">
        <f t="shared" si="0"/>
        <v>Met</v>
      </c>
      <c r="J20" s="13" t="str">
        <f t="shared" si="1"/>
        <v>Met</v>
      </c>
      <c r="K20" s="13" t="str">
        <f>IF(AND(E20&gt;=F20,L20&gt;=Parameters!$B$30),"Met","Below frequency")</f>
        <v>Met</v>
      </c>
      <c r="L20" s="17">
        <f>IF(E20=0,0,_xlfn.MAXIFS('Lab Data'!$BX$5:$BX$23,'Lab Data'!$C$5:$C$23,"Sep",'Lab Data'!$AV$5:$AV$23,"Y")-_xlfn.MINIFS('Lab Data'!$BX$5:$BX$23,'Lab Data'!$C$5:$C$23,"Sep",'Lab Data'!$AV$5:$AV$23,"Y"))</f>
        <v>14</v>
      </c>
    </row>
    <row r="21" spans="1:12" x14ac:dyDescent="0.2">
      <c r="A21" s="13" t="s">
        <v>425</v>
      </c>
      <c r="B21" s="13" t="s">
        <v>19</v>
      </c>
      <c r="C21" s="16">
        <f>Parameters!$B$8</f>
        <v>2.61</v>
      </c>
      <c r="D21" s="16">
        <f>Parameters!$C$8</f>
        <v>1.48</v>
      </c>
      <c r="E21" s="17">
        <f>COUNTIFS('Lab Data'!$C$5:$C$23,"Sep",'Lab Data'!$BE$5:$BE$23,"Y")</f>
        <v>3</v>
      </c>
      <c r="F21" s="17">
        <f>Parameters!$B$15</f>
        <v>2</v>
      </c>
      <c r="G21" s="18">
        <f>IF(E21=0,"none",ROUND(AVERAGEIFS('Lab Data'!$BG$5:$BG$23,'Lab Data'!$C$5:$C$23,"Sep",'Lab Data'!$BE$5:$BE$23,"Y"),3))</f>
        <v>1.653</v>
      </c>
      <c r="H21" s="18">
        <f>IF(E21=0,"none",_xlfn.MAXIFS('Lab Data'!$BG$5:$BG$23,'Lab Data'!$C$5:$C$23,"Sep",'Lab Data'!$BE$5:$BE$23,"Y"))</f>
        <v>3.14</v>
      </c>
      <c r="I21" s="13" t="str">
        <f t="shared" si="0"/>
        <v>Exceeded</v>
      </c>
      <c r="J21" s="13" t="str">
        <f t="shared" si="1"/>
        <v>Exceeded</v>
      </c>
      <c r="K21" s="13" t="str">
        <f>IF(AND(E21&gt;=F21,L21&gt;=Parameters!$B$30),"Met","Below frequency")</f>
        <v>Met</v>
      </c>
      <c r="L21" s="17">
        <f>IF(E21=0,0,_xlfn.MAXIFS('Lab Data'!$BX$5:$BX$23,'Lab Data'!$C$5:$C$23,"Sep",'Lab Data'!$BE$5:$BE$23,"Y")-_xlfn.MINIFS('Lab Data'!$BX$5:$BX$23,'Lab Data'!$C$5:$C$23,"Sep",'Lab Data'!$BE$5:$BE$23,"Y"))</f>
        <v>14</v>
      </c>
    </row>
    <row r="22" spans="1:12" x14ac:dyDescent="0.2">
      <c r="A22" s="13" t="s">
        <v>425</v>
      </c>
      <c r="B22" s="13" t="s">
        <v>20</v>
      </c>
      <c r="C22" s="16">
        <f>Parameters!$B$9</f>
        <v>1.2</v>
      </c>
      <c r="D22" s="16">
        <f>Parameters!$C$9</f>
        <v>0.65</v>
      </c>
      <c r="E22" s="17">
        <f>COUNTIFS('Lab Data'!$C$5:$C$23,"Sep",'Lab Data'!$BN$5:$BN$23,"Y")</f>
        <v>1</v>
      </c>
      <c r="F22" s="17">
        <f>Parameters!$B$15</f>
        <v>2</v>
      </c>
      <c r="G22" s="18">
        <f>IF(E22=0,"none",ROUND(AVERAGEIFS('Lab Data'!$BP$5:$BP$23,'Lab Data'!$C$5:$C$23,"Sep",'Lab Data'!$BN$5:$BN$23,"Y"),3))</f>
        <v>0.24</v>
      </c>
      <c r="H22" s="18">
        <f>IF(E22=0,"none",_xlfn.MAXIFS('Lab Data'!$BP$5:$BP$23,'Lab Data'!$C$5:$C$23,"Sep",'Lab Data'!$BN$5:$BN$23,"Y"))</f>
        <v>0.24</v>
      </c>
      <c r="I22" s="13" t="str">
        <f t="shared" si="0"/>
        <v>Met</v>
      </c>
      <c r="J22" s="13" t="str">
        <f t="shared" si="1"/>
        <v>Met</v>
      </c>
      <c r="K22" s="13" t="str">
        <f>IF(AND(E22&gt;=F22,L22&gt;=Parameters!$B$30),"Met","Below frequency")</f>
        <v>Below frequency</v>
      </c>
      <c r="L22" s="17">
        <f>IF(E22=0,0,_xlfn.MAXIFS('Lab Data'!$BX$5:$BX$23,'Lab Data'!$C$5:$C$23,"Sep",'Lab Data'!$BN$5:$BN$23,"Y")-_xlfn.MINIFS('Lab Data'!$BX$5:$BX$23,'Lab Data'!$C$5:$C$23,"Sep",'Lab Data'!$BN$5:$BN$23,"Y"))</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8"/>
  <sheetViews>
    <sheetView workbookViewId="0"/>
  </sheetViews>
  <sheetFormatPr baseColWidth="10" defaultColWidth="8.83203125" defaultRowHeight="15" x14ac:dyDescent="0.2"/>
  <cols>
    <col min="1" max="1" width="30" customWidth="1"/>
    <col min="2" max="2" width="22" customWidth="1"/>
    <col min="3" max="3" width="40" customWidth="1"/>
    <col min="4" max="4" width="46" customWidth="1"/>
    <col min="5" max="5" width="14" customWidth="1"/>
    <col min="6" max="6" width="12" customWidth="1"/>
    <col min="7" max="7" width="16" customWidth="1"/>
    <col min="8" max="8" width="14" customWidth="1"/>
    <col min="9" max="9" width="18" customWidth="1"/>
    <col min="10" max="11" width="12" customWidth="1"/>
    <col min="12" max="12" width="32" customWidth="1"/>
    <col min="13" max="14" width="12" customWidth="1"/>
  </cols>
  <sheetData>
    <row r="1" spans="1:14" ht="16" customHeight="1" x14ac:dyDescent="0.2">
      <c r="A1" s="12" t="s">
        <v>458</v>
      </c>
    </row>
    <row r="2" spans="1:14" x14ac:dyDescent="0.2">
      <c r="A2" s="13" t="s">
        <v>459</v>
      </c>
    </row>
    <row r="4" spans="1:14" x14ac:dyDescent="0.2">
      <c r="A4" s="15" t="s">
        <v>5</v>
      </c>
      <c r="B4" s="15" t="s">
        <v>460</v>
      </c>
      <c r="C4" s="15" t="s">
        <v>450</v>
      </c>
      <c r="D4" s="15" t="s">
        <v>461</v>
      </c>
      <c r="E4" s="15" t="s">
        <v>462</v>
      </c>
      <c r="F4" s="15" t="s">
        <v>463</v>
      </c>
      <c r="G4" s="15" t="s">
        <v>464</v>
      </c>
      <c r="H4" s="15" t="s">
        <v>465</v>
      </c>
      <c r="I4" s="15" t="s">
        <v>466</v>
      </c>
      <c r="J4" s="15" t="s">
        <v>467</v>
      </c>
      <c r="K4" s="15" t="s">
        <v>468</v>
      </c>
      <c r="L4" s="15" t="s">
        <v>469</v>
      </c>
      <c r="M4" s="15" t="s">
        <v>470</v>
      </c>
      <c r="N4" s="15" t="s">
        <v>471</v>
      </c>
    </row>
    <row r="5" spans="1:14" x14ac:dyDescent="0.2">
      <c r="A5" s="13" t="s">
        <v>15</v>
      </c>
      <c r="B5" s="17">
        <f>COUNTIFS('Lab Data'!$Y$5:$Y$23,"Y")</f>
        <v>14</v>
      </c>
      <c r="C5" s="16">
        <f>Parameters!$B$4</f>
        <v>0.11</v>
      </c>
      <c r="D5" s="19">
        <f>Parameters!$B$16</f>
        <v>1.2</v>
      </c>
      <c r="E5" s="18">
        <f t="shared" ref="E5:E10" si="0">ROUND(C5*D5,3)</f>
        <v>0.132</v>
      </c>
      <c r="F5" s="17">
        <f>COUNTIFS('Lab Data'!$X$5:$X$23,"&gt;"&amp;C5,'Lab Data'!$Y$5:$Y$23,"Y")</f>
        <v>0</v>
      </c>
      <c r="G5" s="19">
        <f t="shared" ref="G5:G10" si="1">ROUND(F5/B5*100,1)</f>
        <v>0</v>
      </c>
      <c r="H5" s="17">
        <f>COUNTIFS('Lab Data'!$X$5:$X$23,"&gt;"&amp;E5,'Lab Data'!$Y$5:$Y$23,"Y")</f>
        <v>0</v>
      </c>
      <c r="I5" s="19">
        <f t="shared" ref="I5:I10" si="2">ROUND(H5/B5*100,1)</f>
        <v>0</v>
      </c>
      <c r="J5" s="13" t="str">
        <f>IF(G5&gt;=Parameters!$B$17,"Yes","No")</f>
        <v>No</v>
      </c>
      <c r="K5" s="13" t="str">
        <f>IF(I5&gt;=Parameters!$B$18,"Yes","No")</f>
        <v>No</v>
      </c>
      <c r="L5" s="26" t="str">
        <f t="shared" ref="L5:L10" si="3">IF(OR(J5="Yes",K5="Yes"),"Significant noncompliance","Not in significant noncompliance")</f>
        <v>Not in significant noncompliance</v>
      </c>
      <c r="M5" s="17">
        <f>Parameters!$B$17</f>
        <v>66</v>
      </c>
      <c r="N5" s="17">
        <f>Parameters!$B$18</f>
        <v>33</v>
      </c>
    </row>
    <row r="6" spans="1:14" x14ac:dyDescent="0.2">
      <c r="A6" s="13" t="s">
        <v>16</v>
      </c>
      <c r="B6" s="17">
        <f>COUNTIFS('Lab Data'!$AH$5:$AH$23,"Y")</f>
        <v>14</v>
      </c>
      <c r="C6" s="16">
        <f>Parameters!$B$5</f>
        <v>2.77</v>
      </c>
      <c r="D6" s="19">
        <f>Parameters!$B$16</f>
        <v>1.2</v>
      </c>
      <c r="E6" s="18">
        <f t="shared" si="0"/>
        <v>3.324</v>
      </c>
      <c r="F6" s="17">
        <f>COUNTIFS('Lab Data'!$AG$5:$AG$23,"&gt;"&amp;C6,'Lab Data'!$AH$5:$AH$23,"Y")</f>
        <v>0</v>
      </c>
      <c r="G6" s="19">
        <f t="shared" si="1"/>
        <v>0</v>
      </c>
      <c r="H6" s="17">
        <f>COUNTIFS('Lab Data'!$AG$5:$AG$23,"&gt;"&amp;E6,'Lab Data'!$AH$5:$AH$23,"Y")</f>
        <v>0</v>
      </c>
      <c r="I6" s="19">
        <f t="shared" si="2"/>
        <v>0</v>
      </c>
      <c r="J6" s="13" t="str">
        <f>IF(G6&gt;=Parameters!$B$17,"Yes","No")</f>
        <v>No</v>
      </c>
      <c r="K6" s="13" t="str">
        <f>IF(I6&gt;=Parameters!$B$18,"Yes","No")</f>
        <v>No</v>
      </c>
      <c r="L6" s="26" t="str">
        <f t="shared" si="3"/>
        <v>Not in significant noncompliance</v>
      </c>
      <c r="M6" s="17">
        <f>Parameters!$B$17</f>
        <v>66</v>
      </c>
      <c r="N6" s="17">
        <f>Parameters!$B$18</f>
        <v>33</v>
      </c>
    </row>
    <row r="7" spans="1:14" x14ac:dyDescent="0.2">
      <c r="A7" s="13" t="s">
        <v>17</v>
      </c>
      <c r="B7" s="17">
        <f>COUNTIFS('Lab Data'!$AQ$5:$AQ$23,"Y")</f>
        <v>14</v>
      </c>
      <c r="C7" s="16">
        <f>Parameters!$B$6</f>
        <v>3.38</v>
      </c>
      <c r="D7" s="19">
        <f>Parameters!$B$16</f>
        <v>1.2</v>
      </c>
      <c r="E7" s="18">
        <f t="shared" si="0"/>
        <v>4.056</v>
      </c>
      <c r="F7" s="17">
        <f>COUNTIFS('Lab Data'!$AP$5:$AP$23,"&gt;"&amp;C7,'Lab Data'!$AQ$5:$AQ$23,"Y")</f>
        <v>7</v>
      </c>
      <c r="G7" s="19">
        <f t="shared" si="1"/>
        <v>50</v>
      </c>
      <c r="H7" s="17">
        <f>COUNTIFS('Lab Data'!$AP$5:$AP$23,"&gt;"&amp;E7,'Lab Data'!$AQ$5:$AQ$23,"Y")</f>
        <v>4</v>
      </c>
      <c r="I7" s="19">
        <f t="shared" si="2"/>
        <v>28.6</v>
      </c>
      <c r="J7" s="13" t="str">
        <f>IF(G7&gt;=Parameters!$B$17,"Yes","No")</f>
        <v>No</v>
      </c>
      <c r="K7" s="13" t="str">
        <f>IF(I7&gt;=Parameters!$B$18,"Yes","No")</f>
        <v>No</v>
      </c>
      <c r="L7" s="26" t="str">
        <f t="shared" si="3"/>
        <v>Not in significant noncompliance</v>
      </c>
      <c r="M7" s="17">
        <f>Parameters!$B$17</f>
        <v>66</v>
      </c>
      <c r="N7" s="17">
        <f>Parameters!$B$18</f>
        <v>33</v>
      </c>
    </row>
    <row r="8" spans="1:14" x14ac:dyDescent="0.2">
      <c r="A8" s="13" t="s">
        <v>18</v>
      </c>
      <c r="B8" s="17">
        <f>COUNTIFS('Lab Data'!$AZ$5:$AZ$23,"Y")</f>
        <v>14</v>
      </c>
      <c r="C8" s="16">
        <f>Parameters!$B$7</f>
        <v>3.98</v>
      </c>
      <c r="D8" s="19">
        <f>Parameters!$B$16</f>
        <v>1.2</v>
      </c>
      <c r="E8" s="18">
        <f t="shared" si="0"/>
        <v>4.776</v>
      </c>
      <c r="F8" s="17">
        <f>COUNTIFS('Lab Data'!$AY$5:$AY$23,"&gt;"&amp;C8,'Lab Data'!$AZ$5:$AZ$23,"Y")</f>
        <v>0</v>
      </c>
      <c r="G8" s="19">
        <f t="shared" si="1"/>
        <v>0</v>
      </c>
      <c r="H8" s="17">
        <f>COUNTIFS('Lab Data'!$AY$5:$AY$23,"&gt;"&amp;E8,'Lab Data'!$AZ$5:$AZ$23,"Y")</f>
        <v>0</v>
      </c>
      <c r="I8" s="19">
        <f t="shared" si="2"/>
        <v>0</v>
      </c>
      <c r="J8" s="13" t="str">
        <f>IF(G8&gt;=Parameters!$B$17,"Yes","No")</f>
        <v>No</v>
      </c>
      <c r="K8" s="13" t="str">
        <f>IF(I8&gt;=Parameters!$B$18,"Yes","No")</f>
        <v>No</v>
      </c>
      <c r="L8" s="26" t="str">
        <f t="shared" si="3"/>
        <v>Not in significant noncompliance</v>
      </c>
      <c r="M8" s="17">
        <f>Parameters!$B$17</f>
        <v>66</v>
      </c>
      <c r="N8" s="17">
        <f>Parameters!$B$18</f>
        <v>33</v>
      </c>
    </row>
    <row r="9" spans="1:14" x14ac:dyDescent="0.2">
      <c r="A9" s="13" t="s">
        <v>19</v>
      </c>
      <c r="B9" s="17">
        <f>COUNTIFS('Lab Data'!$BI$5:$BI$23,"Y")</f>
        <v>13</v>
      </c>
      <c r="C9" s="16">
        <f>Parameters!$B$8</f>
        <v>2.61</v>
      </c>
      <c r="D9" s="19">
        <f>Parameters!$B$16</f>
        <v>1.2</v>
      </c>
      <c r="E9" s="18">
        <f t="shared" si="0"/>
        <v>3.132</v>
      </c>
      <c r="F9" s="17">
        <f>COUNTIFS('Lab Data'!$BH$5:$BH$23,"&gt;"&amp;C9,'Lab Data'!$BI$5:$BI$23,"Y")</f>
        <v>4</v>
      </c>
      <c r="G9" s="19">
        <f t="shared" si="1"/>
        <v>30.8</v>
      </c>
      <c r="H9" s="17">
        <f>COUNTIFS('Lab Data'!$BH$5:$BH$23,"&gt;"&amp;E9,'Lab Data'!$BI$5:$BI$23,"Y")</f>
        <v>4</v>
      </c>
      <c r="I9" s="19">
        <f t="shared" si="2"/>
        <v>30.8</v>
      </c>
      <c r="J9" s="13" t="str">
        <f>IF(G9&gt;=Parameters!$B$17,"Yes","No")</f>
        <v>No</v>
      </c>
      <c r="K9" s="13" t="str">
        <f>IF(I9&gt;=Parameters!$B$18,"Yes","No")</f>
        <v>No</v>
      </c>
      <c r="L9" s="26" t="str">
        <f t="shared" si="3"/>
        <v>Not in significant noncompliance</v>
      </c>
      <c r="M9" s="17">
        <f>Parameters!$B$17</f>
        <v>66</v>
      </c>
      <c r="N9" s="17">
        <f>Parameters!$B$18</f>
        <v>33</v>
      </c>
    </row>
    <row r="10" spans="1:14" x14ac:dyDescent="0.2">
      <c r="A10" s="13" t="s">
        <v>20</v>
      </c>
      <c r="B10" s="17">
        <f>COUNTIFS('Lab Data'!$BR$5:$BR$23,"Y")</f>
        <v>10</v>
      </c>
      <c r="C10" s="16">
        <f>Parameters!$B$9</f>
        <v>1.2</v>
      </c>
      <c r="D10" s="19">
        <f>Parameters!$B$16</f>
        <v>1.2</v>
      </c>
      <c r="E10" s="18">
        <f t="shared" si="0"/>
        <v>1.44</v>
      </c>
      <c r="F10" s="17">
        <f>COUNTIFS('Lab Data'!$BQ$5:$BQ$23,"&gt;"&amp;C10,'Lab Data'!$BR$5:$BR$23,"Y")</f>
        <v>0</v>
      </c>
      <c r="G10" s="19">
        <f t="shared" si="1"/>
        <v>0</v>
      </c>
      <c r="H10" s="17">
        <f>COUNTIFS('Lab Data'!$BQ$5:$BQ$23,"&gt;"&amp;E10,'Lab Data'!$BR$5:$BR$23,"Y")</f>
        <v>0</v>
      </c>
      <c r="I10" s="19">
        <f t="shared" si="2"/>
        <v>0</v>
      </c>
      <c r="J10" s="13" t="str">
        <f>IF(G10&gt;=Parameters!$B$17,"Yes","No")</f>
        <v>No</v>
      </c>
      <c r="K10" s="13" t="str">
        <f>IF(I10&gt;=Parameters!$B$18,"Yes","No")</f>
        <v>No</v>
      </c>
      <c r="L10" s="26" t="str">
        <f t="shared" si="3"/>
        <v>Not in significant noncompliance</v>
      </c>
      <c r="M10" s="17">
        <f>Parameters!$B$17</f>
        <v>66</v>
      </c>
      <c r="N10" s="17">
        <f>Parameters!$B$18</f>
        <v>33</v>
      </c>
    </row>
    <row r="12" spans="1:14" x14ac:dyDescent="0.2">
      <c r="A12" s="13" t="s">
        <v>472</v>
      </c>
    </row>
    <row r="14" spans="1:14" x14ac:dyDescent="0.2">
      <c r="A14" s="15" t="s">
        <v>473</v>
      </c>
      <c r="B14" s="15" t="s">
        <v>474</v>
      </c>
      <c r="C14" s="15" t="s">
        <v>475</v>
      </c>
      <c r="D14" s="15" t="s">
        <v>476</v>
      </c>
    </row>
    <row r="15" spans="1:14" ht="28" customHeight="1" x14ac:dyDescent="0.2">
      <c r="A15" s="21" t="s">
        <v>477</v>
      </c>
      <c r="B15" s="21" t="s">
        <v>478</v>
      </c>
      <c r="C15" s="21" t="s">
        <v>296</v>
      </c>
      <c r="D15" s="21" t="s">
        <v>479</v>
      </c>
    </row>
    <row r="16" spans="1:14" ht="42" customHeight="1" x14ac:dyDescent="0.2">
      <c r="A16" s="21" t="s">
        <v>480</v>
      </c>
      <c r="B16" s="21" t="s">
        <v>481</v>
      </c>
      <c r="C16" s="21" t="s">
        <v>482</v>
      </c>
      <c r="D16" s="21" t="s">
        <v>483</v>
      </c>
    </row>
    <row r="17" spans="1:4" ht="28" customHeight="1" x14ac:dyDescent="0.2">
      <c r="A17" s="21" t="s">
        <v>484</v>
      </c>
      <c r="B17" s="21" t="s">
        <v>485</v>
      </c>
      <c r="C17" s="21" t="s">
        <v>486</v>
      </c>
      <c r="D17" s="21" t="s">
        <v>487</v>
      </c>
    </row>
    <row r="18" spans="1:4" ht="42" customHeight="1" x14ac:dyDescent="0.2">
      <c r="A18" s="21" t="s">
        <v>488</v>
      </c>
      <c r="B18" s="21" t="s">
        <v>489</v>
      </c>
      <c r="C18" s="21" t="s">
        <v>490</v>
      </c>
      <c r="D18" s="21" t="s">
        <v>491</v>
      </c>
    </row>
    <row r="19" spans="1:4" ht="28" customHeight="1" x14ac:dyDescent="0.2">
      <c r="A19" s="21" t="s">
        <v>492</v>
      </c>
      <c r="B19" s="21" t="s">
        <v>493</v>
      </c>
      <c r="C19" s="21" t="s">
        <v>494</v>
      </c>
      <c r="D19" s="21" t="s">
        <v>495</v>
      </c>
    </row>
    <row r="20" spans="1:4" ht="56" customHeight="1" x14ac:dyDescent="0.2">
      <c r="A20" s="21" t="s">
        <v>496</v>
      </c>
      <c r="B20" s="21" t="s">
        <v>497</v>
      </c>
      <c r="C20" s="21" t="s">
        <v>498</v>
      </c>
      <c r="D20" s="21" t="s">
        <v>499</v>
      </c>
    </row>
    <row r="21" spans="1:4" ht="42" customHeight="1" x14ac:dyDescent="0.2">
      <c r="A21" s="21" t="s">
        <v>500</v>
      </c>
      <c r="B21" s="21" t="s">
        <v>501</v>
      </c>
      <c r="C21" s="21" t="s">
        <v>502</v>
      </c>
      <c r="D21" s="21" t="s">
        <v>503</v>
      </c>
    </row>
    <row r="22" spans="1:4" ht="42" customHeight="1" x14ac:dyDescent="0.2">
      <c r="A22" s="21" t="s">
        <v>484</v>
      </c>
      <c r="B22" s="21" t="s">
        <v>489</v>
      </c>
      <c r="C22" s="21" t="s">
        <v>504</v>
      </c>
      <c r="D22" s="21" t="s">
        <v>491</v>
      </c>
    </row>
    <row r="23" spans="1:4" ht="28" customHeight="1" x14ac:dyDescent="0.2">
      <c r="A23" s="21" t="s">
        <v>505</v>
      </c>
      <c r="B23" s="21" t="s">
        <v>489</v>
      </c>
      <c r="C23" s="21" t="s">
        <v>506</v>
      </c>
      <c r="D23" s="21" t="s">
        <v>507</v>
      </c>
    </row>
    <row r="24" spans="1:4" x14ac:dyDescent="0.2">
      <c r="A24" s="21"/>
      <c r="B24" s="21"/>
      <c r="C24" s="21"/>
      <c r="D24" s="21"/>
    </row>
    <row r="25" spans="1:4" x14ac:dyDescent="0.2">
      <c r="A25" s="15" t="s">
        <v>508</v>
      </c>
      <c r="B25" s="15" t="s">
        <v>509</v>
      </c>
      <c r="C25" s="15" t="s">
        <v>475</v>
      </c>
      <c r="D25" s="15" t="s">
        <v>476</v>
      </c>
    </row>
    <row r="26" spans="1:4" ht="56" customHeight="1" x14ac:dyDescent="0.2">
      <c r="A26" s="21" t="s">
        <v>510</v>
      </c>
      <c r="B26" s="21" t="s">
        <v>511</v>
      </c>
      <c r="C26" s="21" t="s">
        <v>512</v>
      </c>
      <c r="D26" s="21" t="s">
        <v>513</v>
      </c>
    </row>
    <row r="27" spans="1:4" ht="56" customHeight="1" x14ac:dyDescent="0.2">
      <c r="A27" s="21" t="s">
        <v>514</v>
      </c>
      <c r="B27" s="21" t="s">
        <v>515</v>
      </c>
      <c r="C27" s="21" t="s">
        <v>516</v>
      </c>
      <c r="D27" s="21" t="s">
        <v>517</v>
      </c>
    </row>
    <row r="28" spans="1:4" ht="56" customHeight="1" x14ac:dyDescent="0.2">
      <c r="A28" s="21" t="s">
        <v>518</v>
      </c>
      <c r="B28" s="21" t="s">
        <v>519</v>
      </c>
      <c r="C28" s="21" t="s">
        <v>520</v>
      </c>
      <c r="D28" s="21" t="s">
        <v>521</v>
      </c>
    </row>
    <row r="29" spans="1:4" ht="42" customHeight="1" x14ac:dyDescent="0.2">
      <c r="A29" s="21" t="s">
        <v>522</v>
      </c>
      <c r="B29" s="21" t="s">
        <v>523</v>
      </c>
      <c r="C29" s="21" t="s">
        <v>524</v>
      </c>
      <c r="D29" s="21" t="s">
        <v>525</v>
      </c>
    </row>
    <row r="30" spans="1:4" ht="28" customHeight="1" x14ac:dyDescent="0.2">
      <c r="A30" s="21" t="s">
        <v>522</v>
      </c>
      <c r="B30" s="21" t="s">
        <v>526</v>
      </c>
      <c r="C30" s="21" t="s">
        <v>527</v>
      </c>
      <c r="D30" s="21" t="s">
        <v>528</v>
      </c>
    </row>
    <row r="31" spans="1:4" ht="28" customHeight="1" x14ac:dyDescent="0.2">
      <c r="A31" s="21" t="s">
        <v>529</v>
      </c>
      <c r="B31" s="21" t="s">
        <v>526</v>
      </c>
      <c r="C31" s="21" t="s">
        <v>530</v>
      </c>
      <c r="D31" s="21" t="s">
        <v>531</v>
      </c>
    </row>
    <row r="32" spans="1:4" ht="42" customHeight="1" x14ac:dyDescent="0.2">
      <c r="A32" s="21" t="s">
        <v>532</v>
      </c>
      <c r="B32" s="21" t="s">
        <v>533</v>
      </c>
      <c r="C32" s="21" t="s">
        <v>534</v>
      </c>
      <c r="D32" s="21" t="s">
        <v>535</v>
      </c>
    </row>
    <row r="34" spans="1:6" x14ac:dyDescent="0.2">
      <c r="A34" s="15" t="s">
        <v>536</v>
      </c>
      <c r="B34" s="15" t="s">
        <v>537</v>
      </c>
      <c r="C34" s="15" t="s">
        <v>538</v>
      </c>
      <c r="D34" s="15" t="s">
        <v>539</v>
      </c>
      <c r="E34" s="15" t="s">
        <v>540</v>
      </c>
      <c r="F34" s="15" t="s">
        <v>541</v>
      </c>
    </row>
    <row r="35" spans="1:6" x14ac:dyDescent="0.2">
      <c r="A35" s="13" t="s">
        <v>542</v>
      </c>
      <c r="B35" s="13" t="s">
        <v>543</v>
      </c>
      <c r="C35" s="13" t="s">
        <v>544</v>
      </c>
      <c r="D35" s="26" t="s">
        <v>545</v>
      </c>
      <c r="E35" s="13" t="s">
        <v>546</v>
      </c>
      <c r="F35" s="17">
        <f>_xlfn.DAYS(DATE(2026,5,28),DATE(2026,4,15))</f>
        <v>43</v>
      </c>
    </row>
    <row r="36" spans="1:6" x14ac:dyDescent="0.2">
      <c r="A36" s="13" t="s">
        <v>547</v>
      </c>
      <c r="B36" s="13" t="s">
        <v>548</v>
      </c>
      <c r="C36" s="13" t="s">
        <v>103</v>
      </c>
      <c r="D36" s="13" t="s">
        <v>549</v>
      </c>
      <c r="E36" s="13" t="s">
        <v>418</v>
      </c>
      <c r="F36" s="17">
        <f>_xlfn.DAYS(DATE(2026,8,31),DATE(2026,7,15))</f>
        <v>47</v>
      </c>
    </row>
    <row r="37" spans="1:6" x14ac:dyDescent="0.2">
      <c r="A37" s="13" t="s">
        <v>550</v>
      </c>
    </row>
    <row r="38" spans="1:6" x14ac:dyDescent="0.2">
      <c r="A38" s="26" t="s">
        <v>155</v>
      </c>
      <c r="B38" s="26" t="str">
        <f>IF(OR(D35="Significant noncompliance",D36="Significant noncompliance",COUNTIFS(L5:L10,"Significant noncompliance")&gt;0),"Significant noncompliance","Not in significant noncompliance")</f>
        <v>Significant noncompliance</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0"/>
  <sheetViews>
    <sheetView workbookViewId="0">
      <pane ySplit="4" topLeftCell="A5" activePane="bottomLeft" state="frozen"/>
      <selection pane="bottomLeft"/>
    </sheetView>
  </sheetViews>
  <sheetFormatPr baseColWidth="10" defaultColWidth="8.83203125" defaultRowHeight="15" x14ac:dyDescent="0.2"/>
  <cols>
    <col min="1" max="1" width="52" customWidth="1"/>
    <col min="2" max="2" width="24" customWidth="1"/>
    <col min="3" max="3" width="30" customWidth="1"/>
    <col min="4" max="4" width="22" customWidth="1"/>
    <col min="5" max="5" width="12" customWidth="1"/>
    <col min="6" max="6" width="70" customWidth="1"/>
  </cols>
  <sheetData>
    <row r="1" spans="1:6" ht="16" customHeight="1" x14ac:dyDescent="0.2">
      <c r="A1" s="1" t="s">
        <v>551</v>
      </c>
    </row>
    <row r="2" spans="1:6" x14ac:dyDescent="0.2">
      <c r="A2" s="2" t="s">
        <v>552</v>
      </c>
    </row>
    <row r="3" spans="1:6" x14ac:dyDescent="0.2">
      <c r="A3" s="3" t="s">
        <v>34</v>
      </c>
      <c r="B3" s="3" t="s">
        <v>206</v>
      </c>
      <c r="C3" s="3" t="s">
        <v>553</v>
      </c>
      <c r="D3" s="3" t="s">
        <v>554</v>
      </c>
      <c r="E3" s="3" t="s">
        <v>555</v>
      </c>
      <c r="F3" s="3" t="s">
        <v>556</v>
      </c>
    </row>
    <row r="4" spans="1:6" x14ac:dyDescent="0.2">
      <c r="A4" s="2" t="s">
        <v>557</v>
      </c>
      <c r="C4" s="7">
        <v>4850733</v>
      </c>
    </row>
    <row r="5" spans="1:6" x14ac:dyDescent="0.2">
      <c r="A5" s="2" t="s">
        <v>558</v>
      </c>
      <c r="B5" s="2" t="s">
        <v>374</v>
      </c>
      <c r="C5" s="7">
        <v>4888995</v>
      </c>
      <c r="D5" s="7">
        <f t="shared" ref="D5:D20" si="0">C5-C4</f>
        <v>38262</v>
      </c>
      <c r="E5" s="2" t="str">
        <f>IF(D5&gt;Parameters!$B$12,"Yes","No")</f>
        <v>No</v>
      </c>
    </row>
    <row r="6" spans="1:6" x14ac:dyDescent="0.2">
      <c r="A6" s="2" t="s">
        <v>559</v>
      </c>
      <c r="B6" s="2" t="s">
        <v>374</v>
      </c>
      <c r="C6" s="7">
        <v>4928908</v>
      </c>
      <c r="D6" s="7">
        <f t="shared" si="0"/>
        <v>39913</v>
      </c>
      <c r="E6" s="2" t="str">
        <f>IF(D6&gt;Parameters!$B$12,"Yes","No")</f>
        <v>No</v>
      </c>
    </row>
    <row r="7" spans="1:6" x14ac:dyDescent="0.2">
      <c r="A7" s="2" t="s">
        <v>560</v>
      </c>
      <c r="B7" s="2" t="s">
        <v>374</v>
      </c>
      <c r="C7" s="7">
        <v>4928908</v>
      </c>
      <c r="D7" s="7">
        <f t="shared" si="0"/>
        <v>0</v>
      </c>
      <c r="E7" s="2" t="str">
        <f>IF(D7&gt;Parameters!$B$12,"Yes","No")</f>
        <v>No</v>
      </c>
    </row>
    <row r="8" spans="1:6" x14ac:dyDescent="0.2">
      <c r="A8" s="2" t="s">
        <v>561</v>
      </c>
      <c r="B8" s="2" t="s">
        <v>374</v>
      </c>
      <c r="C8" s="7">
        <v>4930795</v>
      </c>
      <c r="D8" s="7">
        <f t="shared" si="0"/>
        <v>1887</v>
      </c>
      <c r="E8" s="2" t="str">
        <f>IF(D8&gt;Parameters!$B$12,"Yes","No")</f>
        <v>No</v>
      </c>
    </row>
    <row r="9" spans="1:6" x14ac:dyDescent="0.2">
      <c r="A9" s="2" t="s">
        <v>562</v>
      </c>
      <c r="B9" s="2" t="s">
        <v>374</v>
      </c>
      <c r="C9" s="7">
        <v>4934115</v>
      </c>
      <c r="D9" s="7">
        <f t="shared" si="0"/>
        <v>3320</v>
      </c>
      <c r="E9" s="2" t="str">
        <f>IF(D9&gt;Parameters!$B$12,"Yes","No")</f>
        <v>No</v>
      </c>
    </row>
    <row r="10" spans="1:6" x14ac:dyDescent="0.2">
      <c r="A10" s="2" t="s">
        <v>563</v>
      </c>
      <c r="B10" s="2" t="s">
        <v>374</v>
      </c>
      <c r="C10" s="7">
        <v>4966879</v>
      </c>
      <c r="D10" s="7">
        <f t="shared" si="0"/>
        <v>32764</v>
      </c>
      <c r="E10" s="2" t="str">
        <f>IF(D10&gt;Parameters!$B$12,"Yes","No")</f>
        <v>No</v>
      </c>
    </row>
    <row r="11" spans="1:6" x14ac:dyDescent="0.2">
      <c r="A11" s="2" t="s">
        <v>373</v>
      </c>
      <c r="B11" s="2" t="s">
        <v>374</v>
      </c>
      <c r="C11" s="7">
        <v>5005480</v>
      </c>
      <c r="D11" s="7">
        <f t="shared" si="0"/>
        <v>38601</v>
      </c>
      <c r="E11" s="2" t="str">
        <f>IF(D11&gt;Parameters!$B$12,"Yes","No")</f>
        <v>No</v>
      </c>
    </row>
    <row r="12" spans="1:6" x14ac:dyDescent="0.2">
      <c r="A12" s="2" t="s">
        <v>564</v>
      </c>
      <c r="B12" s="2" t="s">
        <v>374</v>
      </c>
      <c r="C12" s="7">
        <v>5040060</v>
      </c>
      <c r="D12" s="7">
        <f t="shared" si="0"/>
        <v>34580</v>
      </c>
      <c r="E12" s="2" t="str">
        <f>IF(D12&gt;Parameters!$B$12,"Yes","No")</f>
        <v>No</v>
      </c>
    </row>
    <row r="13" spans="1:6" x14ac:dyDescent="0.2">
      <c r="A13" s="2" t="s">
        <v>565</v>
      </c>
      <c r="B13" s="2" t="s">
        <v>374</v>
      </c>
      <c r="C13" s="7">
        <v>5073651</v>
      </c>
      <c r="D13" s="7">
        <f t="shared" si="0"/>
        <v>33591</v>
      </c>
      <c r="E13" s="2" t="str">
        <f>IF(D13&gt;Parameters!$B$12,"Yes","No")</f>
        <v>No</v>
      </c>
    </row>
    <row r="14" spans="1:6" x14ac:dyDescent="0.2">
      <c r="A14" s="2" t="s">
        <v>566</v>
      </c>
      <c r="B14" s="2" t="s">
        <v>374</v>
      </c>
      <c r="C14" s="7">
        <v>5109294</v>
      </c>
      <c r="D14" s="7">
        <f t="shared" si="0"/>
        <v>35643</v>
      </c>
      <c r="E14" s="2" t="str">
        <f>IF(D14&gt;Parameters!$B$12,"Yes","No")</f>
        <v>No</v>
      </c>
    </row>
    <row r="15" spans="1:6" x14ac:dyDescent="0.2">
      <c r="A15" s="2" t="s">
        <v>375</v>
      </c>
      <c r="B15" s="2" t="s">
        <v>374</v>
      </c>
      <c r="C15" s="7">
        <v>5111030</v>
      </c>
      <c r="D15" s="7">
        <f t="shared" si="0"/>
        <v>1736</v>
      </c>
      <c r="E15" s="2" t="str">
        <f>IF(D15&gt;Parameters!$B$12,"Yes","No")</f>
        <v>No</v>
      </c>
    </row>
    <row r="16" spans="1:6" x14ac:dyDescent="0.2">
      <c r="A16" s="2" t="s">
        <v>567</v>
      </c>
      <c r="B16" s="2" t="s">
        <v>374</v>
      </c>
      <c r="C16" s="7">
        <v>5113301</v>
      </c>
      <c r="D16" s="7">
        <f t="shared" si="0"/>
        <v>2271</v>
      </c>
      <c r="E16" s="2" t="str">
        <f>IF(D16&gt;Parameters!$B$12,"Yes","No")</f>
        <v>No</v>
      </c>
    </row>
    <row r="17" spans="1:5" x14ac:dyDescent="0.2">
      <c r="A17" s="2" t="s">
        <v>376</v>
      </c>
      <c r="B17" s="2" t="s">
        <v>374</v>
      </c>
      <c r="C17" s="7">
        <v>5144730</v>
      </c>
      <c r="D17" s="7">
        <f t="shared" si="0"/>
        <v>31429</v>
      </c>
      <c r="E17" s="2" t="str">
        <f>IF(D17&gt;Parameters!$B$12,"Yes","No")</f>
        <v>No</v>
      </c>
    </row>
    <row r="18" spans="1:5" x14ac:dyDescent="0.2">
      <c r="A18" s="2" t="s">
        <v>568</v>
      </c>
      <c r="B18" s="2" t="s">
        <v>374</v>
      </c>
      <c r="C18" s="7">
        <v>5182044</v>
      </c>
      <c r="D18" s="7">
        <f t="shared" si="0"/>
        <v>37314</v>
      </c>
      <c r="E18" s="2" t="str">
        <f>IF(D18&gt;Parameters!$B$12,"Yes","No")</f>
        <v>No</v>
      </c>
    </row>
    <row r="19" spans="1:5" x14ac:dyDescent="0.2">
      <c r="A19" s="2" t="s">
        <v>548</v>
      </c>
      <c r="B19" s="2" t="s">
        <v>374</v>
      </c>
      <c r="C19" s="7">
        <v>5214542</v>
      </c>
      <c r="D19" s="7">
        <f t="shared" si="0"/>
        <v>32498</v>
      </c>
      <c r="E19" s="2" t="str">
        <f>IF(D19&gt;Parameters!$B$12,"Yes","No")</f>
        <v>No</v>
      </c>
    </row>
    <row r="20" spans="1:5" x14ac:dyDescent="0.2">
      <c r="A20" s="2" t="s">
        <v>569</v>
      </c>
      <c r="B20" s="2" t="s">
        <v>374</v>
      </c>
      <c r="C20" s="7">
        <v>5244482</v>
      </c>
      <c r="D20" s="7">
        <f t="shared" si="0"/>
        <v>29940</v>
      </c>
      <c r="E20" s="2" t="str">
        <f>IF(D20&gt;Parameters!$B$12,"Yes","No")</f>
        <v>No</v>
      </c>
    </row>
    <row r="21" spans="1:5" x14ac:dyDescent="0.2">
      <c r="A21" s="2" t="s">
        <v>570</v>
      </c>
      <c r="B21" s="2"/>
      <c r="C21" s="7">
        <v>0</v>
      </c>
      <c r="D21" s="7"/>
      <c r="E21" s="2"/>
    </row>
    <row r="22" spans="1:5" x14ac:dyDescent="0.2">
      <c r="A22" s="2" t="s">
        <v>571</v>
      </c>
      <c r="B22" s="2" t="s">
        <v>374</v>
      </c>
      <c r="C22" s="7">
        <v>30947</v>
      </c>
      <c r="D22" s="7">
        <f t="shared" ref="D22:D53" si="1">C22-C21</f>
        <v>30947</v>
      </c>
      <c r="E22" s="2" t="str">
        <f>IF(D22&gt;Parameters!$B$12,"Yes","No")</f>
        <v>No</v>
      </c>
    </row>
    <row r="23" spans="1:5" x14ac:dyDescent="0.2">
      <c r="A23" s="2" t="s">
        <v>572</v>
      </c>
      <c r="B23" s="2" t="s">
        <v>374</v>
      </c>
      <c r="C23" s="7">
        <v>33477</v>
      </c>
      <c r="D23" s="7">
        <f t="shared" si="1"/>
        <v>2530</v>
      </c>
      <c r="E23" s="2" t="str">
        <f>IF(D23&gt;Parameters!$B$12,"Yes","No")</f>
        <v>No</v>
      </c>
    </row>
    <row r="24" spans="1:5" x14ac:dyDescent="0.2">
      <c r="A24" s="2" t="s">
        <v>573</v>
      </c>
      <c r="B24" s="2" t="s">
        <v>374</v>
      </c>
      <c r="C24" s="7">
        <v>36718</v>
      </c>
      <c r="D24" s="7">
        <f t="shared" si="1"/>
        <v>3241</v>
      </c>
      <c r="E24" s="2" t="str">
        <f>IF(D24&gt;Parameters!$B$12,"Yes","No")</f>
        <v>No</v>
      </c>
    </row>
    <row r="25" spans="1:5" x14ac:dyDescent="0.2">
      <c r="A25" s="2" t="s">
        <v>574</v>
      </c>
      <c r="B25" s="2" t="s">
        <v>374</v>
      </c>
      <c r="C25" s="7">
        <v>63743</v>
      </c>
      <c r="D25" s="7">
        <f t="shared" si="1"/>
        <v>27025</v>
      </c>
      <c r="E25" s="2" t="str">
        <f>IF(D25&gt;Parameters!$B$12,"Yes","No")</f>
        <v>No</v>
      </c>
    </row>
    <row r="26" spans="1:5" x14ac:dyDescent="0.2">
      <c r="A26" s="2" t="s">
        <v>40</v>
      </c>
      <c r="B26" s="2" t="s">
        <v>374</v>
      </c>
      <c r="C26" s="7">
        <v>103622</v>
      </c>
      <c r="D26" s="7">
        <f t="shared" si="1"/>
        <v>39879</v>
      </c>
      <c r="E26" s="2" t="str">
        <f>IF(D26&gt;Parameters!$B$12,"Yes","No")</f>
        <v>No</v>
      </c>
    </row>
    <row r="27" spans="1:5" x14ac:dyDescent="0.2">
      <c r="A27" s="2" t="s">
        <v>575</v>
      </c>
      <c r="B27" s="2" t="s">
        <v>374</v>
      </c>
      <c r="C27" s="7">
        <v>136325</v>
      </c>
      <c r="D27" s="7">
        <f t="shared" si="1"/>
        <v>32703</v>
      </c>
      <c r="E27" s="2" t="str">
        <f>IF(D27&gt;Parameters!$B$12,"Yes","No")</f>
        <v>No</v>
      </c>
    </row>
    <row r="28" spans="1:5" x14ac:dyDescent="0.2">
      <c r="A28" s="2" t="s">
        <v>576</v>
      </c>
      <c r="B28" s="2" t="s">
        <v>374</v>
      </c>
      <c r="C28" s="7">
        <v>176511</v>
      </c>
      <c r="D28" s="7">
        <f t="shared" si="1"/>
        <v>40186</v>
      </c>
      <c r="E28" s="2" t="str">
        <f>IF(D28&gt;Parameters!$B$12,"Yes","No")</f>
        <v>No</v>
      </c>
    </row>
    <row r="29" spans="1:5" x14ac:dyDescent="0.2">
      <c r="A29" s="2" t="s">
        <v>577</v>
      </c>
      <c r="B29" s="2" t="s">
        <v>374</v>
      </c>
      <c r="C29" s="7">
        <v>216356</v>
      </c>
      <c r="D29" s="7">
        <f t="shared" si="1"/>
        <v>39845</v>
      </c>
      <c r="E29" s="2" t="str">
        <f>IF(D29&gt;Parameters!$B$12,"Yes","No")</f>
        <v>No</v>
      </c>
    </row>
    <row r="30" spans="1:5" x14ac:dyDescent="0.2">
      <c r="A30" s="2" t="s">
        <v>578</v>
      </c>
      <c r="B30" s="2" t="s">
        <v>374</v>
      </c>
      <c r="C30" s="7">
        <v>220335</v>
      </c>
      <c r="D30" s="7">
        <f t="shared" si="1"/>
        <v>3979</v>
      </c>
      <c r="E30" s="2" t="str">
        <f>IF(D30&gt;Parameters!$B$12,"Yes","No")</f>
        <v>No</v>
      </c>
    </row>
    <row r="31" spans="1:5" x14ac:dyDescent="0.2">
      <c r="A31" s="2" t="s">
        <v>63</v>
      </c>
      <c r="B31" s="2" t="s">
        <v>374</v>
      </c>
      <c r="C31" s="7">
        <v>223792</v>
      </c>
      <c r="D31" s="7">
        <f t="shared" si="1"/>
        <v>3457</v>
      </c>
      <c r="E31" s="2" t="str">
        <f>IF(D31&gt;Parameters!$B$12,"Yes","No")</f>
        <v>No</v>
      </c>
    </row>
    <row r="32" spans="1:5" x14ac:dyDescent="0.2">
      <c r="A32" s="2" t="s">
        <v>579</v>
      </c>
      <c r="B32" s="2" t="s">
        <v>374</v>
      </c>
      <c r="C32" s="7">
        <v>262703</v>
      </c>
      <c r="D32" s="7">
        <f t="shared" si="1"/>
        <v>38911</v>
      </c>
      <c r="E32" s="2" t="str">
        <f>IF(D32&gt;Parameters!$B$12,"Yes","No")</f>
        <v>No</v>
      </c>
    </row>
    <row r="33" spans="1:5" x14ac:dyDescent="0.2">
      <c r="A33" s="2" t="s">
        <v>580</v>
      </c>
      <c r="B33" s="2" t="s">
        <v>374</v>
      </c>
      <c r="C33" s="7">
        <v>307583</v>
      </c>
      <c r="D33" s="7">
        <f t="shared" si="1"/>
        <v>44880</v>
      </c>
      <c r="E33" s="2" t="str">
        <f>IF(D33&gt;Parameters!$B$12,"Yes","No")</f>
        <v>No</v>
      </c>
    </row>
    <row r="34" spans="1:5" x14ac:dyDescent="0.2">
      <c r="A34" s="2" t="s">
        <v>581</v>
      </c>
      <c r="B34" s="2" t="s">
        <v>374</v>
      </c>
      <c r="C34" s="7">
        <v>336064</v>
      </c>
      <c r="D34" s="7">
        <f t="shared" si="1"/>
        <v>28481</v>
      </c>
      <c r="E34" s="2" t="str">
        <f>IF(D34&gt;Parameters!$B$12,"Yes","No")</f>
        <v>No</v>
      </c>
    </row>
    <row r="35" spans="1:5" x14ac:dyDescent="0.2">
      <c r="A35" s="2" t="s">
        <v>582</v>
      </c>
      <c r="B35" s="2" t="s">
        <v>374</v>
      </c>
      <c r="C35" s="7">
        <v>365173</v>
      </c>
      <c r="D35" s="7">
        <f t="shared" si="1"/>
        <v>29109</v>
      </c>
      <c r="E35" s="2" t="str">
        <f>IF(D35&gt;Parameters!$B$12,"Yes","No")</f>
        <v>No</v>
      </c>
    </row>
    <row r="36" spans="1:5" x14ac:dyDescent="0.2">
      <c r="A36" s="2" t="s">
        <v>57</v>
      </c>
      <c r="B36" s="2" t="s">
        <v>374</v>
      </c>
      <c r="C36" s="7">
        <v>402867</v>
      </c>
      <c r="D36" s="7">
        <f t="shared" si="1"/>
        <v>37694</v>
      </c>
      <c r="E36" s="2" t="str">
        <f>IF(D36&gt;Parameters!$B$12,"Yes","No")</f>
        <v>No</v>
      </c>
    </row>
    <row r="37" spans="1:5" x14ac:dyDescent="0.2">
      <c r="A37" s="2" t="s">
        <v>583</v>
      </c>
      <c r="B37" s="2" t="s">
        <v>391</v>
      </c>
      <c r="C37" s="7">
        <v>405823</v>
      </c>
      <c r="D37" s="7">
        <f t="shared" si="1"/>
        <v>2956</v>
      </c>
      <c r="E37" s="2" t="str">
        <f>IF(D37&gt;Parameters!$B$12,"Yes","No")</f>
        <v>No</v>
      </c>
    </row>
    <row r="38" spans="1:5" x14ac:dyDescent="0.2">
      <c r="A38" s="2" t="s">
        <v>584</v>
      </c>
      <c r="B38" s="2" t="s">
        <v>391</v>
      </c>
      <c r="C38" s="7">
        <v>408837</v>
      </c>
      <c r="D38" s="7">
        <f t="shared" si="1"/>
        <v>3014</v>
      </c>
      <c r="E38" s="2" t="str">
        <f>IF(D38&gt;Parameters!$B$12,"Yes","No")</f>
        <v>No</v>
      </c>
    </row>
    <row r="39" spans="1:5" x14ac:dyDescent="0.2">
      <c r="A39" s="2" t="s">
        <v>585</v>
      </c>
      <c r="B39" s="2" t="s">
        <v>391</v>
      </c>
      <c r="C39" s="7">
        <v>446931</v>
      </c>
      <c r="D39" s="7">
        <f t="shared" si="1"/>
        <v>38094</v>
      </c>
      <c r="E39" s="2" t="str">
        <f>IF(D39&gt;Parameters!$B$12,"Yes","No")</f>
        <v>No</v>
      </c>
    </row>
    <row r="40" spans="1:5" x14ac:dyDescent="0.2">
      <c r="A40" s="2" t="s">
        <v>383</v>
      </c>
      <c r="B40" s="2" t="s">
        <v>391</v>
      </c>
      <c r="C40" s="7">
        <v>475421</v>
      </c>
      <c r="D40" s="7">
        <f t="shared" si="1"/>
        <v>28490</v>
      </c>
      <c r="E40" s="2" t="str">
        <f>IF(D40&gt;Parameters!$B$12,"Yes","No")</f>
        <v>No</v>
      </c>
    </row>
    <row r="41" spans="1:5" x14ac:dyDescent="0.2">
      <c r="A41" s="2" t="s">
        <v>586</v>
      </c>
      <c r="B41" s="2" t="s">
        <v>391</v>
      </c>
      <c r="C41" s="7">
        <v>515786</v>
      </c>
      <c r="D41" s="7">
        <f t="shared" si="1"/>
        <v>40365</v>
      </c>
      <c r="E41" s="2" t="str">
        <f>IF(D41&gt;Parameters!$B$12,"Yes","No")</f>
        <v>No</v>
      </c>
    </row>
    <row r="42" spans="1:5" x14ac:dyDescent="0.2">
      <c r="A42" s="2" t="s">
        <v>587</v>
      </c>
      <c r="B42" s="2" t="s">
        <v>391</v>
      </c>
      <c r="C42" s="7">
        <v>543050</v>
      </c>
      <c r="D42" s="7">
        <f t="shared" si="1"/>
        <v>27264</v>
      </c>
      <c r="E42" s="2" t="str">
        <f>IF(D42&gt;Parameters!$B$12,"Yes","No")</f>
        <v>No</v>
      </c>
    </row>
    <row r="43" spans="1:5" x14ac:dyDescent="0.2">
      <c r="A43" s="2" t="s">
        <v>588</v>
      </c>
      <c r="B43" s="2" t="s">
        <v>391</v>
      </c>
      <c r="C43" s="7">
        <v>571652</v>
      </c>
      <c r="D43" s="7">
        <f t="shared" si="1"/>
        <v>28602</v>
      </c>
      <c r="E43" s="2" t="str">
        <f>IF(D43&gt;Parameters!$B$12,"Yes","No")</f>
        <v>No</v>
      </c>
    </row>
    <row r="44" spans="1:5" x14ac:dyDescent="0.2">
      <c r="A44" s="2" t="s">
        <v>589</v>
      </c>
      <c r="B44" s="2" t="s">
        <v>391</v>
      </c>
      <c r="C44" s="7">
        <v>575017</v>
      </c>
      <c r="D44" s="7">
        <f t="shared" si="1"/>
        <v>3365</v>
      </c>
      <c r="E44" s="2" t="str">
        <f>IF(D44&gt;Parameters!$B$12,"Yes","No")</f>
        <v>No</v>
      </c>
    </row>
    <row r="45" spans="1:5" x14ac:dyDescent="0.2">
      <c r="A45" s="2" t="s">
        <v>590</v>
      </c>
      <c r="B45" s="2" t="s">
        <v>391</v>
      </c>
      <c r="C45" s="7">
        <v>576705</v>
      </c>
      <c r="D45" s="7">
        <f t="shared" si="1"/>
        <v>1688</v>
      </c>
      <c r="E45" s="2" t="str">
        <f>IF(D45&gt;Parameters!$B$12,"Yes","No")</f>
        <v>No</v>
      </c>
    </row>
    <row r="46" spans="1:5" x14ac:dyDescent="0.2">
      <c r="A46" s="2" t="s">
        <v>591</v>
      </c>
      <c r="B46" s="2" t="s">
        <v>391</v>
      </c>
      <c r="C46" s="7">
        <v>617789</v>
      </c>
      <c r="D46" s="7">
        <f t="shared" si="1"/>
        <v>41084</v>
      </c>
      <c r="E46" s="2" t="str">
        <f>IF(D46&gt;Parameters!$B$12,"Yes","No")</f>
        <v>No</v>
      </c>
    </row>
    <row r="47" spans="1:5" x14ac:dyDescent="0.2">
      <c r="A47" s="2" t="s">
        <v>72</v>
      </c>
      <c r="B47" s="2" t="s">
        <v>391</v>
      </c>
      <c r="C47" s="7">
        <v>657599</v>
      </c>
      <c r="D47" s="7">
        <f t="shared" si="1"/>
        <v>39810</v>
      </c>
      <c r="E47" s="2" t="str">
        <f>IF(D47&gt;Parameters!$B$12,"Yes","No")</f>
        <v>No</v>
      </c>
    </row>
    <row r="48" spans="1:5" x14ac:dyDescent="0.2">
      <c r="A48" s="2" t="s">
        <v>592</v>
      </c>
      <c r="B48" s="2" t="s">
        <v>391</v>
      </c>
      <c r="C48" s="7">
        <v>686236</v>
      </c>
      <c r="D48" s="7">
        <f t="shared" si="1"/>
        <v>28637</v>
      </c>
      <c r="E48" s="2" t="str">
        <f>IF(D48&gt;Parameters!$B$12,"Yes","No")</f>
        <v>No</v>
      </c>
    </row>
    <row r="49" spans="1:5" x14ac:dyDescent="0.2">
      <c r="A49" s="2" t="s">
        <v>74</v>
      </c>
      <c r="B49" s="2" t="s">
        <v>391</v>
      </c>
      <c r="C49" s="7">
        <v>732386</v>
      </c>
      <c r="D49" s="7">
        <f t="shared" si="1"/>
        <v>46150</v>
      </c>
      <c r="E49" s="2" t="str">
        <f>IF(D49&gt;Parameters!$B$12,"Yes","No")</f>
        <v>Yes</v>
      </c>
    </row>
    <row r="50" spans="1:5" x14ac:dyDescent="0.2">
      <c r="A50" s="2" t="s">
        <v>78</v>
      </c>
      <c r="B50" s="2" t="s">
        <v>391</v>
      </c>
      <c r="C50" s="7">
        <v>770652</v>
      </c>
      <c r="D50" s="7">
        <f t="shared" si="1"/>
        <v>38266</v>
      </c>
      <c r="E50" s="2" t="str">
        <f>IF(D50&gt;Parameters!$B$12,"Yes","No")</f>
        <v>No</v>
      </c>
    </row>
    <row r="51" spans="1:5" x14ac:dyDescent="0.2">
      <c r="A51" s="2" t="s">
        <v>392</v>
      </c>
      <c r="B51" s="2" t="s">
        <v>391</v>
      </c>
      <c r="C51" s="7">
        <v>773235</v>
      </c>
      <c r="D51" s="7">
        <f t="shared" si="1"/>
        <v>2583</v>
      </c>
      <c r="E51" s="2" t="str">
        <f>IF(D51&gt;Parameters!$B$12,"Yes","No")</f>
        <v>No</v>
      </c>
    </row>
    <row r="52" spans="1:5" x14ac:dyDescent="0.2">
      <c r="A52" s="2" t="s">
        <v>593</v>
      </c>
      <c r="B52" s="2" t="s">
        <v>391</v>
      </c>
      <c r="C52" s="7">
        <v>775779</v>
      </c>
      <c r="D52" s="7">
        <f t="shared" si="1"/>
        <v>2544</v>
      </c>
      <c r="E52" s="2" t="str">
        <f>IF(D52&gt;Parameters!$B$12,"Yes","No")</f>
        <v>No</v>
      </c>
    </row>
    <row r="53" spans="1:5" x14ac:dyDescent="0.2">
      <c r="A53" s="2" t="s">
        <v>594</v>
      </c>
      <c r="B53" s="2" t="s">
        <v>391</v>
      </c>
      <c r="C53" s="7">
        <v>815883</v>
      </c>
      <c r="D53" s="7">
        <f t="shared" si="1"/>
        <v>40104</v>
      </c>
      <c r="E53" s="2" t="str">
        <f>IF(D53&gt;Parameters!$B$12,"Yes","No")</f>
        <v>No</v>
      </c>
    </row>
    <row r="54" spans="1:5" x14ac:dyDescent="0.2">
      <c r="A54" s="2" t="s">
        <v>405</v>
      </c>
      <c r="B54" s="2" t="s">
        <v>391</v>
      </c>
      <c r="C54" s="7">
        <v>846590</v>
      </c>
      <c r="D54" s="7">
        <f t="shared" ref="D54:D85" si="2">C54-C53</f>
        <v>30707</v>
      </c>
      <c r="E54" s="2" t="str">
        <f>IF(D54&gt;Parameters!$B$12,"Yes","No")</f>
        <v>No</v>
      </c>
    </row>
    <row r="55" spans="1:5" x14ac:dyDescent="0.2">
      <c r="A55" s="2" t="s">
        <v>84</v>
      </c>
      <c r="B55" s="2" t="s">
        <v>391</v>
      </c>
      <c r="C55" s="7">
        <v>880719</v>
      </c>
      <c r="D55" s="7">
        <f t="shared" si="2"/>
        <v>34129</v>
      </c>
      <c r="E55" s="2" t="str">
        <f>IF(D55&gt;Parameters!$B$12,"Yes","No")</f>
        <v>No</v>
      </c>
    </row>
    <row r="56" spans="1:5" x14ac:dyDescent="0.2">
      <c r="A56" s="2" t="s">
        <v>86</v>
      </c>
      <c r="B56" s="2" t="s">
        <v>391</v>
      </c>
      <c r="C56" s="7">
        <v>914241</v>
      </c>
      <c r="D56" s="7">
        <f t="shared" si="2"/>
        <v>33522</v>
      </c>
      <c r="E56" s="2" t="str">
        <f>IF(D56&gt;Parameters!$B$12,"Yes","No")</f>
        <v>No</v>
      </c>
    </row>
    <row r="57" spans="1:5" x14ac:dyDescent="0.2">
      <c r="A57" s="2" t="s">
        <v>91</v>
      </c>
      <c r="B57" s="2" t="s">
        <v>391</v>
      </c>
      <c r="C57" s="7">
        <v>947766</v>
      </c>
      <c r="D57" s="7">
        <f t="shared" si="2"/>
        <v>33525</v>
      </c>
      <c r="E57" s="2" t="str">
        <f>IF(D57&gt;Parameters!$B$12,"Yes","No")</f>
        <v>No</v>
      </c>
    </row>
    <row r="58" spans="1:5" x14ac:dyDescent="0.2">
      <c r="A58" s="2" t="s">
        <v>595</v>
      </c>
      <c r="B58" s="2" t="s">
        <v>391</v>
      </c>
      <c r="C58" s="7">
        <v>951034</v>
      </c>
      <c r="D58" s="7">
        <f t="shared" si="2"/>
        <v>3268</v>
      </c>
      <c r="E58" s="2" t="str">
        <f>IF(D58&gt;Parameters!$B$12,"Yes","No")</f>
        <v>No</v>
      </c>
    </row>
    <row r="59" spans="1:5" x14ac:dyDescent="0.2">
      <c r="A59" s="2" t="s">
        <v>401</v>
      </c>
      <c r="B59" s="2" t="s">
        <v>391</v>
      </c>
      <c r="C59" s="7">
        <v>954056</v>
      </c>
      <c r="D59" s="7">
        <f t="shared" si="2"/>
        <v>3022</v>
      </c>
      <c r="E59" s="2" t="str">
        <f>IF(D59&gt;Parameters!$B$12,"Yes","No")</f>
        <v>No</v>
      </c>
    </row>
    <row r="60" spans="1:5" x14ac:dyDescent="0.2">
      <c r="A60" s="2" t="s">
        <v>402</v>
      </c>
      <c r="B60" s="2" t="s">
        <v>391</v>
      </c>
      <c r="C60" s="7">
        <v>994354</v>
      </c>
      <c r="D60" s="7">
        <f t="shared" si="2"/>
        <v>40298</v>
      </c>
      <c r="E60" s="2" t="str">
        <f>IF(D60&gt;Parameters!$B$12,"Yes","No")</f>
        <v>No</v>
      </c>
    </row>
    <row r="61" spans="1:5" x14ac:dyDescent="0.2">
      <c r="A61" s="2" t="s">
        <v>95</v>
      </c>
      <c r="B61" s="2" t="s">
        <v>391</v>
      </c>
      <c r="C61" s="7">
        <v>1030494</v>
      </c>
      <c r="D61" s="7">
        <f t="shared" si="2"/>
        <v>36140</v>
      </c>
      <c r="E61" s="2" t="str">
        <f>IF(D61&gt;Parameters!$B$12,"Yes","No")</f>
        <v>No</v>
      </c>
    </row>
    <row r="62" spans="1:5" x14ac:dyDescent="0.2">
      <c r="A62" s="2" t="s">
        <v>393</v>
      </c>
      <c r="B62" s="2" t="s">
        <v>391</v>
      </c>
      <c r="C62" s="7">
        <v>1064357</v>
      </c>
      <c r="D62" s="7">
        <f t="shared" si="2"/>
        <v>33863</v>
      </c>
      <c r="E62" s="2" t="str">
        <f>IF(D62&gt;Parameters!$B$12,"Yes","No")</f>
        <v>No</v>
      </c>
    </row>
    <row r="63" spans="1:5" x14ac:dyDescent="0.2">
      <c r="A63" s="2" t="s">
        <v>106</v>
      </c>
      <c r="B63" s="2" t="s">
        <v>391</v>
      </c>
      <c r="C63" s="7">
        <v>1099817</v>
      </c>
      <c r="D63" s="7">
        <f t="shared" si="2"/>
        <v>35460</v>
      </c>
      <c r="E63" s="2" t="str">
        <f>IF(D63&gt;Parameters!$B$12,"Yes","No")</f>
        <v>No</v>
      </c>
    </row>
    <row r="64" spans="1:5" x14ac:dyDescent="0.2">
      <c r="A64" s="2" t="s">
        <v>110</v>
      </c>
      <c r="B64" s="2" t="s">
        <v>391</v>
      </c>
      <c r="C64" s="7">
        <v>1133887</v>
      </c>
      <c r="D64" s="7">
        <f t="shared" si="2"/>
        <v>34070</v>
      </c>
      <c r="E64" s="2" t="str">
        <f>IF(D64&gt;Parameters!$B$12,"Yes","No")</f>
        <v>No</v>
      </c>
    </row>
    <row r="65" spans="1:6" x14ac:dyDescent="0.2">
      <c r="A65" s="2" t="s">
        <v>418</v>
      </c>
      <c r="B65" s="2" t="s">
        <v>391</v>
      </c>
      <c r="C65" s="7">
        <v>1136948</v>
      </c>
      <c r="D65" s="7">
        <f t="shared" si="2"/>
        <v>3061</v>
      </c>
      <c r="E65" s="2" t="str">
        <f>IF(D65&gt;Parameters!$B$12,"Yes","No")</f>
        <v>No</v>
      </c>
    </row>
    <row r="66" spans="1:6" x14ac:dyDescent="0.2">
      <c r="A66" s="2" t="s">
        <v>596</v>
      </c>
      <c r="B66" s="2" t="s">
        <v>391</v>
      </c>
      <c r="C66" s="7">
        <v>1139175</v>
      </c>
      <c r="D66" s="7">
        <f t="shared" si="2"/>
        <v>2227</v>
      </c>
      <c r="E66" s="2" t="str">
        <f>IF(D66&gt;Parameters!$B$12,"Yes","No")</f>
        <v>No</v>
      </c>
    </row>
    <row r="67" spans="1:6" x14ac:dyDescent="0.2">
      <c r="A67" s="2" t="s">
        <v>103</v>
      </c>
      <c r="B67" s="2" t="s">
        <v>391</v>
      </c>
      <c r="C67" s="7">
        <v>1173773</v>
      </c>
      <c r="D67" s="7">
        <f t="shared" si="2"/>
        <v>34598</v>
      </c>
      <c r="E67" s="2" t="str">
        <f>IF(D67&gt;Parameters!$B$12,"Yes","No")</f>
        <v>No</v>
      </c>
      <c r="F67" s="2" t="s">
        <v>597</v>
      </c>
    </row>
    <row r="68" spans="1:6" x14ac:dyDescent="0.2">
      <c r="A68" s="2" t="s">
        <v>598</v>
      </c>
      <c r="B68" s="2" t="s">
        <v>425</v>
      </c>
      <c r="C68" s="7">
        <v>1206477</v>
      </c>
      <c r="D68" s="7">
        <f t="shared" si="2"/>
        <v>32704</v>
      </c>
      <c r="E68" s="2" t="str">
        <f>IF(D68&gt;Parameters!$B$12,"Yes","No")</f>
        <v>No</v>
      </c>
    </row>
    <row r="69" spans="1:6" x14ac:dyDescent="0.2">
      <c r="A69" s="2" t="s">
        <v>599</v>
      </c>
      <c r="B69" s="2" t="s">
        <v>425</v>
      </c>
      <c r="C69" s="7">
        <v>1247070</v>
      </c>
      <c r="D69" s="7">
        <f t="shared" si="2"/>
        <v>40593</v>
      </c>
      <c r="E69" s="2" t="str">
        <f>IF(D69&gt;Parameters!$B$12,"Yes","No")</f>
        <v>No</v>
      </c>
    </row>
    <row r="70" spans="1:6" x14ac:dyDescent="0.2">
      <c r="A70" s="2" t="s">
        <v>600</v>
      </c>
      <c r="B70" s="2" t="s">
        <v>425</v>
      </c>
      <c r="C70" s="7">
        <v>1279366</v>
      </c>
      <c r="D70" s="7">
        <f t="shared" si="2"/>
        <v>32296</v>
      </c>
      <c r="E70" s="2" t="str">
        <f>IF(D70&gt;Parameters!$B$12,"Yes","No")</f>
        <v>No</v>
      </c>
    </row>
    <row r="71" spans="1:6" x14ac:dyDescent="0.2">
      <c r="A71" s="2" t="s">
        <v>601</v>
      </c>
      <c r="B71" s="2" t="s">
        <v>425</v>
      </c>
      <c r="C71" s="7">
        <v>1317021</v>
      </c>
      <c r="D71" s="7">
        <f t="shared" si="2"/>
        <v>37655</v>
      </c>
      <c r="E71" s="2" t="str">
        <f>IF(D71&gt;Parameters!$B$12,"Yes","No")</f>
        <v>No</v>
      </c>
    </row>
    <row r="72" spans="1:6" x14ac:dyDescent="0.2">
      <c r="A72" s="2" t="s">
        <v>602</v>
      </c>
      <c r="B72" s="2" t="s">
        <v>425</v>
      </c>
      <c r="C72" s="7">
        <v>1320630</v>
      </c>
      <c r="D72" s="7">
        <f t="shared" si="2"/>
        <v>3609</v>
      </c>
      <c r="E72" s="2" t="str">
        <f>IF(D72&gt;Parameters!$B$12,"Yes","No")</f>
        <v>No</v>
      </c>
    </row>
    <row r="73" spans="1:6" x14ac:dyDescent="0.2">
      <c r="A73" s="2" t="s">
        <v>603</v>
      </c>
      <c r="B73" s="2" t="s">
        <v>425</v>
      </c>
      <c r="C73" s="7">
        <v>1322605</v>
      </c>
      <c r="D73" s="7">
        <f t="shared" si="2"/>
        <v>1975</v>
      </c>
      <c r="E73" s="2" t="str">
        <f>IF(D73&gt;Parameters!$B$12,"Yes","No")</f>
        <v>No</v>
      </c>
    </row>
    <row r="74" spans="1:6" x14ac:dyDescent="0.2">
      <c r="A74" s="2" t="s">
        <v>604</v>
      </c>
      <c r="B74" s="2" t="s">
        <v>425</v>
      </c>
      <c r="C74" s="7">
        <v>1322605</v>
      </c>
      <c r="D74" s="7">
        <f t="shared" si="2"/>
        <v>0</v>
      </c>
      <c r="E74" s="2" t="str">
        <f>IF(D74&gt;Parameters!$B$12,"Yes","No")</f>
        <v>No</v>
      </c>
    </row>
    <row r="75" spans="1:6" x14ac:dyDescent="0.2">
      <c r="A75" s="2" t="s">
        <v>605</v>
      </c>
      <c r="B75" s="2" t="s">
        <v>425</v>
      </c>
      <c r="C75" s="7">
        <v>1357287</v>
      </c>
      <c r="D75" s="7">
        <f t="shared" si="2"/>
        <v>34682</v>
      </c>
      <c r="E75" s="2" t="str">
        <f>IF(D75&gt;Parameters!$B$12,"Yes","No")</f>
        <v>No</v>
      </c>
    </row>
    <row r="76" spans="1:6" x14ac:dyDescent="0.2">
      <c r="A76" s="2" t="s">
        <v>114</v>
      </c>
      <c r="B76" s="2" t="s">
        <v>425</v>
      </c>
      <c r="C76" s="7">
        <v>1400937</v>
      </c>
      <c r="D76" s="7">
        <f t="shared" si="2"/>
        <v>43650</v>
      </c>
      <c r="E76" s="2" t="str">
        <f>IF(D76&gt;Parameters!$B$12,"Yes","No")</f>
        <v>No</v>
      </c>
    </row>
    <row r="77" spans="1:6" x14ac:dyDescent="0.2">
      <c r="A77" s="2" t="s">
        <v>133</v>
      </c>
      <c r="B77" s="2" t="s">
        <v>425</v>
      </c>
      <c r="C77" s="7">
        <v>1432667</v>
      </c>
      <c r="D77" s="7">
        <f t="shared" si="2"/>
        <v>31730</v>
      </c>
      <c r="E77" s="2" t="str">
        <f>IF(D77&gt;Parameters!$B$12,"Yes","No")</f>
        <v>No</v>
      </c>
    </row>
    <row r="78" spans="1:6" x14ac:dyDescent="0.2">
      <c r="A78" s="2" t="s">
        <v>606</v>
      </c>
      <c r="B78" s="2" t="s">
        <v>425</v>
      </c>
      <c r="C78" s="7">
        <v>1461510</v>
      </c>
      <c r="D78" s="7">
        <f t="shared" si="2"/>
        <v>28843</v>
      </c>
      <c r="E78" s="2" t="str">
        <f>IF(D78&gt;Parameters!$B$12,"Yes","No")</f>
        <v>No</v>
      </c>
    </row>
    <row r="79" spans="1:6" x14ac:dyDescent="0.2">
      <c r="A79" s="2" t="s">
        <v>426</v>
      </c>
      <c r="B79" s="2" t="s">
        <v>425</v>
      </c>
      <c r="C79" s="7">
        <v>1464312</v>
      </c>
      <c r="D79" s="7">
        <f t="shared" si="2"/>
        <v>2802</v>
      </c>
      <c r="E79" s="2" t="str">
        <f>IF(D79&gt;Parameters!$B$12,"Yes","No")</f>
        <v>No</v>
      </c>
    </row>
    <row r="80" spans="1:6" x14ac:dyDescent="0.2">
      <c r="A80" s="2" t="s">
        <v>607</v>
      </c>
      <c r="B80" s="2" t="s">
        <v>425</v>
      </c>
      <c r="C80" s="7">
        <v>1468092</v>
      </c>
      <c r="D80" s="7">
        <f t="shared" si="2"/>
        <v>3780</v>
      </c>
      <c r="E80" s="2" t="str">
        <f>IF(D80&gt;Parameters!$B$12,"Yes","No")</f>
        <v>No</v>
      </c>
    </row>
    <row r="81" spans="1:5" x14ac:dyDescent="0.2">
      <c r="A81" s="2" t="s">
        <v>427</v>
      </c>
      <c r="B81" s="2" t="s">
        <v>425</v>
      </c>
      <c r="C81" s="7">
        <v>1505401</v>
      </c>
      <c r="D81" s="7">
        <f t="shared" si="2"/>
        <v>37309</v>
      </c>
      <c r="E81" s="2" t="str">
        <f>IF(D81&gt;Parameters!$B$12,"Yes","No")</f>
        <v>No</v>
      </c>
    </row>
    <row r="82" spans="1:5" x14ac:dyDescent="0.2">
      <c r="A82" s="2" t="s">
        <v>137</v>
      </c>
      <c r="B82" s="2" t="s">
        <v>425</v>
      </c>
      <c r="C82" s="7">
        <v>1540238</v>
      </c>
      <c r="D82" s="7">
        <f t="shared" si="2"/>
        <v>34837</v>
      </c>
      <c r="E82" s="2" t="str">
        <f>IF(D82&gt;Parameters!$B$12,"Yes","No")</f>
        <v>No</v>
      </c>
    </row>
    <row r="83" spans="1:5" x14ac:dyDescent="0.2">
      <c r="A83" s="2" t="s">
        <v>608</v>
      </c>
      <c r="B83" s="2" t="s">
        <v>425</v>
      </c>
      <c r="C83" s="7">
        <v>1580202</v>
      </c>
      <c r="D83" s="7">
        <f t="shared" si="2"/>
        <v>39964</v>
      </c>
      <c r="E83" s="2" t="str">
        <f>IF(D83&gt;Parameters!$B$12,"Yes","No")</f>
        <v>No</v>
      </c>
    </row>
    <row r="84" spans="1:5" x14ac:dyDescent="0.2">
      <c r="A84" s="2" t="s">
        <v>140</v>
      </c>
      <c r="B84" s="2" t="s">
        <v>425</v>
      </c>
      <c r="C84" s="7">
        <v>1608512</v>
      </c>
      <c r="D84" s="7">
        <f t="shared" si="2"/>
        <v>28310</v>
      </c>
      <c r="E84" s="2" t="str">
        <f>IF(D84&gt;Parameters!$B$12,"Yes","No")</f>
        <v>No</v>
      </c>
    </row>
    <row r="85" spans="1:5" x14ac:dyDescent="0.2">
      <c r="A85" s="2" t="s">
        <v>609</v>
      </c>
      <c r="B85" s="2" t="s">
        <v>425</v>
      </c>
      <c r="C85" s="7">
        <v>1641947</v>
      </c>
      <c r="D85" s="7">
        <f t="shared" si="2"/>
        <v>33435</v>
      </c>
      <c r="E85" s="2" t="str">
        <f>IF(D85&gt;Parameters!$B$12,"Yes","No")</f>
        <v>No</v>
      </c>
    </row>
    <row r="86" spans="1:5" x14ac:dyDescent="0.2">
      <c r="A86" s="2" t="s">
        <v>610</v>
      </c>
      <c r="B86" s="2" t="s">
        <v>425</v>
      </c>
      <c r="C86" s="7">
        <v>1646101</v>
      </c>
      <c r="D86" s="7">
        <f t="shared" ref="D86:D117" si="3">C86-C85</f>
        <v>4154</v>
      </c>
      <c r="E86" s="2" t="str">
        <f>IF(D86&gt;Parameters!$B$12,"Yes","No")</f>
        <v>No</v>
      </c>
    </row>
    <row r="87" spans="1:5" x14ac:dyDescent="0.2">
      <c r="A87" s="2" t="s">
        <v>611</v>
      </c>
      <c r="B87" s="2" t="s">
        <v>425</v>
      </c>
      <c r="C87" s="7">
        <v>1649973</v>
      </c>
      <c r="D87" s="7">
        <f t="shared" si="3"/>
        <v>3872</v>
      </c>
      <c r="E87" s="2" t="str">
        <f>IF(D87&gt;Parameters!$B$12,"Yes","No")</f>
        <v>No</v>
      </c>
    </row>
    <row r="88" spans="1:5" x14ac:dyDescent="0.2">
      <c r="A88" s="2" t="s">
        <v>612</v>
      </c>
      <c r="B88" s="2" t="s">
        <v>425</v>
      </c>
      <c r="C88" s="7">
        <v>1690504</v>
      </c>
      <c r="D88" s="7">
        <f t="shared" si="3"/>
        <v>40531</v>
      </c>
      <c r="E88" s="2" t="str">
        <f>IF(D88&gt;Parameters!$B$12,"Yes","No")</f>
        <v>No</v>
      </c>
    </row>
    <row r="89" spans="1:5" x14ac:dyDescent="0.2">
      <c r="A89" s="2" t="s">
        <v>433</v>
      </c>
      <c r="B89" s="2" t="s">
        <v>425</v>
      </c>
      <c r="C89" s="7">
        <v>1724632</v>
      </c>
      <c r="D89" s="7">
        <f t="shared" si="3"/>
        <v>34128</v>
      </c>
      <c r="E89" s="2" t="str">
        <f>IF(D89&gt;Parameters!$B$12,"Yes","No")</f>
        <v>No</v>
      </c>
    </row>
    <row r="90" spans="1:5" x14ac:dyDescent="0.2">
      <c r="A90" s="2" t="s">
        <v>441</v>
      </c>
      <c r="B90" s="2" t="s">
        <v>425</v>
      </c>
      <c r="C90" s="7">
        <v>1752661</v>
      </c>
      <c r="D90" s="7">
        <f t="shared" si="3"/>
        <v>28029</v>
      </c>
      <c r="E90" s="2" t="str">
        <f>IF(D90&gt;Parameters!$B$12,"Yes","No")</f>
        <v>No</v>
      </c>
    </row>
    <row r="91" spans="1:5" x14ac:dyDescent="0.2">
      <c r="A91" s="2" t="s">
        <v>613</v>
      </c>
      <c r="B91" s="2" t="s">
        <v>425</v>
      </c>
      <c r="C91" s="7">
        <v>1780577</v>
      </c>
      <c r="D91" s="7">
        <f t="shared" si="3"/>
        <v>27916</v>
      </c>
      <c r="E91" s="2" t="str">
        <f>IF(D91&gt;Parameters!$B$12,"Yes","No")</f>
        <v>No</v>
      </c>
    </row>
    <row r="92" spans="1:5" x14ac:dyDescent="0.2">
      <c r="A92" s="2" t="s">
        <v>609</v>
      </c>
      <c r="B92" s="2" t="s">
        <v>425</v>
      </c>
      <c r="C92" s="7">
        <v>1819521</v>
      </c>
      <c r="D92" s="7">
        <f t="shared" si="3"/>
        <v>38944</v>
      </c>
      <c r="E92" s="2" t="str">
        <f>IF(D92&gt;Parameters!$B$12,"Yes","No")</f>
        <v>No</v>
      </c>
    </row>
    <row r="93" spans="1:5" x14ac:dyDescent="0.2">
      <c r="A93" s="2" t="s">
        <v>443</v>
      </c>
      <c r="B93" s="2" t="s">
        <v>425</v>
      </c>
      <c r="C93" s="7">
        <v>1823199</v>
      </c>
      <c r="D93" s="7">
        <f t="shared" si="3"/>
        <v>3678</v>
      </c>
      <c r="E93" s="2" t="str">
        <f>IF(D93&gt;Parameters!$B$12,"Yes","No")</f>
        <v>No</v>
      </c>
    </row>
    <row r="94" spans="1:5" x14ac:dyDescent="0.2">
      <c r="A94" s="2" t="s">
        <v>614</v>
      </c>
      <c r="B94" s="2" t="s">
        <v>425</v>
      </c>
      <c r="C94" s="7">
        <v>1825943</v>
      </c>
      <c r="D94" s="7">
        <f t="shared" si="3"/>
        <v>2744</v>
      </c>
      <c r="E94" s="2" t="str">
        <f>IF(D94&gt;Parameters!$B$12,"Yes","No")</f>
        <v>No</v>
      </c>
    </row>
    <row r="95" spans="1:5" x14ac:dyDescent="0.2">
      <c r="A95" s="2" t="s">
        <v>435</v>
      </c>
      <c r="B95" s="2" t="s">
        <v>425</v>
      </c>
      <c r="C95" s="7">
        <v>1860669</v>
      </c>
      <c r="D95" s="7">
        <f t="shared" si="3"/>
        <v>34726</v>
      </c>
      <c r="E95" s="2" t="str">
        <f>IF(D95&gt;Parameters!$B$12,"Yes","No")</f>
        <v>No</v>
      </c>
    </row>
    <row r="96" spans="1:5" x14ac:dyDescent="0.2">
      <c r="A96" s="2" t="s">
        <v>434</v>
      </c>
      <c r="B96" s="2" t="s">
        <v>425</v>
      </c>
      <c r="C96" s="7">
        <v>1891352</v>
      </c>
      <c r="D96" s="7">
        <f t="shared" si="3"/>
        <v>30683</v>
      </c>
      <c r="E96" s="2" t="str">
        <f>IF(D96&gt;Parameters!$B$12,"Yes","No")</f>
        <v>No</v>
      </c>
    </row>
    <row r="97" spans="1:5" x14ac:dyDescent="0.2">
      <c r="A97" s="2" t="s">
        <v>123</v>
      </c>
      <c r="B97" s="2" t="s">
        <v>425</v>
      </c>
      <c r="C97" s="7">
        <v>1925843</v>
      </c>
      <c r="D97" s="7">
        <f t="shared" si="3"/>
        <v>34491</v>
      </c>
      <c r="E97" s="2" t="str">
        <f>IF(D97&gt;Parameters!$B$12,"Yes","No")</f>
        <v>No</v>
      </c>
    </row>
    <row r="98" spans="1:5" x14ac:dyDescent="0.2">
      <c r="A98" s="3"/>
      <c r="B98" s="3"/>
      <c r="C98" s="3"/>
      <c r="D98" s="3"/>
    </row>
    <row r="99" spans="1:5" x14ac:dyDescent="0.2">
      <c r="A99" s="3" t="s">
        <v>206</v>
      </c>
      <c r="B99" s="3" t="s">
        <v>615</v>
      </c>
      <c r="C99" s="3" t="s">
        <v>616</v>
      </c>
      <c r="D99" s="3" t="s">
        <v>617</v>
      </c>
    </row>
    <row r="100" spans="1:5" x14ac:dyDescent="0.2">
      <c r="A100" s="8" t="s">
        <v>45</v>
      </c>
      <c r="B100" s="10">
        <f>_xlfn.MAXIFS($D$5:$D$97,$B$5:$B$97,"Jul")</f>
        <v>44880</v>
      </c>
      <c r="C100" s="11">
        <f>COUNTIFS($B$5:$B$97,"Jul",$E$5:$E$97,"Yes")</f>
        <v>0</v>
      </c>
      <c r="D100" s="10">
        <f>SUMIFS($D$5:$D$97,$B$5:$B$97,"Jul")</f>
        <v>796616</v>
      </c>
    </row>
    <row r="101" spans="1:5" x14ac:dyDescent="0.2">
      <c r="A101" s="8" t="s">
        <v>97</v>
      </c>
      <c r="B101" s="10">
        <f>_xlfn.MAXIFS($D$5:$D$97,$B$5:$B$97,"Aug")</f>
        <v>46150</v>
      </c>
      <c r="C101" s="11">
        <f>COUNTIFS($B$5:$B$97,"Aug",$E$5:$E$97,"Yes")</f>
        <v>1</v>
      </c>
      <c r="D101" s="10">
        <f>SUMIFS($D$5:$D$97,$B$5:$B$97,"Aug")</f>
        <v>770906</v>
      </c>
    </row>
    <row r="102" spans="1:5" x14ac:dyDescent="0.2">
      <c r="A102" s="8" t="s">
        <v>118</v>
      </c>
      <c r="B102" s="10">
        <f>_xlfn.MAXIFS($D$5:$D$97,$B$5:$B$97,"Sep")</f>
        <v>43650</v>
      </c>
      <c r="C102" s="11">
        <f>COUNTIFS($B$5:$B$97,"Sep",$E$5:$E$97,"Yes")</f>
        <v>0</v>
      </c>
      <c r="D102" s="10">
        <f>SUMIFS($D$5:$D$97,$B$5:$B$97,"Sep")</f>
        <v>752070</v>
      </c>
    </row>
    <row r="103" spans="1:5" x14ac:dyDescent="0.2">
      <c r="A103" s="26"/>
      <c r="D103" s="10"/>
    </row>
    <row r="104" spans="1:5" x14ac:dyDescent="0.2">
      <c r="A104" s="8" t="s">
        <v>618</v>
      </c>
      <c r="D104" s="10">
        <f>SUM(D5:D97)</f>
        <v>2319592</v>
      </c>
    </row>
    <row r="105" spans="1:5" x14ac:dyDescent="0.2">
      <c r="A105" s="15"/>
      <c r="B105" s="15"/>
    </row>
    <row r="106" spans="1:5" x14ac:dyDescent="0.2">
      <c r="A106" s="3" t="s">
        <v>619</v>
      </c>
      <c r="B106" s="3" t="s">
        <v>620</v>
      </c>
    </row>
    <row r="107" spans="1:5" x14ac:dyDescent="0.2">
      <c r="A107" s="8" t="s">
        <v>621</v>
      </c>
      <c r="B107" s="10">
        <f>D76</f>
        <v>43650</v>
      </c>
    </row>
    <row r="108" spans="1:5" x14ac:dyDescent="0.2">
      <c r="A108" s="8" t="s">
        <v>622</v>
      </c>
      <c r="B108" s="10">
        <v>2900</v>
      </c>
    </row>
    <row r="109" spans="1:5" x14ac:dyDescent="0.2">
      <c r="A109" s="8" t="s">
        <v>623</v>
      </c>
      <c r="B109" s="10">
        <f>SUM(B107:B108)</f>
        <v>46550</v>
      </c>
    </row>
    <row r="110" spans="1:5" x14ac:dyDescent="0.2">
      <c r="A110" s="8" t="s">
        <v>624</v>
      </c>
      <c r="B110" s="10">
        <f>MAX(B102,B109)</f>
        <v>46550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
  <sheetViews>
    <sheetView workbookViewId="0"/>
  </sheetViews>
  <sheetFormatPr baseColWidth="10" defaultColWidth="8.83203125" defaultRowHeight="15" x14ac:dyDescent="0.2"/>
  <cols>
    <col min="1" max="1" width="50" customWidth="1"/>
    <col min="2" max="2" width="18" customWidth="1"/>
    <col min="3" max="3" width="28" customWidth="1"/>
    <col min="4" max="4" width="44" customWidth="1"/>
    <col min="5" max="5" width="18" customWidth="1"/>
    <col min="6" max="6" width="40" customWidth="1"/>
    <col min="7" max="7" width="10" customWidth="1"/>
  </cols>
  <sheetData>
    <row r="1" spans="1:7" ht="16" customHeight="1" x14ac:dyDescent="0.2">
      <c r="A1" s="12" t="s">
        <v>625</v>
      </c>
    </row>
    <row r="2" spans="1:7" x14ac:dyDescent="0.2">
      <c r="A2" s="13" t="s">
        <v>626</v>
      </c>
    </row>
    <row r="3" spans="1:7" x14ac:dyDescent="0.2">
      <c r="A3" s="15" t="s">
        <v>627</v>
      </c>
      <c r="B3" s="15" t="s">
        <v>38</v>
      </c>
      <c r="C3" s="15" t="s">
        <v>628</v>
      </c>
      <c r="D3" s="15" t="s">
        <v>629</v>
      </c>
      <c r="E3" s="15" t="s">
        <v>537</v>
      </c>
      <c r="F3" s="15" t="s">
        <v>630</v>
      </c>
      <c r="G3" s="15" t="s">
        <v>631</v>
      </c>
    </row>
    <row r="4" spans="1:7" ht="42" customHeight="1" x14ac:dyDescent="0.2">
      <c r="A4" s="21" t="s">
        <v>632</v>
      </c>
      <c r="B4" s="21" t="s">
        <v>67</v>
      </c>
      <c r="C4" s="21" t="s">
        <v>633</v>
      </c>
      <c r="D4" s="21" t="s">
        <v>634</v>
      </c>
      <c r="E4" s="21" t="s">
        <v>63</v>
      </c>
      <c r="F4" s="21" t="s">
        <v>635</v>
      </c>
      <c r="G4" s="21" t="s">
        <v>636</v>
      </c>
    </row>
    <row r="5" spans="1:7" ht="42" customHeight="1" x14ac:dyDescent="0.2">
      <c r="A5" s="21" t="s">
        <v>637</v>
      </c>
      <c r="B5" s="21" t="s">
        <v>67</v>
      </c>
      <c r="C5" s="21" t="s">
        <v>633</v>
      </c>
      <c r="D5" s="21" t="s">
        <v>634</v>
      </c>
      <c r="E5" s="21" t="s">
        <v>63</v>
      </c>
      <c r="F5" s="21" t="s">
        <v>638</v>
      </c>
      <c r="G5" s="21" t="s">
        <v>636</v>
      </c>
    </row>
    <row r="6" spans="1:7" ht="28" customHeight="1" x14ac:dyDescent="0.2">
      <c r="A6" s="21" t="s">
        <v>639</v>
      </c>
      <c r="B6" s="21" t="s">
        <v>82</v>
      </c>
      <c r="C6" s="21" t="s">
        <v>640</v>
      </c>
      <c r="D6" s="21" t="s">
        <v>641</v>
      </c>
      <c r="E6" s="21" t="s">
        <v>642</v>
      </c>
      <c r="F6" s="21" t="s">
        <v>643</v>
      </c>
      <c r="G6" s="21" t="s">
        <v>25</v>
      </c>
    </row>
    <row r="7" spans="1:7" ht="42" customHeight="1" x14ac:dyDescent="0.2">
      <c r="A7" s="21" t="s">
        <v>644</v>
      </c>
      <c r="B7" s="21" t="s">
        <v>67</v>
      </c>
      <c r="C7" s="21" t="s">
        <v>640</v>
      </c>
      <c r="D7" s="21" t="s">
        <v>634</v>
      </c>
      <c r="E7" s="21" t="s">
        <v>418</v>
      </c>
      <c r="F7" s="21" t="s">
        <v>645</v>
      </c>
      <c r="G7" s="21" t="s">
        <v>25</v>
      </c>
    </row>
    <row r="8" spans="1:7" ht="42" customHeight="1" x14ac:dyDescent="0.2">
      <c r="A8" s="21" t="s">
        <v>646</v>
      </c>
      <c r="B8" s="21" t="s">
        <v>61</v>
      </c>
      <c r="C8" s="21" t="s">
        <v>640</v>
      </c>
      <c r="D8" s="21" t="s">
        <v>647</v>
      </c>
      <c r="E8" s="21" t="s">
        <v>57</v>
      </c>
      <c r="F8" s="21" t="s">
        <v>648</v>
      </c>
      <c r="G8" s="21" t="s">
        <v>649</v>
      </c>
    </row>
    <row r="9" spans="1:7" ht="28" customHeight="1" x14ac:dyDescent="0.2">
      <c r="A9" s="21" t="s">
        <v>650</v>
      </c>
      <c r="B9" s="21" t="s">
        <v>82</v>
      </c>
      <c r="C9" s="21" t="s">
        <v>651</v>
      </c>
      <c r="D9" s="21" t="s">
        <v>641</v>
      </c>
      <c r="E9" s="21" t="s">
        <v>652</v>
      </c>
      <c r="F9" s="21" t="s">
        <v>83</v>
      </c>
      <c r="G9" s="21" t="s">
        <v>649</v>
      </c>
    </row>
    <row r="10" spans="1:7" ht="28" customHeight="1" x14ac:dyDescent="0.2">
      <c r="A10" s="21" t="s">
        <v>653</v>
      </c>
      <c r="B10" s="21" t="s">
        <v>82</v>
      </c>
      <c r="C10" s="21" t="s">
        <v>654</v>
      </c>
      <c r="D10" s="21" t="s">
        <v>641</v>
      </c>
      <c r="E10" s="21" t="s">
        <v>91</v>
      </c>
      <c r="F10" s="21" t="s">
        <v>83</v>
      </c>
      <c r="G10" s="21" t="s">
        <v>649</v>
      </c>
    </row>
    <row r="11" spans="1:7" ht="28" customHeight="1" x14ac:dyDescent="0.2">
      <c r="A11" s="21" t="s">
        <v>655</v>
      </c>
      <c r="B11" s="21" t="s">
        <v>82</v>
      </c>
      <c r="C11" s="21" t="s">
        <v>86</v>
      </c>
      <c r="D11" s="21" t="s">
        <v>656</v>
      </c>
      <c r="E11" s="21" t="s">
        <v>95</v>
      </c>
      <c r="F11" s="21" t="s">
        <v>657</v>
      </c>
      <c r="G11" s="21" t="s">
        <v>649</v>
      </c>
    </row>
    <row r="12" spans="1:7" ht="42" customHeight="1" x14ac:dyDescent="0.2">
      <c r="A12" s="21" t="s">
        <v>658</v>
      </c>
      <c r="B12" s="21" t="s">
        <v>82</v>
      </c>
      <c r="C12" s="21" t="s">
        <v>659</v>
      </c>
      <c r="D12" s="21" t="s">
        <v>641</v>
      </c>
      <c r="E12" s="21" t="s">
        <v>660</v>
      </c>
      <c r="F12" s="21" t="s">
        <v>661</v>
      </c>
      <c r="G12" s="21" t="s">
        <v>636</v>
      </c>
    </row>
    <row r="13" spans="1:7" ht="42" customHeight="1" x14ac:dyDescent="0.2">
      <c r="A13" s="21" t="s">
        <v>662</v>
      </c>
      <c r="B13" s="21" t="s">
        <v>67</v>
      </c>
      <c r="C13" s="21" t="s">
        <v>659</v>
      </c>
      <c r="D13" s="21" t="s">
        <v>634</v>
      </c>
      <c r="E13" s="21" t="s">
        <v>609</v>
      </c>
      <c r="F13" s="21" t="s">
        <v>663</v>
      </c>
      <c r="G13" s="21" t="s">
        <v>25</v>
      </c>
    </row>
    <row r="14" spans="1:7" ht="28" customHeight="1" x14ac:dyDescent="0.2">
      <c r="A14" s="21" t="s">
        <v>664</v>
      </c>
      <c r="B14" s="21" t="s">
        <v>82</v>
      </c>
      <c r="C14" s="21" t="s">
        <v>665</v>
      </c>
      <c r="D14" s="21" t="s">
        <v>641</v>
      </c>
      <c r="E14" s="21" t="s">
        <v>666</v>
      </c>
      <c r="F14" s="21" t="s">
        <v>667</v>
      </c>
      <c r="G14" s="21" t="s">
        <v>636</v>
      </c>
    </row>
    <row r="15" spans="1:7" ht="42" customHeight="1" x14ac:dyDescent="0.2">
      <c r="A15" s="21" t="s">
        <v>668</v>
      </c>
      <c r="B15" s="21" t="s">
        <v>67</v>
      </c>
      <c r="C15" s="21" t="s">
        <v>665</v>
      </c>
      <c r="D15" s="21" t="s">
        <v>634</v>
      </c>
      <c r="E15" s="21" t="s">
        <v>443</v>
      </c>
      <c r="F15" s="21" t="s">
        <v>663</v>
      </c>
      <c r="G15" s="21" t="s">
        <v>25</v>
      </c>
    </row>
    <row r="16" spans="1:7" ht="42" customHeight="1" x14ac:dyDescent="0.2">
      <c r="A16" s="21" t="s">
        <v>669</v>
      </c>
      <c r="B16" s="21" t="s">
        <v>61</v>
      </c>
      <c r="C16" s="21" t="s">
        <v>665</v>
      </c>
      <c r="D16" s="21" t="s">
        <v>647</v>
      </c>
      <c r="E16" s="21" t="s">
        <v>103</v>
      </c>
      <c r="F16" s="21" t="s">
        <v>670</v>
      </c>
      <c r="G16" s="21" t="s">
        <v>649</v>
      </c>
    </row>
    <row r="17" spans="1:7" ht="42" customHeight="1" x14ac:dyDescent="0.2">
      <c r="A17" s="21" t="s">
        <v>671</v>
      </c>
      <c r="B17" s="21" t="s">
        <v>672</v>
      </c>
      <c r="C17" s="21" t="s">
        <v>673</v>
      </c>
      <c r="D17" s="21" t="s">
        <v>641</v>
      </c>
      <c r="E17" s="21" t="s">
        <v>674</v>
      </c>
      <c r="F17" s="21" t="s">
        <v>675</v>
      </c>
      <c r="G17" s="21" t="s">
        <v>636</v>
      </c>
    </row>
    <row r="18" spans="1:7" ht="28" customHeight="1" x14ac:dyDescent="0.2">
      <c r="A18" s="21" t="s">
        <v>676</v>
      </c>
      <c r="B18" s="21" t="s">
        <v>82</v>
      </c>
      <c r="C18" s="21" t="s">
        <v>114</v>
      </c>
      <c r="D18" s="21" t="s">
        <v>656</v>
      </c>
      <c r="E18" s="21" t="s">
        <v>427</v>
      </c>
      <c r="F18" s="21" t="s">
        <v>427</v>
      </c>
      <c r="G18" s="21" t="s">
        <v>25</v>
      </c>
    </row>
    <row r="19" spans="1:7" ht="28" customHeight="1" x14ac:dyDescent="0.2">
      <c r="A19" s="21" t="s">
        <v>677</v>
      </c>
      <c r="B19" s="21" t="s">
        <v>82</v>
      </c>
      <c r="C19" s="21" t="s">
        <v>678</v>
      </c>
      <c r="D19" s="21" t="s">
        <v>641</v>
      </c>
      <c r="E19" s="21" t="s">
        <v>679</v>
      </c>
      <c r="F19" s="21" t="s">
        <v>83</v>
      </c>
      <c r="G19" s="21" t="s">
        <v>649</v>
      </c>
    </row>
    <row r="20" spans="1:7" ht="42" customHeight="1" x14ac:dyDescent="0.2">
      <c r="A20" s="21" t="s">
        <v>680</v>
      </c>
      <c r="B20" s="21" t="s">
        <v>67</v>
      </c>
      <c r="C20" s="21" t="s">
        <v>678</v>
      </c>
      <c r="D20" s="21" t="s">
        <v>634</v>
      </c>
      <c r="E20" s="21" t="s">
        <v>681</v>
      </c>
      <c r="F20" s="21" t="s">
        <v>682</v>
      </c>
      <c r="G20" s="21" t="s">
        <v>25</v>
      </c>
    </row>
    <row r="21" spans="1:7" ht="28" customHeight="1" x14ac:dyDescent="0.2">
      <c r="A21" s="21" t="s">
        <v>683</v>
      </c>
      <c r="B21" s="21" t="s">
        <v>82</v>
      </c>
      <c r="C21" s="21" t="s">
        <v>684</v>
      </c>
      <c r="D21" s="21" t="s">
        <v>641</v>
      </c>
      <c r="E21" s="21" t="s">
        <v>685</v>
      </c>
      <c r="F21" s="21" t="s">
        <v>686</v>
      </c>
      <c r="G21" s="21" t="s">
        <v>25</v>
      </c>
    </row>
    <row r="22" spans="1:7" ht="42" customHeight="1" x14ac:dyDescent="0.2">
      <c r="A22" s="21" t="s">
        <v>687</v>
      </c>
      <c r="B22" s="21" t="s">
        <v>67</v>
      </c>
      <c r="C22" s="21" t="s">
        <v>684</v>
      </c>
      <c r="D22" s="21" t="s">
        <v>634</v>
      </c>
      <c r="E22" s="21" t="s">
        <v>688</v>
      </c>
      <c r="F22" s="21" t="s">
        <v>689</v>
      </c>
      <c r="G22" s="21" t="s">
        <v>25</v>
      </c>
    </row>
    <row r="23" spans="1:7" ht="42" customHeight="1" x14ac:dyDescent="0.2">
      <c r="A23" s="21" t="s">
        <v>690</v>
      </c>
      <c r="B23" s="21" t="s">
        <v>61</v>
      </c>
      <c r="C23" s="21" t="s">
        <v>691</v>
      </c>
      <c r="D23" s="21" t="s">
        <v>647</v>
      </c>
      <c r="E23" s="21" t="s">
        <v>123</v>
      </c>
      <c r="F23" s="21" t="s">
        <v>648</v>
      </c>
      <c r="G23" s="21" t="s">
        <v>649</v>
      </c>
    </row>
    <row r="24" spans="1:7" ht="42" customHeight="1" x14ac:dyDescent="0.2">
      <c r="A24" s="21" t="s">
        <v>692</v>
      </c>
      <c r="B24" s="21" t="s">
        <v>82</v>
      </c>
      <c r="C24" s="21" t="s">
        <v>693</v>
      </c>
      <c r="D24" s="21" t="s">
        <v>641</v>
      </c>
      <c r="E24" s="21" t="s">
        <v>694</v>
      </c>
      <c r="F24" s="21" t="s">
        <v>695</v>
      </c>
      <c r="G24" s="21" t="s">
        <v>25</v>
      </c>
    </row>
    <row r="25" spans="1:7" ht="28" customHeight="1" x14ac:dyDescent="0.2">
      <c r="A25" s="21" t="s">
        <v>696</v>
      </c>
      <c r="B25" s="21" t="s">
        <v>82</v>
      </c>
      <c r="C25" s="21" t="s">
        <v>140</v>
      </c>
      <c r="D25" s="21" t="s">
        <v>656</v>
      </c>
      <c r="E25" s="21" t="s">
        <v>433</v>
      </c>
      <c r="F25" s="21" t="s">
        <v>612</v>
      </c>
      <c r="G25" s="21" t="s">
        <v>25</v>
      </c>
    </row>
    <row r="26" spans="1:7" ht="42" customHeight="1" x14ac:dyDescent="0.2">
      <c r="A26" s="21" t="s">
        <v>697</v>
      </c>
      <c r="B26" s="21" t="s">
        <v>698</v>
      </c>
      <c r="C26" s="21" t="s">
        <v>699</v>
      </c>
      <c r="D26" s="21" t="s">
        <v>700</v>
      </c>
      <c r="E26" s="21" t="s">
        <v>548</v>
      </c>
      <c r="F26" s="21" t="s">
        <v>701</v>
      </c>
      <c r="G26" s="21" t="s">
        <v>636</v>
      </c>
    </row>
    <row r="27" spans="1:7" ht="28" customHeight="1" x14ac:dyDescent="0.2">
      <c r="A27" s="21" t="s">
        <v>702</v>
      </c>
      <c r="B27" s="21" t="s">
        <v>703</v>
      </c>
      <c r="C27" s="21" t="s">
        <v>704</v>
      </c>
      <c r="D27" s="21" t="s">
        <v>705</v>
      </c>
      <c r="E27" s="21" t="s">
        <v>688</v>
      </c>
      <c r="F27" s="21" t="s">
        <v>706</v>
      </c>
      <c r="G27" s="21" t="s">
        <v>707</v>
      </c>
    </row>
    <row r="28" spans="1:7" ht="28" customHeight="1" x14ac:dyDescent="0.2">
      <c r="A28" s="21" t="s">
        <v>708</v>
      </c>
      <c r="B28" s="21" t="s">
        <v>709</v>
      </c>
      <c r="C28" s="21" t="s">
        <v>710</v>
      </c>
      <c r="D28" s="21" t="s">
        <v>711</v>
      </c>
      <c r="E28" s="21" t="s">
        <v>712</v>
      </c>
      <c r="F28" s="21" t="s">
        <v>713</v>
      </c>
      <c r="G28" s="21" t="s">
        <v>714</v>
      </c>
    </row>
    <row r="29" spans="1:7" x14ac:dyDescent="0.2">
      <c r="A29" s="13"/>
      <c r="B29" s="17"/>
    </row>
    <row r="30" spans="1:7" x14ac:dyDescent="0.2">
      <c r="A30" s="15" t="s">
        <v>715</v>
      </c>
      <c r="B30" s="15" t="s">
        <v>716</v>
      </c>
    </row>
    <row r="31" spans="1:7" x14ac:dyDescent="0.2">
      <c r="A31" s="21" t="s">
        <v>717</v>
      </c>
      <c r="B31" s="21">
        <f>COUNTIFS($G$4:$G$28,"Met")</f>
        <v>10</v>
      </c>
    </row>
    <row r="32" spans="1:7" x14ac:dyDescent="0.2">
      <c r="A32" s="21" t="s">
        <v>718</v>
      </c>
      <c r="B32" s="21">
        <f>COUNTIFS($G$4:$G$28,"Late")</f>
        <v>6</v>
      </c>
    </row>
    <row r="33" spans="1:2" x14ac:dyDescent="0.2">
      <c r="A33" s="21" t="s">
        <v>719</v>
      </c>
      <c r="B33" s="21">
        <f>COUNTIFS($G$4:$G$28,"Not made")</f>
        <v>7</v>
      </c>
    </row>
    <row r="34" spans="1:2" x14ac:dyDescent="0.2">
      <c r="A34" s="21" t="s">
        <v>720</v>
      </c>
      <c r="B34" s="21">
        <f>COUNTIFS($G$4:$G$28,"Pending")</f>
        <v>1</v>
      </c>
    </row>
    <row r="35" spans="1:2" x14ac:dyDescent="0.2">
      <c r="A35" s="21" t="s">
        <v>721</v>
      </c>
      <c r="B35" s="21">
        <f>COUNTIFS($G$4:$G$28,"Open")</f>
        <v>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20"/>
  <sheetViews>
    <sheetView workbookViewId="0"/>
  </sheetViews>
  <sheetFormatPr baseColWidth="10" defaultColWidth="8.83203125" defaultRowHeight="15" x14ac:dyDescent="0.2"/>
  <cols>
    <col min="1" max="1" width="118" customWidth="1"/>
  </cols>
  <sheetData>
    <row r="1" spans="1:1" x14ac:dyDescent="0.2">
      <c r="A1" s="26" t="s">
        <v>722</v>
      </c>
    </row>
    <row r="2" spans="1:1" x14ac:dyDescent="0.2">
      <c r="A2" s="13" t="s">
        <v>723</v>
      </c>
    </row>
    <row r="3" spans="1:1" x14ac:dyDescent="0.2">
      <c r="A3" s="13" t="s">
        <v>724</v>
      </c>
    </row>
    <row r="5" spans="1:1" ht="84" customHeight="1" x14ac:dyDescent="0.2">
      <c r="A5" s="21" t="s">
        <v>725</v>
      </c>
    </row>
    <row r="6" spans="1:1" ht="56" customHeight="1" x14ac:dyDescent="0.2">
      <c r="A6" s="21" t="s">
        <v>726</v>
      </c>
    </row>
    <row r="7" spans="1:1" ht="126" customHeight="1" x14ac:dyDescent="0.2">
      <c r="A7" s="21" t="s">
        <v>727</v>
      </c>
    </row>
    <row r="8" spans="1:1" ht="84" customHeight="1" x14ac:dyDescent="0.2">
      <c r="A8" s="21" t="s">
        <v>728</v>
      </c>
    </row>
    <row r="9" spans="1:1" ht="84" customHeight="1" x14ac:dyDescent="0.2">
      <c r="A9" s="21" t="s">
        <v>729</v>
      </c>
    </row>
    <row r="10" spans="1:1" ht="56" customHeight="1" x14ac:dyDescent="0.2">
      <c r="A10" s="21" t="s">
        <v>730</v>
      </c>
    </row>
    <row r="11" spans="1:1" ht="98" customHeight="1" x14ac:dyDescent="0.2">
      <c r="A11" s="21" t="s">
        <v>731</v>
      </c>
    </row>
    <row r="12" spans="1:1" ht="42" customHeight="1" x14ac:dyDescent="0.2">
      <c r="A12" s="21" t="s">
        <v>732</v>
      </c>
    </row>
    <row r="13" spans="1:1" ht="84" customHeight="1" x14ac:dyDescent="0.2">
      <c r="A13" s="21" t="s">
        <v>733</v>
      </c>
    </row>
    <row r="14" spans="1:1" ht="112" customHeight="1" x14ac:dyDescent="0.2">
      <c r="A14" s="21" t="s">
        <v>734</v>
      </c>
    </row>
    <row r="15" spans="1:1" ht="84" customHeight="1" x14ac:dyDescent="0.2">
      <c r="A15" s="21" t="s">
        <v>735</v>
      </c>
    </row>
    <row r="16" spans="1:1" ht="126" customHeight="1" x14ac:dyDescent="0.2">
      <c r="A16" s="21" t="s">
        <v>736</v>
      </c>
    </row>
    <row r="17" spans="1:1" ht="98" customHeight="1" x14ac:dyDescent="0.2">
      <c r="A17" s="21" t="s">
        <v>737</v>
      </c>
    </row>
    <row r="18" spans="1:1" ht="126" customHeight="1" x14ac:dyDescent="0.2">
      <c r="A18" s="21" t="s">
        <v>738</v>
      </c>
    </row>
    <row r="19" spans="1:1" ht="84" customHeight="1" x14ac:dyDescent="0.2">
      <c r="A19" s="21" t="s">
        <v>739</v>
      </c>
    </row>
    <row r="20" spans="1:1" ht="84" customHeight="1" x14ac:dyDescent="0.2">
      <c r="A20" s="21" t="s">
        <v>740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SMR Q3</vt:lpstr>
      <vt:lpstr>Parameters</vt:lpstr>
      <vt:lpstr>Lab Data</vt:lpstr>
      <vt:lpstr>Monthly Stats</vt:lpstr>
      <vt:lpstr>SNC Review</vt:lpstr>
      <vt:lpstr>Flow Q3</vt:lpstr>
      <vt:lpstr>Notifications</vt:lpstr>
      <vt:lpstr>Note to Gordon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Talcott Environmental Services</dc:creator>
  <dc:title xmlns:dc="http://purl.org/dc/elements/1.1/">Vandeveer Plating LLC - Self-Monitoring Report, Third Quarter 2026</dc:title>
  <dcterms:created xmlns:dcterms="http://purl.org/dc/terms/" xmlns:xsi="http://www.w3.org/2001/XMLSchema-instance" xsi:type="dcterms:W3CDTF">2026-10-08T08:30:12Z</dcterms:created>
  <dcterms:modified xmlns:dcterms="http://purl.org/dc/terms/" xmlns:xsi="http://www.w3.org/2001/XMLSchema-instance" xsi:type="dcterms:W3CDTF">2026-10-12T10:44:27Z</dcterms:modified>
  <cp:lastModifiedBy>Talcott Environmental Services</cp:lastModifiedBy>
</cp:coreProperties>
</file>