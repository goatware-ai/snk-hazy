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xr:revisionPtr revIDLastSave="0" documentId="13_ncr:1_{7102B0D2-22D9-AF4A-A743-BA70419E34A3}" xr6:coauthVersionLast="47" xr6:coauthVersionMax="47" xr10:uidLastSave="{00000000-0000-0000-0000-000000000000}"/>
  <bookViews>
    <workbookView xWindow="0" yWindow="0" windowWidth="21600" windowHeight="38400" xr2:uid="{00000000-000D-0000-FFFF-FFFF00000000}"/>
  </bookViews>
  <sheets>
    <sheet name="SMR Q3" sheetId="1" r:id="rId1"/>
    <sheet name="Parameters" sheetId="2" r:id="rId2"/>
    <sheet name="Lab Data" sheetId="3" r:id="rId3"/>
    <sheet name="Monthly Stats" sheetId="4" r:id="rId4"/>
    <sheet name="SNC Review" sheetId="5" r:id="rId5"/>
    <sheet name="Flow Sep" sheetId="6" r:id="rId6"/>
    <sheet name="Notifications" sheetId="7" r:id="rId7"/>
    <sheet name="Note to Gordon"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8" i="6" l="1"/>
  <c r="C34" i="6"/>
  <c r="D34" i="6" s="1"/>
  <c r="C33" i="6"/>
  <c r="D33" i="6" s="1"/>
  <c r="C32" i="6"/>
  <c r="D32" i="6" s="1"/>
  <c r="C31" i="6"/>
  <c r="D31" i="6" s="1"/>
  <c r="C30" i="6"/>
  <c r="D30" i="6" s="1"/>
  <c r="C29" i="6"/>
  <c r="D29" i="6" s="1"/>
  <c r="C28" i="6"/>
  <c r="D28" i="6" s="1"/>
  <c r="C27" i="6"/>
  <c r="D27" i="6" s="1"/>
  <c r="C26" i="6"/>
  <c r="D26" i="6" s="1"/>
  <c r="C25" i="6"/>
  <c r="D25" i="6" s="1"/>
  <c r="C24" i="6"/>
  <c r="D24" i="6" s="1"/>
  <c r="C23" i="6"/>
  <c r="D23" i="6" s="1"/>
  <c r="C22" i="6"/>
  <c r="D22" i="6" s="1"/>
  <c r="C21" i="6"/>
  <c r="D21" i="6" s="1"/>
  <c r="C20" i="6"/>
  <c r="D20" i="6" s="1"/>
  <c r="C19" i="6"/>
  <c r="D19" i="6" s="1"/>
  <c r="C18" i="6"/>
  <c r="D18" i="6" s="1"/>
  <c r="C17" i="6"/>
  <c r="D17" i="6" s="1"/>
  <c r="C16" i="6"/>
  <c r="D16" i="6" s="1"/>
  <c r="C15" i="6"/>
  <c r="D15" i="6" s="1"/>
  <c r="C14" i="6"/>
  <c r="D14" i="6" s="1"/>
  <c r="C13" i="6"/>
  <c r="D13" i="6" s="1"/>
  <c r="C12" i="6"/>
  <c r="D12" i="6" s="1"/>
  <c r="C11" i="6"/>
  <c r="D11" i="6" s="1"/>
  <c r="C10" i="6"/>
  <c r="D10" i="6" s="1"/>
  <c r="C9" i="6"/>
  <c r="D9" i="6" s="1"/>
  <c r="C8" i="6"/>
  <c r="D8" i="6" s="1"/>
  <c r="C7" i="6"/>
  <c r="D7" i="6" s="1"/>
  <c r="C6" i="6"/>
  <c r="D6" i="6" s="1"/>
  <c r="C5" i="6"/>
  <c r="N10" i="5"/>
  <c r="M10" i="5"/>
  <c r="D10" i="5"/>
  <c r="C10" i="5"/>
  <c r="N9" i="5"/>
  <c r="M9" i="5"/>
  <c r="D9" i="5"/>
  <c r="C9" i="5"/>
  <c r="N8" i="5"/>
  <c r="M8" i="5"/>
  <c r="D8" i="5"/>
  <c r="C8" i="5"/>
  <c r="N7" i="5"/>
  <c r="M7" i="5"/>
  <c r="E7" i="5"/>
  <c r="D7" i="5"/>
  <c r="C7" i="5"/>
  <c r="N6" i="5"/>
  <c r="M6" i="5"/>
  <c r="D6" i="5"/>
  <c r="C6" i="5"/>
  <c r="N5" i="5"/>
  <c r="M5" i="5"/>
  <c r="D5" i="5"/>
  <c r="C5" i="5"/>
  <c r="F40" i="4"/>
  <c r="D40" i="4"/>
  <c r="C40" i="4"/>
  <c r="F39" i="4"/>
  <c r="D39" i="4"/>
  <c r="C39" i="4"/>
  <c r="F38" i="4"/>
  <c r="D38" i="4"/>
  <c r="C38" i="4"/>
  <c r="F37" i="4"/>
  <c r="D37" i="4"/>
  <c r="C37" i="4"/>
  <c r="F36" i="4"/>
  <c r="D36" i="4"/>
  <c r="C36" i="4"/>
  <c r="F35" i="4"/>
  <c r="D35" i="4"/>
  <c r="C35" i="4"/>
  <c r="F34" i="4"/>
  <c r="E24" i="1" s="1"/>
  <c r="D34" i="4"/>
  <c r="C24" i="1" s="1"/>
  <c r="C34" i="4"/>
  <c r="B24" i="1" s="1"/>
  <c r="F33" i="4"/>
  <c r="E23" i="1" s="1"/>
  <c r="D33" i="4"/>
  <c r="C23" i="1" s="1"/>
  <c r="C33" i="4"/>
  <c r="B23" i="1" s="1"/>
  <c r="F32" i="4"/>
  <c r="E22" i="1" s="1"/>
  <c r="D32" i="4"/>
  <c r="C22" i="1" s="1"/>
  <c r="C32" i="4"/>
  <c r="B22" i="1" s="1"/>
  <c r="F31" i="4"/>
  <c r="D31" i="4"/>
  <c r="C31" i="4"/>
  <c r="F30" i="4"/>
  <c r="D30" i="4"/>
  <c r="C30" i="4"/>
  <c r="F29" i="4"/>
  <c r="D29" i="4"/>
  <c r="C29" i="4"/>
  <c r="F28" i="4"/>
  <c r="D28" i="4"/>
  <c r="C28" i="4"/>
  <c r="F27" i="4"/>
  <c r="D27" i="4"/>
  <c r="C27" i="4"/>
  <c r="F26" i="4"/>
  <c r="D26" i="4"/>
  <c r="C26" i="4"/>
  <c r="F25" i="4"/>
  <c r="D25" i="4"/>
  <c r="C25" i="4"/>
  <c r="F24" i="4"/>
  <c r="D24" i="4"/>
  <c r="C24" i="4"/>
  <c r="F23" i="4"/>
  <c r="D23" i="4"/>
  <c r="C23" i="4"/>
  <c r="F22" i="4"/>
  <c r="D22" i="4"/>
  <c r="C22" i="4"/>
  <c r="F21" i="4"/>
  <c r="D21" i="4"/>
  <c r="C21" i="4"/>
  <c r="F20" i="4"/>
  <c r="D20" i="4"/>
  <c r="C20" i="4"/>
  <c r="F19" i="4"/>
  <c r="D19" i="4"/>
  <c r="C19" i="4"/>
  <c r="F18" i="4"/>
  <c r="D18" i="4"/>
  <c r="C18" i="4"/>
  <c r="F17" i="4"/>
  <c r="D17" i="4"/>
  <c r="C17" i="4"/>
  <c r="F16" i="4"/>
  <c r="D16" i="4"/>
  <c r="C16" i="4"/>
  <c r="F15" i="4"/>
  <c r="D15" i="4"/>
  <c r="C15" i="4"/>
  <c r="F14" i="4"/>
  <c r="D14" i="4"/>
  <c r="C14" i="4"/>
  <c r="F13" i="4"/>
  <c r="D13" i="4"/>
  <c r="C13" i="4"/>
  <c r="F12" i="4"/>
  <c r="D12" i="4"/>
  <c r="C12" i="4"/>
  <c r="F11" i="4"/>
  <c r="D11" i="4"/>
  <c r="C11" i="4"/>
  <c r="F10" i="4"/>
  <c r="D10" i="4"/>
  <c r="C10" i="4"/>
  <c r="F9" i="4"/>
  <c r="D9" i="4"/>
  <c r="C9" i="4"/>
  <c r="F8" i="4"/>
  <c r="D8" i="4"/>
  <c r="C8" i="4"/>
  <c r="F7" i="4"/>
  <c r="D7" i="4"/>
  <c r="C7" i="4"/>
  <c r="F6" i="4"/>
  <c r="D6" i="4"/>
  <c r="C6" i="4"/>
  <c r="F5" i="4"/>
  <c r="D5" i="4"/>
  <c r="C5" i="4"/>
  <c r="AM17" i="3"/>
  <c r="AL17" i="3"/>
  <c r="AK17" i="3"/>
  <c r="AI17" i="3"/>
  <c r="S17" i="3" s="1"/>
  <c r="AH17" i="3"/>
  <c r="AB17" i="3"/>
  <c r="AA17" i="3"/>
  <c r="X17" i="3"/>
  <c r="T17" i="3"/>
  <c r="P17" i="3"/>
  <c r="L17" i="3"/>
  <c r="H17" i="3"/>
  <c r="AN16" i="3"/>
  <c r="AM16" i="3"/>
  <c r="AL16" i="3"/>
  <c r="AK16" i="3"/>
  <c r="AJ16" i="3"/>
  <c r="AA16" i="3" s="1"/>
  <c r="AI16" i="3"/>
  <c r="S16" i="3" s="1"/>
  <c r="AH16" i="3"/>
  <c r="AB16" i="3"/>
  <c r="X16" i="3"/>
  <c r="T16" i="3"/>
  <c r="P16" i="3"/>
  <c r="L16" i="3"/>
  <c r="H16" i="3"/>
  <c r="AN15" i="3"/>
  <c r="AM15" i="3"/>
  <c r="AL15" i="3"/>
  <c r="AK15" i="3"/>
  <c r="AJ15" i="3"/>
  <c r="AA15" i="3" s="1"/>
  <c r="AI15" i="3"/>
  <c r="AH15" i="3"/>
  <c r="AB15" i="3"/>
  <c r="X15" i="3"/>
  <c r="W15" i="3"/>
  <c r="T15" i="3"/>
  <c r="S15" i="3"/>
  <c r="P15" i="3"/>
  <c r="O15" i="3"/>
  <c r="L15" i="3"/>
  <c r="K15" i="3"/>
  <c r="H15" i="3"/>
  <c r="G15" i="3"/>
  <c r="AN14" i="3"/>
  <c r="AM14" i="3"/>
  <c r="AL14" i="3"/>
  <c r="AH14" i="3" s="1"/>
  <c r="AK14" i="3"/>
  <c r="AB14" i="3"/>
  <c r="X14" i="3"/>
  <c r="T14" i="3"/>
  <c r="P14" i="3"/>
  <c r="L14" i="3"/>
  <c r="H14" i="3"/>
  <c r="AN13" i="3"/>
  <c r="AJ13" i="3" s="1"/>
  <c r="AA13" i="3" s="1"/>
  <c r="AM13" i="3"/>
  <c r="AL13" i="3"/>
  <c r="AK13" i="3"/>
  <c r="AB13" i="3"/>
  <c r="X13" i="3"/>
  <c r="T13" i="3"/>
  <c r="P13" i="3"/>
  <c r="L13" i="3"/>
  <c r="H13" i="3"/>
  <c r="AN12" i="3"/>
  <c r="AM12" i="3"/>
  <c r="AL12" i="3"/>
  <c r="AK12" i="3"/>
  <c r="AB12" i="3"/>
  <c r="X12" i="3"/>
  <c r="T12" i="3"/>
  <c r="P12" i="3"/>
  <c r="L12" i="3"/>
  <c r="H12" i="3"/>
  <c r="AN11" i="3"/>
  <c r="AM11" i="3"/>
  <c r="AL11" i="3"/>
  <c r="AK11" i="3"/>
  <c r="AJ11" i="3"/>
  <c r="AI11" i="3"/>
  <c r="AH11" i="3"/>
  <c r="AB11" i="3"/>
  <c r="AA11" i="3"/>
  <c r="X11" i="3"/>
  <c r="W11" i="3"/>
  <c r="T11" i="3"/>
  <c r="S11" i="3"/>
  <c r="P11" i="3"/>
  <c r="O11" i="3"/>
  <c r="L11" i="3"/>
  <c r="K11" i="3"/>
  <c r="H11" i="3"/>
  <c r="G11" i="3"/>
  <c r="AN10" i="3"/>
  <c r="AJ10" i="3" s="1"/>
  <c r="AA10" i="3" s="1"/>
  <c r="AM10" i="3"/>
  <c r="AL10" i="3"/>
  <c r="AK10" i="3"/>
  <c r="AB10" i="3"/>
  <c r="X10" i="3"/>
  <c r="T10" i="3"/>
  <c r="P10" i="3"/>
  <c r="L10" i="3"/>
  <c r="H10" i="3"/>
  <c r="AN9" i="3"/>
  <c r="AM9" i="3"/>
  <c r="AL9" i="3"/>
  <c r="AH9" i="3" s="1"/>
  <c r="AK9" i="3"/>
  <c r="AB9" i="3"/>
  <c r="X9" i="3"/>
  <c r="T9" i="3"/>
  <c r="P9" i="3"/>
  <c r="L9" i="3"/>
  <c r="H9" i="3"/>
  <c r="AN8" i="3"/>
  <c r="AM8" i="3"/>
  <c r="AL8" i="3"/>
  <c r="AK8" i="3"/>
  <c r="AH8" i="3"/>
  <c r="AB8" i="3"/>
  <c r="X8" i="3"/>
  <c r="W8" i="3"/>
  <c r="T8" i="3"/>
  <c r="P8" i="3"/>
  <c r="O8" i="3"/>
  <c r="L8" i="3"/>
  <c r="K8" i="3"/>
  <c r="H8" i="3"/>
  <c r="G8" i="3"/>
  <c r="AN7" i="3"/>
  <c r="AM7" i="3"/>
  <c r="AL7" i="3"/>
  <c r="AH7" i="3" s="1"/>
  <c r="AK7" i="3"/>
  <c r="AB7" i="3"/>
  <c r="X7" i="3"/>
  <c r="T7" i="3"/>
  <c r="P7" i="3"/>
  <c r="L7" i="3"/>
  <c r="H7" i="3"/>
  <c r="AN6" i="3"/>
  <c r="AM6" i="3"/>
  <c r="AL6" i="3"/>
  <c r="AH6" i="3" s="1"/>
  <c r="AK6" i="3"/>
  <c r="AB6" i="3"/>
  <c r="X6" i="3"/>
  <c r="T6" i="3"/>
  <c r="P6" i="3"/>
  <c r="L6" i="3"/>
  <c r="H6" i="3"/>
  <c r="AN5" i="3"/>
  <c r="AM5" i="3"/>
  <c r="AL5" i="3"/>
  <c r="AK5" i="3"/>
  <c r="AJ5" i="3"/>
  <c r="AA5" i="3" s="1"/>
  <c r="AI5" i="3"/>
  <c r="AH5" i="3"/>
  <c r="AB5" i="3"/>
  <c r="X5" i="3"/>
  <c r="W5" i="3"/>
  <c r="T5" i="3"/>
  <c r="S5" i="3"/>
  <c r="P5" i="3"/>
  <c r="O5" i="3"/>
  <c r="L5" i="3"/>
  <c r="K5" i="3"/>
  <c r="H5" i="3"/>
  <c r="G5" i="3"/>
  <c r="B63" i="1"/>
  <c r="C45" i="1"/>
  <c r="B37" i="1"/>
  <c r="G36" i="1"/>
  <c r="F36" i="1"/>
  <c r="E36" i="1"/>
  <c r="D36" i="1"/>
  <c r="E35" i="1"/>
  <c r="C35" i="1"/>
  <c r="B35" i="1"/>
  <c r="E34" i="1"/>
  <c r="C34" i="1"/>
  <c r="B34" i="1"/>
  <c r="E33" i="1"/>
  <c r="C33" i="1"/>
  <c r="B33" i="1"/>
  <c r="E32" i="1"/>
  <c r="C32" i="1"/>
  <c r="B32" i="1"/>
  <c r="E31" i="1"/>
  <c r="C31" i="1"/>
  <c r="B31" i="1"/>
  <c r="E30" i="1"/>
  <c r="C30" i="1"/>
  <c r="B30" i="1"/>
  <c r="B26" i="1"/>
  <c r="G25" i="1"/>
  <c r="F25" i="1"/>
  <c r="E25" i="1"/>
  <c r="D25" i="1"/>
  <c r="E21" i="1"/>
  <c r="C21" i="1"/>
  <c r="B21" i="1"/>
  <c r="E20" i="1"/>
  <c r="C20" i="1"/>
  <c r="B20" i="1"/>
  <c r="E19" i="1"/>
  <c r="C19" i="1"/>
  <c r="B19" i="1"/>
  <c r="B15" i="1"/>
  <c r="G14" i="1"/>
  <c r="F14" i="1"/>
  <c r="E14" i="1"/>
  <c r="D14" i="1"/>
  <c r="E13" i="1"/>
  <c r="C13" i="1"/>
  <c r="B13" i="1"/>
  <c r="E12" i="1"/>
  <c r="C12" i="1"/>
  <c r="B12" i="1"/>
  <c r="E11" i="1"/>
  <c r="C11" i="1"/>
  <c r="B11" i="1"/>
  <c r="E10" i="1"/>
  <c r="C10" i="1"/>
  <c r="B10" i="1"/>
  <c r="E9" i="1"/>
  <c r="C9" i="1"/>
  <c r="B9" i="1"/>
  <c r="E8" i="1"/>
  <c r="C8" i="1"/>
  <c r="B8" i="1"/>
  <c r="B39" i="6" l="1"/>
  <c r="D5" i="6"/>
  <c r="B37" i="6" s="1"/>
  <c r="B36" i="6"/>
  <c r="F10" i="5"/>
  <c r="E10" i="5"/>
  <c r="H10" i="5" s="1"/>
  <c r="F9" i="5"/>
  <c r="E9" i="5"/>
  <c r="H9" i="5" s="1"/>
  <c r="F8" i="5"/>
  <c r="E8" i="5"/>
  <c r="H8" i="5" s="1"/>
  <c r="F6" i="5"/>
  <c r="E6" i="5"/>
  <c r="H6" i="5" s="1"/>
  <c r="F5" i="5"/>
  <c r="E5" i="5"/>
  <c r="H5" i="5" s="1"/>
  <c r="G17" i="3"/>
  <c r="K17" i="3"/>
  <c r="O17" i="3"/>
  <c r="W17" i="3"/>
  <c r="G16" i="3"/>
  <c r="K16" i="3"/>
  <c r="O16" i="3"/>
  <c r="W16" i="3"/>
  <c r="E40" i="4"/>
  <c r="G40" i="4"/>
  <c r="H40" i="4"/>
  <c r="H39" i="4"/>
  <c r="E39" i="4"/>
  <c r="G39" i="4"/>
  <c r="E38" i="4"/>
  <c r="G38" i="4"/>
  <c r="H38" i="4"/>
  <c r="H37" i="4"/>
  <c r="G37" i="4"/>
  <c r="E37" i="4"/>
  <c r="E36" i="4"/>
  <c r="H36" i="4"/>
  <c r="G36" i="4"/>
  <c r="G35" i="4"/>
  <c r="E35" i="4"/>
  <c r="H35" i="4"/>
  <c r="G14" i="3"/>
  <c r="K14" i="3"/>
  <c r="O14" i="3"/>
  <c r="W14" i="3"/>
  <c r="AJ14" i="3"/>
  <c r="AA14" i="3" s="1"/>
  <c r="AI14" i="3"/>
  <c r="S14" i="3" s="1"/>
  <c r="E34" i="4"/>
  <c r="G34" i="4"/>
  <c r="H34" i="4"/>
  <c r="AH13" i="3"/>
  <c r="AI13" i="3"/>
  <c r="S13" i="3" s="1"/>
  <c r="AJ12" i="3"/>
  <c r="AA12" i="3" s="1"/>
  <c r="AH12" i="3"/>
  <c r="AI12" i="3"/>
  <c r="S12" i="3" s="1"/>
  <c r="E28" i="4"/>
  <c r="G28" i="4"/>
  <c r="H28" i="4"/>
  <c r="AH10" i="3"/>
  <c r="AI10" i="3"/>
  <c r="S10" i="3" s="1"/>
  <c r="G9" i="3"/>
  <c r="K9" i="3"/>
  <c r="O9" i="3"/>
  <c r="W9" i="3"/>
  <c r="AJ9" i="3"/>
  <c r="AA9" i="3" s="1"/>
  <c r="B10" i="5" s="1"/>
  <c r="AI9" i="3"/>
  <c r="S9" i="3" s="1"/>
  <c r="AJ8" i="3"/>
  <c r="AA8" i="3" s="1"/>
  <c r="AI8" i="3"/>
  <c r="S8" i="3" s="1"/>
  <c r="O7" i="3"/>
  <c r="K7" i="3"/>
  <c r="G7" i="3"/>
  <c r="W7" i="3"/>
  <c r="AI7" i="3"/>
  <c r="S7" i="3" s="1"/>
  <c r="AJ7" i="3"/>
  <c r="AA7" i="3" s="1"/>
  <c r="G6" i="3"/>
  <c r="K6" i="3"/>
  <c r="O6" i="3"/>
  <c r="W6" i="3"/>
  <c r="AI6" i="3"/>
  <c r="S6" i="3" s="1"/>
  <c r="AJ6" i="3"/>
  <c r="AA6" i="3" s="1"/>
  <c r="E10" i="4"/>
  <c r="K10" i="4" s="1"/>
  <c r="G10" i="4"/>
  <c r="I10" i="4" s="1"/>
  <c r="H10" i="4"/>
  <c r="J10" i="4" s="1"/>
  <c r="E9" i="4"/>
  <c r="K9" i="4" s="1"/>
  <c r="G9" i="4"/>
  <c r="I9" i="4" s="1"/>
  <c r="H9" i="4"/>
  <c r="J9" i="4" s="1"/>
  <c r="E8" i="4"/>
  <c r="K8" i="4" s="1"/>
  <c r="G8" i="4"/>
  <c r="I8" i="4" s="1"/>
  <c r="H8" i="4"/>
  <c r="J8" i="4" s="1"/>
  <c r="E7" i="4"/>
  <c r="K7" i="4" s="1"/>
  <c r="G7" i="4"/>
  <c r="I7" i="4" s="1"/>
  <c r="H7" i="4"/>
  <c r="J7" i="4" s="1"/>
  <c r="E6" i="4"/>
  <c r="K6" i="4" s="1"/>
  <c r="G6" i="4"/>
  <c r="I6" i="4" s="1"/>
  <c r="H6" i="4"/>
  <c r="J6" i="4" s="1"/>
  <c r="E5" i="4"/>
  <c r="K5" i="4" s="1"/>
  <c r="G5" i="4"/>
  <c r="I5" i="4" s="1"/>
  <c r="H5" i="4"/>
  <c r="J5" i="4" s="1"/>
  <c r="G37" i="1" l="1"/>
  <c r="I37" i="1" s="1"/>
  <c r="C51" i="1"/>
  <c r="K40" i="4"/>
  <c r="J35" i="1" s="1"/>
  <c r="D35" i="1"/>
  <c r="I40" i="4"/>
  <c r="H35" i="1" s="1"/>
  <c r="F35" i="1"/>
  <c r="J40" i="4"/>
  <c r="I35" i="1" s="1"/>
  <c r="G35" i="1"/>
  <c r="J39" i="4"/>
  <c r="I34" i="1" s="1"/>
  <c r="G34" i="1"/>
  <c r="C49" i="1"/>
  <c r="K39" i="4"/>
  <c r="J34" i="1" s="1"/>
  <c r="D34" i="1"/>
  <c r="I39" i="4"/>
  <c r="H34" i="1" s="1"/>
  <c r="F34" i="1"/>
  <c r="C50" i="1"/>
  <c r="K38" i="4"/>
  <c r="J33" i="1" s="1"/>
  <c r="D33" i="1"/>
  <c r="I38" i="4"/>
  <c r="H33" i="1" s="1"/>
  <c r="F33" i="1"/>
  <c r="J38" i="4"/>
  <c r="I33" i="1" s="1"/>
  <c r="G33" i="1"/>
  <c r="J37" i="4"/>
  <c r="I32" i="1" s="1"/>
  <c r="G32" i="1"/>
  <c r="I37" i="4"/>
  <c r="H32" i="1" s="1"/>
  <c r="F32" i="1"/>
  <c r="K37" i="4"/>
  <c r="J32" i="1" s="1"/>
  <c r="D32" i="1"/>
  <c r="K36" i="4"/>
  <c r="J31" i="1" s="1"/>
  <c r="D31" i="1"/>
  <c r="J36" i="4"/>
  <c r="I31" i="1" s="1"/>
  <c r="G31" i="1"/>
  <c r="I36" i="4"/>
  <c r="H31" i="1" s="1"/>
  <c r="F31" i="1"/>
  <c r="I35" i="4"/>
  <c r="H30" i="1" s="1"/>
  <c r="F30" i="1"/>
  <c r="K35" i="4"/>
  <c r="J30" i="1" s="1"/>
  <c r="D30" i="1"/>
  <c r="J35" i="4"/>
  <c r="I30" i="1" s="1"/>
  <c r="G30" i="1"/>
  <c r="K34" i="4"/>
  <c r="J24" i="1" s="1"/>
  <c r="D24" i="1"/>
  <c r="I34" i="4"/>
  <c r="H24" i="1" s="1"/>
  <c r="F24" i="1"/>
  <c r="J34" i="4"/>
  <c r="I24" i="1" s="1"/>
  <c r="G24" i="1"/>
  <c r="G13" i="3"/>
  <c r="W13" i="3"/>
  <c r="K13" i="3"/>
  <c r="O13" i="3"/>
  <c r="E32" i="4"/>
  <c r="G32" i="4"/>
  <c r="H32" i="4"/>
  <c r="G12" i="3"/>
  <c r="K12" i="3"/>
  <c r="O12" i="3"/>
  <c r="W12" i="3"/>
  <c r="K28" i="4"/>
  <c r="J13" i="1" s="1"/>
  <c r="D13" i="1"/>
  <c r="I28" i="4"/>
  <c r="H13" i="1" s="1"/>
  <c r="F13" i="1"/>
  <c r="J28" i="4"/>
  <c r="I13" i="1" s="1"/>
  <c r="G13" i="1"/>
  <c r="K10" i="3"/>
  <c r="O10" i="3"/>
  <c r="W10" i="3"/>
  <c r="G10" i="3"/>
  <c r="E17" i="4"/>
  <c r="K17" i="4" s="1"/>
  <c r="H21" i="4"/>
  <c r="J21" i="4" s="1"/>
  <c r="E22" i="4"/>
  <c r="K22" i="4" s="1"/>
  <c r="G22" i="4"/>
  <c r="I22" i="4" s="1"/>
  <c r="H22" i="4"/>
  <c r="J22" i="4" s="1"/>
  <c r="E20" i="4"/>
  <c r="K20" i="4" s="1"/>
  <c r="G20" i="4"/>
  <c r="I20" i="4" s="1"/>
  <c r="H20" i="4"/>
  <c r="J20" i="4" s="1"/>
  <c r="H7" i="5"/>
  <c r="E13" i="4"/>
  <c r="K13" i="4" s="1"/>
  <c r="G13" i="4"/>
  <c r="I13" i="4" s="1"/>
  <c r="H13" i="4"/>
  <c r="J13" i="4" s="1"/>
  <c r="E12" i="4"/>
  <c r="K12" i="4" s="1"/>
  <c r="G12" i="4"/>
  <c r="I12" i="4" s="1"/>
  <c r="H12" i="4"/>
  <c r="J12" i="4" s="1"/>
  <c r="E11" i="4"/>
  <c r="K11" i="4" s="1"/>
  <c r="G11" i="4"/>
  <c r="I11" i="4" s="1"/>
  <c r="H11" i="4"/>
  <c r="J11" i="4" s="1"/>
  <c r="E15" i="4"/>
  <c r="K15" i="4" s="1"/>
  <c r="G15" i="4"/>
  <c r="I15" i="4" s="1"/>
  <c r="H15" i="4"/>
  <c r="J15" i="4" s="1"/>
  <c r="E14" i="4"/>
  <c r="K14" i="4" s="1"/>
  <c r="G14" i="4"/>
  <c r="I14" i="4" s="1"/>
  <c r="H14" i="4"/>
  <c r="J14" i="4" s="1"/>
  <c r="E16" i="4"/>
  <c r="K16" i="4" s="1"/>
  <c r="G16" i="4"/>
  <c r="I16" i="4" s="1"/>
  <c r="H16" i="4"/>
  <c r="J16" i="4" s="1"/>
  <c r="G10" i="5"/>
  <c r="J10" i="5" s="1"/>
  <c r="L10" i="5" s="1"/>
  <c r="I10" i="5"/>
  <c r="K10" i="5" s="1"/>
  <c r="G9" i="5"/>
  <c r="J9" i="5" s="1"/>
  <c r="L9" i="5" s="1"/>
  <c r="I9" i="5"/>
  <c r="K9" i="5" s="1"/>
  <c r="G6" i="5"/>
  <c r="J6" i="5" s="1"/>
  <c r="L6" i="5" s="1"/>
  <c r="I6" i="5"/>
  <c r="K6" i="5" s="1"/>
  <c r="G5" i="5"/>
  <c r="J5" i="5" s="1"/>
  <c r="I5" i="5"/>
  <c r="K5" i="5" s="1"/>
  <c r="G26" i="4"/>
  <c r="H26" i="4"/>
  <c r="E26" i="4"/>
  <c r="B8" i="5"/>
  <c r="E29" i="4" l="1"/>
  <c r="G29" i="4"/>
  <c r="H29" i="4"/>
  <c r="E33" i="4"/>
  <c r="G33" i="4"/>
  <c r="H33" i="4"/>
  <c r="E30" i="4"/>
  <c r="G30" i="4"/>
  <c r="H30" i="4"/>
  <c r="E31" i="4"/>
  <c r="G31" i="4"/>
  <c r="H31" i="4"/>
  <c r="K32" i="4"/>
  <c r="J22" i="1" s="1"/>
  <c r="D22" i="1"/>
  <c r="C48" i="1"/>
  <c r="I32" i="4"/>
  <c r="H22" i="1" s="1"/>
  <c r="F22" i="1"/>
  <c r="C47" i="1"/>
  <c r="J32" i="4"/>
  <c r="I22" i="1" s="1"/>
  <c r="G22" i="1"/>
  <c r="E23" i="4"/>
  <c r="G23" i="4"/>
  <c r="H23" i="4"/>
  <c r="E24" i="4"/>
  <c r="G24" i="4"/>
  <c r="H24" i="4"/>
  <c r="E25" i="4"/>
  <c r="G25" i="4"/>
  <c r="H25" i="4"/>
  <c r="H27" i="4"/>
  <c r="G27" i="4"/>
  <c r="E27" i="4"/>
  <c r="B7" i="5"/>
  <c r="F7" i="5"/>
  <c r="G7" i="5" s="1"/>
  <c r="J7" i="5" s="1"/>
  <c r="B61" i="1"/>
  <c r="F11" i="1"/>
  <c r="I26" i="4"/>
  <c r="H11" i="1" s="1"/>
  <c r="G11" i="1"/>
  <c r="J26" i="4"/>
  <c r="I11" i="1" s="1"/>
  <c r="D11" i="1"/>
  <c r="K26" i="4"/>
  <c r="J11" i="1" s="1"/>
  <c r="I8" i="5"/>
  <c r="K8" i="5" s="1"/>
  <c r="G8" i="5"/>
  <c r="J8" i="5" s="1"/>
  <c r="L8" i="5" s="1"/>
  <c r="L5" i="5"/>
  <c r="B6" i="5"/>
  <c r="E18" i="4"/>
  <c r="K18" i="4" s="1"/>
  <c r="G18" i="4"/>
  <c r="I18" i="4" s="1"/>
  <c r="H18" i="4"/>
  <c r="J18" i="4" s="1"/>
  <c r="E19" i="4"/>
  <c r="K19" i="4" s="1"/>
  <c r="G19" i="4"/>
  <c r="I19" i="4" s="1"/>
  <c r="H19" i="4"/>
  <c r="J19" i="4" s="1"/>
  <c r="B9" i="5"/>
  <c r="E21" i="4"/>
  <c r="K21" i="4" s="1"/>
  <c r="G21" i="4"/>
  <c r="I21" i="4" s="1"/>
  <c r="B5" i="5"/>
  <c r="G17" i="4"/>
  <c r="I17" i="4" s="1"/>
  <c r="H17" i="4"/>
  <c r="J17" i="4" s="1"/>
  <c r="K29" i="4" l="1"/>
  <c r="J19" i="1" s="1"/>
  <c r="D19" i="1"/>
  <c r="I29" i="4"/>
  <c r="H19" i="1" s="1"/>
  <c r="F19" i="1"/>
  <c r="J29" i="4"/>
  <c r="I19" i="1" s="1"/>
  <c r="G19" i="1"/>
  <c r="K33" i="4"/>
  <c r="J23" i="1" s="1"/>
  <c r="D23" i="1"/>
  <c r="I33" i="4"/>
  <c r="H23" i="1" s="1"/>
  <c r="F23" i="1"/>
  <c r="J33" i="4"/>
  <c r="I23" i="1" s="1"/>
  <c r="G23" i="1"/>
  <c r="K30" i="4"/>
  <c r="J20" i="1" s="1"/>
  <c r="D20" i="1"/>
  <c r="I30" i="4"/>
  <c r="H20" i="1" s="1"/>
  <c r="F20" i="1"/>
  <c r="J30" i="4"/>
  <c r="I20" i="1" s="1"/>
  <c r="G20" i="1"/>
  <c r="K31" i="4"/>
  <c r="J21" i="1" s="1"/>
  <c r="D21" i="1"/>
  <c r="C46" i="1"/>
  <c r="I31" i="4"/>
  <c r="H21" i="1" s="1"/>
  <c r="F21" i="1"/>
  <c r="J31" i="4"/>
  <c r="I21" i="1" s="1"/>
  <c r="G21" i="1"/>
  <c r="C44" i="1"/>
  <c r="D8" i="1"/>
  <c r="K23" i="4"/>
  <c r="J8" i="1" s="1"/>
  <c r="F8" i="1"/>
  <c r="I23" i="4"/>
  <c r="H8" i="1" s="1"/>
  <c r="G8" i="1"/>
  <c r="J23" i="4"/>
  <c r="I8" i="1" s="1"/>
  <c r="D9" i="1"/>
  <c r="K24" i="4"/>
  <c r="J9" i="1" s="1"/>
  <c r="F9" i="1"/>
  <c r="I24" i="4"/>
  <c r="H9" i="1" s="1"/>
  <c r="G9" i="1"/>
  <c r="J24" i="4"/>
  <c r="I9" i="1" s="1"/>
  <c r="D10" i="1"/>
  <c r="C43" i="1"/>
  <c r="K25" i="4"/>
  <c r="J10" i="1" s="1"/>
  <c r="C42" i="1"/>
  <c r="F10" i="1"/>
  <c r="I25" i="4"/>
  <c r="H10" i="1" s="1"/>
  <c r="C41" i="1"/>
  <c r="G10" i="1"/>
  <c r="J25" i="4"/>
  <c r="I10" i="1" s="1"/>
  <c r="G12" i="1"/>
  <c r="J27" i="4"/>
  <c r="I12" i="1" s="1"/>
  <c r="F12" i="1"/>
  <c r="I27" i="4"/>
  <c r="H12" i="1" s="1"/>
  <c r="D12" i="1"/>
  <c r="K27" i="4"/>
  <c r="J12" i="1" s="1"/>
  <c r="B60" i="1"/>
  <c r="I7" i="5"/>
  <c r="B62" i="1" l="1"/>
  <c r="K7" i="5"/>
  <c r="L7" i="5" s="1"/>
  <c r="B64" i="1" s="1"/>
</calcChain>
</file>

<file path=xl/sharedStrings.xml><?xml version="1.0" encoding="utf-8"?>
<sst xmlns="http://schemas.openxmlformats.org/spreadsheetml/2006/main" count="667" uniqueCount="377">
  <si>
    <t>SELF-MONITORING REPORT, THIRD QUARTER 2026 (JULY 1 THROUGH SEPTEMBER 30, 2026)</t>
  </si>
  <si>
    <t>Permittee: Vandeveer Plating LLC, 2140 Chicago Drive SW, Wyoming, Michigan 49519</t>
  </si>
  <si>
    <t>Wastewater Discharge Permit No. IP-0421, City of Wyoming Clean Water Plant, Industrial Pretreatment Program</t>
  </si>
  <si>
    <t>Report prepared October 12, 2026 for the Plant Manager's signature. Sampling point: Outfall 001, pretreatment system effluent. Report format per Attachment B; due to the City by October 15, 2026 under Section 3.1.</t>
  </si>
  <si>
    <t>JULY 2026</t>
  </si>
  <si>
    <t>PARAMETER</t>
  </si>
  <si>
    <t>DAILY MAXIMUM LIMIT MG/L</t>
  </si>
  <si>
    <t>MONTHLY AVERAGE LIMIT MG/L</t>
  </si>
  <si>
    <t>VALID SAMPLES</t>
  </si>
  <si>
    <t>REQUIRED</t>
  </si>
  <si>
    <t>MONTHLY AVERAGE MG/L</t>
  </si>
  <si>
    <t>DAILY MAXIMUM MG/L</t>
  </si>
  <si>
    <t>MONTHLY AVERAGE MET</t>
  </si>
  <si>
    <t>DAILY MAXIMUM MET</t>
  </si>
  <si>
    <t>FREQUENCY MET</t>
  </si>
  <si>
    <t>Cadmium, total</t>
  </si>
  <si>
    <t>Chromium, total</t>
  </si>
  <si>
    <t>Copper, total</t>
  </si>
  <si>
    <t>Nickel, total</t>
  </si>
  <si>
    <t>Zinc, total</t>
  </si>
  <si>
    <t>Cyanide, total</t>
  </si>
  <si>
    <t>pH, standard units, grabs at sampling</t>
  </si>
  <si>
    <t>6.0 to 9.0</t>
  </si>
  <si>
    <t>not applicable</t>
  </si>
  <si>
    <t>In-line meter: none reported</t>
  </si>
  <si>
    <t>Met</t>
  </si>
  <si>
    <t>Flow, gallons per day</t>
  </si>
  <si>
    <t>daily</t>
  </si>
  <si>
    <t>no day above the limit per the plant manager's review of the operator logs</t>
  </si>
  <si>
    <t>AUGUST 2026</t>
  </si>
  <si>
    <t>SEPTEMBER 2026</t>
  </si>
  <si>
    <t>In-line meter: one excursion, 09/17/2026; the 6.0 low of 09/11/2026 is inside the range</t>
  </si>
  <si>
    <t>Exceeded</t>
  </si>
  <si>
    <t>VIOLATIONS IN THE QUARTER</t>
  </si>
  <si>
    <t>DATE</t>
  </si>
  <si>
    <t>PARAMETER OR CONDITION</t>
  </si>
  <si>
    <t>VALUE</t>
  </si>
  <si>
    <t>LIMITATION</t>
  </si>
  <si>
    <t>PERMIT SECTION</t>
  </si>
  <si>
    <t>CAUSE AS KNOWN</t>
  </si>
  <si>
    <t>07/21/2026</t>
  </si>
  <si>
    <t>Copper, daily maximum, sample VP-260721</t>
  </si>
  <si>
    <t>3.38 mg/L</t>
  </si>
  <si>
    <t>Part I</t>
  </si>
  <si>
    <t>Copper carryover from the plating line; treatment chemistry under review by the plant</t>
  </si>
  <si>
    <t>July 2026</t>
  </si>
  <si>
    <t>Copper, monthly average, one valid sample</t>
  </si>
  <si>
    <t>2.07 mg/L</t>
  </si>
  <si>
    <t>The July 21 result stands alone after the July 7 sample's metals were analyzed outside the holding period</t>
  </si>
  <si>
    <t>Cadmium, chromium, copper, nickel and zinc, monitoring frequency</t>
  </si>
  <si>
    <t>2 valid samples</t>
  </si>
  <si>
    <t>Section 2.3</t>
  </si>
  <si>
    <t>Metals of sample VP-260707 analyzed 08/06/2026, 30 days after collection, outside the 28-day holding period; the laboratory reported the month on 08/07/2026 after it had ended, so no replacement could be collected</t>
  </si>
  <si>
    <t>08/11/2026</t>
  </si>
  <si>
    <t>Copper, daily maximum, sample VP-260811</t>
  </si>
  <si>
    <t>Copper carryover from the plating line</t>
  </si>
  <si>
    <t>08/25/2026</t>
  </si>
  <si>
    <t>Copper, daily maximum, sample VP-260825</t>
  </si>
  <si>
    <t>August 2026</t>
  </si>
  <si>
    <t>Copper, monthly average</t>
  </si>
  <si>
    <t>Same cause as the daily maximum exceedances</t>
  </si>
  <si>
    <t>Nickel, monthly average, one valid sample</t>
  </si>
  <si>
    <t>2.38 mg/L</t>
  </si>
  <si>
    <t>Nickel result of 08/11/2026 stands alone after the 08/25/2026 nickel result was analyzed 34 days after collection, outside the holding period</t>
  </si>
  <si>
    <t>Nickel, monitoring frequency</t>
  </si>
  <si>
    <t>Nickel of sample VP-260825 analyzed 09/28/2026, outside the 28-day holding period; no replacement before month end</t>
  </si>
  <si>
    <t>09/09/2026</t>
  </si>
  <si>
    <t>Zinc, daily maximum, sample VP-260909</t>
  </si>
  <si>
    <t>2.61 mg/L</t>
  </si>
  <si>
    <t>Rinse tank RT-4 overflow during the composite</t>
  </si>
  <si>
    <t>September 2026</t>
  </si>
  <si>
    <t>Zinc, monthly average</t>
  </si>
  <si>
    <t>1.48 mg/L</t>
  </si>
  <si>
    <t>The 09/09/2026 result carries the month</t>
  </si>
  <si>
    <t>Flow, daily, worked from the totalizer register</t>
  </si>
  <si>
    <t>45,000 gallons per day</t>
  </si>
  <si>
    <t>Rinse tank RT-4 overflow, about 2,900 gallons to the sewer around treatment</t>
  </si>
  <si>
    <t>Bypass of the pretreatment system, 07:50 for about 35 minutes</t>
  </si>
  <si>
    <t>2,900 gallons</t>
  </si>
  <si>
    <t>No bypass</t>
  </si>
  <si>
    <t>Section 4.1</t>
  </si>
  <si>
    <t>Level float on RT-4 stuck; float replaced 09/10/2026</t>
  </si>
  <si>
    <t>09/10/2026</t>
  </si>
  <si>
    <t>Telephone notice of the bypass made at 16:30, after the 24-hour period</t>
  </si>
  <si>
    <t>32 hours 40 minutes after the event</t>
  </si>
  <si>
    <t>24 hours</t>
  </si>
  <si>
    <t>Section 3.2</t>
  </si>
  <si>
    <t>Notice made the next afternoon</t>
  </si>
  <si>
    <t>09/17/2026</t>
  </si>
  <si>
    <t>pH, in-line meter, 14:10 to 14:55</t>
  </si>
  <si>
    <t>5.8</t>
  </si>
  <si>
    <t>Section 2.4 and Section 4.2</t>
  </si>
  <si>
    <t>Acid dump from the pickle tank; caustic feed increased, pH 6.9 by 15:00; called in at 15:20 and reported in writing 09/21/2026</t>
  </si>
  <si>
    <t>07/31/2026</t>
  </si>
  <si>
    <t>Telephone notice of the copper daily maximum exceedance reported 07/30/2026 not made</t>
  </si>
  <si>
    <t>none made</t>
  </si>
  <si>
    <t>No call in the City's telephone log after the laboratory report; the laboratory's copy of the report to the City is not a notice under Section 3.2</t>
  </si>
  <si>
    <t>08/21/2026</t>
  </si>
  <si>
    <t>Telephone notice of the copper daily maximum exceedance reported 08/20/2026 not made</t>
  </si>
  <si>
    <t>09/05/2026</t>
  </si>
  <si>
    <t>Telephone notice of the copper daily maximum exceedance reported 09/04/2026 not made</t>
  </si>
  <si>
    <t>SIX-MONTH SIGNIFICANT NONCOMPLIANCE EVALUATION, APRIL THROUGH SEPTEMBER 2026</t>
  </si>
  <si>
    <t>Copper measurements in the period, valid results only</t>
  </si>
  <si>
    <t>Copper measurements above the technical review criterion threshold</t>
  </si>
  <si>
    <t>Share above the technical review criterion threshold, percent</t>
  </si>
  <si>
    <t>Threshold for the technical review criterion test, percent</t>
  </si>
  <si>
    <t>Copper significant noncompliance status</t>
  </si>
  <si>
    <t>No other parameter reaches either threshold; see the evaluation tab for every parameter. The second quarter report reached the City on 07/14/2026 against its 07/15/2026 due date, so the report arm of Section 3.4 is not triggered.</t>
  </si>
  <si>
    <t>CERTIFICATION</t>
  </si>
  <si>
    <t>I certify under penalty of law that this document and all attachments were prepared under my direction or supervision in accordance with a system designed to assure that qualified personnel properly gather and evaluate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 and imprisonment for knowing violations.</t>
  </si>
  <si>
    <t>Authorized representative: ______________________________</t>
  </si>
  <si>
    <t>Name: Gordon Pfeiffer</t>
  </si>
  <si>
    <t>Title: Plant Manager</t>
  </si>
  <si>
    <t>Date: ______________</t>
  </si>
  <si>
    <t>Permit limitations and computation parameters, Wastewater Discharge Permit IP-0421</t>
  </si>
  <si>
    <t>MDL MG/L</t>
  </si>
  <si>
    <t>SOURCE</t>
  </si>
  <si>
    <t>Part I of the permit; MDL from the laboratory's Methods tab</t>
  </si>
  <si>
    <t>OTHER PARAMETER</t>
  </si>
  <si>
    <t>Daily flow limit, gallons per day</t>
  </si>
  <si>
    <t>Part I of the permit</t>
  </si>
  <si>
    <t>pH range, standard units, lower bound</t>
  </si>
  <si>
    <t>pH range, standard units, upper bound</t>
  </si>
  <si>
    <t>Required valid samples per parameter per month</t>
  </si>
  <si>
    <t>Section 2.1 of the permit</t>
  </si>
  <si>
    <t>Technical review criterion for metals and cyanide</t>
  </si>
  <si>
    <t>Section 3.4 of the permit</t>
  </si>
  <si>
    <t>Chronic significant noncompliance threshold, percent of measurements</t>
  </si>
  <si>
    <t>Technical review criterion significant noncompliance threshold, percent of measurements</t>
  </si>
  <si>
    <t>Telephone notice, hours after becoming aware</t>
  </si>
  <si>
    <t>Section 3.2 of the permit</t>
  </si>
  <si>
    <t>Written report, days after the event</t>
  </si>
  <si>
    <t>Resample, days after becoming aware of a daily maximum exceedance</t>
  </si>
  <si>
    <t>Section 3.3 of the permit</t>
  </si>
  <si>
    <t>Self-monitoring report due, day of the month after the quarter</t>
  </si>
  <si>
    <t>Section 3.1 of the permit</t>
  </si>
  <si>
    <t>Holding period, total metals, days from collection</t>
  </si>
  <si>
    <t>Section 2.3 of the permit (40 CFR Part 136); the period the laboratory's chain of custody log states</t>
  </si>
  <si>
    <t>Holding period, total cyanide, days from collection</t>
  </si>
  <si>
    <t>Laboratory results April through September 2026, Outfall 001, as reported (lab_results_apr_sep2026.xlsx)</t>
  </si>
  <si>
    <t>RESULT and QUAL are the laboratory's figures as typed; the ANALYZED dates are from the laboratory's chain of custody log, and the SERIAL columns carry the same dates as Excel serials for the day count. VALID is N for a result not sampled (NS) or analyzed more than the holding period after collection, Section 2.3 and Parameters rows 23 and 24. TREATED carries a U result at zero for averaging, Section 2.2.</t>
  </si>
  <si>
    <t>SAMPLE ID</t>
  </si>
  <si>
    <t>COLLECTED</t>
  </si>
  <si>
    <t>MONTH</t>
  </si>
  <si>
    <t>TYPE</t>
  </si>
  <si>
    <t>Cd RESULT</t>
  </si>
  <si>
    <t>Cd QUAL</t>
  </si>
  <si>
    <t>Cd VALID</t>
  </si>
  <si>
    <t>Cd TREATED</t>
  </si>
  <si>
    <t>Cr RESULT</t>
  </si>
  <si>
    <t>Cr QUAL</t>
  </si>
  <si>
    <t>Cr VALID</t>
  </si>
  <si>
    <t>Cr TREATED</t>
  </si>
  <si>
    <t>Cu RESULT</t>
  </si>
  <si>
    <t>Cu QUAL</t>
  </si>
  <si>
    <t>Cu VALID</t>
  </si>
  <si>
    <t>Cu TREATED</t>
  </si>
  <si>
    <t>Ni RESULT</t>
  </si>
  <si>
    <t>Ni QUAL</t>
  </si>
  <si>
    <t>Ni VALID</t>
  </si>
  <si>
    <t>Ni TREATED</t>
  </si>
  <si>
    <t>Zn RESULT</t>
  </si>
  <si>
    <t>Zn QUAL</t>
  </si>
  <si>
    <t>Zn VALID</t>
  </si>
  <si>
    <t>Zn TREATED</t>
  </si>
  <si>
    <t>CN RESULT</t>
  </si>
  <si>
    <t>CN QUAL</t>
  </si>
  <si>
    <t>CN VALID</t>
  </si>
  <si>
    <t>CN TREATED</t>
  </si>
  <si>
    <t>FIELD PH</t>
  </si>
  <si>
    <t>LAB REPORT DATE</t>
  </si>
  <si>
    <t>METALS ANALYZED</t>
  </si>
  <si>
    <t>NICKEL ANALYZED</t>
  </si>
  <si>
    <t>CYANIDE ANALYZED</t>
  </si>
  <si>
    <t>METALS HOLD DAYS</t>
  </si>
  <si>
    <t>NICKEL HOLD DAYS</t>
  </si>
  <si>
    <t>CYANIDE HOLD DAYS</t>
  </si>
  <si>
    <t>COLLECTED, SERIAL</t>
  </si>
  <si>
    <t>METALS ANALYZED, SERIAL</t>
  </si>
  <si>
    <t>NICKEL ANALYZED, SERIAL</t>
  </si>
  <si>
    <t>CYANIDE ANALYZED, SERIAL</t>
  </si>
  <si>
    <t>VP-260407</t>
  </si>
  <si>
    <t>04/07/2026</t>
  </si>
  <si>
    <t>Apr</t>
  </si>
  <si>
    <t>Routine</t>
  </si>
  <si>
    <t>U</t>
  </si>
  <si>
    <t>04/17/2026</t>
  </si>
  <si>
    <t>04/11/2026</t>
  </si>
  <si>
    <t>04/12/2026</t>
  </si>
  <si>
    <t>VP-260421</t>
  </si>
  <si>
    <t>04/21/2026</t>
  </si>
  <si>
    <t>04/30/2026</t>
  </si>
  <si>
    <t>04/25/2026</t>
  </si>
  <si>
    <t>04/23/2026</t>
  </si>
  <si>
    <t>VP-260505</t>
  </si>
  <si>
    <t>05/05/2026</t>
  </si>
  <si>
    <t>May</t>
  </si>
  <si>
    <t>05/14/2026</t>
  </si>
  <si>
    <t>05/08/2026</t>
  </si>
  <si>
    <t>05/10/2026</t>
  </si>
  <si>
    <t>VP-260519</t>
  </si>
  <si>
    <t>05/19/2026</t>
  </si>
  <si>
    <t>J</t>
  </si>
  <si>
    <t>05/29/2026</t>
  </si>
  <si>
    <t>05/26/2026</t>
  </si>
  <si>
    <t>05/25/2026</t>
  </si>
  <si>
    <t>VP-260602</t>
  </si>
  <si>
    <t>06/02/2026</t>
  </si>
  <si>
    <t>Jun</t>
  </si>
  <si>
    <t>06/12/2026</t>
  </si>
  <si>
    <t>06/08/2026</t>
  </si>
  <si>
    <t>06/07/2026</t>
  </si>
  <si>
    <t>VP-260616</t>
  </si>
  <si>
    <t>06/16/2026</t>
  </si>
  <si>
    <t>06/26/2026</t>
  </si>
  <si>
    <t>07/13/2026</t>
  </si>
  <si>
    <t>06/18/2026</t>
  </si>
  <si>
    <t>VP-260707</t>
  </si>
  <si>
    <t>07/07/2026</t>
  </si>
  <si>
    <t>Jul</t>
  </si>
  <si>
    <t>08/07/2026</t>
  </si>
  <si>
    <t>08/06/2026</t>
  </si>
  <si>
    <t>VP-260721</t>
  </si>
  <si>
    <t>07/30/2026</t>
  </si>
  <si>
    <t>07/26/2026</t>
  </si>
  <si>
    <t>07/25/2026</t>
  </si>
  <si>
    <t>VP-260811</t>
  </si>
  <si>
    <t>Aug</t>
  </si>
  <si>
    <t>08/20/2026</t>
  </si>
  <si>
    <t>08/15/2026</t>
  </si>
  <si>
    <t>08/14/2026</t>
  </si>
  <si>
    <t>VP-260825</t>
  </si>
  <si>
    <t>09/04/2026</t>
  </si>
  <si>
    <t>08/29/2026</t>
  </si>
  <si>
    <t>09/28/2026</t>
  </si>
  <si>
    <t>08/27/2026</t>
  </si>
  <si>
    <t>VP-260909</t>
  </si>
  <si>
    <t>Sep</t>
  </si>
  <si>
    <t>09/15/2026</t>
  </si>
  <si>
    <t>09/12/2026</t>
  </si>
  <si>
    <t>09/22/2026</t>
  </si>
  <si>
    <t>VP-260922</t>
  </si>
  <si>
    <t>10/01/2026</t>
  </si>
  <si>
    <t>09/30/2026</t>
  </si>
  <si>
    <t>VP-260923</t>
  </si>
  <si>
    <t>09/23/2026</t>
  </si>
  <si>
    <t>Resample</t>
  </si>
  <si>
    <t>NS</t>
  </si>
  <si>
    <t>09/26/2026</t>
  </si>
  <si>
    <t>not collected</t>
  </si>
  <si>
    <t>Monthly averages and daily maximums by parameter, April through September 2026</t>
  </si>
  <si>
    <t>Monthly average is the arithmetic mean of the valid results in the month, resamples included, non-detects at zero (Section 2.2); daily maximum is the highest valid result in the month. A result analyzed outside its holding period is not a valid sample, and a month with fewer valid samples than required is monitored below frequency (Section 2.3).</t>
  </si>
  <si>
    <t>DAILY MAXIMUM LIMIT</t>
  </si>
  <si>
    <t>MONTHLY AVERAGE LIMIT</t>
  </si>
  <si>
    <t>MONTHLY AVERAGE</t>
  </si>
  <si>
    <t>DAILY MAXIMUM</t>
  </si>
  <si>
    <t>MONTHLY AVERAGE STATUS</t>
  </si>
  <si>
    <t>DAILY MAXIMUM STATUS</t>
  </si>
  <si>
    <t>FREQUENCY STATUS</t>
  </si>
  <si>
    <t>Significant noncompliance evaluation, April 1 through September 30, 2026, Section 3.4 of the permit</t>
  </si>
  <si>
    <t>Every valid result in the period is a measurement, resamples included. Each measurement is compared with the daily maximum limitation and with the limitation multiplied by the technical review criterion of 1.2.</t>
  </si>
  <si>
    <t>MEASUREMENTS</t>
  </si>
  <si>
    <t>TRC MULTIPLIER</t>
  </si>
  <si>
    <t>TRC THRESHOLD MG/L</t>
  </si>
  <si>
    <t>ABOVE THE LIMIT</t>
  </si>
  <si>
    <t>SHARE ABOVE THE LIMIT PCT</t>
  </si>
  <si>
    <t>ABOVE THE TRC THRESHOLD</t>
  </si>
  <si>
    <t>SHARE ABOVE THE TRC THRESHOLD PCT</t>
  </si>
  <si>
    <t>CHRONIC AT 66 PCT</t>
  </si>
  <si>
    <t>TRC AT 33 PCT</t>
  </si>
  <si>
    <t>SIGNIFICANT NONCOMPLIANCE</t>
  </si>
  <si>
    <t>CHRONIC THRESHOLD PCT</t>
  </si>
  <si>
    <t>TRC THRESHOLD PCT</t>
  </si>
  <si>
    <t>A parameter in significant noncompliance is published in the City's annual notice and goes to the enforcement response plan (Section 3.4). Copper is the one parameter over the technical review criterion threshold, and only because the July 7 sample's metals are not valid measurements.</t>
  </si>
  <si>
    <t>REPORT DUE IN THE PERIOD</t>
  </si>
  <si>
    <t>DUE</t>
  </si>
  <si>
    <t>RECEIVED</t>
  </si>
  <si>
    <t>45-DAY ARM OF SECTION 3.4</t>
  </si>
  <si>
    <t>Second quarter self-monitoring report (Section 3.1)</t>
  </si>
  <si>
    <t>07/15/2026</t>
  </si>
  <si>
    <t>07/14/2026</t>
  </si>
  <si>
    <t>Not late</t>
  </si>
  <si>
    <t>The received date is the Pretreatment Coordinator's, from her note of September 30, 2026.</t>
  </si>
  <si>
    <t>Daily flow, September 2026, gallons, worked from the totalizer register readings in the operator log</t>
  </si>
  <si>
    <t>The log carries the register at 07:00 the following morning; a day's flow is that reading less the one before it. The month's total is the end register less the start register.</t>
  </si>
  <si>
    <t>REGISTER AT 07:00 NEXT DAY, GAL</t>
  </si>
  <si>
    <t>DAILY FLOW, GAL</t>
  </si>
  <si>
    <t>ABOVE LIMIT</t>
  </si>
  <si>
    <t>Register at 07:00 on 09/01/2026</t>
  </si>
  <si>
    <t>09/01/2026</t>
  </si>
  <si>
    <t>09/02/2026</t>
  </si>
  <si>
    <t>09/03/2026</t>
  </si>
  <si>
    <t>09/06/2026</t>
  </si>
  <si>
    <t>09/07/2026</t>
  </si>
  <si>
    <t>09/08/2026</t>
  </si>
  <si>
    <t>09/11/2026</t>
  </si>
  <si>
    <t>09/13/2026</t>
  </si>
  <si>
    <t>09/14/2026</t>
  </si>
  <si>
    <t>09/16/2026</t>
  </si>
  <si>
    <t>09/18/2026</t>
  </si>
  <si>
    <t>09/19/2026</t>
  </si>
  <si>
    <t>09/20/2026</t>
  </si>
  <si>
    <t>09/21/2026</t>
  </si>
  <si>
    <t>09/24/2026</t>
  </si>
  <si>
    <t>09/25/2026</t>
  </si>
  <si>
    <t>09/27/2026</t>
  </si>
  <si>
    <t>09/29/2026</t>
  </si>
  <si>
    <t>Highest daily flow in September</t>
  </si>
  <si>
    <t>Days above the daily flow limit</t>
  </si>
  <si>
    <t>Total for the month, the end register less the start register</t>
  </si>
  <si>
    <t>Sum of the daily flows, which ties to the register total</t>
  </si>
  <si>
    <t>Notifications and resampling the quarter required, with the dates due and the dates done</t>
  </si>
  <si>
    <t>EVENT</t>
  </si>
  <si>
    <t>EVENT OR AWARENESS DATE</t>
  </si>
  <si>
    <t>REQUIREMENT</t>
  </si>
  <si>
    <t>DONE</t>
  </si>
  <si>
    <t>STATUS</t>
  </si>
  <si>
    <t>Rinse tank RT-4 overflow, a bypass of the pretreatment system, 09/09/2026 at 07:50</t>
  </si>
  <si>
    <t>Section 3.2 and Section 4.1</t>
  </si>
  <si>
    <t>09/09/2026 07:50</t>
  </si>
  <si>
    <t>Telephone notice within 24 hours</t>
  </si>
  <si>
    <t>09/10/2026 07:50</t>
  </si>
  <si>
    <t>09/10/2026 16:30</t>
  </si>
  <si>
    <t>Late</t>
  </si>
  <si>
    <t>Rinse tank RT-4 overflow, written report</t>
  </si>
  <si>
    <t>Written report within 5 days</t>
  </si>
  <si>
    <t>In-line pH excursion of 09/17/2026, 14:10 to 14:55, called in as a discharge under Section 3.2</t>
  </si>
  <si>
    <t>09/17/2026 14:10</t>
  </si>
  <si>
    <t>09/18/2026 14:10</t>
  </si>
  <si>
    <t>09/17/2026 15:20</t>
  </si>
  <si>
    <t>In-line pH excursion of 09/17/2026, written report</t>
  </si>
  <si>
    <t>Zinc daily maximum exceedance, sample VP-260909, 3.14 mg/L</t>
  </si>
  <si>
    <t>Section 3.3</t>
  </si>
  <si>
    <t>09/15/2026 (lab report)</t>
  </si>
  <si>
    <t>Resample within 30 days</t>
  </si>
  <si>
    <t>10/15/2026</t>
  </si>
  <si>
    <t>09/22/2026 and 09/23/2026</t>
  </si>
  <si>
    <t>Copper daily maximum exceedance, sample VP-260721, 4.09 mg/L</t>
  </si>
  <si>
    <t>07/30/2026 (lab report)</t>
  </si>
  <si>
    <t>Resample within 30 days; a routine sample in the period satisfies it</t>
  </si>
  <si>
    <t>08/11/2026 routine sample</t>
  </si>
  <si>
    <t>Copper daily maximum exceedance, sample VP-260811, 4.33 mg/L</t>
  </si>
  <si>
    <t>08/20/2026 (lab report)</t>
  </si>
  <si>
    <t>08/25/2026 routine sample</t>
  </si>
  <si>
    <t>Copper daily maximum exceedance, sample VP-260825, 4.15 mg/L</t>
  </si>
  <si>
    <t>09/04/2026 (lab report)</t>
  </si>
  <si>
    <t>10/04/2026</t>
  </si>
  <si>
    <t>09/09/2026 routine sample</t>
  </si>
  <si>
    <t>Copper daily maximum exceedances of 07/21, 08/11 and 08/25, discharges exceeding a daily maximum</t>
  </si>
  <si>
    <t>07/30/2026, 08/20/2026, 09/04/2026 (lab reports)</t>
  </si>
  <si>
    <t>Telephone notice within 24 hours of each report</t>
  </si>
  <si>
    <t>07/31/2026, 08/21/2026, 09/05/2026</t>
  </si>
  <si>
    <t>Not made; the City's telephone log for the quarter shows the calls of 09/10/2026 and 09/17/2026 only</t>
  </si>
  <si>
    <t>Not made</t>
  </si>
  <si>
    <t>Second quarter self-monitoring report</t>
  </si>
  <si>
    <t>Section 3.1 and Section 3.4</t>
  </si>
  <si>
    <t>06/30/2026 (quarter end)</t>
  </si>
  <si>
    <t>Report in the Attachment B format by the 15th; 45 days late is significant noncompliance</t>
  </si>
  <si>
    <t>07/14/2026, received by the City</t>
  </si>
  <si>
    <t>Third quarter self-monitoring report</t>
  </si>
  <si>
    <t>Section 3.1</t>
  </si>
  <si>
    <t>09/30/2026 (quarter end)</t>
  </si>
  <si>
    <t>Report in the Attachment B format, signed</t>
  </si>
  <si>
    <t>Signing planned 10/13/2026</t>
  </si>
  <si>
    <t>Pending</t>
  </si>
  <si>
    <t>To: Gordon Pfeiffer, Plant Manager</t>
  </si>
  <si>
    <t>Date: October 12, 2026</t>
  </si>
  <si>
    <t>Re: Third quarter 2026 self-monitoring report, Permit IP-0421, before you sign</t>
  </si>
  <si>
    <t>The overflow is not the quarter's only problem. The six-month review that Renee runs on the April through September results puts the plant in significant noncompliance for copper under Section 3.4: 4 of the 12 copper measurements since April exceed the daily maximum by more than the technical review criterion of 1.2, which is 33.3 percent against the 33 percent threshold, so the plant goes into the annual publication and the enforcement response plan on copper. The count is 12 rather than 13 because the July 7 sample's metals are not valid measurements, and that one reading is what puts the plant over the line.</t>
  </si>
  <si>
    <t>The laboratory's chain of custody log shows the metals on sample VP-260707 of July 7 analyzed on August 6, 30 days after collection and outside the 28-day holding period for total metals, so under Section 2.3 that sample is not a valid sample for cadmium, chromium, copper, nickel or zinc. The laboratory did not flag it, and it shows only in the analysis dates. With the July 7 sample counted, the share would read 30.8 percent, and the plant would be clear. The permit does not allow it to be counted. The same test drops the August 25 nickel result, analyzed on September 28, 34 days after collection. The June 16 metals, analyzed on July 13 at 27 days, and the September 9 cyanide, analyzed on September 22 at 13 days, are inside their holding periods and stand.</t>
  </si>
  <si>
    <t>July is reported as monitored below the required frequency for the five metals, since the laboratory reported the July 7 sample on August 7 after the month had ended and no replacement could be collected in July. The July copper monthly average therefore rests on the July 21 result alone, 4.09 mg/L against the 2.07 mg/L limit, and August's is 4.24 mg/L. Copper exceeded the daily maximum on July 21 at 4.09 mg/L, on August 11 at 4.33 mg/L, and on August 25 at 4.15 mg/L, against the 3.38 mg/L limit. September's copper average is 2.053 mg/L and meets the limit only because the resample of September 23 counts in the month's average, as Section 2.2 provides. Without the resample the September average would be 2.32 mg/L.</t>
  </si>
  <si>
    <t>The September 9 overflow is a bypass under Section 4.1, and it is reported as one. Zinc on the composite that day was 3.14 mg/L against the 2.61 mg/L daily maximum, and that one result carries the September zinc average to 1.653 mg/L against the 1.48 mg/L monthly limit. The day's flow, worked from the totalizer register readings in Luis's log, is 47,300 gallons against the 45,000 gallon daily limit. The telephone notice to Renee was made at 16:30 on September 10, which is past the 24 hours Section 3.2 allows from the 07:50 event, so the late notice is reported as a violation of Section 3.2. The written report of September 14 was inside the five days.</t>
  </si>
  <si>
    <t>The pH reading of 5.8 on the in-line meter on September 17, from 14:10 to 14:55 during the pickle tank acid dump, is a violation under Section 2.4 and Section 4.2 even though every grab at sampling was inside the range, and it is listed with its duration and cause. Luis's call to Renee at 15:20 the same afternoon and the written report of September 21 meet Section 3.2 on that event. The meter's low of 6.0 on the morning of September 11 is inside the range and is not a violation.</t>
  </si>
  <si>
    <t>Nickel has a reporting problem in August. The August 25 nickel result is not valid under Section 2.3, so the August nickel average rests on the August 11 result alone, 2.61 mg/L against the 2.38 mg/L monthly limit, and August is reported as monitored below the required frequency for nickel, since no replacement sample was collected before the month ended. Not-detected results are carried at zero in the averages, as Section 2.2 directs, which is why the September cadmium average reads 0.004 mg/L rather than the detection limit.</t>
  </si>
  <si>
    <t>Section 3.2 also calls for a telephone notice within 24 hours of becoming aware of any discharge exceeding a daily maximum, and Section 3.3 dates awareness to the laboratory report. Renee's telephone log for the quarter shows the calls of September 10 and September 17 and nothing after the July 30, August 20 or September 4 lab reports on the copper exceedances, and the laboratory's copies to Renee are not the telephone notice the section calls for. Those three are reported as violations of Section 3.2 in the violations table. The resample requirement of Section 3.3 is met on every exceedance: the zinc resample was due within 30 days of the September 15 lab report and was collected on September 22 and September 23, and each of the three copper exceedances was followed by a routine sample inside its 30-day period, which Section 3.3 accepts.</t>
  </si>
  <si>
    <t>The second quarter report reached Renee on July 14 against its July 15 due date, so the report arm of Section 3.4 is not triggered, and no parameter other than copper reaches either threshold.</t>
  </si>
  <si>
    <t>Two things the file leaves open. Whether Renee treats the laboratory's copies of the July and August reports as any notice at all is her call, and the report states the facts as the file shows them. The copper treatment itself is the plant's to fix, and the report states the cause only as far as the log and the lab results show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</si>
</sst>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4" x14ac:knownFonts="1">
    <font>
      <sz val="11"/>
      <color theme="1"/>
      <name val="Calibri"/>
      <family val="2"/>
      <scheme val="minor"/>
    </font>
    <font>
      <b/>
      <sz val="12"/>
      <name val="Arial"/>
      <family val="2"/>
    </font>
    <font>
      <b/>
      <sz val="10"/>
      <name val="Arial"/>
      <family val="2"/>
    </font>
    <font>
      <sz val="10"/>
      <name val="Arial"/>
      <family val="2"/>
    </font>
  </fonts>
  <fills count="4">
    <fill>
      <patternFill patternType="none"/>
    </fill>
    <fill>
      <patternFill patternType="gray125"/>
    </fill>
    <fill>
      <patternFill patternType="solid">
        <fgColor rgb="FFD9D9D9"/>
      </patternFill>
    </fill>
    <fill>
      <patternFill patternType="solid">
        <fgColor rgb="FFFFF2CC"/>
      </patternFill>
    </fill>
  </fills>
  <borders count="2">
    <border>
      <left/>
      <right/>
      <top/>
      <bottom/>
      <diagonal/>
    </border>
    <border>
      <left/>
      <right/>
      <top/>
      <bottom style="thin">
        <color rgb="FF808080"/>
      </bottom>
      <diagonal/>
    </border>
  </borders>
  <cellStyleXfs count="1">
    <xf numFmtId="0" fontId="0" fillId="0" borderId="0"/>
  </cellStyleXfs>
  <cellXfs count="17">
    <xf numFmtId="0" fontId="0" fillId="0" borderId="0" xfId="0"/>
    <xf numFmtId="0" fontId="1" fillId="0" borderId="0" xfId="0" applyFont="1"/>
    <xf numFmtId="0" fontId="3" fillId="0" borderId="0" xfId="0" applyFont="1"/>
    <xf numFmtId="0" fontId="2" fillId="2" borderId="0" xfId="0" applyFont="1" applyFill="1"/>
    <xf numFmtId="0" fontId="2" fillId="2" borderId="1" xfId="0" applyFont="1" applyFill="1" applyBorder="1"/>
    <xf numFmtId="2" fontId="3" fillId="0" borderId="0" xfId="0" applyNumberFormat="1" applyFont="1"/>
    <xf numFmtId="164" fontId="3" fillId="0" borderId="0" xfId="0" applyNumberFormat="1" applyFont="1"/>
    <xf numFmtId="165" fontId="3" fillId="0" borderId="0" xfId="0" applyNumberFormat="1" applyFont="1"/>
    <xf numFmtId="3" fontId="3" fillId="0" borderId="0" xfId="0" applyNumberFormat="1" applyFont="1"/>
    <xf numFmtId="0" fontId="3" fillId="0" borderId="0" xfId="0" applyFont="1" applyAlignment="1">
      <alignment vertical="top" wrapText="1"/>
    </xf>
    <xf numFmtId="164" fontId="3" fillId="0" borderId="0" xfId="0" applyNumberFormat="1" applyFont="1" applyAlignment="1">
      <alignment vertical="top" wrapText="1"/>
    </xf>
    <xf numFmtId="1" fontId="3" fillId="0" borderId="0" xfId="0" applyNumberFormat="1" applyFont="1" applyAlignment="1">
      <alignment vertical="top" wrapText="1"/>
    </xf>
    <xf numFmtId="3" fontId="3" fillId="0" borderId="0" xfId="0" applyNumberFormat="1" applyFont="1" applyAlignment="1">
      <alignment vertical="top" wrapText="1"/>
    </xf>
    <xf numFmtId="0" fontId="2" fillId="0" borderId="0" xfId="0" applyFont="1"/>
    <xf numFmtId="1" fontId="3" fillId="0" borderId="0" xfId="0" applyNumberFormat="1" applyFont="1"/>
    <xf numFmtId="3" fontId="2" fillId="3" borderId="0" xfId="0" applyNumberFormat="1" applyFont="1" applyFill="1"/>
    <xf numFmtId="1" fontId="2" fillId="3" borderId="0" xfId="0" applyNumberFormat="1"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2"/>
  <sheetViews>
    <sheetView tabSelected="1" workbookViewId="0"/>
  </sheetViews>
  <sheetFormatPr baseColWidth="10" defaultColWidth="8.83203125" defaultRowHeight="15" x14ac:dyDescent="0.2"/>
  <cols>
    <col min="1" max="1" width="46" customWidth="1"/>
    <col min="2" max="3" width="16" customWidth="1"/>
    <col min="4" max="4" width="12" customWidth="1"/>
    <col min="5" max="5" width="10" customWidth="1"/>
    <col min="6" max="7" width="16" customWidth="1"/>
    <col min="8" max="8" width="24" customWidth="1"/>
    <col min="9" max="9" width="14" customWidth="1"/>
    <col min="10" max="10" width="12" customWidth="1"/>
  </cols>
  <sheetData>
    <row r="1" spans="1:10" ht="16" customHeight="1" x14ac:dyDescent="0.2">
      <c r="A1" s="1" t="s">
        <v>0</v>
      </c>
    </row>
    <row r="2" spans="1:10" x14ac:dyDescent="0.2">
      <c r="A2" s="2" t="s">
        <v>1</v>
      </c>
    </row>
    <row r="3" spans="1:10" x14ac:dyDescent="0.2">
      <c r="A3" s="2" t="s">
        <v>2</v>
      </c>
    </row>
    <row r="4" spans="1:10" x14ac:dyDescent="0.2">
      <c r="A4" s="2" t="s">
        <v>3</v>
      </c>
    </row>
    <row r="6" spans="1:10" x14ac:dyDescent="0.2">
      <c r="A6" s="3" t="s">
        <v>4</v>
      </c>
    </row>
    <row r="7" spans="1:10" x14ac:dyDescent="0.2">
      <c r="A7" s="4" t="s">
        <v>5</v>
      </c>
      <c r="B7" s="4" t="s">
        <v>6</v>
      </c>
      <c r="C7" s="4" t="s">
        <v>7</v>
      </c>
      <c r="D7" s="4" t="s">
        <v>8</v>
      </c>
      <c r="E7" s="4" t="s">
        <v>9</v>
      </c>
      <c r="F7" s="4" t="s">
        <v>10</v>
      </c>
      <c r="G7" s="4" t="s">
        <v>11</v>
      </c>
      <c r="H7" s="4" t="s">
        <v>12</v>
      </c>
      <c r="I7" s="4" t="s">
        <v>13</v>
      </c>
      <c r="J7" s="4" t="s">
        <v>14</v>
      </c>
    </row>
    <row r="8" spans="1:10" x14ac:dyDescent="0.2">
      <c r="A8" s="2" t="s">
        <v>15</v>
      </c>
      <c r="B8" s="5">
        <f>'Monthly Stats'!C23</f>
        <v>0.11</v>
      </c>
      <c r="C8" s="5">
        <f>'Monthly Stats'!D23</f>
        <v>0.07</v>
      </c>
      <c r="D8" s="2">
        <f>'Monthly Stats'!E23</f>
        <v>1</v>
      </c>
      <c r="E8" s="2">
        <f>'Monthly Stats'!F23</f>
        <v>2</v>
      </c>
      <c r="F8" s="6">
        <f>'Monthly Stats'!G23</f>
        <v>0</v>
      </c>
      <c r="G8" s="6">
        <f>'Monthly Stats'!H23</f>
        <v>0</v>
      </c>
      <c r="H8" s="2" t="str">
        <f>'Monthly Stats'!I23</f>
        <v>Met</v>
      </c>
      <c r="I8" s="2" t="str">
        <f>'Monthly Stats'!J23</f>
        <v>Met</v>
      </c>
      <c r="J8" s="2" t="str">
        <f>'Monthly Stats'!K23</f>
        <v>Below frequency</v>
      </c>
    </row>
    <row r="9" spans="1:10" x14ac:dyDescent="0.2">
      <c r="A9" s="2" t="s">
        <v>16</v>
      </c>
      <c r="B9" s="5">
        <f>'Monthly Stats'!C24</f>
        <v>2.77</v>
      </c>
      <c r="C9" s="5">
        <f>'Monthly Stats'!D24</f>
        <v>1.71</v>
      </c>
      <c r="D9" s="2">
        <f>'Monthly Stats'!E24</f>
        <v>1</v>
      </c>
      <c r="E9" s="2">
        <f>'Monthly Stats'!F24</f>
        <v>2</v>
      </c>
      <c r="F9" s="6">
        <f>'Monthly Stats'!G24</f>
        <v>1.21</v>
      </c>
      <c r="G9" s="6">
        <f>'Monthly Stats'!H24</f>
        <v>1.21</v>
      </c>
      <c r="H9" s="2" t="str">
        <f>'Monthly Stats'!I24</f>
        <v>Met</v>
      </c>
      <c r="I9" s="2" t="str">
        <f>'Monthly Stats'!J24</f>
        <v>Met</v>
      </c>
      <c r="J9" s="2" t="str">
        <f>'Monthly Stats'!K24</f>
        <v>Below frequency</v>
      </c>
    </row>
    <row r="10" spans="1:10" x14ac:dyDescent="0.2">
      <c r="A10" s="2" t="s">
        <v>17</v>
      </c>
      <c r="B10" s="5">
        <f>'Monthly Stats'!C25</f>
        <v>3.38</v>
      </c>
      <c r="C10" s="5">
        <f>'Monthly Stats'!D25</f>
        <v>2.07</v>
      </c>
      <c r="D10" s="2">
        <f>'Monthly Stats'!E25</f>
        <v>1</v>
      </c>
      <c r="E10" s="2">
        <f>'Monthly Stats'!F25</f>
        <v>2</v>
      </c>
      <c r="F10" s="6">
        <f>'Monthly Stats'!G25</f>
        <v>4.09</v>
      </c>
      <c r="G10" s="6">
        <f>'Monthly Stats'!H25</f>
        <v>4.09</v>
      </c>
      <c r="H10" s="2" t="str">
        <f>'Monthly Stats'!I25</f>
        <v>Exceeded</v>
      </c>
      <c r="I10" s="2" t="str">
        <f>'Monthly Stats'!J25</f>
        <v>Exceeded</v>
      </c>
      <c r="J10" s="2" t="str">
        <f>'Monthly Stats'!K25</f>
        <v>Below frequency</v>
      </c>
    </row>
    <row r="11" spans="1:10" x14ac:dyDescent="0.2">
      <c r="A11" s="2" t="s">
        <v>18</v>
      </c>
      <c r="B11" s="5">
        <f>'Monthly Stats'!C26</f>
        <v>3.98</v>
      </c>
      <c r="C11" s="5">
        <f>'Monthly Stats'!D26</f>
        <v>2.38</v>
      </c>
      <c r="D11" s="2">
        <f>'Monthly Stats'!E26</f>
        <v>1</v>
      </c>
      <c r="E11" s="2">
        <f>'Monthly Stats'!F26</f>
        <v>2</v>
      </c>
      <c r="F11" s="6">
        <f>'Monthly Stats'!G26</f>
        <v>1.57</v>
      </c>
      <c r="G11" s="6">
        <f>'Monthly Stats'!H26</f>
        <v>1.57</v>
      </c>
      <c r="H11" s="2" t="str">
        <f>'Monthly Stats'!I26</f>
        <v>Met</v>
      </c>
      <c r="I11" s="2" t="str">
        <f>'Monthly Stats'!J26</f>
        <v>Met</v>
      </c>
      <c r="J11" s="2" t="str">
        <f>'Monthly Stats'!K26</f>
        <v>Below frequency</v>
      </c>
    </row>
    <row r="12" spans="1:10" x14ac:dyDescent="0.2">
      <c r="A12" s="2" t="s">
        <v>19</v>
      </c>
      <c r="B12" s="5">
        <f>'Monthly Stats'!C27</f>
        <v>2.61</v>
      </c>
      <c r="C12" s="5">
        <f>'Monthly Stats'!D27</f>
        <v>1.48</v>
      </c>
      <c r="D12" s="2">
        <f>'Monthly Stats'!E27</f>
        <v>1</v>
      </c>
      <c r="E12" s="2">
        <f>'Monthly Stats'!F27</f>
        <v>2</v>
      </c>
      <c r="F12" s="6">
        <f>'Monthly Stats'!G27</f>
        <v>1.27</v>
      </c>
      <c r="G12" s="6">
        <f>'Monthly Stats'!H27</f>
        <v>1.27</v>
      </c>
      <c r="H12" s="2" t="str">
        <f>'Monthly Stats'!I27</f>
        <v>Met</v>
      </c>
      <c r="I12" s="2" t="str">
        <f>'Monthly Stats'!J27</f>
        <v>Met</v>
      </c>
      <c r="J12" s="2" t="str">
        <f>'Monthly Stats'!K27</f>
        <v>Below frequency</v>
      </c>
    </row>
    <row r="13" spans="1:10" x14ac:dyDescent="0.2">
      <c r="A13" s="2" t="s">
        <v>20</v>
      </c>
      <c r="B13" s="5">
        <f>'Monthly Stats'!C28</f>
        <v>1.2</v>
      </c>
      <c r="C13" s="5">
        <f>'Monthly Stats'!D28</f>
        <v>0.65</v>
      </c>
      <c r="D13" s="2">
        <f>'Monthly Stats'!E28</f>
        <v>2</v>
      </c>
      <c r="E13" s="2">
        <f>'Monthly Stats'!F28</f>
        <v>2</v>
      </c>
      <c r="F13" s="6">
        <f>'Monthly Stats'!G28</f>
        <v>0.31</v>
      </c>
      <c r="G13" s="6">
        <f>'Monthly Stats'!H28</f>
        <v>0.35</v>
      </c>
      <c r="H13" s="2" t="str">
        <f>'Monthly Stats'!I28</f>
        <v>Met</v>
      </c>
      <c r="I13" s="2" t="str">
        <f>'Monthly Stats'!J28</f>
        <v>Met</v>
      </c>
      <c r="J13" s="2" t="str">
        <f>'Monthly Stats'!K28</f>
        <v>Met</v>
      </c>
    </row>
    <row r="14" spans="1:10" x14ac:dyDescent="0.2">
      <c r="A14" s="2" t="s">
        <v>21</v>
      </c>
      <c r="B14" s="2" t="s">
        <v>22</v>
      </c>
      <c r="C14" s="2" t="s">
        <v>23</v>
      </c>
      <c r="D14" s="2">
        <f>COUNTIFS('Lab Data'!$C$5:$C$17,"Jul")</f>
        <v>2</v>
      </c>
      <c r="E14" s="2">
        <f>Parameters!$B$15</f>
        <v>2</v>
      </c>
      <c r="F14" s="7">
        <f>_xlfn.MINIFS('Lab Data'!$AC$5:$AC$17,'Lab Data'!$C$5:$C$17,"Jul")</f>
        <v>7.2</v>
      </c>
      <c r="G14" s="7">
        <f>_xlfn.MAXIFS('Lab Data'!$AC$5:$AC$17,'Lab Data'!$C$5:$C$17,"Jul")</f>
        <v>8.4</v>
      </c>
      <c r="H14" s="2" t="s">
        <v>24</v>
      </c>
      <c r="I14" s="2" t="s">
        <v>25</v>
      </c>
      <c r="J14" s="2" t="s">
        <v>25</v>
      </c>
    </row>
    <row r="15" spans="1:10" x14ac:dyDescent="0.2">
      <c r="A15" s="2" t="s">
        <v>26</v>
      </c>
      <c r="B15" s="8">
        <f>Parameters!$B$12</f>
        <v>45000</v>
      </c>
      <c r="C15" s="2" t="s">
        <v>23</v>
      </c>
      <c r="D15" s="2" t="s">
        <v>27</v>
      </c>
      <c r="E15" s="2" t="s">
        <v>27</v>
      </c>
      <c r="G15" s="2" t="s">
        <v>28</v>
      </c>
      <c r="H15" s="2" t="s">
        <v>23</v>
      </c>
      <c r="I15" s="2" t="s">
        <v>25</v>
      </c>
      <c r="J15" s="2" t="s">
        <v>25</v>
      </c>
    </row>
    <row r="17" spans="1:10" x14ac:dyDescent="0.2">
      <c r="A17" s="3" t="s">
        <v>29</v>
      </c>
    </row>
    <row r="18" spans="1:10" x14ac:dyDescent="0.2">
      <c r="A18" s="4" t="s">
        <v>5</v>
      </c>
      <c r="B18" s="4" t="s">
        <v>6</v>
      </c>
      <c r="C18" s="4" t="s">
        <v>7</v>
      </c>
      <c r="D18" s="4" t="s">
        <v>8</v>
      </c>
      <c r="E18" s="4" t="s">
        <v>9</v>
      </c>
      <c r="F18" s="4" t="s">
        <v>10</v>
      </c>
      <c r="G18" s="4" t="s">
        <v>11</v>
      </c>
      <c r="H18" s="4" t="s">
        <v>12</v>
      </c>
      <c r="I18" s="4" t="s">
        <v>13</v>
      </c>
      <c r="J18" s="4" t="s">
        <v>14</v>
      </c>
    </row>
    <row r="19" spans="1:10" x14ac:dyDescent="0.2">
      <c r="A19" s="2" t="s">
        <v>15</v>
      </c>
      <c r="B19" s="5">
        <f>'Monthly Stats'!C29</f>
        <v>0.11</v>
      </c>
      <c r="C19" s="5">
        <f>'Monthly Stats'!D29</f>
        <v>0.07</v>
      </c>
      <c r="D19" s="2">
        <f>'Monthly Stats'!E29</f>
        <v>2</v>
      </c>
      <c r="E19" s="2">
        <f>'Monthly Stats'!F29</f>
        <v>2</v>
      </c>
      <c r="F19" s="6">
        <f>'Monthly Stats'!G29</f>
        <v>0.007</v>
      </c>
      <c r="G19" s="6">
        <f>'Monthly Stats'!H29</f>
        <v>0.014</v>
      </c>
      <c r="H19" s="2" t="str">
        <f>'Monthly Stats'!I29</f>
        <v>Met</v>
      </c>
      <c r="I19" s="2" t="str">
        <f>'Monthly Stats'!J29</f>
        <v>Met</v>
      </c>
      <c r="J19" s="2" t="str">
        <f>'Monthly Stats'!K29</f>
        <v>Met</v>
      </c>
    </row>
    <row r="20" spans="1:10" x14ac:dyDescent="0.2">
      <c r="A20" s="2" t="s">
        <v>16</v>
      </c>
      <c r="B20" s="5">
        <f>'Monthly Stats'!C30</f>
        <v>2.77</v>
      </c>
      <c r="C20" s="5">
        <f>'Monthly Stats'!D30</f>
        <v>1.71</v>
      </c>
      <c r="D20" s="2">
        <f>'Monthly Stats'!E30</f>
        <v>2</v>
      </c>
      <c r="E20" s="2">
        <f>'Monthly Stats'!F30</f>
        <v>2</v>
      </c>
      <c r="F20" s="6">
        <f>'Monthly Stats'!G30</f>
        <v>0.7</v>
      </c>
      <c r="G20" s="6">
        <f>'Monthly Stats'!H30</f>
        <v>0.74</v>
      </c>
      <c r="H20" s="2" t="str">
        <f>'Monthly Stats'!I30</f>
        <v>Met</v>
      </c>
      <c r="I20" s="2" t="str">
        <f>'Monthly Stats'!J30</f>
        <v>Met</v>
      </c>
      <c r="J20" s="2" t="str">
        <f>'Monthly Stats'!K30</f>
        <v>Met</v>
      </c>
    </row>
    <row r="21" spans="1:10" x14ac:dyDescent="0.2">
      <c r="A21" s="2" t="s">
        <v>17</v>
      </c>
      <c r="B21" s="5">
        <f>'Monthly Stats'!C31</f>
        <v>3.38</v>
      </c>
      <c r="C21" s="5">
        <f>'Monthly Stats'!D31</f>
        <v>2.07</v>
      </c>
      <c r="D21" s="2">
        <f>'Monthly Stats'!E31</f>
        <v>2</v>
      </c>
      <c r="E21" s="2">
        <f>'Monthly Stats'!F31</f>
        <v>2</v>
      </c>
      <c r="F21" s="6">
        <f>'Monthly Stats'!G31</f>
        <v>4.24</v>
      </c>
      <c r="G21" s="6">
        <f>'Monthly Stats'!H31</f>
        <v>4.33</v>
      </c>
      <c r="H21" s="2" t="str">
        <f>'Monthly Stats'!I31</f>
        <v>Exceeded</v>
      </c>
      <c r="I21" s="2" t="str">
        <f>'Monthly Stats'!J31</f>
        <v>Exceeded</v>
      </c>
      <c r="J21" s="2" t="str">
        <f>'Monthly Stats'!K31</f>
        <v>Met</v>
      </c>
    </row>
    <row r="22" spans="1:10" x14ac:dyDescent="0.2">
      <c r="A22" s="2" t="s">
        <v>18</v>
      </c>
      <c r="B22" s="5">
        <f>'Monthly Stats'!C32</f>
        <v>3.98</v>
      </c>
      <c r="C22" s="5">
        <f>'Monthly Stats'!D32</f>
        <v>2.38</v>
      </c>
      <c r="D22" s="2">
        <f>'Monthly Stats'!E32</f>
        <v>1</v>
      </c>
      <c r="E22" s="2">
        <f>'Monthly Stats'!F32</f>
        <v>2</v>
      </c>
      <c r="F22" s="6">
        <f>'Monthly Stats'!G32</f>
        <v>2.61</v>
      </c>
      <c r="G22" s="6">
        <f>'Monthly Stats'!H32</f>
        <v>2.61</v>
      </c>
      <c r="H22" s="2" t="str">
        <f>'Monthly Stats'!I32</f>
        <v>Exceeded</v>
      </c>
      <c r="I22" s="2" t="str">
        <f>'Monthly Stats'!J32</f>
        <v>Met</v>
      </c>
      <c r="J22" s="2" t="str">
        <f>'Monthly Stats'!K32</f>
        <v>Below frequency</v>
      </c>
    </row>
    <row r="23" spans="1:10" x14ac:dyDescent="0.2">
      <c r="A23" s="2" t="s">
        <v>19</v>
      </c>
      <c r="B23" s="5">
        <f>'Monthly Stats'!C33</f>
        <v>2.61</v>
      </c>
      <c r="C23" s="5">
        <f>'Monthly Stats'!D33</f>
        <v>1.48</v>
      </c>
      <c r="D23" s="2">
        <f>'Monthly Stats'!E33</f>
        <v>2</v>
      </c>
      <c r="E23" s="2">
        <f>'Monthly Stats'!F33</f>
        <v>2</v>
      </c>
      <c r="F23" s="6">
        <f>'Monthly Stats'!G33</f>
        <v>1.035</v>
      </c>
      <c r="G23" s="6">
        <f>'Monthly Stats'!H33</f>
        <v>1.18</v>
      </c>
      <c r="H23" s="2" t="str">
        <f>'Monthly Stats'!I33</f>
        <v>Met</v>
      </c>
      <c r="I23" s="2" t="str">
        <f>'Monthly Stats'!J33</f>
        <v>Met</v>
      </c>
      <c r="J23" s="2" t="str">
        <f>'Monthly Stats'!K33</f>
        <v>Met</v>
      </c>
    </row>
    <row r="24" spans="1:10" x14ac:dyDescent="0.2">
      <c r="A24" s="2" t="s">
        <v>20</v>
      </c>
      <c r="B24" s="5">
        <f>'Monthly Stats'!C34</f>
        <v>1.2</v>
      </c>
      <c r="C24" s="5">
        <f>'Monthly Stats'!D34</f>
        <v>0.65</v>
      </c>
      <c r="D24" s="2">
        <f>'Monthly Stats'!E34</f>
        <v>2</v>
      </c>
      <c r="E24" s="2">
        <f>'Monthly Stats'!F34</f>
        <v>2</v>
      </c>
      <c r="F24" s="6">
        <f>'Monthly Stats'!G34</f>
        <v>0.24</v>
      </c>
      <c r="G24" s="6">
        <f>'Monthly Stats'!H34</f>
        <v>0.29</v>
      </c>
      <c r="H24" s="2" t="str">
        <f>'Monthly Stats'!I34</f>
        <v>Met</v>
      </c>
      <c r="I24" s="2" t="str">
        <f>'Monthly Stats'!J34</f>
        <v>Met</v>
      </c>
      <c r="J24" s="2" t="str">
        <f>'Monthly Stats'!K34</f>
        <v>Met</v>
      </c>
    </row>
    <row r="25" spans="1:10" x14ac:dyDescent="0.2">
      <c r="A25" s="2" t="s">
        <v>21</v>
      </c>
      <c r="B25" s="2" t="s">
        <v>22</v>
      </c>
      <c r="C25" s="2" t="s">
        <v>23</v>
      </c>
      <c r="D25" s="2">
        <f>COUNTIFS('Lab Data'!$C$5:$C$17,"Aug")</f>
        <v>2</v>
      </c>
      <c r="E25" s="2">
        <f>Parameters!$B$15</f>
        <v>2</v>
      </c>
      <c r="F25" s="7">
        <f>_xlfn.MINIFS('Lab Data'!$AC$5:$AC$17,'Lab Data'!$C$5:$C$17,"Aug")</f>
        <v>6.8</v>
      </c>
      <c r="G25" s="7">
        <f>_xlfn.MAXIFS('Lab Data'!$AC$5:$AC$17,'Lab Data'!$C$5:$C$17,"Aug")</f>
        <v>7.5</v>
      </c>
      <c r="H25" s="2" t="s">
        <v>24</v>
      </c>
      <c r="I25" s="2" t="s">
        <v>25</v>
      </c>
      <c r="J25" s="2" t="s">
        <v>25</v>
      </c>
    </row>
    <row r="26" spans="1:10" x14ac:dyDescent="0.2">
      <c r="A26" s="2" t="s">
        <v>26</v>
      </c>
      <c r="B26" s="8">
        <f>Parameters!$B$12</f>
        <v>45000</v>
      </c>
      <c r="C26" s="2" t="s">
        <v>23</v>
      </c>
      <c r="D26" s="2" t="s">
        <v>27</v>
      </c>
      <c r="E26" s="2" t="s">
        <v>27</v>
      </c>
      <c r="G26" s="2" t="s">
        <v>28</v>
      </c>
      <c r="H26" s="2" t="s">
        <v>23</v>
      </c>
      <c r="I26" s="2" t="s">
        <v>25</v>
      </c>
      <c r="J26" s="2" t="s">
        <v>25</v>
      </c>
    </row>
    <row r="28" spans="1:10" x14ac:dyDescent="0.2">
      <c r="A28" s="3" t="s">
        <v>30</v>
      </c>
    </row>
    <row r="29" spans="1:10" x14ac:dyDescent="0.2">
      <c r="A29" s="4" t="s">
        <v>5</v>
      </c>
      <c r="B29" s="4" t="s">
        <v>6</v>
      </c>
      <c r="C29" s="4" t="s">
        <v>7</v>
      </c>
      <c r="D29" s="4" t="s">
        <v>8</v>
      </c>
      <c r="E29" s="4" t="s">
        <v>9</v>
      </c>
      <c r="F29" s="4" t="s">
        <v>10</v>
      </c>
      <c r="G29" s="4" t="s">
        <v>11</v>
      </c>
      <c r="H29" s="4" t="s">
        <v>12</v>
      </c>
      <c r="I29" s="4" t="s">
        <v>13</v>
      </c>
      <c r="J29" s="4" t="s">
        <v>14</v>
      </c>
    </row>
    <row r="30" spans="1:10" x14ac:dyDescent="0.2">
      <c r="A30" s="2" t="s">
        <v>15</v>
      </c>
      <c r="B30" s="5">
        <f>'Monthly Stats'!C35</f>
        <v>0.11</v>
      </c>
      <c r="C30" s="5">
        <f>'Monthly Stats'!D35</f>
        <v>0.07</v>
      </c>
      <c r="D30" s="2">
        <f>'Monthly Stats'!E35</f>
        <v>3</v>
      </c>
      <c r="E30" s="2">
        <f>'Monthly Stats'!F35</f>
        <v>2</v>
      </c>
      <c r="F30" s="6">
        <f>'Monthly Stats'!G35</f>
        <v>0.004</v>
      </c>
      <c r="G30" s="6">
        <f>'Monthly Stats'!H35</f>
        <v>0.012</v>
      </c>
      <c r="H30" s="2" t="str">
        <f>'Monthly Stats'!I35</f>
        <v>Met</v>
      </c>
      <c r="I30" s="2" t="str">
        <f>'Monthly Stats'!J35</f>
        <v>Met</v>
      </c>
      <c r="J30" s="2" t="str">
        <f>'Monthly Stats'!K35</f>
        <v>Met</v>
      </c>
    </row>
    <row r="31" spans="1:10" x14ac:dyDescent="0.2">
      <c r="A31" s="2" t="s">
        <v>16</v>
      </c>
      <c r="B31" s="5">
        <f>'Monthly Stats'!C36</f>
        <v>2.77</v>
      </c>
      <c r="C31" s="5">
        <f>'Monthly Stats'!D36</f>
        <v>1.71</v>
      </c>
      <c r="D31" s="2">
        <f>'Monthly Stats'!E36</f>
        <v>3</v>
      </c>
      <c r="E31" s="2">
        <f>'Monthly Stats'!F36</f>
        <v>2</v>
      </c>
      <c r="F31" s="6">
        <f>'Monthly Stats'!G36</f>
        <v>0.697</v>
      </c>
      <c r="G31" s="6">
        <f>'Monthly Stats'!H36</f>
        <v>1.02</v>
      </c>
      <c r="H31" s="2" t="str">
        <f>'Monthly Stats'!I36</f>
        <v>Met</v>
      </c>
      <c r="I31" s="2" t="str">
        <f>'Monthly Stats'!J36</f>
        <v>Met</v>
      </c>
      <c r="J31" s="2" t="str">
        <f>'Monthly Stats'!K36</f>
        <v>Met</v>
      </c>
    </row>
    <row r="32" spans="1:10" x14ac:dyDescent="0.2">
      <c r="A32" s="2" t="s">
        <v>17</v>
      </c>
      <c r="B32" s="5">
        <f>'Monthly Stats'!C37</f>
        <v>3.38</v>
      </c>
      <c r="C32" s="5">
        <f>'Monthly Stats'!D37</f>
        <v>2.07</v>
      </c>
      <c r="D32" s="2">
        <f>'Monthly Stats'!E37</f>
        <v>3</v>
      </c>
      <c r="E32" s="2">
        <f>'Monthly Stats'!F37</f>
        <v>2</v>
      </c>
      <c r="F32" s="6">
        <f>'Monthly Stats'!G37</f>
        <v>2.053</v>
      </c>
      <c r="G32" s="6">
        <f>'Monthly Stats'!H37</f>
        <v>2.96</v>
      </c>
      <c r="H32" s="2" t="str">
        <f>'Monthly Stats'!I37</f>
        <v>Met</v>
      </c>
      <c r="I32" s="2" t="str">
        <f>'Monthly Stats'!J37</f>
        <v>Met</v>
      </c>
      <c r="J32" s="2" t="str">
        <f>'Monthly Stats'!K37</f>
        <v>Met</v>
      </c>
    </row>
    <row r="33" spans="1:10" x14ac:dyDescent="0.2">
      <c r="A33" s="2" t="s">
        <v>18</v>
      </c>
      <c r="B33" s="5">
        <f>'Monthly Stats'!C38</f>
        <v>3.98</v>
      </c>
      <c r="C33" s="5">
        <f>'Monthly Stats'!D38</f>
        <v>2.38</v>
      </c>
      <c r="D33" s="2">
        <f>'Monthly Stats'!E38</f>
        <v>3</v>
      </c>
      <c r="E33" s="2">
        <f>'Monthly Stats'!F38</f>
        <v>2</v>
      </c>
      <c r="F33" s="6">
        <f>'Monthly Stats'!G38</f>
        <v>1.15</v>
      </c>
      <c r="G33" s="6">
        <f>'Monthly Stats'!H38</f>
        <v>1.36</v>
      </c>
      <c r="H33" s="2" t="str">
        <f>'Monthly Stats'!I38</f>
        <v>Met</v>
      </c>
      <c r="I33" s="2" t="str">
        <f>'Monthly Stats'!J38</f>
        <v>Met</v>
      </c>
      <c r="J33" s="2" t="str">
        <f>'Monthly Stats'!K38</f>
        <v>Met</v>
      </c>
    </row>
    <row r="34" spans="1:10" x14ac:dyDescent="0.2">
      <c r="A34" s="2" t="s">
        <v>19</v>
      </c>
      <c r="B34" s="5">
        <f>'Monthly Stats'!C39</f>
        <v>2.61</v>
      </c>
      <c r="C34" s="5">
        <f>'Monthly Stats'!D39</f>
        <v>1.48</v>
      </c>
      <c r="D34" s="2">
        <f>'Monthly Stats'!E39</f>
        <v>3</v>
      </c>
      <c r="E34" s="2">
        <f>'Monthly Stats'!F39</f>
        <v>2</v>
      </c>
      <c r="F34" s="6">
        <f>'Monthly Stats'!G39</f>
        <v>1.653</v>
      </c>
      <c r="G34" s="6">
        <f>'Monthly Stats'!H39</f>
        <v>3.14</v>
      </c>
      <c r="H34" s="2" t="str">
        <f>'Monthly Stats'!I39</f>
        <v>Exceeded</v>
      </c>
      <c r="I34" s="2" t="str">
        <f>'Monthly Stats'!J39</f>
        <v>Exceeded</v>
      </c>
      <c r="J34" s="2" t="str">
        <f>'Monthly Stats'!K39</f>
        <v>Met</v>
      </c>
    </row>
    <row r="35" spans="1:10" x14ac:dyDescent="0.2">
      <c r="A35" s="2" t="s">
        <v>20</v>
      </c>
      <c r="B35" s="5">
        <f>'Monthly Stats'!C40</f>
        <v>1.2</v>
      </c>
      <c r="C35" s="5">
        <f>'Monthly Stats'!D40</f>
        <v>0.65</v>
      </c>
      <c r="D35" s="2">
        <f>'Monthly Stats'!E40</f>
        <v>2</v>
      </c>
      <c r="E35" s="2">
        <f>'Monthly Stats'!F40</f>
        <v>2</v>
      </c>
      <c r="F35" s="6">
        <f>'Monthly Stats'!G40</f>
        <v>0.325</v>
      </c>
      <c r="G35" s="6">
        <f>'Monthly Stats'!H40</f>
        <v>0.41</v>
      </c>
      <c r="H35" s="2" t="str">
        <f>'Monthly Stats'!I40</f>
        <v>Met</v>
      </c>
      <c r="I35" s="2" t="str">
        <f>'Monthly Stats'!J40</f>
        <v>Met</v>
      </c>
      <c r="J35" s="2" t="str">
        <f>'Monthly Stats'!K40</f>
        <v>Met</v>
      </c>
    </row>
    <row r="36" spans="1:10" x14ac:dyDescent="0.2">
      <c r="A36" s="2" t="s">
        <v>21</v>
      </c>
      <c r="B36" s="2" t="s">
        <v>22</v>
      </c>
      <c r="C36" s="2" t="s">
        <v>23</v>
      </c>
      <c r="D36" s="2">
        <f>COUNTIFS('Lab Data'!$C$5:$C$17,"Sep")</f>
        <v>3</v>
      </c>
      <c r="E36" s="2">
        <f>Parameters!$B$15</f>
        <v>2</v>
      </c>
      <c r="F36" s="7">
        <f>_xlfn.MINIFS('Lab Data'!$AC$5:$AC$17,'Lab Data'!$C$5:$C$17,"Sep")</f>
        <v>7.3</v>
      </c>
      <c r="G36" s="7">
        <f>_xlfn.MAXIFS('Lab Data'!$AC$5:$AC$17,'Lab Data'!$C$5:$C$17,"Sep")</f>
        <v>7.9</v>
      </c>
      <c r="H36" s="2" t="s">
        <v>31</v>
      </c>
      <c r="I36" s="2" t="s">
        <v>32</v>
      </c>
      <c r="J36" s="2" t="s">
        <v>25</v>
      </c>
    </row>
    <row r="37" spans="1:10" x14ac:dyDescent="0.2">
      <c r="A37" s="2" t="s">
        <v>26</v>
      </c>
      <c r="B37" s="8">
        <f>Parameters!$B$12</f>
        <v>45000</v>
      </c>
      <c r="C37" s="2" t="s">
        <v>23</v>
      </c>
      <c r="D37" s="2" t="s">
        <v>27</v>
      </c>
      <c r="E37" s="2" t="s">
        <v>27</v>
      </c>
      <c r="G37" s="8">
        <f>'Flow Sep'!$B$36</f>
        <v>47300</v>
      </c>
      <c r="H37" s="2" t="s">
        <v>23</v>
      </c>
      <c r="I37" s="2" t="str">
        <f>IF(G37&gt;B37,"Exceeded","Met")</f>
        <v>Exceeded</v>
      </c>
      <c r="J37" s="2" t="s">
        <v>25</v>
      </c>
    </row>
    <row r="39" spans="1:10" x14ac:dyDescent="0.2">
      <c r="A39" s="3" t="s">
        <v>33</v>
      </c>
    </row>
    <row r="40" spans="1:10" x14ac:dyDescent="0.2">
      <c r="A40" s="4" t="s">
        <v>34</v>
      </c>
      <c r="B40" s="4" t="s">
        <v>35</v>
      </c>
      <c r="C40" s="4" t="s">
        <v>36</v>
      </c>
      <c r="D40" s="4" t="s">
        <v>37</v>
      </c>
      <c r="E40" s="4" t="s">
        <v>38</v>
      </c>
      <c r="F40" s="4" t="s">
        <v>39</v>
      </c>
    </row>
    <row r="41" spans="1:10" ht="70" customHeight="1" x14ac:dyDescent="0.2">
      <c r="A41" s="9" t="s">
        <v>40</v>
      </c>
      <c r="B41" s="9" t="s">
        <v>41</v>
      </c>
      <c r="C41" s="10">
        <f>'Monthly Stats'!H25</f>
        <v>4.09</v>
      </c>
      <c r="D41" s="9" t="s">
        <v>42</v>
      </c>
      <c r="E41" s="9" t="s">
        <v>43</v>
      </c>
      <c r="F41" s="9" t="s">
        <v>44</v>
      </c>
    </row>
    <row r="42" spans="1:10" ht="70" customHeight="1" x14ac:dyDescent="0.2">
      <c r="A42" s="9" t="s">
        <v>45</v>
      </c>
      <c r="B42" s="9" t="s">
        <v>46</v>
      </c>
      <c r="C42" s="10">
        <f>'Monthly Stats'!G25</f>
        <v>4.09</v>
      </c>
      <c r="D42" s="9" t="s">
        <v>47</v>
      </c>
      <c r="E42" s="9" t="s">
        <v>43</v>
      </c>
      <c r="F42" s="9" t="s">
        <v>48</v>
      </c>
    </row>
    <row r="43" spans="1:10" ht="112" customHeight="1" x14ac:dyDescent="0.2">
      <c r="A43" s="9" t="s">
        <v>45</v>
      </c>
      <c r="B43" s="9" t="s">
        <v>49</v>
      </c>
      <c r="C43" s="11">
        <f>'Monthly Stats'!E25</f>
        <v>1</v>
      </c>
      <c r="D43" s="9" t="s">
        <v>50</v>
      </c>
      <c r="E43" s="9" t="s">
        <v>51</v>
      </c>
      <c r="F43" s="9" t="s">
        <v>52</v>
      </c>
    </row>
    <row r="44" spans="1:10" ht="42" customHeight="1" x14ac:dyDescent="0.2">
      <c r="A44" s="9" t="s">
        <v>53</v>
      </c>
      <c r="B44" s="9" t="s">
        <v>54</v>
      </c>
      <c r="C44" s="10">
        <f>'Monthly Stats'!H31</f>
        <v>4.33</v>
      </c>
      <c r="D44" s="9" t="s">
        <v>42</v>
      </c>
      <c r="E44" s="9" t="s">
        <v>43</v>
      </c>
      <c r="F44" s="9" t="s">
        <v>55</v>
      </c>
    </row>
    <row r="45" spans="1:10" ht="42" customHeight="1" x14ac:dyDescent="0.2">
      <c r="A45" s="9" t="s">
        <v>56</v>
      </c>
      <c r="B45" s="9" t="s">
        <v>57</v>
      </c>
      <c r="C45" s="10">
        <f>'Lab Data'!M14</f>
        <v>4.15</v>
      </c>
      <c r="D45" s="9" t="s">
        <v>42</v>
      </c>
      <c r="E45" s="9" t="s">
        <v>43</v>
      </c>
      <c r="F45" s="9" t="s">
        <v>55</v>
      </c>
    </row>
    <row r="46" spans="1:10" ht="42" customHeight="1" x14ac:dyDescent="0.2">
      <c r="A46" s="9" t="s">
        <v>58</v>
      </c>
      <c r="B46" s="9" t="s">
        <v>59</v>
      </c>
      <c r="C46" s="10">
        <f>'Monthly Stats'!G31</f>
        <v>4.24</v>
      </c>
      <c r="D46" s="9" t="s">
        <v>47</v>
      </c>
      <c r="E46" s="9" t="s">
        <v>43</v>
      </c>
      <c r="F46" s="9" t="s">
        <v>60</v>
      </c>
    </row>
    <row r="47" spans="1:10" ht="84" customHeight="1" x14ac:dyDescent="0.2">
      <c r="A47" s="9" t="s">
        <v>58</v>
      </c>
      <c r="B47" s="9" t="s">
        <v>61</v>
      </c>
      <c r="C47" s="10">
        <f>'Monthly Stats'!G32</f>
        <v>2.61</v>
      </c>
      <c r="D47" s="9" t="s">
        <v>62</v>
      </c>
      <c r="E47" s="9" t="s">
        <v>43</v>
      </c>
      <c r="F47" s="9" t="s">
        <v>63</v>
      </c>
    </row>
    <row r="48" spans="1:10" ht="84" customHeight="1" x14ac:dyDescent="0.2">
      <c r="A48" s="9" t="s">
        <v>58</v>
      </c>
      <c r="B48" s="9" t="s">
        <v>64</v>
      </c>
      <c r="C48" s="11">
        <f>'Monthly Stats'!E32</f>
        <v>1</v>
      </c>
      <c r="D48" s="9" t="s">
        <v>50</v>
      </c>
      <c r="E48" s="9" t="s">
        <v>51</v>
      </c>
      <c r="F48" s="9" t="s">
        <v>65</v>
      </c>
    </row>
    <row r="49" spans="1:6" ht="42" customHeight="1" x14ac:dyDescent="0.2">
      <c r="A49" s="9" t="s">
        <v>66</v>
      </c>
      <c r="B49" s="9" t="s">
        <v>67</v>
      </c>
      <c r="C49" s="10">
        <f>'Monthly Stats'!H39</f>
        <v>3.14</v>
      </c>
      <c r="D49" s="9" t="s">
        <v>68</v>
      </c>
      <c r="E49" s="9" t="s">
        <v>43</v>
      </c>
      <c r="F49" s="9" t="s">
        <v>69</v>
      </c>
    </row>
    <row r="50" spans="1:6" ht="42" customHeight="1" x14ac:dyDescent="0.2">
      <c r="A50" s="9" t="s">
        <v>70</v>
      </c>
      <c r="B50" s="9" t="s">
        <v>71</v>
      </c>
      <c r="C50" s="10">
        <f>'Monthly Stats'!G39</f>
        <v>1.653</v>
      </c>
      <c r="D50" s="9" t="s">
        <v>72</v>
      </c>
      <c r="E50" s="9" t="s">
        <v>43</v>
      </c>
      <c r="F50" s="9" t="s">
        <v>73</v>
      </c>
    </row>
    <row r="51" spans="1:6" ht="70" customHeight="1" x14ac:dyDescent="0.2">
      <c r="A51" s="9" t="s">
        <v>66</v>
      </c>
      <c r="B51" s="9" t="s">
        <v>74</v>
      </c>
      <c r="C51" s="12">
        <f>'Flow Sep'!$B$36</f>
        <v>47300</v>
      </c>
      <c r="D51" s="9" t="s">
        <v>75</v>
      </c>
      <c r="E51" s="9" t="s">
        <v>43</v>
      </c>
      <c r="F51" s="9" t="s">
        <v>76</v>
      </c>
    </row>
    <row r="52" spans="1:6" ht="56" customHeight="1" x14ac:dyDescent="0.2">
      <c r="A52" s="9" t="s">
        <v>66</v>
      </c>
      <c r="B52" s="9" t="s">
        <v>77</v>
      </c>
      <c r="C52" s="9" t="s">
        <v>78</v>
      </c>
      <c r="D52" s="9" t="s">
        <v>79</v>
      </c>
      <c r="E52" s="9" t="s">
        <v>80</v>
      </c>
      <c r="F52" s="9" t="s">
        <v>81</v>
      </c>
    </row>
    <row r="53" spans="1:6" ht="70" customHeight="1" x14ac:dyDescent="0.2">
      <c r="A53" s="9" t="s">
        <v>82</v>
      </c>
      <c r="B53" s="9" t="s">
        <v>83</v>
      </c>
      <c r="C53" s="9" t="s">
        <v>84</v>
      </c>
      <c r="D53" s="9" t="s">
        <v>85</v>
      </c>
      <c r="E53" s="9" t="s">
        <v>86</v>
      </c>
      <c r="F53" s="9" t="s">
        <v>87</v>
      </c>
    </row>
    <row r="54" spans="1:6" ht="84" customHeight="1" x14ac:dyDescent="0.2">
      <c r="A54" s="9" t="s">
        <v>88</v>
      </c>
      <c r="B54" s="9" t="s">
        <v>89</v>
      </c>
      <c r="C54" s="9" t="s">
        <v>90</v>
      </c>
      <c r="D54" s="9" t="s">
        <v>22</v>
      </c>
      <c r="E54" s="9" t="s">
        <v>91</v>
      </c>
      <c r="F54" s="9" t="s">
        <v>92</v>
      </c>
    </row>
    <row r="55" spans="1:6" ht="98" customHeight="1" x14ac:dyDescent="0.2">
      <c r="A55" s="9" t="s">
        <v>93</v>
      </c>
      <c r="B55" s="9" t="s">
        <v>94</v>
      </c>
      <c r="C55" s="9" t="s">
        <v>95</v>
      </c>
      <c r="D55" s="9" t="s">
        <v>85</v>
      </c>
      <c r="E55" s="9" t="s">
        <v>86</v>
      </c>
      <c r="F55" s="9" t="s">
        <v>96</v>
      </c>
    </row>
    <row r="56" spans="1:6" ht="98" customHeight="1" x14ac:dyDescent="0.2">
      <c r="A56" s="9" t="s">
        <v>97</v>
      </c>
      <c r="B56" s="9" t="s">
        <v>98</v>
      </c>
      <c r="C56" s="9" t="s">
        <v>95</v>
      </c>
      <c r="D56" s="9" t="s">
        <v>85</v>
      </c>
      <c r="E56" s="9" t="s">
        <v>86</v>
      </c>
      <c r="F56" s="9" t="s">
        <v>96</v>
      </c>
    </row>
    <row r="57" spans="1:6" ht="98" customHeight="1" x14ac:dyDescent="0.2">
      <c r="A57" s="9" t="s">
        <v>99</v>
      </c>
      <c r="B57" s="9" t="s">
        <v>100</v>
      </c>
      <c r="C57" s="9" t="s">
        <v>95</v>
      </c>
      <c r="D57" s="9" t="s">
        <v>85</v>
      </c>
      <c r="E57" s="9" t="s">
        <v>86</v>
      </c>
      <c r="F57" s="9" t="s">
        <v>96</v>
      </c>
    </row>
    <row r="58" spans="1:6" x14ac:dyDescent="0.2">
      <c r="A58" s="3"/>
    </row>
    <row r="59" spans="1:6" x14ac:dyDescent="0.2">
      <c r="A59" s="3" t="s">
        <v>101</v>
      </c>
      <c r="B59" s="2"/>
    </row>
    <row r="60" spans="1:6" x14ac:dyDescent="0.2">
      <c r="A60" s="2" t="s">
        <v>102</v>
      </c>
      <c r="B60" s="2">
        <f>'SNC Review'!B7</f>
        <v>12</v>
      </c>
    </row>
    <row r="61" spans="1:6" x14ac:dyDescent="0.2">
      <c r="A61" s="2" t="s">
        <v>103</v>
      </c>
      <c r="B61" s="2">
        <f>'SNC Review'!H7</f>
        <v>4</v>
      </c>
    </row>
    <row r="62" spans="1:6" x14ac:dyDescent="0.2">
      <c r="A62" s="2" t="s">
        <v>104</v>
      </c>
      <c r="B62" s="7">
        <f>'SNC Review'!I7</f>
        <v>33.3</v>
      </c>
    </row>
    <row r="63" spans="1:6" x14ac:dyDescent="0.2">
      <c r="A63" s="2" t="s">
        <v>105</v>
      </c>
      <c r="B63" s="2">
        <f>Parameters!$B$18</f>
        <v>33</v>
      </c>
    </row>
    <row r="64" spans="1:6" x14ac:dyDescent="0.2">
      <c r="A64" s="2" t="s">
        <v>106</v>
      </c>
      <c r="B64" s="13" t="str">
        <f>'SNC Review'!L7</f>
        <v>Significant noncompliance</v>
      </c>
    </row>
    <row r="65" spans="1:1" x14ac:dyDescent="0.2">
      <c r="A65" s="2" t="s">
        <v>107</v>
      </c>
    </row>
    <row r="66" spans="1:1" x14ac:dyDescent="0.2">
      <c r="A66" s="3"/>
    </row>
    <row r="67" spans="1:1" x14ac:dyDescent="0.2">
      <c r="A67" s="3" t="s">
        <v>108</v>
      </c>
    </row>
    <row r="68" spans="1:1" ht="75" customHeight="1" x14ac:dyDescent="0.2">
      <c r="A68" s="9" t="s">
        <v>109</v>
      </c>
    </row>
    <row r="69" spans="1:1" x14ac:dyDescent="0.2">
      <c r="A69" s="2" t="s">
        <v>110</v>
      </c>
    </row>
    <row r="70" spans="1:1" x14ac:dyDescent="0.2">
      <c r="A70" s="2" t="s">
        <v>111</v>
      </c>
    </row>
    <row r="71" spans="1:1" x14ac:dyDescent="0.2">
      <c r="A71" s="2" t="s">
        <v>112</v>
      </c>
    </row>
    <row r="72" spans="1:1" x14ac:dyDescent="0.2">
      <c r="A72" s="2" t="s">
        <v>113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4"/>
  <sheetViews>
    <sheetView workbookViewId="0"/>
  </sheetViews>
  <sheetFormatPr baseColWidth="10" defaultColWidth="8.83203125" defaultRowHeight="15" x14ac:dyDescent="0.2"/>
  <cols>
    <col min="1" max="1" width="70" customWidth="1"/>
    <col min="2" max="2" width="18" customWidth="1"/>
    <col min="3" max="3" width="20" customWidth="1"/>
    <col min="4" max="4" width="10" customWidth="1"/>
    <col min="5" max="5" width="48" customWidth="1"/>
  </cols>
  <sheetData>
    <row r="1" spans="1:5" ht="16" customHeight="1" x14ac:dyDescent="0.2">
      <c r="A1" s="1" t="s">
        <v>114</v>
      </c>
    </row>
    <row r="3" spans="1:5" x14ac:dyDescent="0.2">
      <c r="A3" s="4" t="s">
        <v>5</v>
      </c>
      <c r="B3" s="4" t="s">
        <v>11</v>
      </c>
      <c r="C3" s="4" t="s">
        <v>10</v>
      </c>
      <c r="D3" s="4" t="s">
        <v>115</v>
      </c>
      <c r="E3" s="4" t="s">
        <v>116</v>
      </c>
    </row>
    <row r="4" spans="1:5" x14ac:dyDescent="0.2">
      <c r="A4" s="2" t="s">
        <v>15</v>
      </c>
      <c r="B4" s="5">
        <v>0.11</v>
      </c>
      <c r="C4" s="5">
        <v>0.07</v>
      </c>
      <c r="D4" s="6">
        <v>0.005</v>
      </c>
      <c r="E4" s="2" t="s">
        <v>117</v>
      </c>
    </row>
    <row r="5" spans="1:5" x14ac:dyDescent="0.2">
      <c r="A5" s="2" t="s">
        <v>16</v>
      </c>
      <c r="B5" s="5">
        <v>2.77</v>
      </c>
      <c r="C5" s="5">
        <v>1.71</v>
      </c>
      <c r="D5" s="6">
        <v>0.01</v>
      </c>
      <c r="E5" s="2" t="s">
        <v>117</v>
      </c>
    </row>
    <row r="6" spans="1:5" x14ac:dyDescent="0.2">
      <c r="A6" s="2" t="s">
        <v>17</v>
      </c>
      <c r="B6" s="5">
        <v>3.38</v>
      </c>
      <c r="C6" s="5">
        <v>2.07</v>
      </c>
      <c r="D6" s="6">
        <v>0.01</v>
      </c>
      <c r="E6" s="2" t="s">
        <v>117</v>
      </c>
    </row>
    <row r="7" spans="1:5" x14ac:dyDescent="0.2">
      <c r="A7" s="2" t="s">
        <v>18</v>
      </c>
      <c r="B7" s="5">
        <v>3.98</v>
      </c>
      <c r="C7" s="5">
        <v>2.38</v>
      </c>
      <c r="D7" s="6">
        <v>0.02</v>
      </c>
      <c r="E7" s="2" t="s">
        <v>117</v>
      </c>
    </row>
    <row r="8" spans="1:5" x14ac:dyDescent="0.2">
      <c r="A8" s="2" t="s">
        <v>19</v>
      </c>
      <c r="B8" s="5">
        <v>2.61</v>
      </c>
      <c r="C8" s="5">
        <v>1.48</v>
      </c>
      <c r="D8" s="6">
        <v>0.02</v>
      </c>
      <c r="E8" s="2" t="s">
        <v>117</v>
      </c>
    </row>
    <row r="9" spans="1:5" x14ac:dyDescent="0.2">
      <c r="A9" s="2" t="s">
        <v>20</v>
      </c>
      <c r="B9" s="5">
        <v>1.2</v>
      </c>
      <c r="C9" s="5">
        <v>0.65</v>
      </c>
      <c r="D9" s="6">
        <v>0.005</v>
      </c>
      <c r="E9" s="2" t="s">
        <v>117</v>
      </c>
    </row>
    <row r="11" spans="1:5" x14ac:dyDescent="0.2">
      <c r="A11" s="4" t="s">
        <v>118</v>
      </c>
      <c r="B11" s="4" t="s">
        <v>36</v>
      </c>
      <c r="C11" s="4"/>
      <c r="D11" s="4"/>
      <c r="E11" s="4" t="s">
        <v>116</v>
      </c>
    </row>
    <row r="12" spans="1:5" x14ac:dyDescent="0.2">
      <c r="A12" s="2" t="s">
        <v>119</v>
      </c>
      <c r="B12" s="8">
        <v>45000</v>
      </c>
      <c r="E12" s="2" t="s">
        <v>120</v>
      </c>
    </row>
    <row r="13" spans="1:5" x14ac:dyDescent="0.2">
      <c r="A13" s="2" t="s">
        <v>121</v>
      </c>
      <c r="B13" s="7">
        <v>6</v>
      </c>
      <c r="E13" s="2" t="s">
        <v>120</v>
      </c>
    </row>
    <row r="14" spans="1:5" x14ac:dyDescent="0.2">
      <c r="A14" s="2" t="s">
        <v>122</v>
      </c>
      <c r="B14" s="7">
        <v>9</v>
      </c>
      <c r="E14" s="2" t="s">
        <v>120</v>
      </c>
    </row>
    <row r="15" spans="1:5" x14ac:dyDescent="0.2">
      <c r="A15" s="2" t="s">
        <v>123</v>
      </c>
      <c r="B15" s="14">
        <v>2</v>
      </c>
      <c r="E15" s="2" t="s">
        <v>124</v>
      </c>
    </row>
    <row r="16" spans="1:5" x14ac:dyDescent="0.2">
      <c r="A16" s="2" t="s">
        <v>125</v>
      </c>
      <c r="B16" s="7">
        <v>1.2</v>
      </c>
      <c r="E16" s="2" t="s">
        <v>126</v>
      </c>
    </row>
    <row r="17" spans="1:5" x14ac:dyDescent="0.2">
      <c r="A17" s="2" t="s">
        <v>127</v>
      </c>
      <c r="B17" s="14">
        <v>66</v>
      </c>
      <c r="E17" s="2" t="s">
        <v>126</v>
      </c>
    </row>
    <row r="18" spans="1:5" x14ac:dyDescent="0.2">
      <c r="A18" s="2" t="s">
        <v>128</v>
      </c>
      <c r="B18" s="14">
        <v>33</v>
      </c>
      <c r="E18" s="2" t="s">
        <v>126</v>
      </c>
    </row>
    <row r="19" spans="1:5" x14ac:dyDescent="0.2">
      <c r="A19" s="2" t="s">
        <v>129</v>
      </c>
      <c r="B19" s="14">
        <v>24</v>
      </c>
      <c r="E19" s="2" t="s">
        <v>130</v>
      </c>
    </row>
    <row r="20" spans="1:5" x14ac:dyDescent="0.2">
      <c r="A20" s="2" t="s">
        <v>131</v>
      </c>
      <c r="B20" s="14">
        <v>5</v>
      </c>
      <c r="E20" s="2" t="s">
        <v>130</v>
      </c>
    </row>
    <row r="21" spans="1:5" x14ac:dyDescent="0.2">
      <c r="A21" s="2" t="s">
        <v>132</v>
      </c>
      <c r="B21" s="14">
        <v>30</v>
      </c>
      <c r="E21" s="2" t="s">
        <v>133</v>
      </c>
    </row>
    <row r="22" spans="1:5" x14ac:dyDescent="0.2">
      <c r="A22" s="2" t="s">
        <v>134</v>
      </c>
      <c r="B22" s="14">
        <v>15</v>
      </c>
      <c r="E22" s="2" t="s">
        <v>135</v>
      </c>
    </row>
    <row r="23" spans="1:5" x14ac:dyDescent="0.2">
      <c r="A23" s="2" t="s">
        <v>136</v>
      </c>
      <c r="B23" s="14">
        <v>28</v>
      </c>
      <c r="E23" s="2" t="s">
        <v>137</v>
      </c>
    </row>
    <row r="24" spans="1:5" x14ac:dyDescent="0.2">
      <c r="A24" s="2" t="s">
        <v>138</v>
      </c>
      <c r="B24" s="14">
        <v>14</v>
      </c>
      <c r="E24" s="2" t="s">
        <v>137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N17"/>
  <sheetViews>
    <sheetView workbookViewId="0">
      <pane xSplit="4" ySplit="4" topLeftCell="E5" activePane="bottomRight" state="frozen"/>
      <selection pane="topRight"/>
      <selection pane="bottomLeft"/>
      <selection pane="bottomRight"/>
    </sheetView>
  </sheetViews>
  <sheetFormatPr baseColWidth="10" defaultColWidth="8.83203125" defaultRowHeight="15" x14ac:dyDescent="0.2"/>
  <cols>
    <col min="1" max="2" width="12" customWidth="1"/>
    <col min="3" max="3" width="7" customWidth="1"/>
    <col min="4" max="4" width="10" customWidth="1"/>
    <col min="5" max="5" width="9" customWidth="1"/>
    <col min="6" max="7" width="7" customWidth="1"/>
    <col min="8" max="9" width="9" customWidth="1"/>
    <col min="10" max="11" width="7" customWidth="1"/>
    <col min="12" max="13" width="9" customWidth="1"/>
    <col min="14" max="15" width="7" customWidth="1"/>
    <col min="16" max="17" width="9" customWidth="1"/>
    <col min="18" max="19" width="7" customWidth="1"/>
    <col min="20" max="21" width="9" customWidth="1"/>
    <col min="22" max="23" width="7" customWidth="1"/>
    <col min="24" max="25" width="9" customWidth="1"/>
    <col min="26" max="27" width="7" customWidth="1"/>
    <col min="28" max="29" width="9" customWidth="1"/>
    <col min="30" max="33" width="14" customWidth="1"/>
    <col min="34" max="36" width="11" customWidth="1"/>
    <col min="37" max="40" width="12" customWidth="1"/>
  </cols>
  <sheetData>
    <row r="1" spans="1:40" ht="16" customHeight="1" x14ac:dyDescent="0.2">
      <c r="A1" s="1" t="s">
        <v>139</v>
      </c>
    </row>
    <row r="2" spans="1:40" x14ac:dyDescent="0.2">
      <c r="A2" s="2" t="s">
        <v>140</v>
      </c>
    </row>
    <row r="4" spans="1:40" x14ac:dyDescent="0.2">
      <c r="A4" s="4" t="s">
        <v>141</v>
      </c>
      <c r="B4" s="4" t="s">
        <v>142</v>
      </c>
      <c r="C4" s="4" t="s">
        <v>143</v>
      </c>
      <c r="D4" s="4" t="s">
        <v>144</v>
      </c>
      <c r="E4" s="4" t="s">
        <v>145</v>
      </c>
      <c r="F4" s="4" t="s">
        <v>146</v>
      </c>
      <c r="G4" s="4" t="s">
        <v>147</v>
      </c>
      <c r="H4" s="4" t="s">
        <v>148</v>
      </c>
      <c r="I4" s="4" t="s">
        <v>149</v>
      </c>
      <c r="J4" s="4" t="s">
        <v>150</v>
      </c>
      <c r="K4" s="4" t="s">
        <v>151</v>
      </c>
      <c r="L4" s="4" t="s">
        <v>152</v>
      </c>
      <c r="M4" s="4" t="s">
        <v>153</v>
      </c>
      <c r="N4" s="4" t="s">
        <v>154</v>
      </c>
      <c r="O4" s="4" t="s">
        <v>155</v>
      </c>
      <c r="P4" s="4" t="s">
        <v>156</v>
      </c>
      <c r="Q4" s="4" t="s">
        <v>157</v>
      </c>
      <c r="R4" s="4" t="s">
        <v>158</v>
      </c>
      <c r="S4" s="4" t="s">
        <v>159</v>
      </c>
      <c r="T4" s="4" t="s">
        <v>160</v>
      </c>
      <c r="U4" s="4" t="s">
        <v>161</v>
      </c>
      <c r="V4" s="4" t="s">
        <v>162</v>
      </c>
      <c r="W4" s="4" t="s">
        <v>163</v>
      </c>
      <c r="X4" s="4" t="s">
        <v>164</v>
      </c>
      <c r="Y4" s="4" t="s">
        <v>165</v>
      </c>
      <c r="Z4" s="4" t="s">
        <v>166</v>
      </c>
      <c r="AA4" s="4" t="s">
        <v>167</v>
      </c>
      <c r="AB4" s="4" t="s">
        <v>168</v>
      </c>
      <c r="AC4" s="4" t="s">
        <v>169</v>
      </c>
      <c r="AD4" s="4" t="s">
        <v>170</v>
      </c>
      <c r="AE4" s="4" t="s">
        <v>171</v>
      </c>
      <c r="AF4" s="4" t="s">
        <v>172</v>
      </c>
      <c r="AG4" s="4" t="s">
        <v>173</v>
      </c>
      <c r="AH4" s="4" t="s">
        <v>174</v>
      </c>
      <c r="AI4" s="4" t="s">
        <v>175</v>
      </c>
      <c r="AJ4" s="4" t="s">
        <v>176</v>
      </c>
      <c r="AK4" s="4" t="s">
        <v>177</v>
      </c>
      <c r="AL4" s="4" t="s">
        <v>178</v>
      </c>
      <c r="AM4" s="4" t="s">
        <v>179</v>
      </c>
      <c r="AN4" s="4" t="s">
        <v>180</v>
      </c>
    </row>
    <row r="5" spans="1:40" x14ac:dyDescent="0.2">
      <c r="A5" s="2" t="s">
        <v>181</v>
      </c>
      <c r="B5" s="2" t="s">
        <v>182</v>
      </c>
      <c r="C5" s="2" t="s">
        <v>183</v>
      </c>
      <c r="D5" s="2" t="s">
        <v>184</v>
      </c>
      <c r="E5" s="6">
        <v>0.005</v>
      </c>
      <c r="F5" s="2" t="s">
        <v>185</v>
      </c>
      <c r="G5" s="2" t="str">
        <f>IF(F5="NS","N",IF($AH5&gt;Parameters!$B$23,"N","Y"))</f>
        <v>Y</v>
      </c>
      <c r="H5" s="6">
        <f t="shared" ref="H5:H17" si="0">IF(F5="U",0,E5)</f>
        <v>0</v>
      </c>
      <c r="I5" s="6">
        <v>0.62</v>
      </c>
      <c r="J5" s="2"/>
      <c r="K5" s="2" t="str">
        <f>IF(J5="NS","N",IF($AH5&gt;Parameters!$B$23,"N","Y"))</f>
        <v>Y</v>
      </c>
      <c r="L5" s="6">
        <f t="shared" ref="L5:L17" si="1">IF(J5="U",0,I5)</f>
        <v>0.62</v>
      </c>
      <c r="M5" s="6">
        <v>1.84</v>
      </c>
      <c r="N5" s="2"/>
      <c r="O5" s="2" t="str">
        <f>IF(N5="NS","N",IF($AH5&gt;Parameters!$B$23,"N","Y"))</f>
        <v>Y</v>
      </c>
      <c r="P5" s="6">
        <f t="shared" ref="P5:P17" si="2">IF(N5="U",0,M5)</f>
        <v>1.84</v>
      </c>
      <c r="Q5" s="6">
        <v>0.91</v>
      </c>
      <c r="R5" s="2"/>
      <c r="S5" s="2" t="str">
        <f>IF(R5="NS","N",IF($AI5&gt;Parameters!$B$23,"N","Y"))</f>
        <v>Y</v>
      </c>
      <c r="T5" s="6">
        <f t="shared" ref="T5:T17" si="3">IF(R5="U",0,Q5)</f>
        <v>0.91</v>
      </c>
      <c r="U5" s="6">
        <v>0.74</v>
      </c>
      <c r="V5" s="2"/>
      <c r="W5" s="2" t="str">
        <f>IF(V5="NS","N",IF($AH5&gt;Parameters!$B$23,"N","Y"))</f>
        <v>Y</v>
      </c>
      <c r="X5" s="6">
        <f t="shared" ref="X5:X17" si="4">IF(V5="U",0,U5)</f>
        <v>0.74</v>
      </c>
      <c r="Y5" s="6">
        <v>0.18</v>
      </c>
      <c r="Z5" s="2"/>
      <c r="AA5" s="2" t="str">
        <f>IF(Z5="NS","N",IF($AJ5&gt;Parameters!$B$24,"N","Y"))</f>
        <v>Y</v>
      </c>
      <c r="AB5" s="6">
        <f t="shared" ref="AB5:AB17" si="5">IF(Z5="U",0,Y5)</f>
        <v>0.18</v>
      </c>
      <c r="AC5" s="7">
        <v>7.4</v>
      </c>
      <c r="AD5" s="2" t="s">
        <v>186</v>
      </c>
      <c r="AE5" s="2" t="s">
        <v>187</v>
      </c>
      <c r="AF5" s="2" t="s">
        <v>187</v>
      </c>
      <c r="AG5" s="2" t="s">
        <v>188</v>
      </c>
      <c r="AH5" s="14">
        <f t="shared" ref="AH5:AH17" si="6">_xlfn.DAYS(AL5,AK5)</f>
        <v>4</v>
      </c>
      <c r="AI5" s="14">
        <f t="shared" ref="AI5:AI17" si="7">_xlfn.DAYS(AM5,AK5)</f>
        <v>4</v>
      </c>
      <c r="AJ5" s="14">
        <f t="shared" ref="AJ5:AJ16" si="8">_xlfn.DAYS(AN5,AK5)</f>
        <v>5</v>
      </c>
      <c r="AK5" s="14">
        <f t="shared" ref="AK5:AK17" si="9">DATE(VALUE(RIGHT(B5,4)),VALUE(LEFT(B5,2)),VALUE(MID(B5,4,2)))</f>
        <v>46119</v>
      </c>
      <c r="AL5" s="14">
        <f t="shared" ref="AL5:AL16" si="10">DATE(VALUE(RIGHT(AE5,4)),VALUE(LEFT(AE5,2)),VALUE(MID(AE5,4,2)))</f>
        <v>46123</v>
      </c>
      <c r="AM5" s="14">
        <f t="shared" ref="AM5:AM16" si="11">DATE(VALUE(RIGHT(AF5,4)),VALUE(LEFT(AF5,2)),VALUE(MID(AF5,4,2)))</f>
        <v>46123</v>
      </c>
      <c r="AN5" s="14">
        <f t="shared" ref="AN5:AN16" si="12">DATE(VALUE(RIGHT(AG5,4)),VALUE(LEFT(AG5,2)),VALUE(MID(AG5,4,2)))</f>
        <v>46124</v>
      </c>
    </row>
    <row r="6" spans="1:40" x14ac:dyDescent="0.2">
      <c r="A6" s="2" t="s">
        <v>189</v>
      </c>
      <c r="B6" s="2" t="s">
        <v>190</v>
      </c>
      <c r="C6" s="2" t="s">
        <v>183</v>
      </c>
      <c r="D6" s="2" t="s">
        <v>184</v>
      </c>
      <c r="E6" s="6">
        <v>0.012</v>
      </c>
      <c r="F6" s="2"/>
      <c r="G6" s="2" t="str">
        <f>IF(F6="NS","N",IF($AH6&gt;Parameters!$B$23,"N","Y"))</f>
        <v>Y</v>
      </c>
      <c r="H6" s="6">
        <f t="shared" si="0"/>
        <v>0.012</v>
      </c>
      <c r="I6" s="6">
        <v>0.48</v>
      </c>
      <c r="J6" s="2"/>
      <c r="K6" s="2" t="str">
        <f>IF(J6="NS","N",IF($AH6&gt;Parameters!$B$23,"N","Y"))</f>
        <v>Y</v>
      </c>
      <c r="L6" s="6">
        <f t="shared" si="1"/>
        <v>0.48</v>
      </c>
      <c r="M6" s="6">
        <v>3.62</v>
      </c>
      <c r="N6" s="2"/>
      <c r="O6" s="2" t="str">
        <f>IF(N6="NS","N",IF($AH6&gt;Parameters!$B$23,"N","Y"))</f>
        <v>Y</v>
      </c>
      <c r="P6" s="6">
        <f t="shared" si="2"/>
        <v>3.62</v>
      </c>
      <c r="Q6" s="6">
        <v>1.44</v>
      </c>
      <c r="R6" s="2"/>
      <c r="S6" s="2" t="str">
        <f>IF(R6="NS","N",IF($AI6&gt;Parameters!$B$23,"N","Y"))</f>
        <v>Y</v>
      </c>
      <c r="T6" s="6">
        <f t="shared" si="3"/>
        <v>1.44</v>
      </c>
      <c r="U6" s="6">
        <v>1.12</v>
      </c>
      <c r="V6" s="2"/>
      <c r="W6" s="2" t="str">
        <f>IF(V6="NS","N",IF($AH6&gt;Parameters!$B$23,"N","Y"))</f>
        <v>Y</v>
      </c>
      <c r="X6" s="6">
        <f t="shared" si="4"/>
        <v>1.12</v>
      </c>
      <c r="Y6" s="6">
        <v>0.31</v>
      </c>
      <c r="Z6" s="2"/>
      <c r="AA6" s="2" t="str">
        <f>IF(Z6="NS","N",IF($AJ6&gt;Parameters!$B$24,"N","Y"))</f>
        <v>Y</v>
      </c>
      <c r="AB6" s="6">
        <f t="shared" si="5"/>
        <v>0.31</v>
      </c>
      <c r="AC6" s="7">
        <v>7.1</v>
      </c>
      <c r="AD6" s="2" t="s">
        <v>191</v>
      </c>
      <c r="AE6" s="2" t="s">
        <v>192</v>
      </c>
      <c r="AF6" s="2" t="s">
        <v>192</v>
      </c>
      <c r="AG6" s="2" t="s">
        <v>193</v>
      </c>
      <c r="AH6" s="14">
        <f t="shared" si="6"/>
        <v>4</v>
      </c>
      <c r="AI6" s="14">
        <f t="shared" si="7"/>
        <v>4</v>
      </c>
      <c r="AJ6" s="14">
        <f t="shared" si="8"/>
        <v>2</v>
      </c>
      <c r="AK6" s="14">
        <f t="shared" si="9"/>
        <v>46133</v>
      </c>
      <c r="AL6" s="14">
        <f t="shared" si="10"/>
        <v>46137</v>
      </c>
      <c r="AM6" s="14">
        <f t="shared" si="11"/>
        <v>46137</v>
      </c>
      <c r="AN6" s="14">
        <f t="shared" si="12"/>
        <v>46135</v>
      </c>
    </row>
    <row r="7" spans="1:40" x14ac:dyDescent="0.2">
      <c r="A7" s="2" t="s">
        <v>194</v>
      </c>
      <c r="B7" s="2" t="s">
        <v>195</v>
      </c>
      <c r="C7" s="2" t="s">
        <v>196</v>
      </c>
      <c r="D7" s="2" t="s">
        <v>184</v>
      </c>
      <c r="E7" s="6">
        <v>0.005</v>
      </c>
      <c r="F7" s="2" t="s">
        <v>185</v>
      </c>
      <c r="G7" s="2" t="str">
        <f>IF(F7="NS","N",IF($AH7&gt;Parameters!$B$23,"N","Y"))</f>
        <v>Y</v>
      </c>
      <c r="H7" s="6">
        <f t="shared" si="0"/>
        <v>0</v>
      </c>
      <c r="I7" s="6">
        <v>1.13</v>
      </c>
      <c r="J7" s="2"/>
      <c r="K7" s="2" t="str">
        <f>IF(J7="NS","N",IF($AH7&gt;Parameters!$B$23,"N","Y"))</f>
        <v>Y</v>
      </c>
      <c r="L7" s="6">
        <f t="shared" si="1"/>
        <v>1.13</v>
      </c>
      <c r="M7" s="6">
        <v>4.21</v>
      </c>
      <c r="N7" s="2"/>
      <c r="O7" s="2" t="str">
        <f>IF(N7="NS","N",IF($AH7&gt;Parameters!$B$23,"N","Y"))</f>
        <v>Y</v>
      </c>
      <c r="P7" s="6">
        <f t="shared" si="2"/>
        <v>4.21</v>
      </c>
      <c r="Q7" s="6">
        <v>0.77</v>
      </c>
      <c r="R7" s="2"/>
      <c r="S7" s="2" t="str">
        <f>IF(R7="NS","N",IF($AI7&gt;Parameters!$B$23,"N","Y"))</f>
        <v>Y</v>
      </c>
      <c r="T7" s="6">
        <f t="shared" si="3"/>
        <v>0.77</v>
      </c>
      <c r="U7" s="6">
        <v>0.68</v>
      </c>
      <c r="V7" s="2"/>
      <c r="W7" s="2" t="str">
        <f>IF(V7="NS","N",IF($AH7&gt;Parameters!$B$23,"N","Y"))</f>
        <v>Y</v>
      </c>
      <c r="X7" s="6">
        <f t="shared" si="4"/>
        <v>0.68</v>
      </c>
      <c r="Y7" s="6">
        <v>0.22</v>
      </c>
      <c r="Z7" s="2"/>
      <c r="AA7" s="2" t="str">
        <f>IF(Z7="NS","N",IF($AJ7&gt;Parameters!$B$24,"N","Y"))</f>
        <v>Y</v>
      </c>
      <c r="AB7" s="6">
        <f t="shared" si="5"/>
        <v>0.22</v>
      </c>
      <c r="AC7" s="7">
        <v>8.2</v>
      </c>
      <c r="AD7" s="2" t="s">
        <v>197</v>
      </c>
      <c r="AE7" s="2" t="s">
        <v>198</v>
      </c>
      <c r="AF7" s="2" t="s">
        <v>198</v>
      </c>
      <c r="AG7" s="2" t="s">
        <v>199</v>
      </c>
      <c r="AH7" s="14">
        <f t="shared" si="6"/>
        <v>3</v>
      </c>
      <c r="AI7" s="14">
        <f t="shared" si="7"/>
        <v>3</v>
      </c>
      <c r="AJ7" s="14">
        <f t="shared" si="8"/>
        <v>5</v>
      </c>
      <c r="AK7" s="14">
        <f t="shared" si="9"/>
        <v>46147</v>
      </c>
      <c r="AL7" s="14">
        <f t="shared" si="10"/>
        <v>46150</v>
      </c>
      <c r="AM7" s="14">
        <f t="shared" si="11"/>
        <v>46150</v>
      </c>
      <c r="AN7" s="14">
        <f t="shared" si="12"/>
        <v>46152</v>
      </c>
    </row>
    <row r="8" spans="1:40" x14ac:dyDescent="0.2">
      <c r="A8" s="2" t="s">
        <v>200</v>
      </c>
      <c r="B8" s="2" t="s">
        <v>201</v>
      </c>
      <c r="C8" s="2" t="s">
        <v>196</v>
      </c>
      <c r="D8" s="2" t="s">
        <v>184</v>
      </c>
      <c r="E8" s="6">
        <v>0.005</v>
      </c>
      <c r="F8" s="2" t="s">
        <v>185</v>
      </c>
      <c r="G8" s="2" t="str">
        <f>IF(F8="NS","N",IF($AH8&gt;Parameters!$B$23,"N","Y"))</f>
        <v>Y</v>
      </c>
      <c r="H8" s="6">
        <f t="shared" si="0"/>
        <v>0</v>
      </c>
      <c r="I8" s="6">
        <v>0.71</v>
      </c>
      <c r="J8" s="2"/>
      <c r="K8" s="2" t="str">
        <f>IF(J8="NS","N",IF($AH8&gt;Parameters!$B$23,"N","Y"))</f>
        <v>Y</v>
      </c>
      <c r="L8" s="6">
        <f t="shared" si="1"/>
        <v>0.71</v>
      </c>
      <c r="M8" s="6">
        <v>1.95</v>
      </c>
      <c r="N8" s="2"/>
      <c r="O8" s="2" t="str">
        <f>IF(N8="NS","N",IF($AH8&gt;Parameters!$B$23,"N","Y"))</f>
        <v>Y</v>
      </c>
      <c r="P8" s="6">
        <f t="shared" si="2"/>
        <v>1.95</v>
      </c>
      <c r="Q8" s="6">
        <v>1.68</v>
      </c>
      <c r="R8" s="2"/>
      <c r="S8" s="2" t="str">
        <f>IF(R8="NS","N",IF($AI8&gt;Parameters!$B$23,"N","Y"))</f>
        <v>Y</v>
      </c>
      <c r="T8" s="6">
        <f t="shared" si="3"/>
        <v>1.68</v>
      </c>
      <c r="U8" s="6">
        <v>0.95</v>
      </c>
      <c r="V8" s="2"/>
      <c r="W8" s="2" t="str">
        <f>IF(V8="NS","N",IF($AH8&gt;Parameters!$B$23,"N","Y"))</f>
        <v>Y</v>
      </c>
      <c r="X8" s="6">
        <f t="shared" si="4"/>
        <v>0.95</v>
      </c>
      <c r="Y8" s="6">
        <v>0.008</v>
      </c>
      <c r="Z8" s="2" t="s">
        <v>202</v>
      </c>
      <c r="AA8" s="2" t="str">
        <f>IF(Z8="NS","N",IF($AJ8&gt;Parameters!$B$24,"N","Y"))</f>
        <v>Y</v>
      </c>
      <c r="AB8" s="6">
        <f t="shared" si="5"/>
        <v>0.008</v>
      </c>
      <c r="AC8" s="7">
        <v>7.6</v>
      </c>
      <c r="AD8" s="2" t="s">
        <v>203</v>
      </c>
      <c r="AE8" s="2" t="s">
        <v>204</v>
      </c>
      <c r="AF8" s="2" t="s">
        <v>204</v>
      </c>
      <c r="AG8" s="2" t="s">
        <v>205</v>
      </c>
      <c r="AH8" s="14">
        <f t="shared" si="6"/>
        <v>7</v>
      </c>
      <c r="AI8" s="14">
        <f t="shared" si="7"/>
        <v>7</v>
      </c>
      <c r="AJ8" s="14">
        <f t="shared" si="8"/>
        <v>6</v>
      </c>
      <c r="AK8" s="14">
        <f t="shared" si="9"/>
        <v>46161</v>
      </c>
      <c r="AL8" s="14">
        <f t="shared" si="10"/>
        <v>46168</v>
      </c>
      <c r="AM8" s="14">
        <f t="shared" si="11"/>
        <v>46168</v>
      </c>
      <c r="AN8" s="14">
        <f t="shared" si="12"/>
        <v>46167</v>
      </c>
    </row>
    <row r="9" spans="1:40" x14ac:dyDescent="0.2">
      <c r="A9" s="2" t="s">
        <v>206</v>
      </c>
      <c r="B9" s="2" t="s">
        <v>207</v>
      </c>
      <c r="C9" s="2" t="s">
        <v>208</v>
      </c>
      <c r="D9" s="2" t="s">
        <v>184</v>
      </c>
      <c r="E9" s="6">
        <v>0.019</v>
      </c>
      <c r="F9" s="2"/>
      <c r="G9" s="2" t="str">
        <f>IF(F9="NS","N",IF($AH9&gt;Parameters!$B$23,"N","Y"))</f>
        <v>Y</v>
      </c>
      <c r="H9" s="6">
        <f t="shared" si="0"/>
        <v>0.019</v>
      </c>
      <c r="I9" s="6">
        <v>0.55</v>
      </c>
      <c r="J9" s="2"/>
      <c r="K9" s="2" t="str">
        <f>IF(J9="NS","N",IF($AH9&gt;Parameters!$B$23,"N","Y"))</f>
        <v>Y</v>
      </c>
      <c r="L9" s="6">
        <f t="shared" si="1"/>
        <v>0.55</v>
      </c>
      <c r="M9" s="6">
        <v>2.4</v>
      </c>
      <c r="N9" s="2"/>
      <c r="O9" s="2" t="str">
        <f>IF(N9="NS","N",IF($AH9&gt;Parameters!$B$23,"N","Y"))</f>
        <v>Y</v>
      </c>
      <c r="P9" s="6">
        <f t="shared" si="2"/>
        <v>2.4</v>
      </c>
      <c r="Q9" s="6">
        <v>1.05</v>
      </c>
      <c r="R9" s="2"/>
      <c r="S9" s="2" t="str">
        <f>IF(R9="NS","N",IF($AI9&gt;Parameters!$B$23,"N","Y"))</f>
        <v>Y</v>
      </c>
      <c r="T9" s="6">
        <f t="shared" si="3"/>
        <v>1.05</v>
      </c>
      <c r="U9" s="6">
        <v>1.31</v>
      </c>
      <c r="V9" s="2"/>
      <c r="W9" s="2" t="str">
        <f>IF(V9="NS","N",IF($AH9&gt;Parameters!$B$23,"N","Y"))</f>
        <v>Y</v>
      </c>
      <c r="X9" s="6">
        <f t="shared" si="4"/>
        <v>1.31</v>
      </c>
      <c r="Y9" s="6">
        <v>0.71</v>
      </c>
      <c r="Z9" s="2"/>
      <c r="AA9" s="2" t="str">
        <f>IF(Z9="NS","N",IF($AJ9&gt;Parameters!$B$24,"N","Y"))</f>
        <v>Y</v>
      </c>
      <c r="AB9" s="6">
        <f t="shared" si="5"/>
        <v>0.71</v>
      </c>
      <c r="AC9" s="7">
        <v>6.9</v>
      </c>
      <c r="AD9" s="2" t="s">
        <v>209</v>
      </c>
      <c r="AE9" s="2" t="s">
        <v>210</v>
      </c>
      <c r="AF9" s="2" t="s">
        <v>210</v>
      </c>
      <c r="AG9" s="2" t="s">
        <v>211</v>
      </c>
      <c r="AH9" s="14">
        <f t="shared" si="6"/>
        <v>6</v>
      </c>
      <c r="AI9" s="14">
        <f t="shared" si="7"/>
        <v>6</v>
      </c>
      <c r="AJ9" s="14">
        <f t="shared" si="8"/>
        <v>5</v>
      </c>
      <c r="AK9" s="14">
        <f t="shared" si="9"/>
        <v>46175</v>
      </c>
      <c r="AL9" s="14">
        <f t="shared" si="10"/>
        <v>46181</v>
      </c>
      <c r="AM9" s="14">
        <f t="shared" si="11"/>
        <v>46181</v>
      </c>
      <c r="AN9" s="14">
        <f t="shared" si="12"/>
        <v>46180</v>
      </c>
    </row>
    <row r="10" spans="1:40" x14ac:dyDescent="0.2">
      <c r="A10" s="2" t="s">
        <v>212</v>
      </c>
      <c r="B10" s="2" t="s">
        <v>213</v>
      </c>
      <c r="C10" s="2" t="s">
        <v>208</v>
      </c>
      <c r="D10" s="2" t="s">
        <v>184</v>
      </c>
      <c r="E10" s="6">
        <v>0.005</v>
      </c>
      <c r="F10" s="2" t="s">
        <v>185</v>
      </c>
      <c r="G10" s="2" t="str">
        <f>IF(F10="NS","N",IF($AH10&gt;Parameters!$B$23,"N","Y"))</f>
        <v>Y</v>
      </c>
      <c r="H10" s="6">
        <f t="shared" si="0"/>
        <v>0</v>
      </c>
      <c r="I10" s="6">
        <v>0.93</v>
      </c>
      <c r="J10" s="2"/>
      <c r="K10" s="2" t="str">
        <f>IF(J10="NS","N",IF($AH10&gt;Parameters!$B$23,"N","Y"))</f>
        <v>Y</v>
      </c>
      <c r="L10" s="6">
        <f t="shared" si="1"/>
        <v>0.93</v>
      </c>
      <c r="M10" s="6">
        <v>3.97</v>
      </c>
      <c r="N10" s="2"/>
      <c r="O10" s="2" t="str">
        <f>IF(N10="NS","N",IF($AH10&gt;Parameters!$B$23,"N","Y"))</f>
        <v>Y</v>
      </c>
      <c r="P10" s="6">
        <f t="shared" si="2"/>
        <v>3.97</v>
      </c>
      <c r="Q10" s="6">
        <v>0.83</v>
      </c>
      <c r="R10" s="2"/>
      <c r="S10" s="2" t="str">
        <f>IF(R10="NS","N",IF($AI10&gt;Parameters!$B$23,"N","Y"))</f>
        <v>Y</v>
      </c>
      <c r="T10" s="6">
        <f t="shared" si="3"/>
        <v>0.83</v>
      </c>
      <c r="U10" s="6">
        <v>0.82</v>
      </c>
      <c r="V10" s="2"/>
      <c r="W10" s="2" t="str">
        <f>IF(V10="NS","N",IF($AH10&gt;Parameters!$B$23,"N","Y"))</f>
        <v>Y</v>
      </c>
      <c r="X10" s="6">
        <f t="shared" si="4"/>
        <v>0.82</v>
      </c>
      <c r="Y10" s="6">
        <v>0.44</v>
      </c>
      <c r="Z10" s="2"/>
      <c r="AA10" s="2" t="str">
        <f>IF(Z10="NS","N",IF($AJ10&gt;Parameters!$B$24,"N","Y"))</f>
        <v>Y</v>
      </c>
      <c r="AB10" s="6">
        <f t="shared" si="5"/>
        <v>0.44</v>
      </c>
      <c r="AC10" s="7">
        <v>7.8</v>
      </c>
      <c r="AD10" s="2" t="s">
        <v>214</v>
      </c>
      <c r="AE10" s="2" t="s">
        <v>215</v>
      </c>
      <c r="AF10" s="2" t="s">
        <v>215</v>
      </c>
      <c r="AG10" s="2" t="s">
        <v>216</v>
      </c>
      <c r="AH10" s="14">
        <f t="shared" si="6"/>
        <v>27</v>
      </c>
      <c r="AI10" s="14">
        <f t="shared" si="7"/>
        <v>27</v>
      </c>
      <c r="AJ10" s="14">
        <f t="shared" si="8"/>
        <v>2</v>
      </c>
      <c r="AK10" s="14">
        <f t="shared" si="9"/>
        <v>46189</v>
      </c>
      <c r="AL10" s="14">
        <f t="shared" si="10"/>
        <v>46216</v>
      </c>
      <c r="AM10" s="14">
        <f t="shared" si="11"/>
        <v>46216</v>
      </c>
      <c r="AN10" s="14">
        <f t="shared" si="12"/>
        <v>46191</v>
      </c>
    </row>
    <row r="11" spans="1:40" x14ac:dyDescent="0.2">
      <c r="A11" s="2" t="s">
        <v>217</v>
      </c>
      <c r="B11" s="2" t="s">
        <v>218</v>
      </c>
      <c r="C11" s="2" t="s">
        <v>219</v>
      </c>
      <c r="D11" s="2" t="s">
        <v>184</v>
      </c>
      <c r="E11" s="6">
        <v>0.005</v>
      </c>
      <c r="F11" s="2" t="s">
        <v>185</v>
      </c>
      <c r="G11" s="2" t="str">
        <f>IF(F11="NS","N",IF($AH11&gt;Parameters!$B$23,"N","Y"))</f>
        <v>N</v>
      </c>
      <c r="H11" s="6">
        <f t="shared" si="0"/>
        <v>0</v>
      </c>
      <c r="I11" s="6">
        <v>0.87</v>
      </c>
      <c r="J11" s="2"/>
      <c r="K11" s="2" t="str">
        <f>IF(J11="NS","N",IF($AH11&gt;Parameters!$B$23,"N","Y"))</f>
        <v>N</v>
      </c>
      <c r="L11" s="6">
        <f t="shared" si="1"/>
        <v>0.87</v>
      </c>
      <c r="M11" s="6">
        <v>1.77</v>
      </c>
      <c r="N11" s="2"/>
      <c r="O11" s="2" t="str">
        <f>IF(N11="NS","N",IF($AH11&gt;Parameters!$B$23,"N","Y"))</f>
        <v>N</v>
      </c>
      <c r="P11" s="6">
        <f t="shared" si="2"/>
        <v>1.77</v>
      </c>
      <c r="Q11" s="6">
        <v>1.22</v>
      </c>
      <c r="R11" s="2"/>
      <c r="S11" s="2" t="str">
        <f>IF(R11="NS","N",IF($AI11&gt;Parameters!$B$23,"N","Y"))</f>
        <v>N</v>
      </c>
      <c r="T11" s="6">
        <f t="shared" si="3"/>
        <v>1.22</v>
      </c>
      <c r="U11" s="6">
        <v>1.06</v>
      </c>
      <c r="V11" s="2"/>
      <c r="W11" s="2" t="str">
        <f>IF(V11="NS","N",IF($AH11&gt;Parameters!$B$23,"N","Y"))</f>
        <v>N</v>
      </c>
      <c r="X11" s="6">
        <f t="shared" si="4"/>
        <v>1.06</v>
      </c>
      <c r="Y11" s="6">
        <v>0.27</v>
      </c>
      <c r="Z11" s="2"/>
      <c r="AA11" s="2" t="str">
        <f>IF(Z11="NS","N",IF($AJ11&gt;Parameters!$B$24,"N","Y"))</f>
        <v>Y</v>
      </c>
      <c r="AB11" s="6">
        <f t="shared" si="5"/>
        <v>0.27</v>
      </c>
      <c r="AC11" s="7">
        <v>7.2</v>
      </c>
      <c r="AD11" s="2" t="s">
        <v>220</v>
      </c>
      <c r="AE11" s="2" t="s">
        <v>221</v>
      </c>
      <c r="AF11" s="2" t="s">
        <v>221</v>
      </c>
      <c r="AG11" s="2" t="s">
        <v>215</v>
      </c>
      <c r="AH11" s="14">
        <f t="shared" si="6"/>
        <v>30</v>
      </c>
      <c r="AI11" s="14">
        <f t="shared" si="7"/>
        <v>30</v>
      </c>
      <c r="AJ11" s="14">
        <f t="shared" si="8"/>
        <v>6</v>
      </c>
      <c r="AK11" s="14">
        <f t="shared" si="9"/>
        <v>46210</v>
      </c>
      <c r="AL11" s="14">
        <f t="shared" si="10"/>
        <v>46240</v>
      </c>
      <c r="AM11" s="14">
        <f t="shared" si="11"/>
        <v>46240</v>
      </c>
      <c r="AN11" s="14">
        <f t="shared" si="12"/>
        <v>46216</v>
      </c>
    </row>
    <row r="12" spans="1:40" x14ac:dyDescent="0.2">
      <c r="A12" s="2" t="s">
        <v>222</v>
      </c>
      <c r="B12" s="2" t="s">
        <v>40</v>
      </c>
      <c r="C12" s="2" t="s">
        <v>219</v>
      </c>
      <c r="D12" s="2" t="s">
        <v>184</v>
      </c>
      <c r="E12" s="6">
        <v>0.005</v>
      </c>
      <c r="F12" s="2" t="s">
        <v>185</v>
      </c>
      <c r="G12" s="2" t="str">
        <f>IF(F12="NS","N",IF($AH12&gt;Parameters!$B$23,"N","Y"))</f>
        <v>Y</v>
      </c>
      <c r="H12" s="6">
        <f t="shared" si="0"/>
        <v>0</v>
      </c>
      <c r="I12" s="6">
        <v>1.21</v>
      </c>
      <c r="J12" s="2"/>
      <c r="K12" s="2" t="str">
        <f>IF(J12="NS","N",IF($AH12&gt;Parameters!$B$23,"N","Y"))</f>
        <v>Y</v>
      </c>
      <c r="L12" s="6">
        <f t="shared" si="1"/>
        <v>1.21</v>
      </c>
      <c r="M12" s="6">
        <v>4.09</v>
      </c>
      <c r="N12" s="2"/>
      <c r="O12" s="2" t="str">
        <f>IF(N12="NS","N",IF($AH12&gt;Parameters!$B$23,"N","Y"))</f>
        <v>Y</v>
      </c>
      <c r="P12" s="6">
        <f t="shared" si="2"/>
        <v>4.09</v>
      </c>
      <c r="Q12" s="6">
        <v>1.57</v>
      </c>
      <c r="R12" s="2"/>
      <c r="S12" s="2" t="str">
        <f>IF(R12="NS","N",IF($AI12&gt;Parameters!$B$23,"N","Y"))</f>
        <v>Y</v>
      </c>
      <c r="T12" s="6">
        <f t="shared" si="3"/>
        <v>1.57</v>
      </c>
      <c r="U12" s="6">
        <v>1.27</v>
      </c>
      <c r="V12" s="2"/>
      <c r="W12" s="2" t="str">
        <f>IF(V12="NS","N",IF($AH12&gt;Parameters!$B$23,"N","Y"))</f>
        <v>Y</v>
      </c>
      <c r="X12" s="6">
        <f t="shared" si="4"/>
        <v>1.27</v>
      </c>
      <c r="Y12" s="6">
        <v>0.35</v>
      </c>
      <c r="Z12" s="2"/>
      <c r="AA12" s="2" t="str">
        <f>IF(Z12="NS","N",IF($AJ12&gt;Parameters!$B$24,"N","Y"))</f>
        <v>Y</v>
      </c>
      <c r="AB12" s="6">
        <f t="shared" si="5"/>
        <v>0.35</v>
      </c>
      <c r="AC12" s="7">
        <v>8.4</v>
      </c>
      <c r="AD12" s="2" t="s">
        <v>223</v>
      </c>
      <c r="AE12" s="2" t="s">
        <v>224</v>
      </c>
      <c r="AF12" s="2" t="s">
        <v>224</v>
      </c>
      <c r="AG12" s="2" t="s">
        <v>225</v>
      </c>
      <c r="AH12" s="14">
        <f t="shared" si="6"/>
        <v>5</v>
      </c>
      <c r="AI12" s="14">
        <f t="shared" si="7"/>
        <v>5</v>
      </c>
      <c r="AJ12" s="14">
        <f t="shared" si="8"/>
        <v>4</v>
      </c>
      <c r="AK12" s="14">
        <f t="shared" si="9"/>
        <v>46224</v>
      </c>
      <c r="AL12" s="14">
        <f t="shared" si="10"/>
        <v>46229</v>
      </c>
      <c r="AM12" s="14">
        <f t="shared" si="11"/>
        <v>46229</v>
      </c>
      <c r="AN12" s="14">
        <f t="shared" si="12"/>
        <v>46228</v>
      </c>
    </row>
    <row r="13" spans="1:40" x14ac:dyDescent="0.2">
      <c r="A13" s="2" t="s">
        <v>226</v>
      </c>
      <c r="B13" s="2" t="s">
        <v>53</v>
      </c>
      <c r="C13" s="2" t="s">
        <v>227</v>
      </c>
      <c r="D13" s="2" t="s">
        <v>184</v>
      </c>
      <c r="E13" s="6">
        <v>0.014</v>
      </c>
      <c r="F13" s="2"/>
      <c r="G13" s="2" t="str">
        <f>IF(F13="NS","N",IF($AH13&gt;Parameters!$B$23,"N","Y"))</f>
        <v>Y</v>
      </c>
      <c r="H13" s="6">
        <f t="shared" si="0"/>
        <v>0.014</v>
      </c>
      <c r="I13" s="6">
        <v>0.66</v>
      </c>
      <c r="J13" s="2"/>
      <c r="K13" s="2" t="str">
        <f>IF(J13="NS","N",IF($AH13&gt;Parameters!$B$23,"N","Y"))</f>
        <v>Y</v>
      </c>
      <c r="L13" s="6">
        <f t="shared" si="1"/>
        <v>0.66</v>
      </c>
      <c r="M13" s="6">
        <v>4.33</v>
      </c>
      <c r="N13" s="2"/>
      <c r="O13" s="2" t="str">
        <f>IF(N13="NS","N",IF($AH13&gt;Parameters!$B$23,"N","Y"))</f>
        <v>Y</v>
      </c>
      <c r="P13" s="6">
        <f t="shared" si="2"/>
        <v>4.33</v>
      </c>
      <c r="Q13" s="6">
        <v>2.61</v>
      </c>
      <c r="R13" s="2"/>
      <c r="S13" s="2" t="str">
        <f>IF(R13="NS","N",IF($AI13&gt;Parameters!$B$23,"N","Y"))</f>
        <v>Y</v>
      </c>
      <c r="T13" s="6">
        <f t="shared" si="3"/>
        <v>2.61</v>
      </c>
      <c r="U13" s="6">
        <v>0.89</v>
      </c>
      <c r="V13" s="2"/>
      <c r="W13" s="2" t="str">
        <f>IF(V13="NS","N",IF($AH13&gt;Parameters!$B$23,"N","Y"))</f>
        <v>Y</v>
      </c>
      <c r="X13" s="6">
        <f t="shared" si="4"/>
        <v>0.89</v>
      </c>
      <c r="Y13" s="6">
        <v>0.19</v>
      </c>
      <c r="Z13" s="2"/>
      <c r="AA13" s="2" t="str">
        <f>IF(Z13="NS","N",IF($AJ13&gt;Parameters!$B$24,"N","Y"))</f>
        <v>Y</v>
      </c>
      <c r="AB13" s="6">
        <f t="shared" si="5"/>
        <v>0.19</v>
      </c>
      <c r="AC13" s="7">
        <v>6.8</v>
      </c>
      <c r="AD13" s="2" t="s">
        <v>228</v>
      </c>
      <c r="AE13" s="2" t="s">
        <v>229</v>
      </c>
      <c r="AF13" s="2" t="s">
        <v>229</v>
      </c>
      <c r="AG13" s="2" t="s">
        <v>230</v>
      </c>
      <c r="AH13" s="14">
        <f t="shared" si="6"/>
        <v>4</v>
      </c>
      <c r="AI13" s="14">
        <f t="shared" si="7"/>
        <v>4</v>
      </c>
      <c r="AJ13" s="14">
        <f t="shared" si="8"/>
        <v>3</v>
      </c>
      <c r="AK13" s="14">
        <f t="shared" si="9"/>
        <v>46245</v>
      </c>
      <c r="AL13" s="14">
        <f t="shared" si="10"/>
        <v>46249</v>
      </c>
      <c r="AM13" s="14">
        <f t="shared" si="11"/>
        <v>46249</v>
      </c>
      <c r="AN13" s="14">
        <f t="shared" si="12"/>
        <v>46248</v>
      </c>
    </row>
    <row r="14" spans="1:40" x14ac:dyDescent="0.2">
      <c r="A14" s="2" t="s">
        <v>231</v>
      </c>
      <c r="B14" s="2" t="s">
        <v>56</v>
      </c>
      <c r="C14" s="2" t="s">
        <v>227</v>
      </c>
      <c r="D14" s="2" t="s">
        <v>184</v>
      </c>
      <c r="E14" s="6">
        <v>0.005</v>
      </c>
      <c r="F14" s="2" t="s">
        <v>185</v>
      </c>
      <c r="G14" s="2" t="str">
        <f>IF(F14="NS","N",IF($AH14&gt;Parameters!$B$23,"N","Y"))</f>
        <v>Y</v>
      </c>
      <c r="H14" s="6">
        <f t="shared" si="0"/>
        <v>0</v>
      </c>
      <c r="I14" s="6">
        <v>0.74</v>
      </c>
      <c r="J14" s="2"/>
      <c r="K14" s="2" t="str">
        <f>IF(J14="NS","N",IF($AH14&gt;Parameters!$B$23,"N","Y"))</f>
        <v>Y</v>
      </c>
      <c r="L14" s="6">
        <f t="shared" si="1"/>
        <v>0.74</v>
      </c>
      <c r="M14" s="6">
        <v>4.15</v>
      </c>
      <c r="N14" s="2"/>
      <c r="O14" s="2" t="str">
        <f>IF(N14="NS","N",IF($AH14&gt;Parameters!$B$23,"N","Y"))</f>
        <v>Y</v>
      </c>
      <c r="P14" s="6">
        <f t="shared" si="2"/>
        <v>4.15</v>
      </c>
      <c r="Q14" s="6">
        <v>1.9</v>
      </c>
      <c r="R14" s="2"/>
      <c r="S14" s="2" t="str">
        <f>IF(R14="NS","N",IF($AI14&gt;Parameters!$B$23,"N","Y"))</f>
        <v>N</v>
      </c>
      <c r="T14" s="6">
        <f t="shared" si="3"/>
        <v>1.9</v>
      </c>
      <c r="U14" s="6">
        <v>1.18</v>
      </c>
      <c r="V14" s="2"/>
      <c r="W14" s="2" t="str">
        <f>IF(V14="NS","N",IF($AH14&gt;Parameters!$B$23,"N","Y"))</f>
        <v>Y</v>
      </c>
      <c r="X14" s="6">
        <f t="shared" si="4"/>
        <v>1.18</v>
      </c>
      <c r="Y14" s="6">
        <v>0.29</v>
      </c>
      <c r="Z14" s="2"/>
      <c r="AA14" s="2" t="str">
        <f>IF(Z14="NS","N",IF($AJ14&gt;Parameters!$B$24,"N","Y"))</f>
        <v>Y</v>
      </c>
      <c r="AB14" s="6">
        <f t="shared" si="5"/>
        <v>0.29</v>
      </c>
      <c r="AC14" s="7">
        <v>7.5</v>
      </c>
      <c r="AD14" s="2" t="s">
        <v>232</v>
      </c>
      <c r="AE14" s="2" t="s">
        <v>233</v>
      </c>
      <c r="AF14" s="2" t="s">
        <v>234</v>
      </c>
      <c r="AG14" s="2" t="s">
        <v>235</v>
      </c>
      <c r="AH14" s="14">
        <f t="shared" si="6"/>
        <v>4</v>
      </c>
      <c r="AI14" s="14">
        <f t="shared" si="7"/>
        <v>34</v>
      </c>
      <c r="AJ14" s="14">
        <f t="shared" si="8"/>
        <v>2</v>
      </c>
      <c r="AK14" s="14">
        <f t="shared" si="9"/>
        <v>46259</v>
      </c>
      <c r="AL14" s="14">
        <f t="shared" si="10"/>
        <v>46263</v>
      </c>
      <c r="AM14" s="14">
        <f t="shared" si="11"/>
        <v>46293</v>
      </c>
      <c r="AN14" s="14">
        <f t="shared" si="12"/>
        <v>46261</v>
      </c>
    </row>
    <row r="15" spans="1:40" x14ac:dyDescent="0.2">
      <c r="A15" s="2" t="s">
        <v>236</v>
      </c>
      <c r="B15" s="2" t="s">
        <v>66</v>
      </c>
      <c r="C15" s="2" t="s">
        <v>237</v>
      </c>
      <c r="D15" s="2" t="s">
        <v>184</v>
      </c>
      <c r="E15" s="6">
        <v>0.012</v>
      </c>
      <c r="F15" s="2"/>
      <c r="G15" s="2" t="str">
        <f>IF(F15="NS","N",IF($AH15&gt;Parameters!$B$23,"N","Y"))</f>
        <v>Y</v>
      </c>
      <c r="H15" s="6">
        <f t="shared" si="0"/>
        <v>0.012</v>
      </c>
      <c r="I15" s="6">
        <v>1.02</v>
      </c>
      <c r="J15" s="2"/>
      <c r="K15" s="2" t="str">
        <f>IF(J15="NS","N",IF($AH15&gt;Parameters!$B$23,"N","Y"))</f>
        <v>Y</v>
      </c>
      <c r="L15" s="6">
        <f t="shared" si="1"/>
        <v>1.02</v>
      </c>
      <c r="M15" s="6">
        <v>2.96</v>
      </c>
      <c r="N15" s="2"/>
      <c r="O15" s="2" t="str">
        <f>IF(N15="NS","N",IF($AH15&gt;Parameters!$B$23,"N","Y"))</f>
        <v>Y</v>
      </c>
      <c r="P15" s="6">
        <f t="shared" si="2"/>
        <v>2.96</v>
      </c>
      <c r="Q15" s="6">
        <v>1.36</v>
      </c>
      <c r="R15" s="2"/>
      <c r="S15" s="2" t="str">
        <f>IF(R15="NS","N",IF($AI15&gt;Parameters!$B$23,"N","Y"))</f>
        <v>Y</v>
      </c>
      <c r="T15" s="6">
        <f t="shared" si="3"/>
        <v>1.36</v>
      </c>
      <c r="U15" s="6">
        <v>3.14</v>
      </c>
      <c r="V15" s="2"/>
      <c r="W15" s="2" t="str">
        <f>IF(V15="NS","N",IF($AH15&gt;Parameters!$B$23,"N","Y"))</f>
        <v>Y</v>
      </c>
      <c r="X15" s="6">
        <f t="shared" si="4"/>
        <v>3.14</v>
      </c>
      <c r="Y15" s="6">
        <v>0.41</v>
      </c>
      <c r="Z15" s="2"/>
      <c r="AA15" s="2" t="str">
        <f>IF(Z15="NS","N",IF($AJ15&gt;Parameters!$B$24,"N","Y"))</f>
        <v>Y</v>
      </c>
      <c r="AB15" s="6">
        <f t="shared" si="5"/>
        <v>0.41</v>
      </c>
      <c r="AC15" s="7">
        <v>7.9</v>
      </c>
      <c r="AD15" s="2" t="s">
        <v>238</v>
      </c>
      <c r="AE15" s="2" t="s">
        <v>239</v>
      </c>
      <c r="AF15" s="2" t="s">
        <v>239</v>
      </c>
      <c r="AG15" s="2" t="s">
        <v>240</v>
      </c>
      <c r="AH15" s="14">
        <f t="shared" si="6"/>
        <v>3</v>
      </c>
      <c r="AI15" s="14">
        <f t="shared" si="7"/>
        <v>3</v>
      </c>
      <c r="AJ15" s="14">
        <f t="shared" si="8"/>
        <v>13</v>
      </c>
      <c r="AK15" s="14">
        <f t="shared" si="9"/>
        <v>46274</v>
      </c>
      <c r="AL15" s="14">
        <f t="shared" si="10"/>
        <v>46277</v>
      </c>
      <c r="AM15" s="14">
        <f t="shared" si="11"/>
        <v>46277</v>
      </c>
      <c r="AN15" s="14">
        <f t="shared" si="12"/>
        <v>46287</v>
      </c>
    </row>
    <row r="16" spans="1:40" x14ac:dyDescent="0.2">
      <c r="A16" s="2" t="s">
        <v>241</v>
      </c>
      <c r="B16" s="2" t="s">
        <v>240</v>
      </c>
      <c r="C16" s="2" t="s">
        <v>237</v>
      </c>
      <c r="D16" s="2" t="s">
        <v>184</v>
      </c>
      <c r="E16" s="6">
        <v>0.005</v>
      </c>
      <c r="F16" s="2" t="s">
        <v>185</v>
      </c>
      <c r="G16" s="2" t="str">
        <f>IF(F16="NS","N",IF($AH16&gt;Parameters!$B$23,"N","Y"))</f>
        <v>Y</v>
      </c>
      <c r="H16" s="6">
        <f t="shared" si="0"/>
        <v>0</v>
      </c>
      <c r="I16" s="6">
        <v>0.58</v>
      </c>
      <c r="J16" s="2"/>
      <c r="K16" s="2" t="str">
        <f>IF(J16="NS","N",IF($AH16&gt;Parameters!$B$23,"N","Y"))</f>
        <v>Y</v>
      </c>
      <c r="L16" s="6">
        <f t="shared" si="1"/>
        <v>0.58</v>
      </c>
      <c r="M16" s="6">
        <v>1.68</v>
      </c>
      <c r="N16" s="2"/>
      <c r="O16" s="2" t="str">
        <f>IF(N16="NS","N",IF($AH16&gt;Parameters!$B$23,"N","Y"))</f>
        <v>Y</v>
      </c>
      <c r="P16" s="6">
        <f t="shared" si="2"/>
        <v>1.68</v>
      </c>
      <c r="Q16" s="6">
        <v>0.98</v>
      </c>
      <c r="R16" s="2"/>
      <c r="S16" s="2" t="str">
        <f>IF(R16="NS","N",IF($AI16&gt;Parameters!$B$23,"N","Y"))</f>
        <v>Y</v>
      </c>
      <c r="T16" s="6">
        <f t="shared" si="3"/>
        <v>0.98</v>
      </c>
      <c r="U16" s="6">
        <v>0.94</v>
      </c>
      <c r="V16" s="2"/>
      <c r="W16" s="2" t="str">
        <f>IF(V16="NS","N",IF($AH16&gt;Parameters!$B$23,"N","Y"))</f>
        <v>Y</v>
      </c>
      <c r="X16" s="6">
        <f t="shared" si="4"/>
        <v>0.94</v>
      </c>
      <c r="Y16" s="6">
        <v>0.24</v>
      </c>
      <c r="Z16" s="2"/>
      <c r="AA16" s="2" t="str">
        <f>IF(Z16="NS","N",IF($AJ16&gt;Parameters!$B$24,"N","Y"))</f>
        <v>Y</v>
      </c>
      <c r="AB16" s="6">
        <f t="shared" si="5"/>
        <v>0.24</v>
      </c>
      <c r="AC16" s="7">
        <v>7.3</v>
      </c>
      <c r="AD16" s="2" t="s">
        <v>242</v>
      </c>
      <c r="AE16" s="2" t="s">
        <v>243</v>
      </c>
      <c r="AF16" s="2" t="s">
        <v>243</v>
      </c>
      <c r="AG16" s="2" t="s">
        <v>234</v>
      </c>
      <c r="AH16" s="14">
        <f t="shared" si="6"/>
        <v>8</v>
      </c>
      <c r="AI16" s="14">
        <f t="shared" si="7"/>
        <v>8</v>
      </c>
      <c r="AJ16" s="14">
        <f t="shared" si="8"/>
        <v>6</v>
      </c>
      <c r="AK16" s="14">
        <f t="shared" si="9"/>
        <v>46287</v>
      </c>
      <c r="AL16" s="14">
        <f t="shared" si="10"/>
        <v>46295</v>
      </c>
      <c r="AM16" s="14">
        <f t="shared" si="11"/>
        <v>46295</v>
      </c>
      <c r="AN16" s="14">
        <f t="shared" si="12"/>
        <v>46293</v>
      </c>
    </row>
    <row r="17" spans="1:40" x14ac:dyDescent="0.2">
      <c r="A17" s="2" t="s">
        <v>244</v>
      </c>
      <c r="B17" s="2" t="s">
        <v>245</v>
      </c>
      <c r="C17" s="2" t="s">
        <v>237</v>
      </c>
      <c r="D17" s="2" t="s">
        <v>246</v>
      </c>
      <c r="E17" s="6">
        <v>0.005</v>
      </c>
      <c r="F17" s="2" t="s">
        <v>185</v>
      </c>
      <c r="G17" s="2" t="str">
        <f>IF(F17="NS","N",IF($AH17&gt;Parameters!$B$23,"N","Y"))</f>
        <v>Y</v>
      </c>
      <c r="H17" s="6">
        <f t="shared" si="0"/>
        <v>0</v>
      </c>
      <c r="I17" s="6">
        <v>0.49</v>
      </c>
      <c r="J17" s="2"/>
      <c r="K17" s="2" t="str">
        <f>IF(J17="NS","N",IF($AH17&gt;Parameters!$B$23,"N","Y"))</f>
        <v>Y</v>
      </c>
      <c r="L17" s="6">
        <f t="shared" si="1"/>
        <v>0.49</v>
      </c>
      <c r="M17" s="6">
        <v>1.52</v>
      </c>
      <c r="N17" s="2"/>
      <c r="O17" s="2" t="str">
        <f>IF(N17="NS","N",IF($AH17&gt;Parameters!$B$23,"N","Y"))</f>
        <v>Y</v>
      </c>
      <c r="P17" s="6">
        <f t="shared" si="2"/>
        <v>1.52</v>
      </c>
      <c r="Q17" s="6">
        <v>1.11</v>
      </c>
      <c r="R17" s="2"/>
      <c r="S17" s="2" t="str">
        <f>IF(R17="NS","N",IF($AI17&gt;Parameters!$B$23,"N","Y"))</f>
        <v>Y</v>
      </c>
      <c r="T17" s="6">
        <f t="shared" si="3"/>
        <v>1.11</v>
      </c>
      <c r="U17" s="6">
        <v>0.88</v>
      </c>
      <c r="V17" s="2"/>
      <c r="W17" s="2" t="str">
        <f>IF(V17="NS","N",IF($AH17&gt;Parameters!$B$23,"N","Y"))</f>
        <v>Y</v>
      </c>
      <c r="X17" s="6">
        <f t="shared" si="4"/>
        <v>0.88</v>
      </c>
      <c r="Z17" s="2" t="s">
        <v>247</v>
      </c>
      <c r="AA17" s="2" t="str">
        <f>IF(Z17="NS","N",IF($AJ17&gt;Parameters!$B$24,"N","Y"))</f>
        <v>N</v>
      </c>
      <c r="AB17" s="6">
        <f t="shared" si="5"/>
        <v>0</v>
      </c>
      <c r="AC17" s="7">
        <v>7.4</v>
      </c>
      <c r="AD17" s="2" t="s">
        <v>242</v>
      </c>
      <c r="AE17" s="2" t="s">
        <v>248</v>
      </c>
      <c r="AF17" s="2" t="s">
        <v>248</v>
      </c>
      <c r="AG17" s="2" t="s">
        <v>249</v>
      </c>
      <c r="AH17" s="14">
        <f t="shared" si="6"/>
        <v>3</v>
      </c>
      <c r="AI17" s="14">
        <f t="shared" si="7"/>
        <v>3</v>
      </c>
      <c r="AJ17" s="14" t="s">
        <v>249</v>
      </c>
      <c r="AK17" s="14">
        <f t="shared" si="9"/>
        <v>46288</v>
      </c>
      <c r="AL17" s="14">
        <f>DATE(VALUE(RIGHT(AE17,4)),VALUE(LEFT(AE17,2)),VALUE(MID(AE17,4,2)))</f>
        <v>46291</v>
      </c>
      <c r="AM17" s="14">
        <f>DATE(VALUE(RIGHT(AF17,4)),VALUE(LEFT(AF17,2)),VALUE(MID(AF17,4,2)))</f>
        <v>46291</v>
      </c>
      <c r="AN17" s="14" t="s">
        <v>249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0"/>
  <sheetViews>
    <sheetView workbookViewId="0">
      <pane xSplit="2" ySplit="4" topLeftCell="C5" activePane="bottomRight" state="frozen"/>
      <selection pane="topRight"/>
      <selection pane="bottomLeft"/>
      <selection pane="bottomRight"/>
    </sheetView>
  </sheetViews>
  <sheetFormatPr baseColWidth="10" defaultColWidth="8.83203125" defaultRowHeight="15" x14ac:dyDescent="0.2"/>
  <cols>
    <col min="1" max="1" width="7" customWidth="1"/>
    <col min="2" max="2" width="18" customWidth="1"/>
    <col min="3" max="4" width="14" customWidth="1"/>
    <col min="5" max="6" width="10" customWidth="1"/>
    <col min="7" max="8" width="12" customWidth="1"/>
    <col min="9" max="11" width="16" customWidth="1"/>
  </cols>
  <sheetData>
    <row r="1" spans="1:11" ht="16" customHeight="1" x14ac:dyDescent="0.2">
      <c r="A1" s="1" t="s">
        <v>250</v>
      </c>
    </row>
    <row r="2" spans="1:11" x14ac:dyDescent="0.2">
      <c r="A2" s="2" t="s">
        <v>251</v>
      </c>
    </row>
    <row r="4" spans="1:11" x14ac:dyDescent="0.2">
      <c r="A4" s="4" t="s">
        <v>143</v>
      </c>
      <c r="B4" s="4" t="s">
        <v>5</v>
      </c>
      <c r="C4" s="4" t="s">
        <v>252</v>
      </c>
      <c r="D4" s="4" t="s">
        <v>253</v>
      </c>
      <c r="E4" s="4" t="s">
        <v>8</v>
      </c>
      <c r="F4" s="4" t="s">
        <v>9</v>
      </c>
      <c r="G4" s="4" t="s">
        <v>254</v>
      </c>
      <c r="H4" s="4" t="s">
        <v>255</v>
      </c>
      <c r="I4" s="4" t="s">
        <v>256</v>
      </c>
      <c r="J4" s="4" t="s">
        <v>257</v>
      </c>
      <c r="K4" s="4" t="s">
        <v>258</v>
      </c>
    </row>
    <row r="5" spans="1:11" x14ac:dyDescent="0.2">
      <c r="A5" s="2" t="s">
        <v>183</v>
      </c>
      <c r="B5" s="2" t="s">
        <v>15</v>
      </c>
      <c r="C5" s="5">
        <f>Parameters!$B$4</f>
        <v>0.11</v>
      </c>
      <c r="D5" s="5">
        <f>Parameters!$C$4</f>
        <v>0.07</v>
      </c>
      <c r="E5" s="2">
        <f>COUNTIFS('Lab Data'!$C$5:$C$17,"Apr",'Lab Data'!$G$5:$G$17,"Y")</f>
        <v>2</v>
      </c>
      <c r="F5" s="2">
        <f>Parameters!$B$15</f>
        <v>2</v>
      </c>
      <c r="G5" s="6">
        <f>ROUND(AVERAGEIFS('Lab Data'!$H$5:$H$17,'Lab Data'!$C$5:$C$17,"Apr",'Lab Data'!$G$5:$G$17,"Y"),3)</f>
        <v>0.006</v>
      </c>
      <c r="H5" s="6">
        <f>_xlfn.MAXIFS('Lab Data'!$H$5:$H$17,'Lab Data'!$C$5:$C$17,"Apr",'Lab Data'!$G$5:$G$17,"Y")</f>
        <v>0.012</v>
      </c>
      <c r="I5" s="2" t="str">
        <f t="shared" ref="I5:I40" si="0">IF(G5&lt;=D5,"Met","Exceeded")</f>
        <v>Met</v>
      </c>
      <c r="J5" s="2" t="str">
        <f t="shared" ref="J5:J40" si="1">IF(H5&lt;=C5,"Met","Exceeded")</f>
        <v>Met</v>
      </c>
      <c r="K5" s="2" t="str">
        <f t="shared" ref="K5:K40" si="2">IF(E5&gt;=F5,"Met","Below frequency")</f>
        <v>Met</v>
      </c>
    </row>
    <row r="6" spans="1:11" x14ac:dyDescent="0.2">
      <c r="A6" s="2" t="s">
        <v>183</v>
      </c>
      <c r="B6" s="2" t="s">
        <v>16</v>
      </c>
      <c r="C6" s="5">
        <f>Parameters!$B$5</f>
        <v>2.77</v>
      </c>
      <c r="D6" s="5">
        <f>Parameters!$C$5</f>
        <v>1.71</v>
      </c>
      <c r="E6" s="2">
        <f>COUNTIFS('Lab Data'!$C$5:$C$17,"Apr",'Lab Data'!$K$5:$K$17,"Y")</f>
        <v>2</v>
      </c>
      <c r="F6" s="2">
        <f>Parameters!$B$15</f>
        <v>2</v>
      </c>
      <c r="G6" s="6">
        <f>ROUND(AVERAGEIFS('Lab Data'!$L$5:$L$17,'Lab Data'!$C$5:$C$17,"Apr",'Lab Data'!$K$5:$K$17,"Y"),3)</f>
        <v>0.55</v>
      </c>
      <c r="H6" s="6">
        <f>_xlfn.MAXIFS('Lab Data'!$L$5:$L$17,'Lab Data'!$C$5:$C$17,"Apr",'Lab Data'!$K$5:$K$17,"Y")</f>
        <v>0.62</v>
      </c>
      <c r="I6" s="2" t="str">
        <f t="shared" si="0"/>
        <v>Met</v>
      </c>
      <c r="J6" s="2" t="str">
        <f t="shared" si="1"/>
        <v>Met</v>
      </c>
      <c r="K6" s="2" t="str">
        <f t="shared" si="2"/>
        <v>Met</v>
      </c>
    </row>
    <row r="7" spans="1:11" x14ac:dyDescent="0.2">
      <c r="A7" s="2" t="s">
        <v>183</v>
      </c>
      <c r="B7" s="2" t="s">
        <v>17</v>
      </c>
      <c r="C7" s="5">
        <f>Parameters!$B$6</f>
        <v>3.38</v>
      </c>
      <c r="D7" s="5">
        <f>Parameters!$C$6</f>
        <v>2.07</v>
      </c>
      <c r="E7" s="2">
        <f>COUNTIFS('Lab Data'!$C$5:$C$17,"Apr",'Lab Data'!$O$5:$O$17,"Y")</f>
        <v>2</v>
      </c>
      <c r="F7" s="2">
        <f>Parameters!$B$15</f>
        <v>2</v>
      </c>
      <c r="G7" s="6">
        <f>ROUND(AVERAGEIFS('Lab Data'!$P$5:$P$17,'Lab Data'!$C$5:$C$17,"Apr",'Lab Data'!$O$5:$O$17,"Y"),3)</f>
        <v>2.73</v>
      </c>
      <c r="H7" s="6">
        <f>_xlfn.MAXIFS('Lab Data'!$P$5:$P$17,'Lab Data'!$C$5:$C$17,"Apr",'Lab Data'!$O$5:$O$17,"Y")</f>
        <v>3.62</v>
      </c>
      <c r="I7" s="2" t="str">
        <f t="shared" si="0"/>
        <v>Exceeded</v>
      </c>
      <c r="J7" s="2" t="str">
        <f t="shared" si="1"/>
        <v>Exceeded</v>
      </c>
      <c r="K7" s="2" t="str">
        <f t="shared" si="2"/>
        <v>Met</v>
      </c>
    </row>
    <row r="8" spans="1:11" x14ac:dyDescent="0.2">
      <c r="A8" s="2" t="s">
        <v>183</v>
      </c>
      <c r="B8" s="2" t="s">
        <v>18</v>
      </c>
      <c r="C8" s="5">
        <f>Parameters!$B$7</f>
        <v>3.98</v>
      </c>
      <c r="D8" s="5">
        <f>Parameters!$C$7</f>
        <v>2.38</v>
      </c>
      <c r="E8" s="2">
        <f>COUNTIFS('Lab Data'!$C$5:$C$17,"Apr",'Lab Data'!$S$5:$S$17,"Y")</f>
        <v>2</v>
      </c>
      <c r="F8" s="2">
        <f>Parameters!$B$15</f>
        <v>2</v>
      </c>
      <c r="G8" s="6">
        <f>ROUND(AVERAGEIFS('Lab Data'!$T$5:$T$17,'Lab Data'!$C$5:$C$17,"Apr",'Lab Data'!$S$5:$S$17,"Y"),3)</f>
        <v>1.175</v>
      </c>
      <c r="H8" s="6">
        <f>_xlfn.MAXIFS('Lab Data'!$T$5:$T$17,'Lab Data'!$C$5:$C$17,"Apr",'Lab Data'!$S$5:$S$17,"Y")</f>
        <v>1.44</v>
      </c>
      <c r="I8" s="2" t="str">
        <f t="shared" si="0"/>
        <v>Met</v>
      </c>
      <c r="J8" s="2" t="str">
        <f t="shared" si="1"/>
        <v>Met</v>
      </c>
      <c r="K8" s="2" t="str">
        <f t="shared" si="2"/>
        <v>Met</v>
      </c>
    </row>
    <row r="9" spans="1:11" x14ac:dyDescent="0.2">
      <c r="A9" s="2" t="s">
        <v>183</v>
      </c>
      <c r="B9" s="2" t="s">
        <v>19</v>
      </c>
      <c r="C9" s="5">
        <f>Parameters!$B$8</f>
        <v>2.61</v>
      </c>
      <c r="D9" s="5">
        <f>Parameters!$C$8</f>
        <v>1.48</v>
      </c>
      <c r="E9" s="2">
        <f>COUNTIFS('Lab Data'!$C$5:$C$17,"Apr",'Lab Data'!$W$5:$W$17,"Y")</f>
        <v>2</v>
      </c>
      <c r="F9" s="2">
        <f>Parameters!$B$15</f>
        <v>2</v>
      </c>
      <c r="G9" s="6">
        <f>ROUND(AVERAGEIFS('Lab Data'!$X$5:$X$17,'Lab Data'!$C$5:$C$17,"Apr",'Lab Data'!$W$5:$W$17,"Y"),3)</f>
        <v>0.93</v>
      </c>
      <c r="H9" s="6">
        <f>_xlfn.MAXIFS('Lab Data'!$X$5:$X$17,'Lab Data'!$C$5:$C$17,"Apr",'Lab Data'!$W$5:$W$17,"Y")</f>
        <v>1.12</v>
      </c>
      <c r="I9" s="2" t="str">
        <f t="shared" si="0"/>
        <v>Met</v>
      </c>
      <c r="J9" s="2" t="str">
        <f t="shared" si="1"/>
        <v>Met</v>
      </c>
      <c r="K9" s="2" t="str">
        <f t="shared" si="2"/>
        <v>Met</v>
      </c>
    </row>
    <row r="10" spans="1:11" x14ac:dyDescent="0.2">
      <c r="A10" s="2" t="s">
        <v>183</v>
      </c>
      <c r="B10" s="2" t="s">
        <v>20</v>
      </c>
      <c r="C10" s="5">
        <f>Parameters!$B$9</f>
        <v>1.2</v>
      </c>
      <c r="D10" s="5">
        <f>Parameters!$C$9</f>
        <v>0.65</v>
      </c>
      <c r="E10" s="2">
        <f>COUNTIFS('Lab Data'!$C$5:$C$17,"Apr",'Lab Data'!$AA$5:$AA$17,"Y")</f>
        <v>2</v>
      </c>
      <c r="F10" s="2">
        <f>Parameters!$B$15</f>
        <v>2</v>
      </c>
      <c r="G10" s="6">
        <f>ROUND(AVERAGEIFS('Lab Data'!$AB$5:$AB$17,'Lab Data'!$C$5:$C$17,"Apr",'Lab Data'!$AA$5:$AA$17,"Y"),3)</f>
        <v>0.245</v>
      </c>
      <c r="H10" s="6">
        <f>_xlfn.MAXIFS('Lab Data'!$AB$5:$AB$17,'Lab Data'!$C$5:$C$17,"Apr",'Lab Data'!$AA$5:$AA$17,"Y")</f>
        <v>0.31</v>
      </c>
      <c r="I10" s="2" t="str">
        <f t="shared" si="0"/>
        <v>Met</v>
      </c>
      <c r="J10" s="2" t="str">
        <f t="shared" si="1"/>
        <v>Met</v>
      </c>
      <c r="K10" s="2" t="str">
        <f t="shared" si="2"/>
        <v>Met</v>
      </c>
    </row>
    <row r="11" spans="1:11" x14ac:dyDescent="0.2">
      <c r="A11" s="2" t="s">
        <v>196</v>
      </c>
      <c r="B11" s="2" t="s">
        <v>15</v>
      </c>
      <c r="C11" s="5">
        <f>Parameters!$B$4</f>
        <v>0.11</v>
      </c>
      <c r="D11" s="5">
        <f>Parameters!$C$4</f>
        <v>0.07</v>
      </c>
      <c r="E11" s="2">
        <f>COUNTIFS('Lab Data'!$C$5:$C$17,"May",'Lab Data'!$G$5:$G$17,"Y")</f>
        <v>2</v>
      </c>
      <c r="F11" s="2">
        <f>Parameters!$B$15</f>
        <v>2</v>
      </c>
      <c r="G11" s="6">
        <f>ROUND(AVERAGEIFS('Lab Data'!$H$5:$H$17,'Lab Data'!$C$5:$C$17,"May",'Lab Data'!$G$5:$G$17,"Y"),3)</f>
        <v>0</v>
      </c>
      <c r="H11" s="6">
        <f>_xlfn.MAXIFS('Lab Data'!$H$5:$H$17,'Lab Data'!$C$5:$C$17,"May",'Lab Data'!$G$5:$G$17,"Y")</f>
        <v>0</v>
      </c>
      <c r="I11" s="2" t="str">
        <f t="shared" si="0"/>
        <v>Met</v>
      </c>
      <c r="J11" s="2" t="str">
        <f t="shared" si="1"/>
        <v>Met</v>
      </c>
      <c r="K11" s="2" t="str">
        <f t="shared" si="2"/>
        <v>Met</v>
      </c>
    </row>
    <row r="12" spans="1:11" x14ac:dyDescent="0.2">
      <c r="A12" s="2" t="s">
        <v>196</v>
      </c>
      <c r="B12" s="2" t="s">
        <v>16</v>
      </c>
      <c r="C12" s="5">
        <f>Parameters!$B$5</f>
        <v>2.77</v>
      </c>
      <c r="D12" s="5">
        <f>Parameters!$C$5</f>
        <v>1.71</v>
      </c>
      <c r="E12" s="2">
        <f>COUNTIFS('Lab Data'!$C$5:$C$17,"May",'Lab Data'!$K$5:$K$17,"Y")</f>
        <v>2</v>
      </c>
      <c r="F12" s="2">
        <f>Parameters!$B$15</f>
        <v>2</v>
      </c>
      <c r="G12" s="6">
        <f>ROUND(AVERAGEIFS('Lab Data'!$L$5:$L$17,'Lab Data'!$C$5:$C$17,"May",'Lab Data'!$K$5:$K$17,"Y"),3)</f>
        <v>0.92</v>
      </c>
      <c r="H12" s="6">
        <f>_xlfn.MAXIFS('Lab Data'!$L$5:$L$17,'Lab Data'!$C$5:$C$17,"May",'Lab Data'!$K$5:$K$17,"Y")</f>
        <v>1.13</v>
      </c>
      <c r="I12" s="2" t="str">
        <f t="shared" si="0"/>
        <v>Met</v>
      </c>
      <c r="J12" s="2" t="str">
        <f t="shared" si="1"/>
        <v>Met</v>
      </c>
      <c r="K12" s="2" t="str">
        <f t="shared" si="2"/>
        <v>Met</v>
      </c>
    </row>
    <row r="13" spans="1:11" x14ac:dyDescent="0.2">
      <c r="A13" s="2" t="s">
        <v>196</v>
      </c>
      <c r="B13" s="2" t="s">
        <v>17</v>
      </c>
      <c r="C13" s="5">
        <f>Parameters!$B$6</f>
        <v>3.38</v>
      </c>
      <c r="D13" s="5">
        <f>Parameters!$C$6</f>
        <v>2.07</v>
      </c>
      <c r="E13" s="2">
        <f>COUNTIFS('Lab Data'!$C$5:$C$17,"May",'Lab Data'!$O$5:$O$17,"Y")</f>
        <v>2</v>
      </c>
      <c r="F13" s="2">
        <f>Parameters!$B$15</f>
        <v>2</v>
      </c>
      <c r="G13" s="6">
        <f>ROUND(AVERAGEIFS('Lab Data'!$P$5:$P$17,'Lab Data'!$C$5:$C$17,"May",'Lab Data'!$O$5:$O$17,"Y"),3)</f>
        <v>3.08</v>
      </c>
      <c r="H13" s="6">
        <f>_xlfn.MAXIFS('Lab Data'!$P$5:$P$17,'Lab Data'!$C$5:$C$17,"May",'Lab Data'!$O$5:$O$17,"Y")</f>
        <v>4.21</v>
      </c>
      <c r="I13" s="2" t="str">
        <f t="shared" si="0"/>
        <v>Exceeded</v>
      </c>
      <c r="J13" s="2" t="str">
        <f t="shared" si="1"/>
        <v>Exceeded</v>
      </c>
      <c r="K13" s="2" t="str">
        <f t="shared" si="2"/>
        <v>Met</v>
      </c>
    </row>
    <row r="14" spans="1:11" x14ac:dyDescent="0.2">
      <c r="A14" s="2" t="s">
        <v>196</v>
      </c>
      <c r="B14" s="2" t="s">
        <v>18</v>
      </c>
      <c r="C14" s="5">
        <f>Parameters!$B$7</f>
        <v>3.98</v>
      </c>
      <c r="D14" s="5">
        <f>Parameters!$C$7</f>
        <v>2.38</v>
      </c>
      <c r="E14" s="2">
        <f>COUNTIFS('Lab Data'!$C$5:$C$17,"May",'Lab Data'!$S$5:$S$17,"Y")</f>
        <v>2</v>
      </c>
      <c r="F14" s="2">
        <f>Parameters!$B$15</f>
        <v>2</v>
      </c>
      <c r="G14" s="6">
        <f>ROUND(AVERAGEIFS('Lab Data'!$T$5:$T$17,'Lab Data'!$C$5:$C$17,"May",'Lab Data'!$S$5:$S$17,"Y"),3)</f>
        <v>1.225</v>
      </c>
      <c r="H14" s="6">
        <f>_xlfn.MAXIFS('Lab Data'!$T$5:$T$17,'Lab Data'!$C$5:$C$17,"May",'Lab Data'!$S$5:$S$17,"Y")</f>
        <v>1.68</v>
      </c>
      <c r="I14" s="2" t="str">
        <f t="shared" si="0"/>
        <v>Met</v>
      </c>
      <c r="J14" s="2" t="str">
        <f t="shared" si="1"/>
        <v>Met</v>
      </c>
      <c r="K14" s="2" t="str">
        <f t="shared" si="2"/>
        <v>Met</v>
      </c>
    </row>
    <row r="15" spans="1:11" x14ac:dyDescent="0.2">
      <c r="A15" s="2" t="s">
        <v>196</v>
      </c>
      <c r="B15" s="2" t="s">
        <v>19</v>
      </c>
      <c r="C15" s="5">
        <f>Parameters!$B$8</f>
        <v>2.61</v>
      </c>
      <c r="D15" s="5">
        <f>Parameters!$C$8</f>
        <v>1.48</v>
      </c>
      <c r="E15" s="2">
        <f>COUNTIFS('Lab Data'!$C$5:$C$17,"May",'Lab Data'!$W$5:$W$17,"Y")</f>
        <v>2</v>
      </c>
      <c r="F15" s="2">
        <f>Parameters!$B$15</f>
        <v>2</v>
      </c>
      <c r="G15" s="6">
        <f>ROUND(AVERAGEIFS('Lab Data'!$X$5:$X$17,'Lab Data'!$C$5:$C$17,"May",'Lab Data'!$W$5:$W$17,"Y"),3)</f>
        <v>0.815</v>
      </c>
      <c r="H15" s="6">
        <f>_xlfn.MAXIFS('Lab Data'!$X$5:$X$17,'Lab Data'!$C$5:$C$17,"May",'Lab Data'!$W$5:$W$17,"Y")</f>
        <v>0.95</v>
      </c>
      <c r="I15" s="2" t="str">
        <f t="shared" si="0"/>
        <v>Met</v>
      </c>
      <c r="J15" s="2" t="str">
        <f t="shared" si="1"/>
        <v>Met</v>
      </c>
      <c r="K15" s="2" t="str">
        <f t="shared" si="2"/>
        <v>Met</v>
      </c>
    </row>
    <row r="16" spans="1:11" x14ac:dyDescent="0.2">
      <c r="A16" s="2" t="s">
        <v>196</v>
      </c>
      <c r="B16" s="2" t="s">
        <v>20</v>
      </c>
      <c r="C16" s="5">
        <f>Parameters!$B$9</f>
        <v>1.2</v>
      </c>
      <c r="D16" s="5">
        <f>Parameters!$C$9</f>
        <v>0.65</v>
      </c>
      <c r="E16" s="2">
        <f>COUNTIFS('Lab Data'!$C$5:$C$17,"May",'Lab Data'!$AA$5:$AA$17,"Y")</f>
        <v>2</v>
      </c>
      <c r="F16" s="2">
        <f>Parameters!$B$15</f>
        <v>2</v>
      </c>
      <c r="G16" s="6">
        <f>ROUND(AVERAGEIFS('Lab Data'!$AB$5:$AB$17,'Lab Data'!$C$5:$C$17,"May",'Lab Data'!$AA$5:$AA$17,"Y"),3)</f>
        <v>0.114</v>
      </c>
      <c r="H16" s="6">
        <f>_xlfn.MAXIFS('Lab Data'!$AB$5:$AB$17,'Lab Data'!$C$5:$C$17,"May",'Lab Data'!$AA$5:$AA$17,"Y")</f>
        <v>0.22</v>
      </c>
      <c r="I16" s="2" t="str">
        <f t="shared" si="0"/>
        <v>Met</v>
      </c>
      <c r="J16" s="2" t="str">
        <f t="shared" si="1"/>
        <v>Met</v>
      </c>
      <c r="K16" s="2" t="str">
        <f t="shared" si="2"/>
        <v>Met</v>
      </c>
    </row>
    <row r="17" spans="1:11" x14ac:dyDescent="0.2">
      <c r="A17" s="2" t="s">
        <v>208</v>
      </c>
      <c r="B17" s="2" t="s">
        <v>15</v>
      </c>
      <c r="C17" s="5">
        <f>Parameters!$B$4</f>
        <v>0.11</v>
      </c>
      <c r="D17" s="5">
        <f>Parameters!$C$4</f>
        <v>0.07</v>
      </c>
      <c r="E17" s="2">
        <f>COUNTIFS('Lab Data'!$C$5:$C$17,"Jun",'Lab Data'!$G$5:$G$17,"Y")</f>
        <v>2</v>
      </c>
      <c r="F17" s="2">
        <f>Parameters!$B$15</f>
        <v>2</v>
      </c>
      <c r="G17" s="6">
        <f>ROUND(AVERAGEIFS('Lab Data'!$H$5:$H$17,'Lab Data'!$C$5:$C$17,"Jun",'Lab Data'!$G$5:$G$17,"Y"),3)</f>
        <v>0.01</v>
      </c>
      <c r="H17" s="6">
        <f>_xlfn.MAXIFS('Lab Data'!$H$5:$H$17,'Lab Data'!$C$5:$C$17,"Jun",'Lab Data'!$G$5:$G$17,"Y")</f>
        <v>0.019</v>
      </c>
      <c r="I17" s="2" t="str">
        <f t="shared" si="0"/>
        <v>Met</v>
      </c>
      <c r="J17" s="2" t="str">
        <f t="shared" si="1"/>
        <v>Met</v>
      </c>
      <c r="K17" s="2" t="str">
        <f t="shared" si="2"/>
        <v>Met</v>
      </c>
    </row>
    <row r="18" spans="1:11" x14ac:dyDescent="0.2">
      <c r="A18" s="2" t="s">
        <v>208</v>
      </c>
      <c r="B18" s="2" t="s">
        <v>16</v>
      </c>
      <c r="C18" s="5">
        <f>Parameters!$B$5</f>
        <v>2.77</v>
      </c>
      <c r="D18" s="5">
        <f>Parameters!$C$5</f>
        <v>1.71</v>
      </c>
      <c r="E18" s="2">
        <f>COUNTIFS('Lab Data'!$C$5:$C$17,"Jun",'Lab Data'!$K$5:$K$17,"Y")</f>
        <v>2</v>
      </c>
      <c r="F18" s="2">
        <f>Parameters!$B$15</f>
        <v>2</v>
      </c>
      <c r="G18" s="6">
        <f>ROUND(AVERAGEIFS('Lab Data'!$L$5:$L$17,'Lab Data'!$C$5:$C$17,"Jun",'Lab Data'!$K$5:$K$17,"Y"),3)</f>
        <v>0.74</v>
      </c>
      <c r="H18" s="6">
        <f>_xlfn.MAXIFS('Lab Data'!$L$5:$L$17,'Lab Data'!$C$5:$C$17,"Jun",'Lab Data'!$K$5:$K$17,"Y")</f>
        <v>0.93</v>
      </c>
      <c r="I18" s="2" t="str">
        <f t="shared" si="0"/>
        <v>Met</v>
      </c>
      <c r="J18" s="2" t="str">
        <f t="shared" si="1"/>
        <v>Met</v>
      </c>
      <c r="K18" s="2" t="str">
        <f t="shared" si="2"/>
        <v>Met</v>
      </c>
    </row>
    <row r="19" spans="1:11" x14ac:dyDescent="0.2">
      <c r="A19" s="2" t="s">
        <v>208</v>
      </c>
      <c r="B19" s="2" t="s">
        <v>17</v>
      </c>
      <c r="C19" s="5">
        <f>Parameters!$B$6</f>
        <v>3.38</v>
      </c>
      <c r="D19" s="5">
        <f>Parameters!$C$6</f>
        <v>2.07</v>
      </c>
      <c r="E19" s="2">
        <f>COUNTIFS('Lab Data'!$C$5:$C$17,"Jun",'Lab Data'!$O$5:$O$17,"Y")</f>
        <v>2</v>
      </c>
      <c r="F19" s="2">
        <f>Parameters!$B$15</f>
        <v>2</v>
      </c>
      <c r="G19" s="6">
        <f>ROUND(AVERAGEIFS('Lab Data'!$P$5:$P$17,'Lab Data'!$C$5:$C$17,"Jun",'Lab Data'!$O$5:$O$17,"Y"),3)</f>
        <v>3.185</v>
      </c>
      <c r="H19" s="6">
        <f>_xlfn.MAXIFS('Lab Data'!$P$5:$P$17,'Lab Data'!$C$5:$C$17,"Jun",'Lab Data'!$O$5:$O$17,"Y")</f>
        <v>3.97</v>
      </c>
      <c r="I19" s="2" t="str">
        <f t="shared" si="0"/>
        <v>Exceeded</v>
      </c>
      <c r="J19" s="2" t="str">
        <f t="shared" si="1"/>
        <v>Exceeded</v>
      </c>
      <c r="K19" s="2" t="str">
        <f t="shared" si="2"/>
        <v>Met</v>
      </c>
    </row>
    <row r="20" spans="1:11" x14ac:dyDescent="0.2">
      <c r="A20" s="2" t="s">
        <v>208</v>
      </c>
      <c r="B20" s="2" t="s">
        <v>18</v>
      </c>
      <c r="C20" s="5">
        <f>Parameters!$B$7</f>
        <v>3.98</v>
      </c>
      <c r="D20" s="5">
        <f>Parameters!$C$7</f>
        <v>2.38</v>
      </c>
      <c r="E20" s="2">
        <f>COUNTIFS('Lab Data'!$C$5:$C$17,"Jun",'Lab Data'!$S$5:$S$17,"Y")</f>
        <v>2</v>
      </c>
      <c r="F20" s="2">
        <f>Parameters!$B$15</f>
        <v>2</v>
      </c>
      <c r="G20" s="6">
        <f>ROUND(AVERAGEIFS('Lab Data'!$T$5:$T$17,'Lab Data'!$C$5:$C$17,"Jun",'Lab Data'!$S$5:$S$17,"Y"),3)</f>
        <v>0.94</v>
      </c>
      <c r="H20" s="6">
        <f>_xlfn.MAXIFS('Lab Data'!$T$5:$T$17,'Lab Data'!$C$5:$C$17,"Jun",'Lab Data'!$S$5:$S$17,"Y")</f>
        <v>1.05</v>
      </c>
      <c r="I20" s="2" t="str">
        <f t="shared" si="0"/>
        <v>Met</v>
      </c>
      <c r="J20" s="2" t="str">
        <f t="shared" si="1"/>
        <v>Met</v>
      </c>
      <c r="K20" s="2" t="str">
        <f t="shared" si="2"/>
        <v>Met</v>
      </c>
    </row>
    <row r="21" spans="1:11" x14ac:dyDescent="0.2">
      <c r="A21" s="2" t="s">
        <v>208</v>
      </c>
      <c r="B21" s="2" t="s">
        <v>19</v>
      </c>
      <c r="C21" s="5">
        <f>Parameters!$B$8</f>
        <v>2.61</v>
      </c>
      <c r="D21" s="5">
        <f>Parameters!$C$8</f>
        <v>1.48</v>
      </c>
      <c r="E21" s="2">
        <f>COUNTIFS('Lab Data'!$C$5:$C$17,"Jun",'Lab Data'!$W$5:$W$17,"Y")</f>
        <v>2</v>
      </c>
      <c r="F21" s="2">
        <f>Parameters!$B$15</f>
        <v>2</v>
      </c>
      <c r="G21" s="6">
        <f>ROUND(AVERAGEIFS('Lab Data'!$X$5:$X$17,'Lab Data'!$C$5:$C$17,"Jun",'Lab Data'!$W$5:$W$17,"Y"),3)</f>
        <v>1.065</v>
      </c>
      <c r="H21" s="6">
        <f>_xlfn.MAXIFS('Lab Data'!$X$5:$X$17,'Lab Data'!$C$5:$C$17,"Jun",'Lab Data'!$W$5:$W$17,"Y")</f>
        <v>1.31</v>
      </c>
      <c r="I21" s="2" t="str">
        <f t="shared" si="0"/>
        <v>Met</v>
      </c>
      <c r="J21" s="2" t="str">
        <f t="shared" si="1"/>
        <v>Met</v>
      </c>
      <c r="K21" s="2" t="str">
        <f t="shared" si="2"/>
        <v>Met</v>
      </c>
    </row>
    <row r="22" spans="1:11" x14ac:dyDescent="0.2">
      <c r="A22" s="2" t="s">
        <v>208</v>
      </c>
      <c r="B22" s="2" t="s">
        <v>20</v>
      </c>
      <c r="C22" s="5">
        <f>Parameters!$B$9</f>
        <v>1.2</v>
      </c>
      <c r="D22" s="5">
        <f>Parameters!$C$9</f>
        <v>0.65</v>
      </c>
      <c r="E22" s="2">
        <f>COUNTIFS('Lab Data'!$C$5:$C$17,"Jun",'Lab Data'!$AA$5:$AA$17,"Y")</f>
        <v>2</v>
      </c>
      <c r="F22" s="2">
        <f>Parameters!$B$15</f>
        <v>2</v>
      </c>
      <c r="G22" s="6">
        <f>ROUND(AVERAGEIFS('Lab Data'!$AB$5:$AB$17,'Lab Data'!$C$5:$C$17,"Jun",'Lab Data'!$AA$5:$AA$17,"Y"),3)</f>
        <v>0.575</v>
      </c>
      <c r="H22" s="6">
        <f>_xlfn.MAXIFS('Lab Data'!$AB$5:$AB$17,'Lab Data'!$C$5:$C$17,"Jun",'Lab Data'!$AA$5:$AA$17,"Y")</f>
        <v>0.71</v>
      </c>
      <c r="I22" s="2" t="str">
        <f t="shared" si="0"/>
        <v>Met</v>
      </c>
      <c r="J22" s="2" t="str">
        <f t="shared" si="1"/>
        <v>Met</v>
      </c>
      <c r="K22" s="2" t="str">
        <f t="shared" si="2"/>
        <v>Met</v>
      </c>
    </row>
    <row r="23" spans="1:11" x14ac:dyDescent="0.2">
      <c r="A23" s="2" t="s">
        <v>219</v>
      </c>
      <c r="B23" s="2" t="s">
        <v>15</v>
      </c>
      <c r="C23" s="5">
        <f>Parameters!$B$4</f>
        <v>0.11</v>
      </c>
      <c r="D23" s="5">
        <f>Parameters!$C$4</f>
        <v>0.07</v>
      </c>
      <c r="E23" s="2">
        <f>COUNTIFS('Lab Data'!$C$5:$C$17,"Jul",'Lab Data'!$G$5:$G$17,"Y")</f>
        <v>1</v>
      </c>
      <c r="F23" s="2">
        <f>Parameters!$B$15</f>
        <v>2</v>
      </c>
      <c r="G23" s="6">
        <f>ROUND(AVERAGEIFS('Lab Data'!$H$5:$H$17,'Lab Data'!$C$5:$C$17,"Jul",'Lab Data'!$G$5:$G$17,"Y"),3)</f>
        <v>0</v>
      </c>
      <c r="H23" s="6">
        <f>_xlfn.MAXIFS('Lab Data'!$H$5:$H$17,'Lab Data'!$C$5:$C$17,"Jul",'Lab Data'!$G$5:$G$17,"Y")</f>
        <v>0</v>
      </c>
      <c r="I23" s="2" t="str">
        <f t="shared" si="0"/>
        <v>Met</v>
      </c>
      <c r="J23" s="2" t="str">
        <f t="shared" si="1"/>
        <v>Met</v>
      </c>
      <c r="K23" s="2" t="str">
        <f t="shared" si="2"/>
        <v>Below frequency</v>
      </c>
    </row>
    <row r="24" spans="1:11" x14ac:dyDescent="0.2">
      <c r="A24" s="2" t="s">
        <v>219</v>
      </c>
      <c r="B24" s="2" t="s">
        <v>16</v>
      </c>
      <c r="C24" s="5">
        <f>Parameters!$B$5</f>
        <v>2.77</v>
      </c>
      <c r="D24" s="5">
        <f>Parameters!$C$5</f>
        <v>1.71</v>
      </c>
      <c r="E24" s="2">
        <f>COUNTIFS('Lab Data'!$C$5:$C$17,"Jul",'Lab Data'!$K$5:$K$17,"Y")</f>
        <v>1</v>
      </c>
      <c r="F24" s="2">
        <f>Parameters!$B$15</f>
        <v>2</v>
      </c>
      <c r="G24" s="6">
        <f>ROUND(AVERAGEIFS('Lab Data'!$L$5:$L$17,'Lab Data'!$C$5:$C$17,"Jul",'Lab Data'!$K$5:$K$17,"Y"),3)</f>
        <v>1.21</v>
      </c>
      <c r="H24" s="6">
        <f>_xlfn.MAXIFS('Lab Data'!$L$5:$L$17,'Lab Data'!$C$5:$C$17,"Jul",'Lab Data'!$K$5:$K$17,"Y")</f>
        <v>1.21</v>
      </c>
      <c r="I24" s="2" t="str">
        <f t="shared" si="0"/>
        <v>Met</v>
      </c>
      <c r="J24" s="2" t="str">
        <f t="shared" si="1"/>
        <v>Met</v>
      </c>
      <c r="K24" s="2" t="str">
        <f t="shared" si="2"/>
        <v>Below frequency</v>
      </c>
    </row>
    <row r="25" spans="1:11" x14ac:dyDescent="0.2">
      <c r="A25" s="2" t="s">
        <v>219</v>
      </c>
      <c r="B25" s="2" t="s">
        <v>17</v>
      </c>
      <c r="C25" s="5">
        <f>Parameters!$B$6</f>
        <v>3.38</v>
      </c>
      <c r="D25" s="5">
        <f>Parameters!$C$6</f>
        <v>2.07</v>
      </c>
      <c r="E25" s="2">
        <f>COUNTIFS('Lab Data'!$C$5:$C$17,"Jul",'Lab Data'!$O$5:$O$17,"Y")</f>
        <v>1</v>
      </c>
      <c r="F25" s="2">
        <f>Parameters!$B$15</f>
        <v>2</v>
      </c>
      <c r="G25" s="6">
        <f>ROUND(AVERAGEIFS('Lab Data'!$P$5:$P$17,'Lab Data'!$C$5:$C$17,"Jul",'Lab Data'!$O$5:$O$17,"Y"),3)</f>
        <v>4.09</v>
      </c>
      <c r="H25" s="6">
        <f>_xlfn.MAXIFS('Lab Data'!$P$5:$P$17,'Lab Data'!$C$5:$C$17,"Jul",'Lab Data'!$O$5:$O$17,"Y")</f>
        <v>4.09</v>
      </c>
      <c r="I25" s="2" t="str">
        <f t="shared" si="0"/>
        <v>Exceeded</v>
      </c>
      <c r="J25" s="2" t="str">
        <f t="shared" si="1"/>
        <v>Exceeded</v>
      </c>
      <c r="K25" s="2" t="str">
        <f t="shared" si="2"/>
        <v>Below frequency</v>
      </c>
    </row>
    <row r="26" spans="1:11" x14ac:dyDescent="0.2">
      <c r="A26" s="2" t="s">
        <v>219</v>
      </c>
      <c r="B26" s="2" t="s">
        <v>18</v>
      </c>
      <c r="C26" s="5">
        <f>Parameters!$B$7</f>
        <v>3.98</v>
      </c>
      <c r="D26" s="5">
        <f>Parameters!$C$7</f>
        <v>2.38</v>
      </c>
      <c r="E26" s="2">
        <f>COUNTIFS('Lab Data'!$C$5:$C$17,"Jul",'Lab Data'!$S$5:$S$17,"Y")</f>
        <v>1</v>
      </c>
      <c r="F26" s="2">
        <f>Parameters!$B$15</f>
        <v>2</v>
      </c>
      <c r="G26" s="6">
        <f>ROUND(AVERAGEIFS('Lab Data'!$T$5:$T$17,'Lab Data'!$C$5:$C$17,"Jul",'Lab Data'!$S$5:$S$17,"Y"),3)</f>
        <v>1.57</v>
      </c>
      <c r="H26" s="6">
        <f>_xlfn.MAXIFS('Lab Data'!$T$5:$T$17,'Lab Data'!$C$5:$C$17,"Jul",'Lab Data'!$S$5:$S$17,"Y")</f>
        <v>1.57</v>
      </c>
      <c r="I26" s="2" t="str">
        <f t="shared" si="0"/>
        <v>Met</v>
      </c>
      <c r="J26" s="2" t="str">
        <f t="shared" si="1"/>
        <v>Met</v>
      </c>
      <c r="K26" s="2" t="str">
        <f t="shared" si="2"/>
        <v>Below frequency</v>
      </c>
    </row>
    <row r="27" spans="1:11" x14ac:dyDescent="0.2">
      <c r="A27" s="2" t="s">
        <v>219</v>
      </c>
      <c r="B27" s="2" t="s">
        <v>19</v>
      </c>
      <c r="C27" s="5">
        <f>Parameters!$B$8</f>
        <v>2.61</v>
      </c>
      <c r="D27" s="5">
        <f>Parameters!$C$8</f>
        <v>1.48</v>
      </c>
      <c r="E27" s="2">
        <f>COUNTIFS('Lab Data'!$C$5:$C$17,"Jul",'Lab Data'!$W$5:$W$17,"Y")</f>
        <v>1</v>
      </c>
      <c r="F27" s="2">
        <f>Parameters!$B$15</f>
        <v>2</v>
      </c>
      <c r="G27" s="6">
        <f>ROUND(AVERAGEIFS('Lab Data'!$X$5:$X$17,'Lab Data'!$C$5:$C$17,"Jul",'Lab Data'!$W$5:$W$17,"Y"),3)</f>
        <v>1.27</v>
      </c>
      <c r="H27" s="6">
        <f>_xlfn.MAXIFS('Lab Data'!$X$5:$X$17,'Lab Data'!$C$5:$C$17,"Jul",'Lab Data'!$W$5:$W$17,"Y")</f>
        <v>1.27</v>
      </c>
      <c r="I27" s="2" t="str">
        <f t="shared" si="0"/>
        <v>Met</v>
      </c>
      <c r="J27" s="2" t="str">
        <f t="shared" si="1"/>
        <v>Met</v>
      </c>
      <c r="K27" s="2" t="str">
        <f t="shared" si="2"/>
        <v>Below frequency</v>
      </c>
    </row>
    <row r="28" spans="1:11" x14ac:dyDescent="0.2">
      <c r="A28" s="2" t="s">
        <v>219</v>
      </c>
      <c r="B28" s="2" t="s">
        <v>20</v>
      </c>
      <c r="C28" s="5">
        <f>Parameters!$B$9</f>
        <v>1.2</v>
      </c>
      <c r="D28" s="5">
        <f>Parameters!$C$9</f>
        <v>0.65</v>
      </c>
      <c r="E28" s="2">
        <f>COUNTIFS('Lab Data'!$C$5:$C$17,"Jul",'Lab Data'!$AA$5:$AA$17,"Y")</f>
        <v>2</v>
      </c>
      <c r="F28" s="2">
        <f>Parameters!$B$15</f>
        <v>2</v>
      </c>
      <c r="G28" s="6">
        <f>ROUND(AVERAGEIFS('Lab Data'!$AB$5:$AB$17,'Lab Data'!$C$5:$C$17,"Jul",'Lab Data'!$AA$5:$AA$17,"Y"),3)</f>
        <v>0.31</v>
      </c>
      <c r="H28" s="6">
        <f>_xlfn.MAXIFS('Lab Data'!$AB$5:$AB$17,'Lab Data'!$C$5:$C$17,"Jul",'Lab Data'!$AA$5:$AA$17,"Y")</f>
        <v>0.35</v>
      </c>
      <c r="I28" s="2" t="str">
        <f t="shared" si="0"/>
        <v>Met</v>
      </c>
      <c r="J28" s="2" t="str">
        <f t="shared" si="1"/>
        <v>Met</v>
      </c>
      <c r="K28" s="2" t="str">
        <f t="shared" si="2"/>
        <v>Met</v>
      </c>
    </row>
    <row r="29" spans="1:11" x14ac:dyDescent="0.2">
      <c r="A29" s="2" t="s">
        <v>227</v>
      </c>
      <c r="B29" s="2" t="s">
        <v>15</v>
      </c>
      <c r="C29" s="5">
        <f>Parameters!$B$4</f>
        <v>0.11</v>
      </c>
      <c r="D29" s="5">
        <f>Parameters!$C$4</f>
        <v>0.07</v>
      </c>
      <c r="E29" s="2">
        <f>COUNTIFS('Lab Data'!$C$5:$C$17,"Aug",'Lab Data'!$G$5:$G$17,"Y")</f>
        <v>2</v>
      </c>
      <c r="F29" s="2">
        <f>Parameters!$B$15</f>
        <v>2</v>
      </c>
      <c r="G29" s="6">
        <f>ROUND(AVERAGEIFS('Lab Data'!$H$5:$H$17,'Lab Data'!$C$5:$C$17,"Aug",'Lab Data'!$G$5:$G$17,"Y"),3)</f>
        <v>0.007</v>
      </c>
      <c r="H29" s="6">
        <f>_xlfn.MAXIFS('Lab Data'!$H$5:$H$17,'Lab Data'!$C$5:$C$17,"Aug",'Lab Data'!$G$5:$G$17,"Y")</f>
        <v>0.014</v>
      </c>
      <c r="I29" s="2" t="str">
        <f t="shared" si="0"/>
        <v>Met</v>
      </c>
      <c r="J29" s="2" t="str">
        <f t="shared" si="1"/>
        <v>Met</v>
      </c>
      <c r="K29" s="2" t="str">
        <f t="shared" si="2"/>
        <v>Met</v>
      </c>
    </row>
    <row r="30" spans="1:11" x14ac:dyDescent="0.2">
      <c r="A30" s="2" t="s">
        <v>227</v>
      </c>
      <c r="B30" s="2" t="s">
        <v>16</v>
      </c>
      <c r="C30" s="5">
        <f>Parameters!$B$5</f>
        <v>2.77</v>
      </c>
      <c r="D30" s="5">
        <f>Parameters!$C$5</f>
        <v>1.71</v>
      </c>
      <c r="E30" s="2">
        <f>COUNTIFS('Lab Data'!$C$5:$C$17,"Aug",'Lab Data'!$K$5:$K$17,"Y")</f>
        <v>2</v>
      </c>
      <c r="F30" s="2">
        <f>Parameters!$B$15</f>
        <v>2</v>
      </c>
      <c r="G30" s="6">
        <f>ROUND(AVERAGEIFS('Lab Data'!$L$5:$L$17,'Lab Data'!$C$5:$C$17,"Aug",'Lab Data'!$K$5:$K$17,"Y"),3)</f>
        <v>0.7</v>
      </c>
      <c r="H30" s="6">
        <f>_xlfn.MAXIFS('Lab Data'!$L$5:$L$17,'Lab Data'!$C$5:$C$17,"Aug",'Lab Data'!$K$5:$K$17,"Y")</f>
        <v>0.74</v>
      </c>
      <c r="I30" s="2" t="str">
        <f t="shared" si="0"/>
        <v>Met</v>
      </c>
      <c r="J30" s="2" t="str">
        <f t="shared" si="1"/>
        <v>Met</v>
      </c>
      <c r="K30" s="2" t="str">
        <f t="shared" si="2"/>
        <v>Met</v>
      </c>
    </row>
    <row r="31" spans="1:11" x14ac:dyDescent="0.2">
      <c r="A31" s="2" t="s">
        <v>227</v>
      </c>
      <c r="B31" s="2" t="s">
        <v>17</v>
      </c>
      <c r="C31" s="5">
        <f>Parameters!$B$6</f>
        <v>3.38</v>
      </c>
      <c r="D31" s="5">
        <f>Parameters!$C$6</f>
        <v>2.07</v>
      </c>
      <c r="E31" s="2">
        <f>COUNTIFS('Lab Data'!$C$5:$C$17,"Aug",'Lab Data'!$O$5:$O$17,"Y")</f>
        <v>2</v>
      </c>
      <c r="F31" s="2">
        <f>Parameters!$B$15</f>
        <v>2</v>
      </c>
      <c r="G31" s="6">
        <f>ROUND(AVERAGEIFS('Lab Data'!$P$5:$P$17,'Lab Data'!$C$5:$C$17,"Aug",'Lab Data'!$O$5:$O$17,"Y"),3)</f>
        <v>4.24</v>
      </c>
      <c r="H31" s="6">
        <f>_xlfn.MAXIFS('Lab Data'!$P$5:$P$17,'Lab Data'!$C$5:$C$17,"Aug",'Lab Data'!$O$5:$O$17,"Y")</f>
        <v>4.33</v>
      </c>
      <c r="I31" s="2" t="str">
        <f t="shared" si="0"/>
        <v>Exceeded</v>
      </c>
      <c r="J31" s="2" t="str">
        <f t="shared" si="1"/>
        <v>Exceeded</v>
      </c>
      <c r="K31" s="2" t="str">
        <f t="shared" si="2"/>
        <v>Met</v>
      </c>
    </row>
    <row r="32" spans="1:11" x14ac:dyDescent="0.2">
      <c r="A32" s="2" t="s">
        <v>227</v>
      </c>
      <c r="B32" s="2" t="s">
        <v>18</v>
      </c>
      <c r="C32" s="5">
        <f>Parameters!$B$7</f>
        <v>3.98</v>
      </c>
      <c r="D32" s="5">
        <f>Parameters!$C$7</f>
        <v>2.38</v>
      </c>
      <c r="E32" s="2">
        <f>COUNTIFS('Lab Data'!$C$5:$C$17,"Aug",'Lab Data'!$S$5:$S$17,"Y")</f>
        <v>1</v>
      </c>
      <c r="F32" s="2">
        <f>Parameters!$B$15</f>
        <v>2</v>
      </c>
      <c r="G32" s="6">
        <f>ROUND(AVERAGEIFS('Lab Data'!$T$5:$T$17,'Lab Data'!$C$5:$C$17,"Aug",'Lab Data'!$S$5:$S$17,"Y"),3)</f>
        <v>2.61</v>
      </c>
      <c r="H32" s="6">
        <f>_xlfn.MAXIFS('Lab Data'!$T$5:$T$17,'Lab Data'!$C$5:$C$17,"Aug",'Lab Data'!$S$5:$S$17,"Y")</f>
        <v>2.61</v>
      </c>
      <c r="I32" s="2" t="str">
        <f t="shared" si="0"/>
        <v>Exceeded</v>
      </c>
      <c r="J32" s="2" t="str">
        <f t="shared" si="1"/>
        <v>Met</v>
      </c>
      <c r="K32" s="2" t="str">
        <f t="shared" si="2"/>
        <v>Below frequency</v>
      </c>
    </row>
    <row r="33" spans="1:11" x14ac:dyDescent="0.2">
      <c r="A33" s="2" t="s">
        <v>227</v>
      </c>
      <c r="B33" s="2" t="s">
        <v>19</v>
      </c>
      <c r="C33" s="5">
        <f>Parameters!$B$8</f>
        <v>2.61</v>
      </c>
      <c r="D33" s="5">
        <f>Parameters!$C$8</f>
        <v>1.48</v>
      </c>
      <c r="E33" s="2">
        <f>COUNTIFS('Lab Data'!$C$5:$C$17,"Aug",'Lab Data'!$W$5:$W$17,"Y")</f>
        <v>2</v>
      </c>
      <c r="F33" s="2">
        <f>Parameters!$B$15</f>
        <v>2</v>
      </c>
      <c r="G33" s="6">
        <f>ROUND(AVERAGEIFS('Lab Data'!$X$5:$X$17,'Lab Data'!$C$5:$C$17,"Aug",'Lab Data'!$W$5:$W$17,"Y"),3)</f>
        <v>1.035</v>
      </c>
      <c r="H33" s="6">
        <f>_xlfn.MAXIFS('Lab Data'!$X$5:$X$17,'Lab Data'!$C$5:$C$17,"Aug",'Lab Data'!$W$5:$W$17,"Y")</f>
        <v>1.18</v>
      </c>
      <c r="I33" s="2" t="str">
        <f t="shared" si="0"/>
        <v>Met</v>
      </c>
      <c r="J33" s="2" t="str">
        <f t="shared" si="1"/>
        <v>Met</v>
      </c>
      <c r="K33" s="2" t="str">
        <f t="shared" si="2"/>
        <v>Met</v>
      </c>
    </row>
    <row r="34" spans="1:11" x14ac:dyDescent="0.2">
      <c r="A34" s="2" t="s">
        <v>227</v>
      </c>
      <c r="B34" s="2" t="s">
        <v>20</v>
      </c>
      <c r="C34" s="5">
        <f>Parameters!$B$9</f>
        <v>1.2</v>
      </c>
      <c r="D34" s="5">
        <f>Parameters!$C$9</f>
        <v>0.65</v>
      </c>
      <c r="E34" s="2">
        <f>COUNTIFS('Lab Data'!$C$5:$C$17,"Aug",'Lab Data'!$AA$5:$AA$17,"Y")</f>
        <v>2</v>
      </c>
      <c r="F34" s="2">
        <f>Parameters!$B$15</f>
        <v>2</v>
      </c>
      <c r="G34" s="6">
        <f>ROUND(AVERAGEIFS('Lab Data'!$AB$5:$AB$17,'Lab Data'!$C$5:$C$17,"Aug",'Lab Data'!$AA$5:$AA$17,"Y"),3)</f>
        <v>0.24</v>
      </c>
      <c r="H34" s="6">
        <f>_xlfn.MAXIFS('Lab Data'!$AB$5:$AB$17,'Lab Data'!$C$5:$C$17,"Aug",'Lab Data'!$AA$5:$AA$17,"Y")</f>
        <v>0.29</v>
      </c>
      <c r="I34" s="2" t="str">
        <f t="shared" si="0"/>
        <v>Met</v>
      </c>
      <c r="J34" s="2" t="str">
        <f t="shared" si="1"/>
        <v>Met</v>
      </c>
      <c r="K34" s="2" t="str">
        <f t="shared" si="2"/>
        <v>Met</v>
      </c>
    </row>
    <row r="35" spans="1:11" x14ac:dyDescent="0.2">
      <c r="A35" s="2" t="s">
        <v>237</v>
      </c>
      <c r="B35" s="2" t="s">
        <v>15</v>
      </c>
      <c r="C35" s="5">
        <f>Parameters!$B$4</f>
        <v>0.11</v>
      </c>
      <c r="D35" s="5">
        <f>Parameters!$C$4</f>
        <v>0.07</v>
      </c>
      <c r="E35" s="2">
        <f>COUNTIFS('Lab Data'!$C$5:$C$17,"Sep",'Lab Data'!$G$5:$G$17,"Y")</f>
        <v>3</v>
      </c>
      <c r="F35" s="2">
        <f>Parameters!$B$15</f>
        <v>2</v>
      </c>
      <c r="G35" s="6">
        <f>ROUND(AVERAGEIFS('Lab Data'!$H$5:$H$17,'Lab Data'!$C$5:$C$17,"Sep",'Lab Data'!$G$5:$G$17,"Y"),3)</f>
        <v>0.004</v>
      </c>
      <c r="H35" s="6">
        <f>_xlfn.MAXIFS('Lab Data'!$H$5:$H$17,'Lab Data'!$C$5:$C$17,"Sep",'Lab Data'!$G$5:$G$17,"Y")</f>
        <v>0.012</v>
      </c>
      <c r="I35" s="2" t="str">
        <f t="shared" si="0"/>
        <v>Met</v>
      </c>
      <c r="J35" s="2" t="str">
        <f t="shared" si="1"/>
        <v>Met</v>
      </c>
      <c r="K35" s="2" t="str">
        <f t="shared" si="2"/>
        <v>Met</v>
      </c>
    </row>
    <row r="36" spans="1:11" x14ac:dyDescent="0.2">
      <c r="A36" s="2" t="s">
        <v>237</v>
      </c>
      <c r="B36" s="2" t="s">
        <v>16</v>
      </c>
      <c r="C36" s="5">
        <f>Parameters!$B$5</f>
        <v>2.77</v>
      </c>
      <c r="D36" s="5">
        <f>Parameters!$C$5</f>
        <v>1.71</v>
      </c>
      <c r="E36" s="2">
        <f>COUNTIFS('Lab Data'!$C$5:$C$17,"Sep",'Lab Data'!$K$5:$K$17,"Y")</f>
        <v>3</v>
      </c>
      <c r="F36" s="2">
        <f>Parameters!$B$15</f>
        <v>2</v>
      </c>
      <c r="G36" s="6">
        <f>ROUND(AVERAGEIFS('Lab Data'!$L$5:$L$17,'Lab Data'!$C$5:$C$17,"Sep",'Lab Data'!$K$5:$K$17,"Y"),3)</f>
        <v>0.697</v>
      </c>
      <c r="H36" s="6">
        <f>_xlfn.MAXIFS('Lab Data'!$L$5:$L$17,'Lab Data'!$C$5:$C$17,"Sep",'Lab Data'!$K$5:$K$17,"Y")</f>
        <v>1.02</v>
      </c>
      <c r="I36" s="2" t="str">
        <f t="shared" si="0"/>
        <v>Met</v>
      </c>
      <c r="J36" s="2" t="str">
        <f t="shared" si="1"/>
        <v>Met</v>
      </c>
      <c r="K36" s="2" t="str">
        <f t="shared" si="2"/>
        <v>Met</v>
      </c>
    </row>
    <row r="37" spans="1:11" x14ac:dyDescent="0.2">
      <c r="A37" s="2" t="s">
        <v>237</v>
      </c>
      <c r="B37" s="2" t="s">
        <v>17</v>
      </c>
      <c r="C37" s="5">
        <f>Parameters!$B$6</f>
        <v>3.38</v>
      </c>
      <c r="D37" s="5">
        <f>Parameters!$C$6</f>
        <v>2.07</v>
      </c>
      <c r="E37" s="2">
        <f>COUNTIFS('Lab Data'!$C$5:$C$17,"Sep",'Lab Data'!$O$5:$O$17,"Y")</f>
        <v>3</v>
      </c>
      <c r="F37" s="2">
        <f>Parameters!$B$15</f>
        <v>2</v>
      </c>
      <c r="G37" s="6">
        <f>ROUND(AVERAGEIFS('Lab Data'!$P$5:$P$17,'Lab Data'!$C$5:$C$17,"Sep",'Lab Data'!$O$5:$O$17,"Y"),3)</f>
        <v>2.053</v>
      </c>
      <c r="H37" s="6">
        <f>_xlfn.MAXIFS('Lab Data'!$P$5:$P$17,'Lab Data'!$C$5:$C$17,"Sep",'Lab Data'!$O$5:$O$17,"Y")</f>
        <v>2.96</v>
      </c>
      <c r="I37" s="2" t="str">
        <f t="shared" si="0"/>
        <v>Met</v>
      </c>
      <c r="J37" s="2" t="str">
        <f t="shared" si="1"/>
        <v>Met</v>
      </c>
      <c r="K37" s="2" t="str">
        <f t="shared" si="2"/>
        <v>Met</v>
      </c>
    </row>
    <row r="38" spans="1:11" x14ac:dyDescent="0.2">
      <c r="A38" s="2" t="s">
        <v>237</v>
      </c>
      <c r="B38" s="2" t="s">
        <v>18</v>
      </c>
      <c r="C38" s="5">
        <f>Parameters!$B$7</f>
        <v>3.98</v>
      </c>
      <c r="D38" s="5">
        <f>Parameters!$C$7</f>
        <v>2.38</v>
      </c>
      <c r="E38" s="2">
        <f>COUNTIFS('Lab Data'!$C$5:$C$17,"Sep",'Lab Data'!$S$5:$S$17,"Y")</f>
        <v>3</v>
      </c>
      <c r="F38" s="2">
        <f>Parameters!$B$15</f>
        <v>2</v>
      </c>
      <c r="G38" s="6">
        <f>ROUND(AVERAGEIFS('Lab Data'!$T$5:$T$17,'Lab Data'!$C$5:$C$17,"Sep",'Lab Data'!$S$5:$S$17,"Y"),3)</f>
        <v>1.15</v>
      </c>
      <c r="H38" s="6">
        <f>_xlfn.MAXIFS('Lab Data'!$T$5:$T$17,'Lab Data'!$C$5:$C$17,"Sep",'Lab Data'!$S$5:$S$17,"Y")</f>
        <v>1.36</v>
      </c>
      <c r="I38" s="2" t="str">
        <f t="shared" si="0"/>
        <v>Met</v>
      </c>
      <c r="J38" s="2" t="str">
        <f t="shared" si="1"/>
        <v>Met</v>
      </c>
      <c r="K38" s="2" t="str">
        <f t="shared" si="2"/>
        <v>Met</v>
      </c>
    </row>
    <row r="39" spans="1:11" x14ac:dyDescent="0.2">
      <c r="A39" s="2" t="s">
        <v>237</v>
      </c>
      <c r="B39" s="2" t="s">
        <v>19</v>
      </c>
      <c r="C39" s="5">
        <f>Parameters!$B$8</f>
        <v>2.61</v>
      </c>
      <c r="D39" s="5">
        <f>Parameters!$C$8</f>
        <v>1.48</v>
      </c>
      <c r="E39" s="2">
        <f>COUNTIFS('Lab Data'!$C$5:$C$17,"Sep",'Lab Data'!$W$5:$W$17,"Y")</f>
        <v>3</v>
      </c>
      <c r="F39" s="2">
        <f>Parameters!$B$15</f>
        <v>2</v>
      </c>
      <c r="G39" s="6">
        <f>ROUND(AVERAGEIFS('Lab Data'!$X$5:$X$17,'Lab Data'!$C$5:$C$17,"Sep",'Lab Data'!$W$5:$W$17,"Y"),3)</f>
        <v>1.653</v>
      </c>
      <c r="H39" s="6">
        <f>_xlfn.MAXIFS('Lab Data'!$X$5:$X$17,'Lab Data'!$C$5:$C$17,"Sep",'Lab Data'!$W$5:$W$17,"Y")</f>
        <v>3.14</v>
      </c>
      <c r="I39" s="2" t="str">
        <f t="shared" si="0"/>
        <v>Exceeded</v>
      </c>
      <c r="J39" s="2" t="str">
        <f t="shared" si="1"/>
        <v>Exceeded</v>
      </c>
      <c r="K39" s="2" t="str">
        <f t="shared" si="2"/>
        <v>Met</v>
      </c>
    </row>
    <row r="40" spans="1:11" x14ac:dyDescent="0.2">
      <c r="A40" s="2" t="s">
        <v>237</v>
      </c>
      <c r="B40" s="2" t="s">
        <v>20</v>
      </c>
      <c r="C40" s="5">
        <f>Parameters!$B$9</f>
        <v>1.2</v>
      </c>
      <c r="D40" s="5">
        <f>Parameters!$C$9</f>
        <v>0.65</v>
      </c>
      <c r="E40" s="2">
        <f>COUNTIFS('Lab Data'!$C$5:$C$17,"Sep",'Lab Data'!$AA$5:$AA$17,"Y")</f>
        <v>2</v>
      </c>
      <c r="F40" s="2">
        <f>Parameters!$B$15</f>
        <v>2</v>
      </c>
      <c r="G40" s="6">
        <f>ROUND(AVERAGEIFS('Lab Data'!$AB$5:$AB$17,'Lab Data'!$C$5:$C$17,"Sep",'Lab Data'!$AA$5:$AA$17,"Y"),3)</f>
        <v>0.325</v>
      </c>
      <c r="H40" s="6">
        <f>_xlfn.MAXIFS('Lab Data'!$AB$5:$AB$17,'Lab Data'!$C$5:$C$17,"Sep",'Lab Data'!$AA$5:$AA$17,"Y")</f>
        <v>0.41</v>
      </c>
      <c r="I40" s="2" t="str">
        <f t="shared" si="0"/>
        <v>Met</v>
      </c>
      <c r="J40" s="2" t="str">
        <f t="shared" si="1"/>
        <v>Met</v>
      </c>
      <c r="K40" s="2" t="str">
        <f t="shared" si="2"/>
        <v>Met</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6"/>
  <sheetViews>
    <sheetView workbookViewId="0"/>
  </sheetViews>
  <sheetFormatPr baseColWidth="10" defaultColWidth="8.83203125" defaultRowHeight="15" x14ac:dyDescent="0.2"/>
  <cols>
    <col min="1" max="1" width="18" customWidth="1"/>
    <col min="2" max="2" width="13" customWidth="1"/>
    <col min="3" max="3" width="14" customWidth="1"/>
    <col min="4" max="4" width="12" customWidth="1"/>
    <col min="5" max="5" width="14" customWidth="1"/>
    <col min="6" max="6" width="12" customWidth="1"/>
    <col min="7" max="7" width="16" customWidth="1"/>
    <col min="8" max="8" width="14" customWidth="1"/>
    <col min="9" max="9" width="18" customWidth="1"/>
    <col min="10" max="11" width="12" customWidth="1"/>
    <col min="12" max="12" width="30" customWidth="1"/>
    <col min="13" max="14" width="12" customWidth="1"/>
  </cols>
  <sheetData>
    <row r="1" spans="1:14" ht="16" customHeight="1" x14ac:dyDescent="0.2">
      <c r="A1" s="1" t="s">
        <v>259</v>
      </c>
    </row>
    <row r="2" spans="1:14" x14ac:dyDescent="0.2">
      <c r="A2" s="2" t="s">
        <v>260</v>
      </c>
    </row>
    <row r="4" spans="1:14" x14ac:dyDescent="0.2">
      <c r="A4" s="4" t="s">
        <v>5</v>
      </c>
      <c r="B4" s="4" t="s">
        <v>261</v>
      </c>
      <c r="C4" s="4" t="s">
        <v>252</v>
      </c>
      <c r="D4" s="4" t="s">
        <v>262</v>
      </c>
      <c r="E4" s="4" t="s">
        <v>263</v>
      </c>
      <c r="F4" s="4" t="s">
        <v>264</v>
      </c>
      <c r="G4" s="4" t="s">
        <v>265</v>
      </c>
      <c r="H4" s="4" t="s">
        <v>266</v>
      </c>
      <c r="I4" s="4" t="s">
        <v>267</v>
      </c>
      <c r="J4" s="4" t="s">
        <v>268</v>
      </c>
      <c r="K4" s="4" t="s">
        <v>269</v>
      </c>
      <c r="L4" s="4" t="s">
        <v>270</v>
      </c>
      <c r="M4" s="4" t="s">
        <v>271</v>
      </c>
      <c r="N4" s="4" t="s">
        <v>272</v>
      </c>
    </row>
    <row r="5" spans="1:14" x14ac:dyDescent="0.2">
      <c r="A5" s="2" t="s">
        <v>15</v>
      </c>
      <c r="B5" s="2">
        <f>COUNTIFS('Lab Data'!$G$5:$G$17,"Y")</f>
        <v>12</v>
      </c>
      <c r="C5" s="5">
        <f>Parameters!$B$4</f>
        <v>0.11</v>
      </c>
      <c r="D5" s="7">
        <f>Parameters!$B$16</f>
        <v>1.2</v>
      </c>
      <c r="E5" s="6">
        <f t="shared" ref="E5:E10" si="0">ROUND(C5*D5,3)</f>
        <v>0.132</v>
      </c>
      <c r="F5" s="2">
        <f>COUNTIFS('Lab Data'!$H$5:$H$17,"&gt;"&amp;C5,'Lab Data'!$G$5:$G$17,"Y")</f>
        <v>0</v>
      </c>
      <c r="G5" s="7">
        <f t="shared" ref="G5:G10" si="1">ROUND(F5/B5*100,1)</f>
        <v>0</v>
      </c>
      <c r="H5" s="2">
        <f>COUNTIFS('Lab Data'!$H$5:$H$17,"&gt;"&amp;E5,'Lab Data'!$G$5:$G$17,"Y")</f>
        <v>0</v>
      </c>
      <c r="I5" s="7">
        <f t="shared" ref="I5:I10" si="2">ROUND(H5/B5*100,1)</f>
        <v>0</v>
      </c>
      <c r="J5" s="2" t="str">
        <f>IF(G5&gt;=Parameters!$B$17,"Yes","No")</f>
        <v>No</v>
      </c>
      <c r="K5" s="2" t="str">
        <f>IF(I5&gt;=Parameters!$B$18,"Yes","No")</f>
        <v>No</v>
      </c>
      <c r="L5" s="13" t="str">
        <f t="shared" ref="L5:L10" si="3">IF(OR(J5="Yes",K5="Yes"),"Significant noncompliance","Not in significant noncompliance")</f>
        <v>Not in significant noncompliance</v>
      </c>
      <c r="M5" s="2">
        <f>Parameters!$B$17</f>
        <v>66</v>
      </c>
      <c r="N5" s="2">
        <f>Parameters!$B$18</f>
        <v>33</v>
      </c>
    </row>
    <row r="6" spans="1:14" x14ac:dyDescent="0.2">
      <c r="A6" s="2" t="s">
        <v>16</v>
      </c>
      <c r="B6" s="2">
        <f>COUNTIFS('Lab Data'!$K$5:$K$17,"Y")</f>
        <v>12</v>
      </c>
      <c r="C6" s="5">
        <f>Parameters!$B$5</f>
        <v>2.77</v>
      </c>
      <c r="D6" s="7">
        <f>Parameters!$B$16</f>
        <v>1.2</v>
      </c>
      <c r="E6" s="6">
        <f t="shared" si="0"/>
        <v>3.324</v>
      </c>
      <c r="F6" s="2">
        <f>COUNTIFS('Lab Data'!$L$5:$L$17,"&gt;"&amp;C6,'Lab Data'!$K$5:$K$17,"Y")</f>
        <v>0</v>
      </c>
      <c r="G6" s="7">
        <f t="shared" si="1"/>
        <v>0</v>
      </c>
      <c r="H6" s="2">
        <f>COUNTIFS('Lab Data'!$L$5:$L$17,"&gt;"&amp;E6,'Lab Data'!$K$5:$K$17,"Y")</f>
        <v>0</v>
      </c>
      <c r="I6" s="7">
        <f t="shared" si="2"/>
        <v>0</v>
      </c>
      <c r="J6" s="2" t="str">
        <f>IF(G6&gt;=Parameters!$B$17,"Yes","No")</f>
        <v>No</v>
      </c>
      <c r="K6" s="2" t="str">
        <f>IF(I6&gt;=Parameters!$B$18,"Yes","No")</f>
        <v>No</v>
      </c>
      <c r="L6" s="13" t="str">
        <f t="shared" si="3"/>
        <v>Not in significant noncompliance</v>
      </c>
      <c r="M6" s="2">
        <f>Parameters!$B$17</f>
        <v>66</v>
      </c>
      <c r="N6" s="2">
        <f>Parameters!$B$18</f>
        <v>33</v>
      </c>
    </row>
    <row r="7" spans="1:14" x14ac:dyDescent="0.2">
      <c r="A7" s="2" t="s">
        <v>17</v>
      </c>
      <c r="B7" s="2">
        <f>COUNTIFS('Lab Data'!$O$5:$O$17,"Y")</f>
        <v>12</v>
      </c>
      <c r="C7" s="5">
        <f>Parameters!$B$6</f>
        <v>3.38</v>
      </c>
      <c r="D7" s="7">
        <f>Parameters!$B$16</f>
        <v>1.2</v>
      </c>
      <c r="E7" s="6">
        <f t="shared" si="0"/>
        <v>4.056</v>
      </c>
      <c r="F7" s="2">
        <f>COUNTIFS('Lab Data'!$P$5:$P$17,"&gt;"&amp;C7,'Lab Data'!$O$5:$O$17,"Y")</f>
        <v>6</v>
      </c>
      <c r="G7" s="7">
        <f t="shared" si="1"/>
        <v>50</v>
      </c>
      <c r="H7" s="2">
        <f>COUNTIFS('Lab Data'!$P$5:$P$17,"&gt;"&amp;E7,'Lab Data'!$O$5:$O$17,"Y")</f>
        <v>4</v>
      </c>
      <c r="I7" s="7">
        <f t="shared" si="2"/>
        <v>33.3</v>
      </c>
      <c r="J7" s="2" t="str">
        <f>IF(G7&gt;=Parameters!$B$17,"Yes","No")</f>
        <v>No</v>
      </c>
      <c r="K7" s="2" t="str">
        <f>IF(I7&gt;=Parameters!$B$18,"Yes","No")</f>
        <v>Yes</v>
      </c>
      <c r="L7" s="13" t="str">
        <f t="shared" si="3"/>
        <v>Significant noncompliance</v>
      </c>
      <c r="M7" s="2">
        <f>Parameters!$B$17</f>
        <v>66</v>
      </c>
      <c r="N7" s="2">
        <f>Parameters!$B$18</f>
        <v>33</v>
      </c>
    </row>
    <row r="8" spans="1:14" x14ac:dyDescent="0.2">
      <c r="A8" s="2" t="s">
        <v>18</v>
      </c>
      <c r="B8" s="2">
        <f>COUNTIFS('Lab Data'!$S$5:$S$17,"Y")</f>
        <v>11</v>
      </c>
      <c r="C8" s="5">
        <f>Parameters!$B$7</f>
        <v>3.98</v>
      </c>
      <c r="D8" s="7">
        <f>Parameters!$B$16</f>
        <v>1.2</v>
      </c>
      <c r="E8" s="6">
        <f t="shared" si="0"/>
        <v>4.776</v>
      </c>
      <c r="F8" s="2">
        <f>COUNTIFS('Lab Data'!$T$5:$T$17,"&gt;"&amp;C8,'Lab Data'!$S$5:$S$17,"Y")</f>
        <v>0</v>
      </c>
      <c r="G8" s="7">
        <f t="shared" si="1"/>
        <v>0</v>
      </c>
      <c r="H8" s="2">
        <f>COUNTIFS('Lab Data'!$T$5:$T$17,"&gt;"&amp;E8,'Lab Data'!$S$5:$S$17,"Y")</f>
        <v>0</v>
      </c>
      <c r="I8" s="7">
        <f t="shared" si="2"/>
        <v>0</v>
      </c>
      <c r="J8" s="2" t="str">
        <f>IF(G8&gt;=Parameters!$B$17,"Yes","No")</f>
        <v>No</v>
      </c>
      <c r="K8" s="2" t="str">
        <f>IF(I8&gt;=Parameters!$B$18,"Yes","No")</f>
        <v>No</v>
      </c>
      <c r="L8" s="13" t="str">
        <f t="shared" si="3"/>
        <v>Not in significant noncompliance</v>
      </c>
      <c r="M8" s="2">
        <f>Parameters!$B$17</f>
        <v>66</v>
      </c>
      <c r="N8" s="2">
        <f>Parameters!$B$18</f>
        <v>33</v>
      </c>
    </row>
    <row r="9" spans="1:14" x14ac:dyDescent="0.2">
      <c r="A9" s="2" t="s">
        <v>19</v>
      </c>
      <c r="B9" s="2">
        <f>COUNTIFS('Lab Data'!$W$5:$W$17,"Y")</f>
        <v>12</v>
      </c>
      <c r="C9" s="5">
        <f>Parameters!$B$8</f>
        <v>2.61</v>
      </c>
      <c r="D9" s="7">
        <f>Parameters!$B$16</f>
        <v>1.2</v>
      </c>
      <c r="E9" s="6">
        <f t="shared" si="0"/>
        <v>3.132</v>
      </c>
      <c r="F9" s="2">
        <f>COUNTIFS('Lab Data'!$X$5:$X$17,"&gt;"&amp;C9,'Lab Data'!$W$5:$W$17,"Y")</f>
        <v>1</v>
      </c>
      <c r="G9" s="7">
        <f t="shared" si="1"/>
        <v>8.3</v>
      </c>
      <c r="H9" s="2">
        <f>COUNTIFS('Lab Data'!$X$5:$X$17,"&gt;"&amp;E9,'Lab Data'!$W$5:$W$17,"Y")</f>
        <v>1</v>
      </c>
      <c r="I9" s="7">
        <f t="shared" si="2"/>
        <v>8.3</v>
      </c>
      <c r="J9" s="2" t="str">
        <f>IF(G9&gt;=Parameters!$B$17,"Yes","No")</f>
        <v>No</v>
      </c>
      <c r="K9" s="2" t="str">
        <f>IF(I9&gt;=Parameters!$B$18,"Yes","No")</f>
        <v>No</v>
      </c>
      <c r="L9" s="13" t="str">
        <f t="shared" si="3"/>
        <v>Not in significant noncompliance</v>
      </c>
      <c r="M9" s="2">
        <f>Parameters!$B$17</f>
        <v>66</v>
      </c>
      <c r="N9" s="2">
        <f>Parameters!$B$18</f>
        <v>33</v>
      </c>
    </row>
    <row r="10" spans="1:14" x14ac:dyDescent="0.2">
      <c r="A10" s="2" t="s">
        <v>20</v>
      </c>
      <c r="B10" s="2">
        <f>COUNTIFS('Lab Data'!$AA$5:$AA$17,"Y")</f>
        <v>12</v>
      </c>
      <c r="C10" s="5">
        <f>Parameters!$B$9</f>
        <v>1.2</v>
      </c>
      <c r="D10" s="7">
        <f>Parameters!$B$16</f>
        <v>1.2</v>
      </c>
      <c r="E10" s="6">
        <f t="shared" si="0"/>
        <v>1.44</v>
      </c>
      <c r="F10" s="2">
        <f>COUNTIFS('Lab Data'!$AB$5:$AB$17,"&gt;"&amp;C10,'Lab Data'!$AA$5:$AA$17,"Y")</f>
        <v>0</v>
      </c>
      <c r="G10" s="7">
        <f t="shared" si="1"/>
        <v>0</v>
      </c>
      <c r="H10" s="2">
        <f>COUNTIFS('Lab Data'!$AB$5:$AB$17,"&gt;"&amp;E10,'Lab Data'!$AA$5:$AA$17,"Y")</f>
        <v>0</v>
      </c>
      <c r="I10" s="7">
        <f t="shared" si="2"/>
        <v>0</v>
      </c>
      <c r="J10" s="2" t="str">
        <f>IF(G10&gt;=Parameters!$B$17,"Yes","No")</f>
        <v>No</v>
      </c>
      <c r="K10" s="2" t="str">
        <f>IF(I10&gt;=Parameters!$B$18,"Yes","No")</f>
        <v>No</v>
      </c>
      <c r="L10" s="13" t="str">
        <f t="shared" si="3"/>
        <v>Not in significant noncompliance</v>
      </c>
      <c r="M10" s="2">
        <f>Parameters!$B$17</f>
        <v>66</v>
      </c>
      <c r="N10" s="2">
        <f>Parameters!$B$18</f>
        <v>33</v>
      </c>
    </row>
    <row r="12" spans="1:14" x14ac:dyDescent="0.2">
      <c r="A12" s="2" t="s">
        <v>273</v>
      </c>
    </row>
    <row r="14" spans="1:14" x14ac:dyDescent="0.2">
      <c r="A14" s="4" t="s">
        <v>274</v>
      </c>
      <c r="B14" s="4" t="s">
        <v>275</v>
      </c>
      <c r="C14" s="4" t="s">
        <v>276</v>
      </c>
      <c r="D14" s="4" t="s">
        <v>277</v>
      </c>
    </row>
    <row r="15" spans="1:14" x14ac:dyDescent="0.2">
      <c r="A15" s="2" t="s">
        <v>278</v>
      </c>
      <c r="B15" s="2" t="s">
        <v>279</v>
      </c>
      <c r="C15" s="2" t="s">
        <v>280</v>
      </c>
      <c r="D15" s="2" t="s">
        <v>281</v>
      </c>
    </row>
    <row r="16" spans="1:14" x14ac:dyDescent="0.2">
      <c r="A16" s="2" t="s">
        <v>282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9"/>
  <sheetViews>
    <sheetView workbookViewId="0"/>
  </sheetViews>
  <sheetFormatPr baseColWidth="10" defaultColWidth="8.83203125" defaultRowHeight="15" x14ac:dyDescent="0.2"/>
  <cols>
    <col min="1" max="1" width="52" customWidth="1"/>
    <col min="2" max="2" width="30" customWidth="1"/>
    <col min="3" max="3" width="16" customWidth="1"/>
    <col min="4" max="4" width="12" customWidth="1"/>
  </cols>
  <sheetData>
    <row r="1" spans="1:4" ht="16" customHeight="1" x14ac:dyDescent="0.2">
      <c r="A1" s="1" t="s">
        <v>283</v>
      </c>
    </row>
    <row r="2" spans="1:4" x14ac:dyDescent="0.2">
      <c r="A2" s="2" t="s">
        <v>284</v>
      </c>
    </row>
    <row r="3" spans="1:4" x14ac:dyDescent="0.2">
      <c r="A3" s="4" t="s">
        <v>34</v>
      </c>
      <c r="B3" s="4" t="s">
        <v>285</v>
      </c>
      <c r="C3" s="4" t="s">
        <v>286</v>
      </c>
      <c r="D3" s="4" t="s">
        <v>287</v>
      </c>
    </row>
    <row r="4" spans="1:4" x14ac:dyDescent="0.2">
      <c r="A4" s="2" t="s">
        <v>288</v>
      </c>
      <c r="B4" s="8">
        <v>6418255</v>
      </c>
      <c r="C4" s="2"/>
    </row>
    <row r="5" spans="1:4" x14ac:dyDescent="0.2">
      <c r="A5" s="2" t="s">
        <v>289</v>
      </c>
      <c r="B5" s="8">
        <v>6450959</v>
      </c>
      <c r="C5" s="8">
        <f t="shared" ref="C5:C34" si="0">B5-B4</f>
        <v>32704</v>
      </c>
      <c r="D5" s="2" t="str">
        <f>IF(C5&gt;Parameters!$B$12,"Yes","No")</f>
        <v>No</v>
      </c>
    </row>
    <row r="6" spans="1:4" x14ac:dyDescent="0.2">
      <c r="A6" s="2" t="s">
        <v>290</v>
      </c>
      <c r="B6" s="8">
        <v>6491552</v>
      </c>
      <c r="C6" s="8">
        <f t="shared" si="0"/>
        <v>40593</v>
      </c>
      <c r="D6" s="2" t="str">
        <f>IF(C6&gt;Parameters!$B$12,"Yes","No")</f>
        <v>No</v>
      </c>
    </row>
    <row r="7" spans="1:4" x14ac:dyDescent="0.2">
      <c r="A7" s="2" t="s">
        <v>291</v>
      </c>
      <c r="B7" s="8">
        <v>6523848</v>
      </c>
      <c r="C7" s="8">
        <f t="shared" si="0"/>
        <v>32296</v>
      </c>
      <c r="D7" s="2" t="str">
        <f>IF(C7&gt;Parameters!$B$12,"Yes","No")</f>
        <v>No</v>
      </c>
    </row>
    <row r="8" spans="1:4" x14ac:dyDescent="0.2">
      <c r="A8" s="2" t="s">
        <v>232</v>
      </c>
      <c r="B8" s="8">
        <v>6561503</v>
      </c>
      <c r="C8" s="8">
        <f t="shared" si="0"/>
        <v>37655</v>
      </c>
      <c r="D8" s="2" t="str">
        <f>IF(C8&gt;Parameters!$B$12,"Yes","No")</f>
        <v>No</v>
      </c>
    </row>
    <row r="9" spans="1:4" x14ac:dyDescent="0.2">
      <c r="A9" s="2" t="s">
        <v>99</v>
      </c>
      <c r="B9" s="8">
        <v>6565112</v>
      </c>
      <c r="C9" s="8">
        <f t="shared" si="0"/>
        <v>3609</v>
      </c>
      <c r="D9" s="2" t="str">
        <f>IF(C9&gt;Parameters!$B$12,"Yes","No")</f>
        <v>No</v>
      </c>
    </row>
    <row r="10" spans="1:4" x14ac:dyDescent="0.2">
      <c r="A10" s="2" t="s">
        <v>292</v>
      </c>
      <c r="B10" s="8">
        <v>6567087</v>
      </c>
      <c r="C10" s="8">
        <f t="shared" si="0"/>
        <v>1975</v>
      </c>
      <c r="D10" s="2" t="str">
        <f>IF(C10&gt;Parameters!$B$12,"Yes","No")</f>
        <v>No</v>
      </c>
    </row>
    <row r="11" spans="1:4" x14ac:dyDescent="0.2">
      <c r="A11" s="2" t="s">
        <v>293</v>
      </c>
      <c r="B11" s="8">
        <v>6567087</v>
      </c>
      <c r="C11" s="8">
        <f t="shared" si="0"/>
        <v>0</v>
      </c>
      <c r="D11" s="2" t="str">
        <f>IF(C11&gt;Parameters!$B$12,"Yes","No")</f>
        <v>No</v>
      </c>
    </row>
    <row r="12" spans="1:4" x14ac:dyDescent="0.2">
      <c r="A12" s="2" t="s">
        <v>294</v>
      </c>
      <c r="B12" s="8">
        <v>6601769</v>
      </c>
      <c r="C12" s="8">
        <f t="shared" si="0"/>
        <v>34682</v>
      </c>
      <c r="D12" s="2" t="str">
        <f>IF(C12&gt;Parameters!$B$12,"Yes","No")</f>
        <v>No</v>
      </c>
    </row>
    <row r="13" spans="1:4" x14ac:dyDescent="0.2">
      <c r="A13" s="2" t="s">
        <v>66</v>
      </c>
      <c r="B13" s="8">
        <v>6649069</v>
      </c>
      <c r="C13" s="8">
        <f t="shared" si="0"/>
        <v>47300</v>
      </c>
      <c r="D13" s="2" t="str">
        <f>IF(C13&gt;Parameters!$B$12,"Yes","No")</f>
        <v>Yes</v>
      </c>
    </row>
    <row r="14" spans="1:4" x14ac:dyDescent="0.2">
      <c r="A14" s="2" t="s">
        <v>82</v>
      </c>
      <c r="B14" s="8">
        <v>6680799</v>
      </c>
      <c r="C14" s="8">
        <f t="shared" si="0"/>
        <v>31730</v>
      </c>
      <c r="D14" s="2" t="str">
        <f>IF(C14&gt;Parameters!$B$12,"Yes","No")</f>
        <v>No</v>
      </c>
    </row>
    <row r="15" spans="1:4" x14ac:dyDescent="0.2">
      <c r="A15" s="2" t="s">
        <v>295</v>
      </c>
      <c r="B15" s="8">
        <v>6709642</v>
      </c>
      <c r="C15" s="8">
        <f t="shared" si="0"/>
        <v>28843</v>
      </c>
      <c r="D15" s="2" t="str">
        <f>IF(C15&gt;Parameters!$B$12,"Yes","No")</f>
        <v>No</v>
      </c>
    </row>
    <row r="16" spans="1:4" x14ac:dyDescent="0.2">
      <c r="A16" s="2" t="s">
        <v>239</v>
      </c>
      <c r="B16" s="8">
        <v>6712444</v>
      </c>
      <c r="C16" s="8">
        <f t="shared" si="0"/>
        <v>2802</v>
      </c>
      <c r="D16" s="2" t="str">
        <f>IF(C16&gt;Parameters!$B$12,"Yes","No")</f>
        <v>No</v>
      </c>
    </row>
    <row r="17" spans="1:4" x14ac:dyDescent="0.2">
      <c r="A17" s="2" t="s">
        <v>296</v>
      </c>
      <c r="B17" s="8">
        <v>6716224</v>
      </c>
      <c r="C17" s="8">
        <f t="shared" si="0"/>
        <v>3780</v>
      </c>
      <c r="D17" s="2" t="str">
        <f>IF(C17&gt;Parameters!$B$12,"Yes","No")</f>
        <v>No</v>
      </c>
    </row>
    <row r="18" spans="1:4" x14ac:dyDescent="0.2">
      <c r="A18" s="2" t="s">
        <v>297</v>
      </c>
      <c r="B18" s="8">
        <v>6753533</v>
      </c>
      <c r="C18" s="8">
        <f t="shared" si="0"/>
        <v>37309</v>
      </c>
      <c r="D18" s="2" t="str">
        <f>IF(C18&gt;Parameters!$B$12,"Yes","No")</f>
        <v>No</v>
      </c>
    </row>
    <row r="19" spans="1:4" x14ac:dyDescent="0.2">
      <c r="A19" s="2" t="s">
        <v>238</v>
      </c>
      <c r="B19" s="8">
        <v>6788370</v>
      </c>
      <c r="C19" s="8">
        <f t="shared" si="0"/>
        <v>34837</v>
      </c>
      <c r="D19" s="2" t="str">
        <f>IF(C19&gt;Parameters!$B$12,"Yes","No")</f>
        <v>No</v>
      </c>
    </row>
    <row r="20" spans="1:4" x14ac:dyDescent="0.2">
      <c r="A20" s="2" t="s">
        <v>298</v>
      </c>
      <c r="B20" s="8">
        <v>6828334</v>
      </c>
      <c r="C20" s="8">
        <f t="shared" si="0"/>
        <v>39964</v>
      </c>
      <c r="D20" s="2" t="str">
        <f>IF(C20&gt;Parameters!$B$12,"Yes","No")</f>
        <v>No</v>
      </c>
    </row>
    <row r="21" spans="1:4" x14ac:dyDescent="0.2">
      <c r="A21" s="2" t="s">
        <v>88</v>
      </c>
      <c r="B21" s="8">
        <v>6856644</v>
      </c>
      <c r="C21" s="8">
        <f t="shared" si="0"/>
        <v>28310</v>
      </c>
      <c r="D21" s="2" t="str">
        <f>IF(C21&gt;Parameters!$B$12,"Yes","No")</f>
        <v>No</v>
      </c>
    </row>
    <row r="22" spans="1:4" x14ac:dyDescent="0.2">
      <c r="A22" s="2" t="s">
        <v>299</v>
      </c>
      <c r="B22" s="8">
        <v>6890079</v>
      </c>
      <c r="C22" s="8">
        <f t="shared" si="0"/>
        <v>33435</v>
      </c>
      <c r="D22" s="2" t="str">
        <f>IF(C22&gt;Parameters!$B$12,"Yes","No")</f>
        <v>No</v>
      </c>
    </row>
    <row r="23" spans="1:4" x14ac:dyDescent="0.2">
      <c r="A23" s="2" t="s">
        <v>300</v>
      </c>
      <c r="B23" s="8">
        <v>6894233</v>
      </c>
      <c r="C23" s="8">
        <f t="shared" si="0"/>
        <v>4154</v>
      </c>
      <c r="D23" s="2" t="str">
        <f>IF(C23&gt;Parameters!$B$12,"Yes","No")</f>
        <v>No</v>
      </c>
    </row>
    <row r="24" spans="1:4" x14ac:dyDescent="0.2">
      <c r="A24" s="2" t="s">
        <v>301</v>
      </c>
      <c r="B24" s="8">
        <v>6898105</v>
      </c>
      <c r="C24" s="8">
        <f t="shared" si="0"/>
        <v>3872</v>
      </c>
      <c r="D24" s="2" t="str">
        <f>IF(C24&gt;Parameters!$B$12,"Yes","No")</f>
        <v>No</v>
      </c>
    </row>
    <row r="25" spans="1:4" x14ac:dyDescent="0.2">
      <c r="A25" s="2" t="s">
        <v>302</v>
      </c>
      <c r="B25" s="8">
        <v>6938636</v>
      </c>
      <c r="C25" s="8">
        <f t="shared" si="0"/>
        <v>40531</v>
      </c>
      <c r="D25" s="2" t="str">
        <f>IF(C25&gt;Parameters!$B$12,"Yes","No")</f>
        <v>No</v>
      </c>
    </row>
    <row r="26" spans="1:4" x14ac:dyDescent="0.2">
      <c r="A26" s="2" t="s">
        <v>240</v>
      </c>
      <c r="B26" s="8">
        <v>6972764</v>
      </c>
      <c r="C26" s="8">
        <f t="shared" si="0"/>
        <v>34128</v>
      </c>
      <c r="D26" s="2" t="str">
        <f>IF(C26&gt;Parameters!$B$12,"Yes","No")</f>
        <v>No</v>
      </c>
    </row>
    <row r="27" spans="1:4" x14ac:dyDescent="0.2">
      <c r="A27" s="2" t="s">
        <v>245</v>
      </c>
      <c r="B27" s="8">
        <v>7000793</v>
      </c>
      <c r="C27" s="8">
        <f t="shared" si="0"/>
        <v>28029</v>
      </c>
      <c r="D27" s="2" t="str">
        <f>IF(C27&gt;Parameters!$B$12,"Yes","No")</f>
        <v>No</v>
      </c>
    </row>
    <row r="28" spans="1:4" x14ac:dyDescent="0.2">
      <c r="A28" s="2" t="s">
        <v>303</v>
      </c>
      <c r="B28" s="8">
        <v>7028709</v>
      </c>
      <c r="C28" s="8">
        <f t="shared" si="0"/>
        <v>27916</v>
      </c>
      <c r="D28" s="2" t="str">
        <f>IF(C28&gt;Parameters!$B$12,"Yes","No")</f>
        <v>No</v>
      </c>
    </row>
    <row r="29" spans="1:4" x14ac:dyDescent="0.2">
      <c r="A29" s="2" t="s">
        <v>304</v>
      </c>
      <c r="B29" s="8">
        <v>7067653</v>
      </c>
      <c r="C29" s="8">
        <f t="shared" si="0"/>
        <v>38944</v>
      </c>
      <c r="D29" s="2" t="str">
        <f>IF(C29&gt;Parameters!$B$12,"Yes","No")</f>
        <v>No</v>
      </c>
    </row>
    <row r="30" spans="1:4" x14ac:dyDescent="0.2">
      <c r="A30" s="2" t="s">
        <v>248</v>
      </c>
      <c r="B30" s="8">
        <v>7071331</v>
      </c>
      <c r="C30" s="8">
        <f t="shared" si="0"/>
        <v>3678</v>
      </c>
      <c r="D30" s="2" t="str">
        <f>IF(C30&gt;Parameters!$B$12,"Yes","No")</f>
        <v>No</v>
      </c>
    </row>
    <row r="31" spans="1:4" x14ac:dyDescent="0.2">
      <c r="A31" s="2" t="s">
        <v>305</v>
      </c>
      <c r="B31" s="8">
        <v>7074075</v>
      </c>
      <c r="C31" s="8">
        <f t="shared" si="0"/>
        <v>2744</v>
      </c>
      <c r="D31" s="2" t="str">
        <f>IF(C31&gt;Parameters!$B$12,"Yes","No")</f>
        <v>No</v>
      </c>
    </row>
    <row r="32" spans="1:4" x14ac:dyDescent="0.2">
      <c r="A32" s="2" t="s">
        <v>234</v>
      </c>
      <c r="B32" s="8">
        <v>7108801</v>
      </c>
      <c r="C32" s="8">
        <f t="shared" si="0"/>
        <v>34726</v>
      </c>
      <c r="D32" s="2" t="str">
        <f>IF(C32&gt;Parameters!$B$12,"Yes","No")</f>
        <v>No</v>
      </c>
    </row>
    <row r="33" spans="1:4" x14ac:dyDescent="0.2">
      <c r="A33" s="2" t="s">
        <v>306</v>
      </c>
      <c r="B33" s="8">
        <v>7139484</v>
      </c>
      <c r="C33" s="8">
        <f t="shared" si="0"/>
        <v>30683</v>
      </c>
      <c r="D33" s="2" t="str">
        <f>IF(C33&gt;Parameters!$B$12,"Yes","No")</f>
        <v>No</v>
      </c>
    </row>
    <row r="34" spans="1:4" x14ac:dyDescent="0.2">
      <c r="A34" s="2" t="s">
        <v>243</v>
      </c>
      <c r="B34" s="8">
        <v>7173975</v>
      </c>
      <c r="C34" s="8">
        <f t="shared" si="0"/>
        <v>34491</v>
      </c>
      <c r="D34" s="2" t="str">
        <f>IF(C34&gt;Parameters!$B$12,"Yes","No")</f>
        <v>No</v>
      </c>
    </row>
    <row r="35" spans="1:4" x14ac:dyDescent="0.2">
      <c r="A35" s="2"/>
      <c r="B35" s="2"/>
    </row>
    <row r="36" spans="1:4" x14ac:dyDescent="0.2">
      <c r="A36" s="13" t="s">
        <v>307</v>
      </c>
      <c r="B36" s="15">
        <f>MAX(C5:C34)</f>
        <v>47300</v>
      </c>
    </row>
    <row r="37" spans="1:4" x14ac:dyDescent="0.2">
      <c r="A37" s="13" t="s">
        <v>308</v>
      </c>
      <c r="B37" s="16">
        <f>COUNTIF(D5:D34,"Yes")</f>
        <v>1</v>
      </c>
    </row>
    <row r="38" spans="1:4" x14ac:dyDescent="0.2">
      <c r="A38" s="13" t="s">
        <v>309</v>
      </c>
      <c r="B38" s="15">
        <f>B34-B4</f>
        <v>755720</v>
      </c>
    </row>
    <row r="39" spans="1:4" x14ac:dyDescent="0.2">
      <c r="A39" s="13" t="s">
        <v>310</v>
      </c>
      <c r="B39" s="15">
        <f>SUM(C5:C34)</f>
        <v>755720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4"/>
  <sheetViews>
    <sheetView workbookViewId="0"/>
  </sheetViews>
  <sheetFormatPr baseColWidth="10" defaultColWidth="8.83203125" defaultRowHeight="15" x14ac:dyDescent="0.2"/>
  <cols>
    <col min="1" max="1" width="50" customWidth="1"/>
    <col min="2" max="2" width="22" customWidth="1"/>
    <col min="3" max="3" width="26" customWidth="1"/>
    <col min="4" max="4" width="40" customWidth="1"/>
    <col min="5" max="5" width="24" customWidth="1"/>
    <col min="6" max="6" width="30" customWidth="1"/>
    <col min="7" max="7" width="10" customWidth="1"/>
  </cols>
  <sheetData>
    <row r="1" spans="1:7" ht="16" customHeight="1" x14ac:dyDescent="0.2">
      <c r="A1" s="1" t="s">
        <v>311</v>
      </c>
    </row>
    <row r="3" spans="1:7" x14ac:dyDescent="0.2">
      <c r="A3" s="4" t="s">
        <v>312</v>
      </c>
      <c r="B3" s="4" t="s">
        <v>38</v>
      </c>
      <c r="C3" s="4" t="s">
        <v>313</v>
      </c>
      <c r="D3" s="4" t="s">
        <v>314</v>
      </c>
      <c r="E3" s="4" t="s">
        <v>275</v>
      </c>
      <c r="F3" s="4" t="s">
        <v>315</v>
      </c>
      <c r="G3" s="4" t="s">
        <v>316</v>
      </c>
    </row>
    <row r="4" spans="1:7" ht="28" customHeight="1" x14ac:dyDescent="0.2">
      <c r="A4" s="9" t="s">
        <v>317</v>
      </c>
      <c r="B4" s="9" t="s">
        <v>318</v>
      </c>
      <c r="C4" s="9" t="s">
        <v>319</v>
      </c>
      <c r="D4" s="9" t="s">
        <v>320</v>
      </c>
      <c r="E4" s="9" t="s">
        <v>321</v>
      </c>
      <c r="F4" s="9" t="s">
        <v>322</v>
      </c>
      <c r="G4" s="9" t="s">
        <v>323</v>
      </c>
    </row>
    <row r="5" spans="1:7" x14ac:dyDescent="0.2">
      <c r="A5" s="9" t="s">
        <v>324</v>
      </c>
      <c r="B5" s="9" t="s">
        <v>86</v>
      </c>
      <c r="C5" s="9" t="s">
        <v>66</v>
      </c>
      <c r="D5" s="9" t="s">
        <v>325</v>
      </c>
      <c r="E5" s="9" t="s">
        <v>297</v>
      </c>
      <c r="F5" s="9" t="s">
        <v>297</v>
      </c>
      <c r="G5" s="9" t="s">
        <v>25</v>
      </c>
    </row>
    <row r="6" spans="1:7" ht="28" customHeight="1" x14ac:dyDescent="0.2">
      <c r="A6" s="9" t="s">
        <v>326</v>
      </c>
      <c r="B6" s="9" t="s">
        <v>86</v>
      </c>
      <c r="C6" s="9" t="s">
        <v>327</v>
      </c>
      <c r="D6" s="9" t="s">
        <v>320</v>
      </c>
      <c r="E6" s="9" t="s">
        <v>328</v>
      </c>
      <c r="F6" s="9" t="s">
        <v>329</v>
      </c>
      <c r="G6" s="9" t="s">
        <v>25</v>
      </c>
    </row>
    <row r="7" spans="1:7" x14ac:dyDescent="0.2">
      <c r="A7" s="9" t="s">
        <v>330</v>
      </c>
      <c r="B7" s="9" t="s">
        <v>86</v>
      </c>
      <c r="C7" s="9" t="s">
        <v>88</v>
      </c>
      <c r="D7" s="9" t="s">
        <v>325</v>
      </c>
      <c r="E7" s="9" t="s">
        <v>240</v>
      </c>
      <c r="F7" s="9" t="s">
        <v>302</v>
      </c>
      <c r="G7" s="9" t="s">
        <v>25</v>
      </c>
    </row>
    <row r="8" spans="1:7" ht="28" customHeight="1" x14ac:dyDescent="0.2">
      <c r="A8" s="9" t="s">
        <v>331</v>
      </c>
      <c r="B8" s="9" t="s">
        <v>332</v>
      </c>
      <c r="C8" s="9" t="s">
        <v>333</v>
      </c>
      <c r="D8" s="9" t="s">
        <v>334</v>
      </c>
      <c r="E8" s="9" t="s">
        <v>335</v>
      </c>
      <c r="F8" s="9" t="s">
        <v>336</v>
      </c>
      <c r="G8" s="9" t="s">
        <v>25</v>
      </c>
    </row>
    <row r="9" spans="1:7" ht="28" customHeight="1" x14ac:dyDescent="0.2">
      <c r="A9" s="9" t="s">
        <v>337</v>
      </c>
      <c r="B9" s="9" t="s">
        <v>332</v>
      </c>
      <c r="C9" s="9" t="s">
        <v>338</v>
      </c>
      <c r="D9" s="9" t="s">
        <v>339</v>
      </c>
      <c r="E9" s="9" t="s">
        <v>233</v>
      </c>
      <c r="F9" s="9" t="s">
        <v>340</v>
      </c>
      <c r="G9" s="9" t="s">
        <v>25</v>
      </c>
    </row>
    <row r="10" spans="1:7" ht="28" customHeight="1" x14ac:dyDescent="0.2">
      <c r="A10" s="9" t="s">
        <v>341</v>
      </c>
      <c r="B10" s="9" t="s">
        <v>332</v>
      </c>
      <c r="C10" s="9" t="s">
        <v>342</v>
      </c>
      <c r="D10" s="9" t="s">
        <v>339</v>
      </c>
      <c r="E10" s="9" t="s">
        <v>300</v>
      </c>
      <c r="F10" s="9" t="s">
        <v>343</v>
      </c>
      <c r="G10" s="9" t="s">
        <v>25</v>
      </c>
    </row>
    <row r="11" spans="1:7" ht="28" customHeight="1" x14ac:dyDescent="0.2">
      <c r="A11" s="9" t="s">
        <v>344</v>
      </c>
      <c r="B11" s="9" t="s">
        <v>332</v>
      </c>
      <c r="C11" s="9" t="s">
        <v>345</v>
      </c>
      <c r="D11" s="9" t="s">
        <v>339</v>
      </c>
      <c r="E11" s="9" t="s">
        <v>346</v>
      </c>
      <c r="F11" s="9" t="s">
        <v>347</v>
      </c>
      <c r="G11" s="9" t="s">
        <v>25</v>
      </c>
    </row>
    <row r="12" spans="1:7" ht="42" customHeight="1" x14ac:dyDescent="0.2">
      <c r="A12" s="9" t="s">
        <v>348</v>
      </c>
      <c r="B12" s="9" t="s">
        <v>86</v>
      </c>
      <c r="C12" s="9" t="s">
        <v>349</v>
      </c>
      <c r="D12" s="9" t="s">
        <v>350</v>
      </c>
      <c r="E12" s="9" t="s">
        <v>351</v>
      </c>
      <c r="F12" s="9" t="s">
        <v>352</v>
      </c>
      <c r="G12" s="9" t="s">
        <v>353</v>
      </c>
    </row>
    <row r="13" spans="1:7" ht="28" customHeight="1" x14ac:dyDescent="0.2">
      <c r="A13" s="9" t="s">
        <v>354</v>
      </c>
      <c r="B13" s="9" t="s">
        <v>355</v>
      </c>
      <c r="C13" s="9" t="s">
        <v>356</v>
      </c>
      <c r="D13" s="9" t="s">
        <v>357</v>
      </c>
      <c r="E13" s="9" t="s">
        <v>279</v>
      </c>
      <c r="F13" s="9" t="s">
        <v>358</v>
      </c>
      <c r="G13" s="9" t="s">
        <v>25</v>
      </c>
    </row>
    <row r="14" spans="1:7" ht="28" customHeight="1" x14ac:dyDescent="0.2">
      <c r="A14" s="9" t="s">
        <v>359</v>
      </c>
      <c r="B14" s="9" t="s">
        <v>360</v>
      </c>
      <c r="C14" s="9" t="s">
        <v>361</v>
      </c>
      <c r="D14" s="9" t="s">
        <v>362</v>
      </c>
      <c r="E14" s="9" t="s">
        <v>335</v>
      </c>
      <c r="F14" s="9" t="s">
        <v>363</v>
      </c>
      <c r="G14" s="9" t="s">
        <v>364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13"/>
  <sheetViews>
    <sheetView workbookViewId="0"/>
  </sheetViews>
  <sheetFormatPr baseColWidth="10" defaultColWidth="8.83203125" defaultRowHeight="15" x14ac:dyDescent="0.2"/>
  <cols>
    <col min="1" max="1" width="118" customWidth="1"/>
  </cols>
  <sheetData>
    <row r="1" spans="1:1" x14ac:dyDescent="0.2">
      <c r="A1" s="13" t="s">
        <v>365</v>
      </c>
    </row>
    <row r="2" spans="1:1" x14ac:dyDescent="0.2">
      <c r="A2" s="2" t="s">
        <v>366</v>
      </c>
    </row>
    <row r="3" spans="1:1" x14ac:dyDescent="0.2">
      <c r="A3" s="13" t="s">
        <v>367</v>
      </c>
    </row>
    <row r="5" spans="1:1" ht="90" customHeight="1" x14ac:dyDescent="0.2">
      <c r="A5" s="9" t="s">
        <v>368</v>
      </c>
    </row>
    <row r="6" spans="1:1" ht="120" customHeight="1" x14ac:dyDescent="0.2">
      <c r="A6" s="9" t="s">
        <v>369</v>
      </c>
    </row>
    <row r="7" spans="1:1" ht="105" customHeight="1" x14ac:dyDescent="0.2">
      <c r="A7" s="9" t="s">
        <v>370</v>
      </c>
    </row>
    <row r="8" spans="1:1" ht="105" customHeight="1" x14ac:dyDescent="0.2">
      <c r="A8" s="9" t="s">
        <v>371</v>
      </c>
    </row>
    <row r="9" spans="1:1" ht="75" customHeight="1" x14ac:dyDescent="0.2">
      <c r="A9" s="9" t="s">
        <v>372</v>
      </c>
    </row>
    <row r="10" spans="1:1" ht="75" customHeight="1" x14ac:dyDescent="0.2">
      <c r="A10" s="9" t="s">
        <v>373</v>
      </c>
    </row>
    <row r="11" spans="1:1" ht="120" customHeight="1" x14ac:dyDescent="0.2">
      <c r="A11" s="9" t="s">
        <v>374</v>
      </c>
    </row>
    <row r="12" spans="1:1" ht="30" customHeight="1" x14ac:dyDescent="0.2">
      <c r="A12" s="9" t="s">
        <v>375</v>
      </c>
    </row>
    <row r="13" spans="1:1" ht="60" customHeight="1" x14ac:dyDescent="0.2">
      <c r="A13" s="9" t="s">
        <v>376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SMR Q3</vt:lpstr>
      <vt:lpstr>Parameters</vt:lpstr>
      <vt:lpstr>Lab Data</vt:lpstr>
      <vt:lpstr>Monthly Stats</vt:lpstr>
      <vt:lpstr>SNC Review</vt:lpstr>
      <vt:lpstr>Flow Sep</vt:lpstr>
      <vt:lpstr>Notifications</vt:lpstr>
      <vt:lpstr>Note to Gordon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dc:creator xmlns:dc="http://purl.org/dc/elements/1.1/">Talcott Environmental Services</dc:creator>
  <dc:title xmlns:dc="http://purl.org/dc/elements/1.1/">Vandeveer Plating LLC - Self-Monitoring Report, Third Quarter 2026</dc:title>
  <dcterms:created xmlns:dcterms="http://purl.org/dc/terms/" xmlns:xsi="http://www.w3.org/2001/XMLSchema-instance" xsi:type="dcterms:W3CDTF">2026-10-08T08:30:12Z</dcterms:created>
  <dcterms:modified xmlns:dcterms="http://purl.org/dc/terms/" xmlns:xsi="http://www.w3.org/2001/XMLSchema-instance" xsi:type="dcterms:W3CDTF">2026-10-12T10:44:27Z</dcterms:modified>
  <cp:lastModifiedBy>Talcott Environmental Services</cp:lastModifiedBy>
</cp:coreProperties>
</file>