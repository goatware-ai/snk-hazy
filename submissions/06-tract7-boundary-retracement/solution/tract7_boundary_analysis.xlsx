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403B6698-B1DE-FE40-87FD-2C9ED1E76EF3}" xr6:coauthVersionLast="47" xr6:coauthVersionMax="47" xr10:uidLastSave="{00000000-0000-0000-0000-000000000000}"/>
  <bookViews>
    <workbookView xWindow="0" yWindow="0" windowWidth="21600" windowHeight="38400" xr2:uid="{00000000-000D-0000-FFFF-FFFF00000000}"/>
  </bookViews>
  <sheets>
    <sheet name="Findings" sheetId="1" r:id="rId1"/>
    <sheet name="Parameters" sheetId="2" r:id="rId2"/>
    <sheet name="Field Notes" sheetId="3" r:id="rId3"/>
    <sheet name="Traverse" sheetId="4" r:id="rId4"/>
    <sheet name="Deed" sheetId="5" r:id="rId5"/>
    <sheet name="Area" sheetId="6" r:id="rId6"/>
    <sheet name="Monuments" sheetId="7" r:id="rId7"/>
    <sheet name="Note to Elle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7" l="1"/>
  <c r="B33" i="1" s="1"/>
  <c r="B11" i="7"/>
  <c r="B32" i="1" s="1"/>
  <c r="B10" i="7"/>
  <c r="B31" i="1" s="1"/>
  <c r="B13" i="6"/>
  <c r="B27" i="1" s="1"/>
  <c r="C4" i="6"/>
  <c r="B4" i="6"/>
  <c r="F9" i="5"/>
  <c r="B12" i="5" s="1"/>
  <c r="I8" i="5"/>
  <c r="G8" i="5"/>
  <c r="H8" i="5" s="1"/>
  <c r="G7" i="5"/>
  <c r="G6" i="5"/>
  <c r="G5" i="5"/>
  <c r="G4" i="5"/>
  <c r="B17" i="4"/>
  <c r="B12" i="1" s="1"/>
  <c r="I8" i="4"/>
  <c r="H8" i="4"/>
  <c r="J8" i="4" s="1"/>
  <c r="C8" i="4"/>
  <c r="B8" i="4"/>
  <c r="A8" i="4"/>
  <c r="I7" i="4"/>
  <c r="H7" i="4"/>
  <c r="J7" i="4" s="1"/>
  <c r="C7" i="4"/>
  <c r="B7" i="4"/>
  <c r="A7" i="4"/>
  <c r="I6" i="4"/>
  <c r="H6" i="4"/>
  <c r="J6" i="4" s="1"/>
  <c r="C6" i="4"/>
  <c r="B6" i="4"/>
  <c r="A6" i="4"/>
  <c r="I5" i="4"/>
  <c r="H5" i="4"/>
  <c r="J5" i="4" s="1"/>
  <c r="C5" i="4"/>
  <c r="B5" i="4"/>
  <c r="A5" i="4"/>
  <c r="I4" i="4"/>
  <c r="H4" i="4"/>
  <c r="J4" i="4" s="1"/>
  <c r="C4" i="4"/>
  <c r="B4" i="4"/>
  <c r="A4" i="4"/>
  <c r="O13" i="3"/>
  <c r="E8" i="4" s="1"/>
  <c r="N13" i="3"/>
  <c r="O12" i="3"/>
  <c r="D8" i="4" s="1"/>
  <c r="N12" i="3"/>
  <c r="O11" i="3"/>
  <c r="E7" i="4" s="1"/>
  <c r="N11" i="3"/>
  <c r="N10" i="3"/>
  <c r="O10" i="3" s="1"/>
  <c r="D7" i="4" s="1"/>
  <c r="N9" i="3"/>
  <c r="O9" i="3" s="1"/>
  <c r="E6" i="4" s="1"/>
  <c r="N8" i="3"/>
  <c r="O8" i="3" s="1"/>
  <c r="D6" i="4" s="1"/>
  <c r="N7" i="3"/>
  <c r="O7" i="3" s="1"/>
  <c r="E5" i="4" s="1"/>
  <c r="N6" i="3"/>
  <c r="O6" i="3" s="1"/>
  <c r="D5" i="4" s="1"/>
  <c r="N5" i="3"/>
  <c r="O5" i="3" s="1"/>
  <c r="E4" i="4" s="1"/>
  <c r="N4" i="3"/>
  <c r="O4" i="3" s="1"/>
  <c r="D4" i="4" s="1"/>
  <c r="I7" i="5" l="1"/>
  <c r="H7" i="5"/>
  <c r="I6" i="5"/>
  <c r="H6" i="5"/>
  <c r="I5" i="5"/>
  <c r="H5" i="5"/>
  <c r="I4" i="5"/>
  <c r="I9" i="5" s="1"/>
  <c r="B14" i="5" s="1"/>
  <c r="H4" i="5"/>
  <c r="H9" i="5" s="1"/>
  <c r="B13" i="5" s="1"/>
  <c r="B15" i="5" s="1"/>
  <c r="K8" i="4"/>
  <c r="L8" i="4"/>
  <c r="M8" i="5"/>
  <c r="O8" i="5" s="1"/>
  <c r="P8" i="5" s="1"/>
  <c r="K7" i="4"/>
  <c r="L7" i="4"/>
  <c r="M7" i="5"/>
  <c r="O7" i="5" s="1"/>
  <c r="P7" i="5" s="1"/>
  <c r="K6" i="4"/>
  <c r="L6" i="4"/>
  <c r="M6" i="5"/>
  <c r="O6" i="5" s="1"/>
  <c r="P6" i="5" s="1"/>
  <c r="K5" i="4"/>
  <c r="L5" i="4"/>
  <c r="M5" i="5"/>
  <c r="O5" i="5" s="1"/>
  <c r="P5" i="5" s="1"/>
  <c r="J9" i="4"/>
  <c r="B12" i="4" s="1"/>
  <c r="M4" i="5"/>
  <c r="O4" i="5" s="1"/>
  <c r="P4" i="5" s="1"/>
  <c r="F8" i="4"/>
  <c r="F7" i="4"/>
  <c r="F6" i="4"/>
  <c r="F5" i="4"/>
  <c r="F4" i="4"/>
  <c r="B17" i="5" l="1"/>
  <c r="B16" i="5"/>
  <c r="B15" i="1"/>
  <c r="B7" i="1"/>
  <c r="B22" i="5"/>
  <c r="B21" i="5"/>
  <c r="L8" i="5"/>
  <c r="G8" i="4"/>
  <c r="L7" i="5"/>
  <c r="G7" i="4"/>
  <c r="L6" i="5"/>
  <c r="G6" i="4"/>
  <c r="L5" i="5"/>
  <c r="G5" i="4"/>
  <c r="G4" i="4"/>
  <c r="L4" i="5"/>
  <c r="B19" i="5"/>
  <c r="K4" i="4"/>
  <c r="L4" i="4"/>
  <c r="B18" i="5" l="1"/>
  <c r="B17" i="1" s="1"/>
  <c r="B16" i="1"/>
  <c r="B23" i="5"/>
  <c r="B21" i="1" s="1"/>
  <c r="B24" i="5"/>
  <c r="B20" i="1"/>
  <c r="B26" i="5"/>
  <c r="B23" i="1" s="1"/>
  <c r="B19" i="1"/>
  <c r="J5" i="5"/>
  <c r="J4" i="5"/>
  <c r="J6" i="5"/>
  <c r="J7" i="5"/>
  <c r="B20" i="5"/>
  <c r="B18" i="1" s="1"/>
  <c r="J8" i="5"/>
  <c r="K9" i="4"/>
  <c r="B13" i="4" s="1"/>
  <c r="M4" i="4"/>
  <c r="L9" i="4"/>
  <c r="B14" i="4" s="1"/>
  <c r="B9" i="1" s="1"/>
  <c r="N4" i="4"/>
  <c r="B25" i="5" l="1"/>
  <c r="B22" i="1"/>
  <c r="N5" i="5"/>
  <c r="K5" i="5"/>
  <c r="N4" i="5"/>
  <c r="K4" i="5"/>
  <c r="N6" i="5"/>
  <c r="K6" i="5"/>
  <c r="N7" i="5"/>
  <c r="K7" i="5"/>
  <c r="N8" i="5"/>
  <c r="K8" i="5"/>
  <c r="B15" i="4"/>
  <c r="B8" i="1"/>
  <c r="M5" i="4"/>
  <c r="B5" i="6"/>
  <c r="N5" i="4"/>
  <c r="C5" i="6"/>
  <c r="D4" i="6" s="1"/>
  <c r="B16" i="4" l="1"/>
  <c r="B10" i="1"/>
  <c r="M6" i="4"/>
  <c r="B6" i="6"/>
  <c r="E4" i="6"/>
  <c r="D5" i="6"/>
  <c r="N6" i="4"/>
  <c r="C6" i="6"/>
  <c r="B11" i="1" l="1"/>
  <c r="B18" i="4"/>
  <c r="B13" i="1" s="1"/>
  <c r="M7" i="4"/>
  <c r="B7" i="6"/>
  <c r="E5" i="6"/>
  <c r="N7" i="4"/>
  <c r="C7" i="6"/>
  <c r="D6" i="6" s="1"/>
  <c r="M8" i="4" l="1"/>
  <c r="B19" i="4" s="1"/>
  <c r="B8" i="6"/>
  <c r="E6" i="6"/>
  <c r="N8" i="4"/>
  <c r="B20" i="4" s="1"/>
  <c r="C8" i="6"/>
  <c r="E7" i="6" l="1"/>
  <c r="E9" i="6" s="1"/>
  <c r="D8" i="6"/>
  <c r="E8" i="6"/>
  <c r="D7" i="6"/>
  <c r="D9" i="6" s="1"/>
  <c r="B11" i="6" s="1"/>
  <c r="B25" i="1" l="1"/>
  <c r="B12" i="6"/>
  <c r="B14" i="6" l="1"/>
  <c r="B26" i="1"/>
  <c r="B15" i="6" l="1"/>
  <c r="B29" i="1" s="1"/>
  <c r="B28" i="1"/>
</calcChain>
</file>

<file path=xl/sharedStrings.xml><?xml version="1.0" encoding="utf-8"?>
<sst xmlns="http://schemas.openxmlformats.org/spreadsheetml/2006/main" count="309" uniqueCount="188">
  <si>
    <t>Tract 7 boundary analysis, job 26-2214, Estate of Wendell R. Cope</t>
  </si>
  <si>
    <t>Prepared for Ellen Vance, sealing surveyor, by the office; report prepared October 15, 2026</t>
  </si>
  <si>
    <t>Deed Book 412, Page 233, Putnam County, Tennessee; field work September 29 and 30, 2026</t>
  </si>
  <si>
    <t>Finding</t>
  </si>
  <si>
    <t>Value</t>
  </si>
  <si>
    <t>Read from</t>
  </si>
  <si>
    <t>Traverse closure</t>
  </si>
  <si>
    <t>Perimeter measured (ft)</t>
  </si>
  <si>
    <t>Traverse</t>
  </si>
  <si>
    <t>Latitude misclosure (ft)</t>
  </si>
  <si>
    <t>Departure misclosure (ft)</t>
  </si>
  <si>
    <t>Linear error of closure (ft)</t>
  </si>
  <si>
    <t>Precision of closure, one part in</t>
  </si>
  <si>
    <t>Firm standard for a rural traverse, one part in</t>
  </si>
  <si>
    <t>Parameters</t>
  </si>
  <si>
    <t>Closure test</t>
  </si>
  <si>
    <t>Deed comparison</t>
  </si>
  <si>
    <t>Deed linear misclosure on its own calls (ft)</t>
  </si>
  <si>
    <t>Deed</t>
  </si>
  <si>
    <t>Deed misclosure per 1,000 ft of perimeter</t>
  </si>
  <si>
    <t>Deed description test</t>
  </si>
  <si>
    <t>Rotation, deed magnetic bearings to grid</t>
  </si>
  <si>
    <t>Calls differing from the field by more than the tolerance</t>
  </si>
  <si>
    <t>Call in error</t>
  </si>
  <si>
    <t>Deed distance of that call (ft)</t>
  </si>
  <si>
    <t>Measured distance of that course (ft)</t>
  </si>
  <si>
    <t>Finding on the call in error</t>
  </si>
  <si>
    <t>Area</t>
  </si>
  <si>
    <t>Area by coordinates (sq ft)</t>
  </si>
  <si>
    <t>Area (acres)</t>
  </si>
  <si>
    <t>Deed acreage recited</t>
  </si>
  <si>
    <t>Difference, computed less deed (acres)</t>
  </si>
  <si>
    <t>Area finding</t>
  </si>
  <si>
    <t>Monuments</t>
  </si>
  <si>
    <t>Monuments found and held</t>
  </si>
  <si>
    <t>Monuments set</t>
  </si>
  <si>
    <t>Corner set</t>
  </si>
  <si>
    <t>Every value on this page reads from the tab named beside it; the tabs behind read from the Field Notes tab, which copies the crew's file shot for shot.</t>
  </si>
  <si>
    <t>Parameters for the tract 7 analysis</t>
  </si>
  <si>
    <t>Parameter</t>
  </si>
  <si>
    <t>Source</t>
  </si>
  <si>
    <t>Point of beginning northing (ft)</t>
  </si>
  <si>
    <t>Firm standards 1.4</t>
  </si>
  <si>
    <t>Point of beginning easting (ft)</t>
  </si>
  <si>
    <t>Closure standard, rural, one part in</t>
  </si>
  <si>
    <t>Firm standards 1.3</t>
  </si>
  <si>
    <t>Closure standard, urban, one part in</t>
  </si>
  <si>
    <t>Square feet per acre</t>
  </si>
  <si>
    <t>Firm standards 2.1</t>
  </si>
  <si>
    <t>Deed Book 412, Page 233</t>
  </si>
  <si>
    <t>Deed misclosure threshold (ft per 1,000 ft of perimeter)</t>
  </si>
  <si>
    <t>Firm standards 3.1</t>
  </si>
  <si>
    <t>Single-call distance tolerance (ft)</t>
  </si>
  <si>
    <t>Firm standards 3.3</t>
  </si>
  <si>
    <t>Rotation course, both corners found original monuments</t>
  </si>
  <si>
    <t>1-2</t>
  </si>
  <si>
    <t>Field book, monument recovery; firm standards 3.2</t>
  </si>
  <si>
    <t>Tract classification</t>
  </si>
  <si>
    <t>Rural</t>
  </si>
  <si>
    <t>Field book, purpose; Seventh Civil District farm tract</t>
  </si>
  <si>
    <t>Minutes in a degree</t>
  </si>
  <si>
    <t>Sexagesimal angle</t>
  </si>
  <si>
    <t>Seconds in a degree</t>
  </si>
  <si>
    <t>Perimeter unit for the deed misclosure rate (ft)</t>
  </si>
  <si>
    <t>Field notes, field_notes_traverse_tract7.csv, every shot as recorded</t>
  </si>
  <si>
    <t>SHOT</t>
  </si>
  <si>
    <t>COURSE</t>
  </si>
  <si>
    <t>OCCUPIED</t>
  </si>
  <si>
    <t>SIGHTED</t>
  </si>
  <si>
    <t>DIRECTION</t>
  </si>
  <si>
    <t>NS</t>
  </si>
  <si>
    <t>DEG</t>
  </si>
  <si>
    <t>MIN</t>
  </si>
  <si>
    <t>SEC</t>
  </si>
  <si>
    <t>EW</t>
  </si>
  <si>
    <t>HORIZ_DIST_FT</t>
  </si>
  <si>
    <t>DATE</t>
  </si>
  <si>
    <t>INSTRUMENT</t>
  </si>
  <si>
    <t>BEARING_DEC</t>
  </si>
  <si>
    <t>AZIMUTH_GRID</t>
  </si>
  <si>
    <t>Forward</t>
  </si>
  <si>
    <t>N</t>
  </si>
  <si>
    <t>E</t>
  </si>
  <si>
    <t>09/29/2026</t>
  </si>
  <si>
    <t>TS-2 total station SN 41077</t>
  </si>
  <si>
    <t>Reverse</t>
  </si>
  <si>
    <t>S</t>
  </si>
  <si>
    <t>W</t>
  </si>
  <si>
    <t>2-3</t>
  </si>
  <si>
    <t>3-4</t>
  </si>
  <si>
    <t>4-5</t>
  </si>
  <si>
    <t>5-1</t>
  </si>
  <si>
    <t>BEARING_DEC is the quadrant angle in decimal degrees; AZIMUTH_GRID is the azimuth from grid north, clockwise, of the shot as observed.</t>
  </si>
  <si>
    <t>Traverse reduction, mean of forward and reverse, latitudes and departures, closure</t>
  </si>
  <si>
    <t>Course</t>
  </si>
  <si>
    <t>From</t>
  </si>
  <si>
    <t>To</t>
  </si>
  <si>
    <t>Forward azimuth</t>
  </si>
  <si>
    <t>Reverse azimuth turned 180</t>
  </si>
  <si>
    <t>Mean azimuth</t>
  </si>
  <si>
    <t>Mean bearing</t>
  </si>
  <si>
    <t>Forward distance (ft)</t>
  </si>
  <si>
    <t>Reverse distance (ft)</t>
  </si>
  <si>
    <t>Mean distance (ft)</t>
  </si>
  <si>
    <t>Latitude (ft)</t>
  </si>
  <si>
    <t>Departure (ft)</t>
  </si>
  <si>
    <t>Northing of To (ft)</t>
  </si>
  <si>
    <t>Easting of To (ft)</t>
  </si>
  <si>
    <t>Totals</t>
  </si>
  <si>
    <t>Closure</t>
  </si>
  <si>
    <t>Perimeter (ft)</t>
  </si>
  <si>
    <t>Firm standard, rural, one part in</t>
  </si>
  <si>
    <t>Northing of corner 1 on return (ft)</t>
  </si>
  <si>
    <t>Easting of corner 1 on return (ft)</t>
  </si>
  <si>
    <t>The reverse azimuth is the reverse shot's azimuth turned through 180 degrees; the mean azimuth and mean distance are the simple means of the forward and turned reverse observations, per firm standards 1.1. The closure is unadjusted, per 1.3.</t>
  </si>
  <si>
    <t>Deed Book 412, Page 233, reduced on its own calls and compared with the field</t>
  </si>
  <si>
    <t>Call</t>
  </si>
  <si>
    <t>Degrees</t>
  </si>
  <si>
    <t>Minutes</t>
  </si>
  <si>
    <t>Deed distance (ft)</t>
  </si>
  <si>
    <t>Deed azimuth, magnetic 1962</t>
  </si>
  <si>
    <t>Rotated azimuth, grid</t>
  </si>
  <si>
    <t>Rotated bearing</t>
  </si>
  <si>
    <t>Measured azimuth</t>
  </si>
  <si>
    <t>Measured distance (ft)</t>
  </si>
  <si>
    <t>Bearing difference (minutes)</t>
  </si>
  <si>
    <t>Distance difference (ft)</t>
  </si>
  <si>
    <t>Distance test</t>
  </si>
  <si>
    <t>Deed closure on its own calls</t>
  </si>
  <si>
    <t>Deed perimeter (ft)</t>
  </si>
  <si>
    <t>Deed latitude misclosure (ft)</t>
  </si>
  <si>
    <t>Deed departure misclosure (ft)</t>
  </si>
  <si>
    <t>Deed linear misclosure (ft)</t>
  </si>
  <si>
    <t>Deed precision, one part in</t>
  </si>
  <si>
    <t>Rotation, deed to grid (decimal degrees)</t>
  </si>
  <si>
    <t>Rotation, degrees and minutes</t>
  </si>
  <si>
    <t>Calls differing by more than the tolerance</t>
  </si>
  <si>
    <t>Deed distance of the call in error (ft)</t>
  </si>
  <si>
    <t>Measured distance of the same course (ft)</t>
  </si>
  <si>
    <t>Measured distance to the deed's tenth (ft)</t>
  </si>
  <si>
    <t>The deed is reduced on its magnetic bearings unrotated, per firm standards 3.1; the rotation from the 1-2 course, per 3.2, is applied to every call before the comparison in columns J to P, per 3.3.</t>
  </si>
  <si>
    <t>Area by the coordinate method on the unadjusted corner coordinates</t>
  </si>
  <si>
    <t>Corner</t>
  </si>
  <si>
    <t>Northing (ft)</t>
  </si>
  <si>
    <t>Easting (ft)</t>
  </si>
  <si>
    <t>Cross product N(i) x E(i+1)</t>
  </si>
  <si>
    <t>Cross product N(i+1) x E(i)</t>
  </si>
  <si>
    <t>Monument</t>
  </si>
  <si>
    <t>Iron pin, found</t>
  </si>
  <si>
    <t>Iron pin, set</t>
  </si>
  <si>
    <t>Stone, found</t>
  </si>
  <si>
    <t>Area (sq ft)</t>
  </si>
  <si>
    <t>Coordinates are the running northings and eastings of the traverse from the point of beginning, unadjusted, per firm standards 2.1; corner 1 closes the figure.</t>
  </si>
  <si>
    <t>Monuments called for, recovered and set</t>
  </si>
  <si>
    <t>Deed call</t>
  </si>
  <si>
    <t>Field recovery</t>
  </si>
  <si>
    <t>Status</t>
  </si>
  <si>
    <t>Disposition</t>
  </si>
  <si>
    <t>Basis</t>
  </si>
  <si>
    <t>Iron pin, east margin of Stanhope Road</t>
  </si>
  <si>
    <t>5/8-inch iron pin with cap PLS 1188, 0.3 ft below grade, in line with the road fence</t>
  </si>
  <si>
    <t>Found</t>
  </si>
  <si>
    <t>Held</t>
  </si>
  <si>
    <t>Original monument called for; point of beginning</t>
  </si>
  <si>
    <t>Iron pin, southwest corner of Hutchins</t>
  </si>
  <si>
    <t>1/2-inch iron pin, no cap, bent, plumbed and tied; Hutchins fence post 0.4 ft east</t>
  </si>
  <si>
    <t>Original monument called for; fence post is occupation only</t>
  </si>
  <si>
    <t>Iron pin, west line of Ballinger</t>
  </si>
  <si>
    <t>Nothing found in a 15-ft radius search; 5/8-inch pin with cap PLS 3312 set at the traverse position from corners 2 and 4</t>
  </si>
  <si>
    <t>Set</t>
  </si>
  <si>
    <t>Firm standards 3.5; position from the adjoining held monuments</t>
  </si>
  <si>
    <t>Stone, southeast corner</t>
  </si>
  <si>
    <t>Stone 8 by 10 inches, chiseled cross, at the Ballinger and Farley fence intersection</t>
  </si>
  <si>
    <t>Original monument called for</t>
  </si>
  <si>
    <t>Stone, angle point in the Farley line</t>
  </si>
  <si>
    <t>Stone 6 by 8 inches, drill hole, flush, at the fence angle</t>
  </si>
  <si>
    <t>Original monument called for; controls over the deed course and distance, firm standards 3.4</t>
  </si>
  <si>
    <t>Monuments found</t>
  </si>
  <si>
    <t>The Hutchins and Ballinger fences were tied as occupation lines. Neither crosses a computed line, and neither is boundary evidence against the monuments, per the field book.</t>
  </si>
  <si>
    <t>Note to Ellen Vance on the tract 7 analysis</t>
  </si>
  <si>
    <t>Ellen, this is the office analysis on tract 7 for the Cope estate, job 26-2214, from Dwight's traverse of September 29 and the monument ties of September 30. The findings page carries every figure the plat will rest on, and each figure reads from the tab named beside it. The tabs behind read from the Field Notes tab, which copies the crew's file shot for shot, so nothing on the findings page is typed in.</t>
  </si>
  <si>
    <t>The traverse closes. Reduced on the mean of the forward and reverse observations, the five courses run 2,557.4 feet and return to corner 1 with a latitude misclosure of 0.009 feet south and a departure misclosure of 0.021 feet east, a linear error of 0.023 feet and a precision of one part in 111,192. The firm standard for a rural traverse is one part in 10,000, so the closure meets the standard with a wide margin and the plat can be drawn on this traverse. The closure on the analysis is unadjusted, as section 1.3 requires; the compass rule goes on for the plat coordinates only.</t>
  </si>
  <si>
    <t>The deed does not close on its own calls. Reduced on its magnetic bearings and stated distances, the description runs 2,562.0 feet and misses the point of beginning by 4.689 feet, which is 1.830 feet per 1,000 feet of perimeter and a precision of one part in 546. Under section 3.1 that is a defect in the description, not a field discrepancy, and the field evidence says which call carries it.</t>
  </si>
  <si>
    <t>The rotation between the deed and the grid comes from the 1-2 course, whose two corners are found original monuments held. The measured grid bearing of that course is N 16 degrees 59 minutes 52 seconds E against the deed's N 14 degrees 44 minutes E, so the deed bearings read 2 degrees 16 minutes east of the grid bearings, and every deed call is rotated by that amount before comparison. Rotated, four of the five calls agree with the field within two minutes of bearing and within a tenth of a foot of distance, which is inside the tolerance of a 1962 chain survey.</t>
  </si>
  <si>
    <t>The 3-4 call is the one in error. The deed reads 597.2 feet from the Ballinger corner to the stone at corner 4; the measured course between the two monuments is 592.69 feet, a difference of 4.51 feet, while the bearing agrees within a tenth of a minute. The other four distances agree within a tenth of a foot. The field has the line right, and the deed has the figure wrong. The units and tenths digits of the 1962 figure are transposed: 592.7 typed as 597.2. The deed's recited acreage of 9.89 acres confirms it, because the description computes to 9.89 acres only with the 592.7-foot distance, and the transposed figure would not close the figure the surveyor computed. Under section 3.3 the plat carries the 3-4 course at the measured 592.69 feet with a note that the deed distance of 597.2 feet is a transcription error, and the measured distance is not split with the deed.</t>
  </si>
  <si>
    <t>The area by coordinates on the unadjusted corners is 430,760 square feet, which is 9.889 acres. The deed recites 9.89 acres, so the computed area agrees with the deed within the rounding of the recited acreage, and the plat states 9.889 acres beside the deed's 9.89.</t>
  </si>
  <si>
    <t>Four corners are original monuments called for in the deed, found and held: the capped iron pin at corner 1 on the Stanhope Road margin, the bent iron pin at corner 2 at the Hutchins corner, the chiseled stone at corner 4, and the drilled stone at corner 5 in the Farley line. Corner 3 in the Ballinger west line was not found after a 15-foot radius search, and the crew set a capped iron pin at the position computed from corners 2 and 4 on the measured courses, which is the section 3.5 procedure. The plat shows corner 3 as set and states how the position was fixed.</t>
  </si>
  <si>
    <t>Two things the field evidence leaves open. First, the corner 3 position rests on the measured courses from corners 2 and 4 and on no monument of its own, so if the Ballinger owner or a later survey produces a pin or a witness for that corner it should be weighed against the set pin. Second, the Hutchins fence post stands 0.4 feet east of the corner 2 pin and the Ballinger fence runs 1.1 feet east of the computed 3-4 line; both are occupation lines that lie outside the tract, neither crosses a computed line, and neither is boundary evidence against the monuments, so the plat shows them as fence ties and nothing more. The 1962 deed reads magnetic bearings from the Tolliver survey and the declination for that date is not in the file; it is not needed, because the rotation is taken from the monuments, but the plat's basis-of-bearings note should say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</si>
</sst>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00"/>
    <numFmt numFmtId="166" formatCode="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E3E8D9"/>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2" borderId="0" xfId="0" applyFont="1" applyFill="1"/>
    <xf numFmtId="0" fontId="2" fillId="0" borderId="0" xfId="0" applyFont="1"/>
    <xf numFmtId="165" fontId="0" fillId="0" borderId="0" xfId="0" applyNumberFormat="1" applyAlignment="1">
      <alignment horizontal="left"/>
    </xf>
    <xf numFmtId="3" fontId="0" fillId="0" borderId="0" xfId="0" applyNumberFormat="1" applyAlignment="1">
      <alignment horizontal="left"/>
    </xf>
    <xf numFmtId="0" fontId="0" fillId="0" borderId="0" xfId="0" applyAlignment="1">
      <alignment horizontal="left"/>
    </xf>
    <xf numFmtId="166" fontId="0" fillId="0" borderId="0" xfId="0" applyNumberFormat="1" applyAlignment="1">
      <alignment horizontal="left"/>
    </xf>
    <xf numFmtId="2" fontId="0" fillId="0" borderId="0" xfId="0" applyNumberFormat="1" applyAlignment="1">
      <alignment horizontal="left"/>
    </xf>
    <xf numFmtId="164" fontId="0" fillId="0" borderId="0" xfId="0" applyNumberFormat="1"/>
    <xf numFmtId="2" fontId="0" fillId="0" borderId="0" xfId="0" applyNumberFormat="1"/>
    <xf numFmtId="165" fontId="0" fillId="0" borderId="0" xfId="0" applyNumberFormat="1"/>
    <xf numFmtId="3" fontId="0" fillId="0" borderId="0" xfId="0" applyNumberFormat="1"/>
    <xf numFmtId="49" fontId="0" fillId="0" borderId="0" xfId="0" applyNumberFormat="1"/>
    <xf numFmtId="166" fontId="0" fillId="0" borderId="0" xfId="0" applyNumberFormat="1"/>
    <xf numFmtId="1"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5"/>
  <sheetViews>
    <sheetView tabSelected="1" workbookViewId="0"/>
  </sheetViews>
  <sheetFormatPr baseColWidth="10" defaultColWidth="8.83203125" defaultRowHeight="15" x14ac:dyDescent="0.2"/>
  <cols>
    <col min="1" max="1" width="50" customWidth="1"/>
    <col min="2" max="2" width="30" customWidth="1"/>
    <col min="3" max="3" width="40" customWidth="1"/>
  </cols>
  <sheetData>
    <row r="1" spans="1:3" ht="17" x14ac:dyDescent="0.2">
      <c r="A1" s="1" t="s">
        <v>0</v>
      </c>
    </row>
    <row r="2" spans="1:3" x14ac:dyDescent="0.2">
      <c r="A2" t="s">
        <v>1</v>
      </c>
    </row>
    <row r="3" spans="1:3" x14ac:dyDescent="0.2">
      <c r="A3" t="s">
        <v>2</v>
      </c>
    </row>
    <row r="5" spans="1:3" x14ac:dyDescent="0.2">
      <c r="A5" s="2" t="s">
        <v>3</v>
      </c>
      <c r="B5" s="2" t="s">
        <v>4</v>
      </c>
      <c r="C5" s="2" t="s">
        <v>5</v>
      </c>
    </row>
    <row r="6" spans="1:3" x14ac:dyDescent="0.2">
      <c r="A6" s="3" t="s">
        <v>6</v>
      </c>
    </row>
    <row r="7" spans="1:3" x14ac:dyDescent="0.2">
      <c r="A7" t="s">
        <v>7</v>
      </c>
      <c r="B7" s="4">
        <f>Traverse!B12</f>
        <v>2557.405</v>
      </c>
      <c r="C7" t="s">
        <v>8</v>
      </c>
    </row>
    <row r="8" spans="1:3" x14ac:dyDescent="0.2">
      <c r="A8" t="s">
        <v>9</v>
      </c>
      <c r="B8" s="4">
        <f>Traverse!B13</f>
        <v>-0.009</v>
      </c>
      <c r="C8" t="s">
        <v>8</v>
      </c>
    </row>
    <row r="9" spans="1:3" x14ac:dyDescent="0.2">
      <c r="A9" t="s">
        <v>10</v>
      </c>
      <c r="B9" s="4">
        <f>Traverse!B14</f>
        <v>0.021</v>
      </c>
      <c r="C9" t="s">
        <v>8</v>
      </c>
    </row>
    <row r="10" spans="1:3" x14ac:dyDescent="0.2">
      <c r="A10" t="s">
        <v>11</v>
      </c>
      <c r="B10" s="4">
        <f>Traverse!B15</f>
        <v>0.023</v>
      </c>
      <c r="C10" t="s">
        <v>8</v>
      </c>
    </row>
    <row r="11" spans="1:3" x14ac:dyDescent="0.2">
      <c r="A11" t="s">
        <v>12</v>
      </c>
      <c r="B11" s="5">
        <f>Traverse!B16</f>
        <v>111192</v>
      </c>
      <c r="C11" t="s">
        <v>8</v>
      </c>
    </row>
    <row r="12" spans="1:3" x14ac:dyDescent="0.2">
      <c r="A12" t="s">
        <v>13</v>
      </c>
      <c r="B12" s="5">
        <f>Traverse!B17</f>
        <v>10000</v>
      </c>
      <c r="C12" t="s">
        <v>14</v>
      </c>
    </row>
    <row r="13" spans="1:3" x14ac:dyDescent="0.2">
      <c r="A13" t="s">
        <v>15</v>
      </c>
      <c r="B13" s="6" t="str">
        <f>Traverse!B18</f>
        <v>Meets the standard</v>
      </c>
      <c r="C13" t="s">
        <v>8</v>
      </c>
    </row>
    <row r="14" spans="1:3" x14ac:dyDescent="0.2">
      <c r="A14" s="3" t="s">
        <v>16</v>
      </c>
    </row>
    <row r="15" spans="1:3" x14ac:dyDescent="0.2">
      <c r="A15" t="s">
        <v>17</v>
      </c>
      <c r="B15" s="4">
        <f>Deed!B15</f>
        <v>4.689</v>
      </c>
      <c r="C15" t="s">
        <v>18</v>
      </c>
    </row>
    <row r="16" spans="1:3" x14ac:dyDescent="0.2">
      <c r="A16" t="s">
        <v>19</v>
      </c>
      <c r="B16" s="4">
        <f>Deed!B16</f>
        <v>1.83</v>
      </c>
      <c r="C16" t="s">
        <v>18</v>
      </c>
    </row>
    <row r="17" spans="1:3" x14ac:dyDescent="0.2">
      <c r="A17" t="s">
        <v>20</v>
      </c>
      <c r="B17" s="6" t="str">
        <f>Deed!B18</f>
        <v>Defect in the description</v>
      </c>
      <c r="C17" t="s">
        <v>18</v>
      </c>
    </row>
    <row r="18" spans="1:3" x14ac:dyDescent="0.2">
      <c r="A18" t="s">
        <v>21</v>
      </c>
      <c r="B18" s="6" t="str">
        <f>Deed!B20</f>
        <v>2° 16' east of the deed bearings</v>
      </c>
      <c r="C18" t="s">
        <v>18</v>
      </c>
    </row>
    <row r="19" spans="1:3" x14ac:dyDescent="0.2">
      <c r="A19" t="s">
        <v>22</v>
      </c>
      <c r="B19" s="6">
        <f>Deed!B21</f>
        <v>1</v>
      </c>
      <c r="C19" t="s">
        <v>18</v>
      </c>
    </row>
    <row r="20" spans="1:3" x14ac:dyDescent="0.2">
      <c r="A20" t="s">
        <v>23</v>
      </c>
      <c r="B20" s="6" t="str">
        <f>Deed!B22</f>
        <v>3-4</v>
      </c>
      <c r="C20" t="s">
        <v>18</v>
      </c>
    </row>
    <row r="21" spans="1:3" x14ac:dyDescent="0.2">
      <c r="A21" t="s">
        <v>24</v>
      </c>
      <c r="B21" s="7">
        <f>Deed!B23</f>
        <v>597.2</v>
      </c>
      <c r="C21" t="s">
        <v>18</v>
      </c>
    </row>
    <row r="22" spans="1:3" x14ac:dyDescent="0.2">
      <c r="A22" t="s">
        <v>25</v>
      </c>
      <c r="B22" s="4">
        <f>Deed!B24</f>
        <v>592.69</v>
      </c>
      <c r="C22" t="s">
        <v>18</v>
      </c>
    </row>
    <row r="23" spans="1:3" x14ac:dyDescent="0.2">
      <c r="A23" t="s">
        <v>26</v>
      </c>
      <c r="B23" s="6" t="str">
        <f>Deed!B26</f>
        <v>Transcription error in the deed; the units and tenths digits are transposed</v>
      </c>
      <c r="C23" t="s">
        <v>18</v>
      </c>
    </row>
    <row r="24" spans="1:3" x14ac:dyDescent="0.2">
      <c r="A24" s="3" t="s">
        <v>27</v>
      </c>
    </row>
    <row r="25" spans="1:3" x14ac:dyDescent="0.2">
      <c r="A25" t="s">
        <v>28</v>
      </c>
      <c r="B25" s="5">
        <f>Area!B11</f>
        <v>430760</v>
      </c>
      <c r="C25" t="s">
        <v>27</v>
      </c>
    </row>
    <row r="26" spans="1:3" x14ac:dyDescent="0.2">
      <c r="A26" t="s">
        <v>29</v>
      </c>
      <c r="B26" s="4">
        <f>Area!B12</f>
        <v>9.889</v>
      </c>
      <c r="C26" t="s">
        <v>27</v>
      </c>
    </row>
    <row r="27" spans="1:3" x14ac:dyDescent="0.2">
      <c r="A27" t="s">
        <v>30</v>
      </c>
      <c r="B27" s="8">
        <f>Area!B13</f>
        <v>9.89</v>
      </c>
      <c r="C27" t="s">
        <v>27</v>
      </c>
    </row>
    <row r="28" spans="1:3" x14ac:dyDescent="0.2">
      <c r="A28" t="s">
        <v>31</v>
      </c>
      <c r="B28" s="4">
        <f>Area!B14</f>
        <v>-1E-3</v>
      </c>
      <c r="C28" t="s">
        <v>27</v>
      </c>
    </row>
    <row r="29" spans="1:3" x14ac:dyDescent="0.2">
      <c r="A29" t="s">
        <v>32</v>
      </c>
      <c r="B29" s="6" t="str">
        <f>Area!B15</f>
        <v>Agrees with the deed within the rounding of the recited acreage</v>
      </c>
      <c r="C29" t="s">
        <v>27</v>
      </c>
    </row>
    <row r="30" spans="1:3" x14ac:dyDescent="0.2">
      <c r="A30" s="3" t="s">
        <v>33</v>
      </c>
    </row>
    <row r="31" spans="1:3" x14ac:dyDescent="0.2">
      <c r="A31" t="s">
        <v>34</v>
      </c>
      <c r="B31" s="6">
        <f>Monuments!B10</f>
        <v>4</v>
      </c>
      <c r="C31" t="s">
        <v>33</v>
      </c>
    </row>
    <row r="32" spans="1:3" x14ac:dyDescent="0.2">
      <c r="A32" t="s">
        <v>35</v>
      </c>
      <c r="B32" s="6">
        <f>Monuments!B11</f>
        <v>1</v>
      </c>
      <c r="C32" t="s">
        <v>33</v>
      </c>
    </row>
    <row r="33" spans="1:3" x14ac:dyDescent="0.2">
      <c r="A33" t="s">
        <v>36</v>
      </c>
      <c r="B33" s="6">
        <f>Monuments!B12</f>
        <v>3</v>
      </c>
      <c r="C33" t="s">
        <v>33</v>
      </c>
    </row>
    <row r="35" spans="1:3" x14ac:dyDescent="0.2">
      <c r="A35"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workbookViewId="0"/>
  </sheetViews>
  <sheetFormatPr baseColWidth="10" defaultColWidth="8.83203125" defaultRowHeight="15" x14ac:dyDescent="0.2"/>
  <cols>
    <col min="1" max="1" width="46" customWidth="1"/>
    <col min="2" max="2" width="14" customWidth="1"/>
    <col min="3" max="3" width="60" customWidth="1"/>
  </cols>
  <sheetData>
    <row r="1" spans="1:3" ht="17" x14ac:dyDescent="0.2">
      <c r="A1" s="1" t="s">
        <v>38</v>
      </c>
    </row>
    <row r="3" spans="1:3" x14ac:dyDescent="0.2">
      <c r="A3" s="2" t="s">
        <v>39</v>
      </c>
      <c r="B3" s="2" t="s">
        <v>4</v>
      </c>
      <c r="C3" s="2" t="s">
        <v>40</v>
      </c>
    </row>
    <row r="4" spans="1:3" x14ac:dyDescent="0.2">
      <c r="A4" t="s">
        <v>41</v>
      </c>
      <c r="B4">
        <v>5000</v>
      </c>
      <c r="C4" t="s">
        <v>42</v>
      </c>
    </row>
    <row r="5" spans="1:3" x14ac:dyDescent="0.2">
      <c r="A5" t="s">
        <v>43</v>
      </c>
      <c r="B5">
        <v>5000</v>
      </c>
      <c r="C5" t="s">
        <v>42</v>
      </c>
    </row>
    <row r="6" spans="1:3" x14ac:dyDescent="0.2">
      <c r="A6" t="s">
        <v>44</v>
      </c>
      <c r="B6">
        <v>10000</v>
      </c>
      <c r="C6" t="s">
        <v>45</v>
      </c>
    </row>
    <row r="7" spans="1:3" x14ac:dyDescent="0.2">
      <c r="A7" t="s">
        <v>46</v>
      </c>
      <c r="B7">
        <v>15000</v>
      </c>
      <c r="C7" t="s">
        <v>45</v>
      </c>
    </row>
    <row r="8" spans="1:3" x14ac:dyDescent="0.2">
      <c r="A8" t="s">
        <v>47</v>
      </c>
      <c r="B8">
        <v>43560</v>
      </c>
      <c r="C8" t="s">
        <v>48</v>
      </c>
    </row>
    <row r="9" spans="1:3" x14ac:dyDescent="0.2">
      <c r="A9" t="s">
        <v>30</v>
      </c>
      <c r="B9">
        <v>9.89</v>
      </c>
      <c r="C9" t="s">
        <v>49</v>
      </c>
    </row>
    <row r="10" spans="1:3" x14ac:dyDescent="0.2">
      <c r="A10" t="s">
        <v>50</v>
      </c>
      <c r="B10">
        <v>1</v>
      </c>
      <c r="C10" t="s">
        <v>51</v>
      </c>
    </row>
    <row r="11" spans="1:3" x14ac:dyDescent="0.2">
      <c r="A11" t="s">
        <v>52</v>
      </c>
      <c r="B11">
        <v>1</v>
      </c>
      <c r="C11" t="s">
        <v>53</v>
      </c>
    </row>
    <row r="12" spans="1:3" x14ac:dyDescent="0.2">
      <c r="A12" t="s">
        <v>54</v>
      </c>
      <c r="B12" t="s">
        <v>55</v>
      </c>
      <c r="C12" t="s">
        <v>56</v>
      </c>
    </row>
    <row r="13" spans="1:3" x14ac:dyDescent="0.2">
      <c r="A13" t="s">
        <v>57</v>
      </c>
      <c r="B13" t="s">
        <v>58</v>
      </c>
      <c r="C13" t="s">
        <v>59</v>
      </c>
    </row>
    <row r="14" spans="1:3" x14ac:dyDescent="0.2">
      <c r="A14" t="s">
        <v>60</v>
      </c>
      <c r="B14">
        <v>60</v>
      </c>
      <c r="C14" t="s">
        <v>61</v>
      </c>
    </row>
    <row r="15" spans="1:3" x14ac:dyDescent="0.2">
      <c r="A15" t="s">
        <v>62</v>
      </c>
      <c r="B15">
        <v>3600</v>
      </c>
      <c r="C15" t="s">
        <v>61</v>
      </c>
    </row>
    <row r="16" spans="1:3" x14ac:dyDescent="0.2">
      <c r="A16" t="s">
        <v>63</v>
      </c>
      <c r="B16">
        <v>1000</v>
      </c>
      <c r="C16" t="s">
        <v>51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5"/>
  <sheetViews>
    <sheetView workbookViewId="0"/>
  </sheetViews>
  <sheetFormatPr baseColWidth="10" defaultColWidth="8.83203125" defaultRowHeight="15" x14ac:dyDescent="0.2"/>
  <cols>
    <col min="1" max="1" width="6" customWidth="1"/>
    <col min="2" max="2" width="8" customWidth="1"/>
    <col min="3" max="3" width="10" customWidth="1"/>
    <col min="4" max="4" width="8" customWidth="1"/>
    <col min="5" max="5" width="10" customWidth="1"/>
    <col min="6" max="6" width="4" customWidth="1"/>
    <col min="7" max="9" width="5" customWidth="1"/>
    <col min="10" max="10" width="4" customWidth="1"/>
    <col min="11" max="11" width="14" customWidth="1"/>
    <col min="12" max="12" width="12" customWidth="1"/>
    <col min="13" max="13" width="28" customWidth="1"/>
    <col min="14" max="14" width="12" customWidth="1"/>
    <col min="15" max="15" width="13" customWidth="1"/>
  </cols>
  <sheetData>
    <row r="1" spans="1:15" ht="17" x14ac:dyDescent="0.2">
      <c r="A1" s="1" t="s">
        <v>64</v>
      </c>
    </row>
    <row r="3" spans="1:15" x14ac:dyDescent="0.2">
      <c r="A3" s="2" t="s">
        <v>65</v>
      </c>
      <c r="B3" s="2" t="s">
        <v>66</v>
      </c>
      <c r="C3" s="2" t="s">
        <v>67</v>
      </c>
      <c r="D3" s="2" t="s">
        <v>68</v>
      </c>
      <c r="E3" s="2" t="s">
        <v>69</v>
      </c>
      <c r="F3" s="2" t="s">
        <v>70</v>
      </c>
      <c r="G3" s="2" t="s">
        <v>71</v>
      </c>
      <c r="H3" s="2" t="s">
        <v>72</v>
      </c>
      <c r="I3" s="2" t="s">
        <v>73</v>
      </c>
      <c r="J3" s="2" t="s">
        <v>74</v>
      </c>
      <c r="K3" s="2" t="s">
        <v>75</v>
      </c>
      <c r="L3" s="2" t="s">
        <v>76</v>
      </c>
      <c r="M3" s="2" t="s">
        <v>77</v>
      </c>
      <c r="N3" s="2" t="s">
        <v>78</v>
      </c>
      <c r="O3" s="2" t="s">
        <v>79</v>
      </c>
    </row>
    <row r="4" spans="1:15" x14ac:dyDescent="0.2">
      <c r="A4">
        <v>1</v>
      </c>
      <c r="B4" t="s">
        <v>55</v>
      </c>
      <c r="C4">
        <v>1</v>
      </c>
      <c r="D4">
        <v>2</v>
      </c>
      <c r="E4" t="s">
        <v>80</v>
      </c>
      <c r="F4" t="s">
        <v>81</v>
      </c>
      <c r="G4">
        <v>16</v>
      </c>
      <c r="H4">
        <v>59</v>
      </c>
      <c r="I4">
        <v>52</v>
      </c>
      <c r="J4" t="s">
        <v>82</v>
      </c>
      <c r="K4">
        <v>640.43</v>
      </c>
      <c r="L4" t="s">
        <v>83</v>
      </c>
      <c r="M4" t="s">
        <v>84</v>
      </c>
      <c r="N4" s="9">
        <f>ROUND(G4+H4/Parameters!$B$14+I4/Parameters!$B$15,6)</f>
        <v>16.997778</v>
      </c>
      <c r="O4" s="9">
        <f t="shared" ref="O4:O13" si="0">ROUND(IF(AND(F4="N",J4="E"),N4,IF(AND(F4="S",J4="E"),180-N4,IF(AND(F4="S",J4="W"),180+N4,360-N4))),6)</f>
        <v>16.997778</v>
      </c>
    </row>
    <row r="5" spans="1:15" x14ac:dyDescent="0.2">
      <c r="A5">
        <v>2</v>
      </c>
      <c r="B5" t="s">
        <v>55</v>
      </c>
      <c r="C5">
        <v>2</v>
      </c>
      <c r="D5">
        <v>1</v>
      </c>
      <c r="E5" t="s">
        <v>85</v>
      </c>
      <c r="F5" t="s">
        <v>86</v>
      </c>
      <c r="G5">
        <v>16</v>
      </c>
      <c r="H5">
        <v>59</v>
      </c>
      <c r="I5">
        <v>52</v>
      </c>
      <c r="J5" t="s">
        <v>87</v>
      </c>
      <c r="K5">
        <v>640.39</v>
      </c>
      <c r="L5" t="s">
        <v>83</v>
      </c>
      <c r="M5" t="s">
        <v>84</v>
      </c>
      <c r="N5" s="9">
        <f>ROUND(G5+H5/Parameters!$B$14+I5/Parameters!$B$15,6)</f>
        <v>16.997778</v>
      </c>
      <c r="O5" s="9">
        <f t="shared" si="0"/>
        <v>196.997778</v>
      </c>
    </row>
    <row r="6" spans="1:15" x14ac:dyDescent="0.2">
      <c r="A6">
        <v>3</v>
      </c>
      <c r="B6" t="s">
        <v>88</v>
      </c>
      <c r="C6">
        <v>2</v>
      </c>
      <c r="D6">
        <v>3</v>
      </c>
      <c r="E6" t="s">
        <v>80</v>
      </c>
      <c r="F6" t="s">
        <v>86</v>
      </c>
      <c r="G6">
        <v>78</v>
      </c>
      <c r="H6">
        <v>51</v>
      </c>
      <c r="I6">
        <v>54</v>
      </c>
      <c r="J6" t="s">
        <v>82</v>
      </c>
      <c r="K6">
        <v>588.74</v>
      </c>
      <c r="L6" t="s">
        <v>83</v>
      </c>
      <c r="M6" t="s">
        <v>84</v>
      </c>
      <c r="N6" s="9">
        <f>ROUND(G6+H6/Parameters!$B$14+I6/Parameters!$B$15,6)</f>
        <v>78.865</v>
      </c>
      <c r="O6" s="9">
        <f t="shared" si="0"/>
        <v>101.135</v>
      </c>
    </row>
    <row r="7" spans="1:15" x14ac:dyDescent="0.2">
      <c r="A7">
        <v>4</v>
      </c>
      <c r="B7" t="s">
        <v>88</v>
      </c>
      <c r="C7">
        <v>3</v>
      </c>
      <c r="D7">
        <v>2</v>
      </c>
      <c r="E7" t="s">
        <v>85</v>
      </c>
      <c r="F7" t="s">
        <v>81</v>
      </c>
      <c r="G7">
        <v>78</v>
      </c>
      <c r="H7">
        <v>51</v>
      </c>
      <c r="I7">
        <v>48</v>
      </c>
      <c r="J7" t="s">
        <v>87</v>
      </c>
      <c r="K7">
        <v>588.76</v>
      </c>
      <c r="L7" t="s">
        <v>83</v>
      </c>
      <c r="M7" t="s">
        <v>84</v>
      </c>
      <c r="N7" s="9">
        <f>ROUND(G7+H7/Parameters!$B$14+I7/Parameters!$B$15,6)</f>
        <v>78.863333</v>
      </c>
      <c r="O7" s="9">
        <f t="shared" si="0"/>
        <v>281.136667</v>
      </c>
    </row>
    <row r="8" spans="1:15" x14ac:dyDescent="0.2">
      <c r="A8">
        <v>5</v>
      </c>
      <c r="B8" t="s">
        <v>89</v>
      </c>
      <c r="C8">
        <v>3</v>
      </c>
      <c r="D8">
        <v>4</v>
      </c>
      <c r="E8" t="s">
        <v>80</v>
      </c>
      <c r="F8" t="s">
        <v>86</v>
      </c>
      <c r="G8">
        <v>11</v>
      </c>
      <c r="H8">
        <v>1</v>
      </c>
      <c r="I8">
        <v>48</v>
      </c>
      <c r="J8" t="s">
        <v>87</v>
      </c>
      <c r="K8">
        <v>592.71</v>
      </c>
      <c r="L8" t="s">
        <v>83</v>
      </c>
      <c r="M8" t="s">
        <v>84</v>
      </c>
      <c r="N8" s="9">
        <f>ROUND(G8+H8/Parameters!$B$14+I8/Parameters!$B$15,6)</f>
        <v>11.03</v>
      </c>
      <c r="O8" s="9">
        <f t="shared" si="0"/>
        <v>191.03</v>
      </c>
    </row>
    <row r="9" spans="1:15" x14ac:dyDescent="0.2">
      <c r="A9">
        <v>6</v>
      </c>
      <c r="B9" t="s">
        <v>89</v>
      </c>
      <c r="C9">
        <v>4</v>
      </c>
      <c r="D9">
        <v>3</v>
      </c>
      <c r="E9" t="s">
        <v>85</v>
      </c>
      <c r="F9" t="s">
        <v>81</v>
      </c>
      <c r="G9">
        <v>11</v>
      </c>
      <c r="H9">
        <v>1</v>
      </c>
      <c r="I9">
        <v>45</v>
      </c>
      <c r="J9" t="s">
        <v>82</v>
      </c>
      <c r="K9">
        <v>592.67</v>
      </c>
      <c r="L9" t="s">
        <v>83</v>
      </c>
      <c r="M9" t="s">
        <v>84</v>
      </c>
      <c r="N9" s="9">
        <f>ROUND(G9+H9/Parameters!$B$14+I9/Parameters!$B$15,6)</f>
        <v>11.029167</v>
      </c>
      <c r="O9" s="9">
        <f t="shared" si="0"/>
        <v>11.029167</v>
      </c>
    </row>
    <row r="10" spans="1:15" x14ac:dyDescent="0.2">
      <c r="A10">
        <v>7</v>
      </c>
      <c r="B10" t="s">
        <v>90</v>
      </c>
      <c r="C10">
        <v>4</v>
      </c>
      <c r="D10">
        <v>5</v>
      </c>
      <c r="E10" t="s">
        <v>80</v>
      </c>
      <c r="F10" t="s">
        <v>86</v>
      </c>
      <c r="G10">
        <v>80</v>
      </c>
      <c r="H10">
        <v>14</v>
      </c>
      <c r="I10">
        <v>41</v>
      </c>
      <c r="J10" t="s">
        <v>87</v>
      </c>
      <c r="K10">
        <v>510.08</v>
      </c>
      <c r="L10" t="s">
        <v>83</v>
      </c>
      <c r="M10" t="s">
        <v>84</v>
      </c>
      <c r="N10" s="9">
        <f>ROUND(G10+H10/Parameters!$B$14+I10/Parameters!$B$15,6)</f>
        <v>80.244722</v>
      </c>
      <c r="O10" s="9">
        <f t="shared" si="0"/>
        <v>260.244722</v>
      </c>
    </row>
    <row r="11" spans="1:15" x14ac:dyDescent="0.2">
      <c r="A11">
        <v>8</v>
      </c>
      <c r="B11" t="s">
        <v>90</v>
      </c>
      <c r="C11">
        <v>5</v>
      </c>
      <c r="D11">
        <v>4</v>
      </c>
      <c r="E11" t="s">
        <v>85</v>
      </c>
      <c r="F11" t="s">
        <v>81</v>
      </c>
      <c r="G11">
        <v>80</v>
      </c>
      <c r="H11">
        <v>14</v>
      </c>
      <c r="I11">
        <v>46</v>
      </c>
      <c r="J11" t="s">
        <v>82</v>
      </c>
      <c r="K11">
        <v>510.1</v>
      </c>
      <c r="L11" t="s">
        <v>83</v>
      </c>
      <c r="M11" t="s">
        <v>84</v>
      </c>
      <c r="N11" s="9">
        <f>ROUND(G11+H11/Parameters!$B$14+I11/Parameters!$B$15,6)</f>
        <v>80.246111</v>
      </c>
      <c r="O11" s="9">
        <f t="shared" si="0"/>
        <v>80.246111</v>
      </c>
    </row>
    <row r="12" spans="1:15" x14ac:dyDescent="0.2">
      <c r="A12">
        <v>9</v>
      </c>
      <c r="B12" t="s">
        <v>91</v>
      </c>
      <c r="C12">
        <v>5</v>
      </c>
      <c r="D12">
        <v>1</v>
      </c>
      <c r="E12" t="s">
        <v>80</v>
      </c>
      <c r="F12" t="s">
        <v>81</v>
      </c>
      <c r="G12">
        <v>41</v>
      </c>
      <c r="H12">
        <v>16</v>
      </c>
      <c r="I12">
        <v>52</v>
      </c>
      <c r="J12" t="s">
        <v>87</v>
      </c>
      <c r="K12">
        <v>225.46</v>
      </c>
      <c r="L12" t="s">
        <v>83</v>
      </c>
      <c r="M12" t="s">
        <v>84</v>
      </c>
      <c r="N12" s="9">
        <f>ROUND(G12+H12/Parameters!$B$14+I12/Parameters!$B$15,6)</f>
        <v>41.281111</v>
      </c>
      <c r="O12" s="9">
        <f t="shared" si="0"/>
        <v>318.718889</v>
      </c>
    </row>
    <row r="13" spans="1:15" x14ac:dyDescent="0.2">
      <c r="A13">
        <v>10</v>
      </c>
      <c r="B13" t="s">
        <v>91</v>
      </c>
      <c r="C13">
        <v>1</v>
      </c>
      <c r="D13">
        <v>5</v>
      </c>
      <c r="E13" t="s">
        <v>85</v>
      </c>
      <c r="F13" t="s">
        <v>86</v>
      </c>
      <c r="G13">
        <v>41</v>
      </c>
      <c r="H13">
        <v>16</v>
      </c>
      <c r="I13">
        <v>54</v>
      </c>
      <c r="J13" t="s">
        <v>82</v>
      </c>
      <c r="K13">
        <v>225.47</v>
      </c>
      <c r="L13" t="s">
        <v>83</v>
      </c>
      <c r="M13" t="s">
        <v>84</v>
      </c>
      <c r="N13" s="9">
        <f>ROUND(G13+H13/Parameters!$B$14+I13/Parameters!$B$15,6)</f>
        <v>41.281667</v>
      </c>
      <c r="O13" s="9">
        <f t="shared" si="0"/>
        <v>138.718333</v>
      </c>
    </row>
    <row r="15" spans="1:15" x14ac:dyDescent="0.2">
      <c r="A15" t="s">
        <v>92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2"/>
  <sheetViews>
    <sheetView workbookViewId="0"/>
  </sheetViews>
  <sheetFormatPr baseColWidth="10" defaultColWidth="8.83203125" defaultRowHeight="15" x14ac:dyDescent="0.2"/>
  <cols>
    <col min="1" max="1" width="34" customWidth="1"/>
    <col min="2" max="3" width="6" customWidth="1"/>
    <col min="4" max="4" width="15" customWidth="1"/>
    <col min="5" max="5" width="18" customWidth="1"/>
    <col min="6" max="6" width="13" customWidth="1"/>
    <col min="7" max="7" width="20" customWidth="1"/>
    <col min="8" max="9" width="16" customWidth="1"/>
    <col min="10" max="10" width="15" customWidth="1"/>
    <col min="11" max="12" width="13" customWidth="1"/>
    <col min="13" max="14" width="16" customWidth="1"/>
  </cols>
  <sheetData>
    <row r="1" spans="1:14" ht="17" x14ac:dyDescent="0.2">
      <c r="A1" s="1" t="s">
        <v>93</v>
      </c>
    </row>
    <row r="3" spans="1:14" x14ac:dyDescent="0.2">
      <c r="A3" s="2" t="s">
        <v>94</v>
      </c>
      <c r="B3" s="2" t="s">
        <v>95</v>
      </c>
      <c r="C3" s="2" t="s">
        <v>96</v>
      </c>
      <c r="D3" s="2" t="s">
        <v>97</v>
      </c>
      <c r="E3" s="2" t="s">
        <v>98</v>
      </c>
      <c r="F3" s="2" t="s">
        <v>99</v>
      </c>
      <c r="G3" s="2" t="s">
        <v>100</v>
      </c>
      <c r="H3" s="2" t="s">
        <v>101</v>
      </c>
      <c r="I3" s="2" t="s">
        <v>102</v>
      </c>
      <c r="J3" s="2" t="s">
        <v>103</v>
      </c>
      <c r="K3" s="2" t="s">
        <v>104</v>
      </c>
      <c r="L3" s="2" t="s">
        <v>105</v>
      </c>
      <c r="M3" s="2" t="s">
        <v>106</v>
      </c>
      <c r="N3" s="2" t="s">
        <v>107</v>
      </c>
    </row>
    <row r="4" spans="1:14" x14ac:dyDescent="0.2">
      <c r="A4" t="str">
        <f>'Field Notes'!B4</f>
        <v>1-2</v>
      </c>
      <c r="B4">
        <f>'Field Notes'!C4</f>
        <v>1</v>
      </c>
      <c r="C4">
        <f>'Field Notes'!D4</f>
        <v>2</v>
      </c>
      <c r="D4" s="9">
        <f>'Field Notes'!O4</f>
        <v>16.997778</v>
      </c>
      <c r="E4" s="9">
        <f>ROUND(MOD('Field Notes'!O5+180,360),6)</f>
        <v>16.997778</v>
      </c>
      <c r="F4" s="9">
        <f>ROUND((D4+E4)/2,6)</f>
        <v>16.997778</v>
      </c>
      <c r="G4" t="str">
        <f>IF(F4&lt;=90,"N "&amp;TEXT(INT(F4),"0")&amp;"° "&amp;TEXT(INT((F4-INT(F4))*60),"00")&amp;"' "&amp;TEXT(ROUND(((F4-INT(F4))*60-INT((F4-INT(F4))*60))*60,0),"00")&amp;""""&amp;" E",IF(F4&lt;=180,"S "&amp;TEXT(INT((180-F4)),"0")&amp;"° "&amp;TEXT(INT(((180-F4)-INT((180-F4)))*60),"00")&amp;"' "&amp;TEXT(ROUND((((180-F4)-INT((180-F4)))*60-INT(((180-F4)-INT((180-F4)))*60))*60,0),"00")&amp;""""&amp;" E",IF(F4&lt;=270,"S "&amp;TEXT(INT((F4-180)),"0")&amp;"° "&amp;TEXT(INT(((F4-180)-INT((F4-180)))*60),"00")&amp;"' "&amp;TEXT(ROUND((((F4-180)-INT((F4-180)))*60-INT(((F4-180)-INT((F4-180)))*60))*60,0),"00")&amp;""""&amp;" W","N "&amp;TEXT(INT((360-F4)),"0")&amp;"° "&amp;TEXT(INT(((360-F4)-INT((360-F4)))*60),"00")&amp;"' "&amp;TEXT(ROUND((((360-F4)-INT((360-F4)))*60-INT(((360-F4)-INT((360-F4)))*60))*60,0),"00")&amp;""""&amp;" W")))</f>
        <v>N 16° 59' 52" E</v>
      </c>
      <c r="H4" s="10">
        <f>'Field Notes'!K4</f>
        <v>640.43</v>
      </c>
      <c r="I4" s="10">
        <f>'Field Notes'!K5</f>
        <v>640.39</v>
      </c>
      <c r="J4" s="11">
        <f>ROUND((H4+I4)/2,3)</f>
        <v>640.41</v>
      </c>
      <c r="K4" s="11">
        <f>ROUND(J4*COS(RADIANS(F4)),3)</f>
        <v>612.434</v>
      </c>
      <c r="L4" s="11">
        <f>ROUND(J4*SIN(RADIANS(F4)),3)</f>
        <v>187.214</v>
      </c>
      <c r="M4" s="11">
        <f>Parameters!$B$4+K4</f>
        <v>5612.434</v>
      </c>
      <c r="N4" s="11">
        <f>Parameters!$B$5+L4</f>
        <v>5187.214</v>
      </c>
    </row>
    <row r="5" spans="1:14" x14ac:dyDescent="0.2">
      <c r="A5" t="str">
        <f>'Field Notes'!B6</f>
        <v>2-3</v>
      </c>
      <c r="B5">
        <f>'Field Notes'!C6</f>
        <v>2</v>
      </c>
      <c r="C5">
        <f>'Field Notes'!D6</f>
        <v>3</v>
      </c>
      <c r="D5" s="9">
        <f>'Field Notes'!O6</f>
        <v>101.135</v>
      </c>
      <c r="E5" s="9">
        <f>ROUND(MOD('Field Notes'!O7+180,360),6)</f>
        <v>101.136667</v>
      </c>
      <c r="F5" s="9">
        <f>ROUND((D5+E5)/2,6)</f>
        <v>101.135834</v>
      </c>
      <c r="G5" t="str">
        <f>IF(F5&lt;=90,"N "&amp;TEXT(INT(F5),"0")&amp;"° "&amp;TEXT(INT((F5-INT(F5))*60),"00")&amp;"' "&amp;TEXT(ROUND(((F5-INT(F5))*60-INT((F5-INT(F5))*60))*60,0),"00")&amp;""""&amp;" E",IF(F5&lt;=180,"S "&amp;TEXT(INT((180-F5)),"0")&amp;"° "&amp;TEXT(INT(((180-F5)-INT((180-F5)))*60),"00")&amp;"' "&amp;TEXT(ROUND((((180-F5)-INT((180-F5)))*60-INT(((180-F5)-INT((180-F5)))*60))*60,0),"00")&amp;""""&amp;" E",IF(F5&lt;=270,"S "&amp;TEXT(INT((F5-180)),"0")&amp;"° "&amp;TEXT(INT(((F5-180)-INT((F5-180)))*60),"00")&amp;"' "&amp;TEXT(ROUND((((F5-180)-INT((F5-180)))*60-INT(((F5-180)-INT((F5-180)))*60))*60,0),"00")&amp;""""&amp;" W","N "&amp;TEXT(INT((360-F5)),"0")&amp;"° "&amp;TEXT(INT(((360-F5)-INT((360-F5)))*60),"00")&amp;"' "&amp;TEXT(ROUND((((360-F5)-INT((360-F5)))*60-INT(((360-F5)-INT((360-F5)))*60))*60,0),"00")&amp;""""&amp;" W")))</f>
        <v>S 78° 51' 51" E</v>
      </c>
      <c r="H5" s="10">
        <f>'Field Notes'!K6</f>
        <v>588.74</v>
      </c>
      <c r="I5" s="10">
        <f>'Field Notes'!K7</f>
        <v>588.76</v>
      </c>
      <c r="J5" s="11">
        <f>ROUND((H5+I5)/2,3)</f>
        <v>588.75</v>
      </c>
      <c r="K5" s="11">
        <f>ROUND(J5*COS(RADIANS(F5)),3)</f>
        <v>-113.709</v>
      </c>
      <c r="L5" s="11">
        <f>ROUND(J5*SIN(RADIANS(F5)),3)</f>
        <v>577.665</v>
      </c>
      <c r="M5" s="11">
        <f t="shared" ref="M5:N8" si="0">M4+K5</f>
        <v>5498.725</v>
      </c>
      <c r="N5" s="11">
        <f t="shared" si="0"/>
        <v>5764.879</v>
      </c>
    </row>
    <row r="6" spans="1:14" x14ac:dyDescent="0.2">
      <c r="A6" t="str">
        <f>'Field Notes'!B8</f>
        <v>3-4</v>
      </c>
      <c r="B6">
        <f>'Field Notes'!C8</f>
        <v>3</v>
      </c>
      <c r="C6">
        <f>'Field Notes'!D8</f>
        <v>4</v>
      </c>
      <c r="D6" s="9">
        <f>'Field Notes'!O8</f>
        <v>191.03</v>
      </c>
      <c r="E6" s="9">
        <f>ROUND(MOD('Field Notes'!O9+180,360),6)</f>
        <v>191.029167</v>
      </c>
      <c r="F6" s="9">
        <f>ROUND((D6+E6)/2,6)</f>
        <v>191.029584</v>
      </c>
      <c r="G6" t="str">
        <f>IF(F6&lt;=90,"N "&amp;TEXT(INT(F6),"0")&amp;"° "&amp;TEXT(INT((F6-INT(F6))*60),"00")&amp;"' "&amp;TEXT(ROUND(((F6-INT(F6))*60-INT((F6-INT(F6))*60))*60,0),"00")&amp;""""&amp;" E",IF(F6&lt;=180,"S "&amp;TEXT(INT((180-F6)),"0")&amp;"° "&amp;TEXT(INT(((180-F6)-INT((180-F6)))*60),"00")&amp;"' "&amp;TEXT(ROUND((((180-F6)-INT((180-F6)))*60-INT(((180-F6)-INT((180-F6)))*60))*60,0),"00")&amp;""""&amp;" E",IF(F6&lt;=270,"S "&amp;TEXT(INT((F6-180)),"0")&amp;"° "&amp;TEXT(INT(((F6-180)-INT((F6-180)))*60),"00")&amp;"' "&amp;TEXT(ROUND((((F6-180)-INT((F6-180)))*60-INT(((F6-180)-INT((F6-180)))*60))*60,0),"00")&amp;""""&amp;" W","N "&amp;TEXT(INT((360-F6)),"0")&amp;"° "&amp;TEXT(INT(((360-F6)-INT((360-F6)))*60),"00")&amp;"' "&amp;TEXT(ROUND((((360-F6)-INT((360-F6)))*60-INT(((360-F6)-INT((360-F6)))*60))*60,0),"00")&amp;""""&amp;" W")))</f>
        <v>S 11° 01' 47" W</v>
      </c>
      <c r="H6" s="10">
        <f>'Field Notes'!K8</f>
        <v>592.71</v>
      </c>
      <c r="I6" s="10">
        <f>'Field Notes'!K9</f>
        <v>592.67</v>
      </c>
      <c r="J6" s="11">
        <f>ROUND((H6+I6)/2,3)</f>
        <v>592.69</v>
      </c>
      <c r="K6" s="11">
        <f>ROUND(J6*COS(RADIANS(F6)),3)</f>
        <v>-581.742</v>
      </c>
      <c r="L6" s="11">
        <f>ROUND(J6*SIN(RADIANS(F6)),3)</f>
        <v>-113.391</v>
      </c>
      <c r="M6" s="11">
        <f t="shared" si="0"/>
        <v>4916.983</v>
      </c>
      <c r="N6" s="11">
        <f t="shared" si="0"/>
        <v>5651.488</v>
      </c>
    </row>
    <row r="7" spans="1:14" x14ac:dyDescent="0.2">
      <c r="A7" t="str">
        <f>'Field Notes'!B10</f>
        <v>4-5</v>
      </c>
      <c r="B7">
        <f>'Field Notes'!C10</f>
        <v>4</v>
      </c>
      <c r="C7">
        <f>'Field Notes'!D10</f>
        <v>5</v>
      </c>
      <c r="D7" s="9">
        <f>'Field Notes'!O10</f>
        <v>260.244722</v>
      </c>
      <c r="E7" s="9">
        <f>ROUND(MOD('Field Notes'!O11+180,360),6)</f>
        <v>260.246111</v>
      </c>
      <c r="F7" s="9">
        <f>ROUND((D7+E7)/2,6)</f>
        <v>260.245417</v>
      </c>
      <c r="G7" t="str">
        <f>IF(F7&lt;=90,"N "&amp;TEXT(INT(F7),"0")&amp;"° "&amp;TEXT(INT((F7-INT(F7))*60),"00")&amp;"' "&amp;TEXT(ROUND(((F7-INT(F7))*60-INT((F7-INT(F7))*60))*60,0),"00")&amp;""""&amp;" E",IF(F7&lt;=180,"S "&amp;TEXT(INT((180-F7)),"0")&amp;"° "&amp;TEXT(INT(((180-F7)-INT((180-F7)))*60),"00")&amp;"' "&amp;TEXT(ROUND((((180-F7)-INT((180-F7)))*60-INT(((180-F7)-INT((180-F7)))*60))*60,0),"00")&amp;""""&amp;" E",IF(F7&lt;=270,"S "&amp;TEXT(INT((F7-180)),"0")&amp;"° "&amp;TEXT(INT(((F7-180)-INT((F7-180)))*60),"00")&amp;"' "&amp;TEXT(ROUND((((F7-180)-INT((F7-180)))*60-INT(((F7-180)-INT((F7-180)))*60))*60,0),"00")&amp;""""&amp;" W","N "&amp;TEXT(INT((360-F7)),"0")&amp;"° "&amp;TEXT(INT(((360-F7)-INT((360-F7)))*60),"00")&amp;"' "&amp;TEXT(ROUND((((360-F7)-INT((360-F7)))*60-INT(((360-F7)-INT((360-F7)))*60))*60,0),"00")&amp;""""&amp;" W")))</f>
        <v>S 80° 14' 44" W</v>
      </c>
      <c r="H7" s="10">
        <f>'Field Notes'!K10</f>
        <v>510.08</v>
      </c>
      <c r="I7" s="10">
        <f>'Field Notes'!K11</f>
        <v>510.1</v>
      </c>
      <c r="J7" s="11">
        <f>ROUND((H7+I7)/2,3)</f>
        <v>510.09</v>
      </c>
      <c r="K7" s="11">
        <f>ROUND(J7*COS(RADIANS(F7)),3)</f>
        <v>-86.424</v>
      </c>
      <c r="L7" s="11">
        <f>ROUND(J7*SIN(RADIANS(F7)),3)</f>
        <v>-502.715</v>
      </c>
      <c r="M7" s="11">
        <f t="shared" si="0"/>
        <v>4830.559</v>
      </c>
      <c r="N7" s="11">
        <f t="shared" si="0"/>
        <v>5148.773</v>
      </c>
    </row>
    <row r="8" spans="1:14" x14ac:dyDescent="0.2">
      <c r="A8" t="str">
        <f>'Field Notes'!B12</f>
        <v>5-1</v>
      </c>
      <c r="B8">
        <f>'Field Notes'!C12</f>
        <v>5</v>
      </c>
      <c r="C8">
        <f>'Field Notes'!D12</f>
        <v>1</v>
      </c>
      <c r="D8" s="9">
        <f>'Field Notes'!O12</f>
        <v>318.718889</v>
      </c>
      <c r="E8" s="9">
        <f>ROUND(MOD('Field Notes'!O13+180,360),6)</f>
        <v>318.718333</v>
      </c>
      <c r="F8" s="9">
        <f>ROUND((D8+E8)/2,6)</f>
        <v>318.718611</v>
      </c>
      <c r="G8" t="str">
        <f>IF(F8&lt;=90,"N "&amp;TEXT(INT(F8),"0")&amp;"° "&amp;TEXT(INT((F8-INT(F8))*60),"00")&amp;"' "&amp;TEXT(ROUND(((F8-INT(F8))*60-INT((F8-INT(F8))*60))*60,0),"00")&amp;""""&amp;" E",IF(F8&lt;=180,"S "&amp;TEXT(INT((180-F8)),"0")&amp;"° "&amp;TEXT(INT(((180-F8)-INT((180-F8)))*60),"00")&amp;"' "&amp;TEXT(ROUND((((180-F8)-INT((180-F8)))*60-INT(((180-F8)-INT((180-F8)))*60))*60,0),"00")&amp;""""&amp;" E",IF(F8&lt;=270,"S "&amp;TEXT(INT((F8-180)),"0")&amp;"° "&amp;TEXT(INT(((F8-180)-INT((F8-180)))*60),"00")&amp;"' "&amp;TEXT(ROUND((((F8-180)-INT((F8-180)))*60-INT(((F8-180)-INT((F8-180)))*60))*60,0),"00")&amp;""""&amp;" W","N "&amp;TEXT(INT((360-F8)),"0")&amp;"° "&amp;TEXT(INT(((360-F8)-INT((360-F8)))*60),"00")&amp;"' "&amp;TEXT(ROUND((((360-F8)-INT((360-F8)))*60-INT(((360-F8)-INT((360-F8)))*60))*60,0),"00")&amp;""""&amp;" W")))</f>
        <v>N 41° 16' 53" W</v>
      </c>
      <c r="H8" s="10">
        <f>'Field Notes'!K12</f>
        <v>225.46</v>
      </c>
      <c r="I8" s="10">
        <f>'Field Notes'!K13</f>
        <v>225.47</v>
      </c>
      <c r="J8" s="11">
        <f>ROUND((H8+I8)/2,3)</f>
        <v>225.465</v>
      </c>
      <c r="K8" s="11">
        <f>ROUND(J8*COS(RADIANS(F8)),3)</f>
        <v>169.432</v>
      </c>
      <c r="L8" s="11">
        <f>ROUND(J8*SIN(RADIANS(F8)),3)</f>
        <v>-148.752</v>
      </c>
      <c r="M8" s="11">
        <f t="shared" si="0"/>
        <v>4999.991</v>
      </c>
      <c r="N8" s="11">
        <f t="shared" si="0"/>
        <v>5000.021</v>
      </c>
    </row>
    <row r="9" spans="1:14" x14ac:dyDescent="0.2">
      <c r="A9" s="3" t="s">
        <v>108</v>
      </c>
      <c r="J9" s="11">
        <f>ROUND(SUM(J4:J8),3)</f>
        <v>2557.405</v>
      </c>
      <c r="K9" s="11">
        <f>ROUND(SUM(K4:K8),3)</f>
        <v>-0.009</v>
      </c>
      <c r="L9" s="11">
        <f>ROUND(SUM(L4:L8),3)</f>
        <v>0.021</v>
      </c>
    </row>
    <row r="11" spans="1:14" x14ac:dyDescent="0.2">
      <c r="A11" s="3" t="s">
        <v>109</v>
      </c>
    </row>
    <row r="12" spans="1:14" x14ac:dyDescent="0.2">
      <c r="A12" t="s">
        <v>110</v>
      </c>
      <c r="B12" s="11">
        <f>J9</f>
        <v>2557.405</v>
      </c>
    </row>
    <row r="13" spans="1:14" x14ac:dyDescent="0.2">
      <c r="A13" t="s">
        <v>9</v>
      </c>
      <c r="B13" s="11">
        <f>K9</f>
        <v>-0.009</v>
      </c>
    </row>
    <row r="14" spans="1:14" x14ac:dyDescent="0.2">
      <c r="A14" t="s">
        <v>10</v>
      </c>
      <c r="B14" s="11">
        <f>L9</f>
        <v>0.021</v>
      </c>
    </row>
    <row r="15" spans="1:14" x14ac:dyDescent="0.2">
      <c r="A15" t="s">
        <v>11</v>
      </c>
      <c r="B15" s="11">
        <f>ROUND(SQRT(B13^2+B14^2),3)</f>
        <v>0.023</v>
      </c>
    </row>
    <row r="16" spans="1:14" x14ac:dyDescent="0.2">
      <c r="A16" t="s">
        <v>12</v>
      </c>
      <c r="B16" s="12">
        <f>ROUND(B12/B15,0)</f>
        <v>111192</v>
      </c>
    </row>
    <row r="17" spans="1:2" x14ac:dyDescent="0.2">
      <c r="A17" t="s">
        <v>111</v>
      </c>
      <c r="B17" s="12">
        <f>Parameters!$B$6</f>
        <v>10000</v>
      </c>
    </row>
    <row r="18" spans="1:2" x14ac:dyDescent="0.2">
      <c r="A18" t="s">
        <v>15</v>
      </c>
      <c r="B18" s="13" t="str">
        <f>IF(B16&gt;=B17,"Meets the standard","Does not meet the standard")</f>
        <v>Meets the standard</v>
      </c>
    </row>
    <row r="19" spans="1:2" x14ac:dyDescent="0.2">
      <c r="A19" t="s">
        <v>112</v>
      </c>
      <c r="B19" s="11">
        <f>M8</f>
        <v>4999.991</v>
      </c>
    </row>
    <row r="20" spans="1:2" x14ac:dyDescent="0.2">
      <c r="A20" t="s">
        <v>113</v>
      </c>
      <c r="B20" s="11">
        <f>N8</f>
        <v>5000.021</v>
      </c>
    </row>
    <row r="22" spans="1:2" x14ac:dyDescent="0.2">
      <c r="A22" t="s">
        <v>114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8"/>
  <sheetViews>
    <sheetView workbookViewId="0"/>
  </sheetViews>
  <sheetFormatPr baseColWidth="10" defaultColWidth="8.83203125" defaultRowHeight="15" x14ac:dyDescent="0.2"/>
  <cols>
    <col min="1" max="1" width="44" customWidth="1"/>
    <col min="2" max="2" width="5" customWidth="1"/>
    <col min="3" max="4" width="9" customWidth="1"/>
    <col min="5" max="5" width="5" customWidth="1"/>
    <col min="6" max="6" width="16" customWidth="1"/>
    <col min="7" max="7" width="22" customWidth="1"/>
    <col min="8" max="9" width="13" customWidth="1"/>
    <col min="10" max="10" width="18" customWidth="1"/>
    <col min="11" max="11" width="20" customWidth="1"/>
    <col min="12" max="12" width="16" customWidth="1"/>
    <col min="13" max="13" width="18" customWidth="1"/>
    <col min="14" max="14" width="20" customWidth="1"/>
    <col min="15" max="15" width="18" customWidth="1"/>
    <col min="16" max="16" width="26" customWidth="1"/>
  </cols>
  <sheetData>
    <row r="1" spans="1:16" ht="17" x14ac:dyDescent="0.2">
      <c r="A1" s="1" t="s">
        <v>115</v>
      </c>
    </row>
    <row r="3" spans="1:16" x14ac:dyDescent="0.2">
      <c r="A3" s="2" t="s">
        <v>116</v>
      </c>
      <c r="B3" s="2" t="s">
        <v>70</v>
      </c>
      <c r="C3" s="2" t="s">
        <v>117</v>
      </c>
      <c r="D3" s="2" t="s">
        <v>118</v>
      </c>
      <c r="E3" s="2" t="s">
        <v>74</v>
      </c>
      <c r="F3" s="2" t="s">
        <v>119</v>
      </c>
      <c r="G3" s="2" t="s">
        <v>120</v>
      </c>
      <c r="H3" s="2" t="s">
        <v>104</v>
      </c>
      <c r="I3" s="2" t="s">
        <v>105</v>
      </c>
      <c r="J3" s="2" t="s">
        <v>121</v>
      </c>
      <c r="K3" s="2" t="s">
        <v>122</v>
      </c>
      <c r="L3" s="2" t="s">
        <v>123</v>
      </c>
      <c r="M3" s="2" t="s">
        <v>124</v>
      </c>
      <c r="N3" s="2" t="s">
        <v>125</v>
      </c>
      <c r="O3" s="2" t="s">
        <v>126</v>
      </c>
      <c r="P3" s="2" t="s">
        <v>127</v>
      </c>
    </row>
    <row r="4" spans="1:16" x14ac:dyDescent="0.2">
      <c r="A4" t="s">
        <v>55</v>
      </c>
      <c r="B4" t="s">
        <v>81</v>
      </c>
      <c r="C4">
        <v>14</v>
      </c>
      <c r="D4">
        <v>44</v>
      </c>
      <c r="E4" t="s">
        <v>82</v>
      </c>
      <c r="F4" s="14">
        <v>640.4</v>
      </c>
      <c r="G4" s="9">
        <f>ROUND(IF(AND(B4="N",E4="E"),C4+D4/Parameters!$B$14,IF(AND(B4="S",E4="E"),180-(C4+D4/Parameters!$B$14),IF(AND(B4="S",E4="W"),180+(C4+D4/Parameters!$B$14),360-(C4+D4/Parameters!$B$14)))),6)</f>
        <v>14.733333</v>
      </c>
      <c r="H4" s="11">
        <f>ROUND(F4*COS(RADIANS(G4)),3)</f>
        <v>619.344</v>
      </c>
      <c r="I4" s="11">
        <f>ROUND(F4*SIN(RADIANS(G4)),3)</f>
        <v>162.867</v>
      </c>
      <c r="J4" s="9">
        <f>ROUND(MOD(G4+$B$19,360),6)</f>
        <v>16.997778</v>
      </c>
      <c r="K4" t="str">
        <f>IF(J4&lt;=90,"N "&amp;TEXT(INT(J4),"0")&amp;"° "&amp;TEXT(INT((J4-INT(J4))*60),"00")&amp;"' "&amp;TEXT(ROUND(((J4-INT(J4))*60-INT((J4-INT(J4))*60))*60,0),"00")&amp;""""&amp;" E",IF(J4&lt;=180,"S "&amp;TEXT(INT((180-J4)),"0")&amp;"° "&amp;TEXT(INT(((180-J4)-INT((180-J4)))*60),"00")&amp;"' "&amp;TEXT(ROUND((((180-J4)-INT((180-J4)))*60-INT(((180-J4)-INT((180-J4)))*60))*60,0),"00")&amp;""""&amp;" E",IF(J4&lt;=270,"S "&amp;TEXT(INT((J4-180)),"0")&amp;"° "&amp;TEXT(INT(((J4-180)-INT((J4-180)))*60),"00")&amp;"' "&amp;TEXT(ROUND((((J4-180)-INT((J4-180)))*60-INT(((J4-180)-INT((J4-180)))*60))*60,0),"00")&amp;""""&amp;" W","N "&amp;TEXT(INT((360-J4)),"0")&amp;"° "&amp;TEXT(INT(((360-J4)-INT((360-J4)))*60),"00")&amp;"' "&amp;TEXT(ROUND((((360-J4)-INT((360-J4)))*60-INT(((360-J4)-INT((360-J4)))*60))*60,0),"00")&amp;""""&amp;" W")))</f>
        <v>N 16° 59' 52" E</v>
      </c>
      <c r="L4" s="9">
        <f>Traverse!F4</f>
        <v>16.997778</v>
      </c>
      <c r="M4" s="11">
        <f>Traverse!J4</f>
        <v>640.41</v>
      </c>
      <c r="N4" s="10">
        <f>ROUND((L4-J4)*Parameters!$B$14,2)</f>
        <v>0</v>
      </c>
      <c r="O4" s="10">
        <f>ROUND(M4-F4,2)</f>
        <v>0.01</v>
      </c>
      <c r="P4" t="str">
        <f>IF(ABS(O4)&gt;Parameters!$B$11,"Differs by more than the tolerance","Agrees")</f>
        <v>Agrees</v>
      </c>
    </row>
    <row r="5" spans="1:16" x14ac:dyDescent="0.2">
      <c r="A5" t="s">
        <v>88</v>
      </c>
      <c r="B5" t="s">
        <v>86</v>
      </c>
      <c r="C5">
        <v>81</v>
      </c>
      <c r="D5">
        <v>6</v>
      </c>
      <c r="E5" t="s">
        <v>82</v>
      </c>
      <c r="F5" s="14">
        <v>588.8</v>
      </c>
      <c r="G5" s="9">
        <f>ROUND(IF(AND(B5="N",E5="E"),C5+D5/Parameters!$B$14,IF(AND(B5="S",E5="E"),180-(C5+D5/Parameters!$B$14),IF(AND(B5="S",E5="W"),180+(C5+D5/Parameters!$B$14),360-(C5+D5/Parameters!$B$14)))),6)</f>
        <v>98.9</v>
      </c>
      <c r="H5" s="11">
        <f>ROUND(F5*COS(RADIANS(G5)),3)</f>
        <v>-91.093</v>
      </c>
      <c r="I5" s="11">
        <f>ROUND(F5*SIN(RADIANS(G5)),3)</f>
        <v>581.711</v>
      </c>
      <c r="J5" s="9">
        <f>ROUND(MOD(G5+$B$19,360),6)</f>
        <v>101.164445</v>
      </c>
      <c r="K5" t="str">
        <f>IF(J5&lt;=90,"N "&amp;TEXT(INT(J5),"0")&amp;"° "&amp;TEXT(INT((J5-INT(J5))*60),"00")&amp;"' "&amp;TEXT(ROUND(((J5-INT(J5))*60-INT((J5-INT(J5))*60))*60,0),"00")&amp;""""&amp;" E",IF(J5&lt;=180,"S "&amp;TEXT(INT((180-J5)),"0")&amp;"° "&amp;TEXT(INT(((180-J5)-INT((180-J5)))*60),"00")&amp;"' "&amp;TEXT(ROUND((((180-J5)-INT((180-J5)))*60-INT(((180-J5)-INT((180-J5)))*60))*60,0),"00")&amp;""""&amp;" E",IF(J5&lt;=270,"S "&amp;TEXT(INT((J5-180)),"0")&amp;"° "&amp;TEXT(INT(((J5-180)-INT((J5-180)))*60),"00")&amp;"' "&amp;TEXT(ROUND((((J5-180)-INT((J5-180)))*60-INT(((J5-180)-INT((J5-180)))*60))*60,0),"00")&amp;""""&amp;" W","N "&amp;TEXT(INT((360-J5)),"0")&amp;"° "&amp;TEXT(INT(((360-J5)-INT((360-J5)))*60),"00")&amp;"' "&amp;TEXT(ROUND((((360-J5)-INT((360-J5)))*60-INT(((360-J5)-INT((360-J5)))*60))*60,0),"00")&amp;""""&amp;" W")))</f>
        <v>S 78° 50' 08" E</v>
      </c>
      <c r="L5" s="9">
        <f>Traverse!F5</f>
        <v>101.135834</v>
      </c>
      <c r="M5" s="11">
        <f>Traverse!J5</f>
        <v>588.75</v>
      </c>
      <c r="N5" s="10">
        <f>ROUND((L5-J5)*Parameters!$B$14,2)</f>
        <v>-1.72</v>
      </c>
      <c r="O5" s="10">
        <f>ROUND(M5-F5,2)</f>
        <v>-0.05</v>
      </c>
      <c r="P5" t="str">
        <f>IF(ABS(O5)&gt;Parameters!$B$11,"Differs by more than the tolerance","Agrees")</f>
        <v>Agrees</v>
      </c>
    </row>
    <row r="6" spans="1:16" x14ac:dyDescent="0.2">
      <c r="A6" t="s">
        <v>89</v>
      </c>
      <c r="B6" t="s">
        <v>86</v>
      </c>
      <c r="C6">
        <v>8</v>
      </c>
      <c r="D6">
        <v>46</v>
      </c>
      <c r="E6" t="s">
        <v>87</v>
      </c>
      <c r="F6" s="14">
        <v>597.2</v>
      </c>
      <c r="G6" s="9">
        <f>ROUND(IF(AND(B6="N",E6="E"),C6+D6/Parameters!$B$14,IF(AND(B6="S",E6="E"),180-(C6+D6/Parameters!$B$14),IF(AND(B6="S",E6="W"),180+(C6+D6/Parameters!$B$14),360-(C6+D6/Parameters!$B$14)))),6)</f>
        <v>188.766667</v>
      </c>
      <c r="H6" s="11">
        <f>ROUND(F6*COS(RADIANS(G6)),3)</f>
        <v>-590.223</v>
      </c>
      <c r="I6" s="11">
        <f>ROUND(F6*SIN(RADIANS(G6)),3)</f>
        <v>-91.02</v>
      </c>
      <c r="J6" s="9">
        <f>ROUND(MOD(G6+$B$19,360),6)</f>
        <v>191.031112</v>
      </c>
      <c r="K6" t="str">
        <f>IF(J6&lt;=90,"N "&amp;TEXT(INT(J6),"0")&amp;"° "&amp;TEXT(INT((J6-INT(J6))*60),"00")&amp;"' "&amp;TEXT(ROUND(((J6-INT(J6))*60-INT((J6-INT(J6))*60))*60,0),"00")&amp;""""&amp;" E",IF(J6&lt;=180,"S "&amp;TEXT(INT((180-J6)),"0")&amp;"° "&amp;TEXT(INT(((180-J6)-INT((180-J6)))*60),"00")&amp;"' "&amp;TEXT(ROUND((((180-J6)-INT((180-J6)))*60-INT(((180-J6)-INT((180-J6)))*60))*60,0),"00")&amp;""""&amp;" E",IF(J6&lt;=270,"S "&amp;TEXT(INT((J6-180)),"0")&amp;"° "&amp;TEXT(INT(((J6-180)-INT((J6-180)))*60),"00")&amp;"' "&amp;TEXT(ROUND((((J6-180)-INT((J6-180)))*60-INT(((J6-180)-INT((J6-180)))*60))*60,0),"00")&amp;""""&amp;" W","N "&amp;TEXT(INT((360-J6)),"0")&amp;"° "&amp;TEXT(INT(((360-J6)-INT((360-J6)))*60),"00")&amp;"' "&amp;TEXT(ROUND((((360-J6)-INT((360-J6)))*60-INT(((360-J6)-INT((360-J6)))*60))*60,0),"00")&amp;""""&amp;" W")))</f>
        <v>S 11° 01' 52" W</v>
      </c>
      <c r="L6" s="9">
        <f>Traverse!F6</f>
        <v>191.029584</v>
      </c>
      <c r="M6" s="11">
        <f>Traverse!J6</f>
        <v>592.69</v>
      </c>
      <c r="N6" s="10">
        <f>ROUND((L6-J6)*Parameters!$B$14,2)</f>
        <v>-0.09</v>
      </c>
      <c r="O6" s="10">
        <f>ROUND(M6-F6,2)</f>
        <v>-4.51</v>
      </c>
      <c r="P6" t="str">
        <f>IF(ABS(O6)&gt;Parameters!$B$11,"Differs by more than the tolerance","Agrees")</f>
        <v>Differs by more than the tolerance</v>
      </c>
    </row>
    <row r="7" spans="1:16" x14ac:dyDescent="0.2">
      <c r="A7" t="s">
        <v>90</v>
      </c>
      <c r="B7" t="s">
        <v>86</v>
      </c>
      <c r="C7">
        <v>77</v>
      </c>
      <c r="D7">
        <v>59</v>
      </c>
      <c r="E7" t="s">
        <v>87</v>
      </c>
      <c r="F7" s="14">
        <v>510.1</v>
      </c>
      <c r="G7" s="9">
        <f>ROUND(IF(AND(B7="N",E7="E"),C7+D7/Parameters!$B$14,IF(AND(B7="S",E7="E"),180-(C7+D7/Parameters!$B$14),IF(AND(B7="S",E7="W"),180+(C7+D7/Parameters!$B$14),360-(C7+D7/Parameters!$B$14)))),6)</f>
        <v>257.983333</v>
      </c>
      <c r="H7" s="11">
        <f>ROUND(F7*COS(RADIANS(G7)),3)</f>
        <v>-106.201</v>
      </c>
      <c r="I7" s="11">
        <f>ROUND(F7*SIN(RADIANS(G7)),3)</f>
        <v>-498.922</v>
      </c>
      <c r="J7" s="9">
        <f>ROUND(MOD(G7+$B$19,360),6)</f>
        <v>260.247778</v>
      </c>
      <c r="K7" t="str">
        <f>IF(J7&lt;=90,"N "&amp;TEXT(INT(J7),"0")&amp;"° "&amp;TEXT(INT((J7-INT(J7))*60),"00")&amp;"' "&amp;TEXT(ROUND(((J7-INT(J7))*60-INT((J7-INT(J7))*60))*60,0),"00")&amp;""""&amp;" E",IF(J7&lt;=180,"S "&amp;TEXT(INT((180-J7)),"0")&amp;"° "&amp;TEXT(INT(((180-J7)-INT((180-J7)))*60),"00")&amp;"' "&amp;TEXT(ROUND((((180-J7)-INT((180-J7)))*60-INT(((180-J7)-INT((180-J7)))*60))*60,0),"00")&amp;""""&amp;" E",IF(J7&lt;=270,"S "&amp;TEXT(INT((J7-180)),"0")&amp;"° "&amp;TEXT(INT(((J7-180)-INT((J7-180)))*60),"00")&amp;"' "&amp;TEXT(ROUND((((J7-180)-INT((J7-180)))*60-INT(((J7-180)-INT((J7-180)))*60))*60,0),"00")&amp;""""&amp;" W","N "&amp;TEXT(INT((360-J7)),"0")&amp;"° "&amp;TEXT(INT(((360-J7)-INT((360-J7)))*60),"00")&amp;"' "&amp;TEXT(ROUND((((360-J7)-INT((360-J7)))*60-INT(((360-J7)-INT((360-J7)))*60))*60,0),"00")&amp;""""&amp;" W")))</f>
        <v>S 80° 14' 52" W</v>
      </c>
      <c r="L7" s="9">
        <f>Traverse!F7</f>
        <v>260.245417</v>
      </c>
      <c r="M7" s="11">
        <f>Traverse!J7</f>
        <v>510.09</v>
      </c>
      <c r="N7" s="10">
        <f>ROUND((L7-J7)*Parameters!$B$14,2)</f>
        <v>-0.14</v>
      </c>
      <c r="O7" s="10">
        <f>ROUND(M7-F7,2)</f>
        <v>-0.01</v>
      </c>
      <c r="P7" t="str">
        <f>IF(ABS(O7)&gt;Parameters!$B$11,"Differs by more than the tolerance","Agrees")</f>
        <v>Agrees</v>
      </c>
    </row>
    <row r="8" spans="1:16" x14ac:dyDescent="0.2">
      <c r="A8" t="s">
        <v>91</v>
      </c>
      <c r="B8" t="s">
        <v>81</v>
      </c>
      <c r="C8">
        <v>43</v>
      </c>
      <c r="D8">
        <v>31</v>
      </c>
      <c r="E8" t="s">
        <v>87</v>
      </c>
      <c r="F8" s="14">
        <v>225.5</v>
      </c>
      <c r="G8" s="9">
        <f>ROUND(IF(AND(B8="N",E8="E"),C8+D8/Parameters!$B$14,IF(AND(B8="S",E8="E"),180-(C8+D8/Parameters!$B$14),IF(AND(B8="S",E8="W"),180+(C8+D8/Parameters!$B$14),360-(C8+D8/Parameters!$B$14)))),6)</f>
        <v>316.483333</v>
      </c>
      <c r="H8" s="11">
        <f>ROUND(F8*COS(RADIANS(G8)),3)</f>
        <v>163.527</v>
      </c>
      <c r="I8" s="11">
        <f>ROUND(F8*SIN(RADIANS(G8)),3)</f>
        <v>-155.272</v>
      </c>
      <c r="J8" s="9">
        <f>ROUND(MOD(G8+$B$19,360),6)</f>
        <v>318.747778</v>
      </c>
      <c r="K8" t="str">
        <f>IF(J8&lt;=90,"N "&amp;TEXT(INT(J8),"0")&amp;"° "&amp;TEXT(INT((J8-INT(J8))*60),"00")&amp;"' "&amp;TEXT(ROUND(((J8-INT(J8))*60-INT((J8-INT(J8))*60))*60,0),"00")&amp;""""&amp;" E",IF(J8&lt;=180,"S "&amp;TEXT(INT((180-J8)),"0")&amp;"° "&amp;TEXT(INT(((180-J8)-INT((180-J8)))*60),"00")&amp;"' "&amp;TEXT(ROUND((((180-J8)-INT((180-J8)))*60-INT(((180-J8)-INT((180-J8)))*60))*60,0),"00")&amp;""""&amp;" E",IF(J8&lt;=270,"S "&amp;TEXT(INT((J8-180)),"0")&amp;"° "&amp;TEXT(INT(((J8-180)-INT((J8-180)))*60),"00")&amp;"' "&amp;TEXT(ROUND((((J8-180)-INT((J8-180)))*60-INT(((J8-180)-INT((J8-180)))*60))*60,0),"00")&amp;""""&amp;" W","N "&amp;TEXT(INT((360-J8)),"0")&amp;"° "&amp;TEXT(INT(((360-J8)-INT((360-J8)))*60),"00")&amp;"' "&amp;TEXT(ROUND((((360-J8)-INT((360-J8)))*60-INT(((360-J8)-INT((360-J8)))*60))*60,0),"00")&amp;""""&amp;" W")))</f>
        <v>N 41° 15' 08" W</v>
      </c>
      <c r="L8" s="9">
        <f>Traverse!F8</f>
        <v>318.718611</v>
      </c>
      <c r="M8" s="11">
        <f>Traverse!J8</f>
        <v>225.465</v>
      </c>
      <c r="N8" s="10">
        <f>ROUND((L8-J8)*Parameters!$B$14,2)</f>
        <v>-1.75</v>
      </c>
      <c r="O8" s="10">
        <f>ROUND(M8-F8,2)</f>
        <v>-0.03</v>
      </c>
      <c r="P8" t="str">
        <f>IF(ABS(O8)&gt;Parameters!$B$11,"Differs by more than the tolerance","Agrees")</f>
        <v>Agrees</v>
      </c>
    </row>
    <row r="9" spans="1:16" x14ac:dyDescent="0.2">
      <c r="A9" s="3" t="s">
        <v>108</v>
      </c>
      <c r="F9" s="14">
        <f>ROUND(SUM(F4:F8),1)</f>
        <v>2562</v>
      </c>
      <c r="H9" s="11">
        <f>ROUND(SUM(H4:H8),3)</f>
        <v>-4.646</v>
      </c>
      <c r="I9" s="11">
        <f>ROUND(SUM(I4:I8),3)</f>
        <v>-0.636</v>
      </c>
    </row>
    <row r="11" spans="1:16" x14ac:dyDescent="0.2">
      <c r="A11" s="3" t="s">
        <v>128</v>
      </c>
    </row>
    <row r="12" spans="1:16" x14ac:dyDescent="0.2">
      <c r="A12" t="s">
        <v>129</v>
      </c>
      <c r="B12" s="14">
        <f>F9</f>
        <v>2562</v>
      </c>
    </row>
    <row r="13" spans="1:16" x14ac:dyDescent="0.2">
      <c r="A13" t="s">
        <v>130</v>
      </c>
      <c r="B13" s="11">
        <f>H9</f>
        <v>-4.646</v>
      </c>
    </row>
    <row r="14" spans="1:16" x14ac:dyDescent="0.2">
      <c r="A14" t="s">
        <v>131</v>
      </c>
      <c r="B14" s="11">
        <f>I9</f>
        <v>-0.636</v>
      </c>
    </row>
    <row r="15" spans="1:16" x14ac:dyDescent="0.2">
      <c r="A15" t="s">
        <v>132</v>
      </c>
      <c r="B15" s="11">
        <f>ROUND(SQRT(B13^2+B14^2),3)</f>
        <v>4.689</v>
      </c>
    </row>
    <row r="16" spans="1:16" x14ac:dyDescent="0.2">
      <c r="A16" t="s">
        <v>19</v>
      </c>
      <c r="B16" s="11">
        <f>ROUND(B15/B12*Parameters!$B$16,3)</f>
        <v>1.83</v>
      </c>
    </row>
    <row r="17" spans="1:2" x14ac:dyDescent="0.2">
      <c r="A17" t="s">
        <v>133</v>
      </c>
      <c r="B17" s="12">
        <f>ROUND(B12/B15,0)</f>
        <v>546</v>
      </c>
    </row>
    <row r="18" spans="1:2" x14ac:dyDescent="0.2">
      <c r="A18" t="s">
        <v>20</v>
      </c>
      <c r="B18" s="13" t="str">
        <f>IF(B16&gt;Parameters!$B$10,"Defect in the description","Within the tolerance of the original survey")</f>
        <v>Defect in the description</v>
      </c>
    </row>
    <row r="19" spans="1:2" x14ac:dyDescent="0.2">
      <c r="A19" t="s">
        <v>134</v>
      </c>
      <c r="B19" s="9">
        <f>ROUND(Traverse!F4-G4,6)</f>
        <v>2.264445</v>
      </c>
    </row>
    <row r="20" spans="1:2" x14ac:dyDescent="0.2">
      <c r="A20" t="s">
        <v>135</v>
      </c>
      <c r="B20" s="13" t="str">
        <f>TEXT(INT(B19),"0")&amp;"° "&amp;TEXT(ROUND((B19-INT(B19))*Parameters!$B$14,0),"00")&amp;"' east of the deed bearings"</f>
        <v>2° 16' east of the deed bearings</v>
      </c>
    </row>
    <row r="21" spans="1:2" x14ac:dyDescent="0.2">
      <c r="A21" t="s">
        <v>136</v>
      </c>
      <c r="B21" s="15">
        <f>COUNTIF(P4:P8,"Differs by more than the tolerance")</f>
        <v>1</v>
      </c>
    </row>
    <row r="22" spans="1:2" x14ac:dyDescent="0.2">
      <c r="A22" t="s">
        <v>23</v>
      </c>
      <c r="B22" s="13" t="str">
        <f>INDEX(A4:A8,MATCH("Differs by more than the tolerance",P4:P8,0))</f>
        <v>3-4</v>
      </c>
    </row>
    <row r="23" spans="1:2" x14ac:dyDescent="0.2">
      <c r="A23" t="s">
        <v>137</v>
      </c>
      <c r="B23" s="14">
        <f>INDEX(F4:F8,MATCH(B22,A4:A8,0))</f>
        <v>597.2</v>
      </c>
    </row>
    <row r="24" spans="1:2" x14ac:dyDescent="0.2">
      <c r="A24" t="s">
        <v>138</v>
      </c>
      <c r="B24" s="11">
        <f>INDEX(M4:M8,MATCH(B22,A4:A8,0))</f>
        <v>592.69</v>
      </c>
    </row>
    <row r="25" spans="1:2" x14ac:dyDescent="0.2">
      <c r="A25" t="s">
        <v>139</v>
      </c>
      <c r="B25" s="14">
        <f>ROUND(B24,1)</f>
        <v>592.7</v>
      </c>
    </row>
    <row r="26" spans="1:2" x14ac:dyDescent="0.2">
      <c r="A26" t="s">
        <v>26</v>
      </c>
      <c r="B26" s="13" t="str">
        <f>IF(B21=1,"Transcription error in the deed; the units and tenths digits are transposed","Review")</f>
        <v>Transcription error in the deed; the units and tenths digits are transposed</v>
      </c>
    </row>
    <row r="28" spans="1:2" x14ac:dyDescent="0.2">
      <c r="A28" t="s">
        <v>140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heetViews>
  <sheetFormatPr baseColWidth="10" defaultColWidth="8.83203125" defaultRowHeight="15" x14ac:dyDescent="0.2"/>
  <cols>
    <col min="1" max="1" width="38" customWidth="1"/>
    <col min="2" max="3" width="16" customWidth="1"/>
    <col min="4" max="5" width="26" customWidth="1"/>
    <col min="6" max="6" width="40" customWidth="1"/>
  </cols>
  <sheetData>
    <row r="1" spans="1:6" ht="17" x14ac:dyDescent="0.2">
      <c r="A1" s="1" t="s">
        <v>141</v>
      </c>
    </row>
    <row r="3" spans="1:6" x14ac:dyDescent="0.2">
      <c r="A3" s="2" t="s">
        <v>142</v>
      </c>
      <c r="B3" s="2" t="s">
        <v>143</v>
      </c>
      <c r="C3" s="2" t="s">
        <v>144</v>
      </c>
      <c r="D3" s="2" t="s">
        <v>145</v>
      </c>
      <c r="E3" s="2" t="s">
        <v>146</v>
      </c>
      <c r="F3" s="2" t="s">
        <v>147</v>
      </c>
    </row>
    <row r="4" spans="1:6" x14ac:dyDescent="0.2">
      <c r="A4">
        <v>1</v>
      </c>
      <c r="B4" s="11">
        <f>Parameters!$B$4</f>
        <v>5000</v>
      </c>
      <c r="C4" s="11">
        <f>Parameters!$B$5</f>
        <v>5000</v>
      </c>
      <c r="D4" s="11">
        <f>ROUND(B4*C5,3)</f>
        <v>25936070</v>
      </c>
      <c r="E4" s="11">
        <f>ROUND(B5*C4,3)</f>
        <v>28062170</v>
      </c>
      <c r="F4" t="s">
        <v>148</v>
      </c>
    </row>
    <row r="5" spans="1:6" x14ac:dyDescent="0.2">
      <c r="A5">
        <v>2</v>
      </c>
      <c r="B5" s="11">
        <f>Traverse!M4</f>
        <v>5612.434</v>
      </c>
      <c r="C5" s="11">
        <f>Traverse!N4</f>
        <v>5187.214</v>
      </c>
      <c r="D5" s="11">
        <f>ROUND(B5*C6,3)</f>
        <v>32355002.9</v>
      </c>
      <c r="E5" s="11">
        <f>ROUND(B6*C5,3)</f>
        <v>28523063.3</v>
      </c>
      <c r="F5" t="s">
        <v>148</v>
      </c>
    </row>
    <row r="6" spans="1:6" x14ac:dyDescent="0.2">
      <c r="A6">
        <v>3</v>
      </c>
      <c r="B6" s="11">
        <f>Traverse!M5</f>
        <v>5498.725</v>
      </c>
      <c r="C6" s="11">
        <f>Traverse!N5</f>
        <v>5764.879</v>
      </c>
      <c r="D6" s="11">
        <f>ROUND(B6*C7,3)</f>
        <v>31075978.353</v>
      </c>
      <c r="E6" s="11">
        <f>ROUND(B7*C6,3)</f>
        <v>28345812.04</v>
      </c>
      <c r="F6" t="s">
        <v>149</v>
      </c>
    </row>
    <row r="7" spans="1:6" x14ac:dyDescent="0.2">
      <c r="A7">
        <v>4</v>
      </c>
      <c r="B7" s="11">
        <f>Traverse!M6</f>
        <v>4916.983</v>
      </c>
      <c r="C7" s="11">
        <f>Traverse!N6</f>
        <v>5651.488</v>
      </c>
      <c r="D7" s="11">
        <f>ROUND(B7*C8,3)</f>
        <v>25316429.3</v>
      </c>
      <c r="E7" s="11">
        <f>ROUND(B8*C7,3)</f>
        <v>27299846.2</v>
      </c>
      <c r="F7" t="s">
        <v>150</v>
      </c>
    </row>
    <row r="8" spans="1:6" x14ac:dyDescent="0.2">
      <c r="A8">
        <v>5</v>
      </c>
      <c r="B8" s="11">
        <f>Traverse!M7</f>
        <v>4830.559</v>
      </c>
      <c r="C8" s="11">
        <f>Traverse!N7</f>
        <v>5148.773</v>
      </c>
      <c r="D8" s="11">
        <f>ROUND(B8*C4,3)</f>
        <v>24152795</v>
      </c>
      <c r="E8" s="11">
        <f>ROUND(B4*C8,3)</f>
        <v>25743865</v>
      </c>
      <c r="F8" t="s">
        <v>150</v>
      </c>
    </row>
    <row r="9" spans="1:6" x14ac:dyDescent="0.2">
      <c r="A9" s="3" t="s">
        <v>108</v>
      </c>
      <c r="D9" s="11">
        <f>ROUND(SUM(D4:D8),3)</f>
        <v>138836275.6</v>
      </c>
      <c r="E9" s="11">
        <f>ROUND(SUM(E4:E8),3)</f>
        <v>137974756.56400001</v>
      </c>
    </row>
    <row r="11" spans="1:6" x14ac:dyDescent="0.2">
      <c r="A11" t="s">
        <v>151</v>
      </c>
      <c r="B11" s="12">
        <f>ROUND(ABS(D9-E9)/2,0)</f>
        <v>430760</v>
      </c>
    </row>
    <row r="12" spans="1:6" x14ac:dyDescent="0.2">
      <c r="A12" t="s">
        <v>29</v>
      </c>
      <c r="B12" s="11">
        <f>ROUND(B11/Parameters!$B$8,3)</f>
        <v>9.889</v>
      </c>
    </row>
    <row r="13" spans="1:6" x14ac:dyDescent="0.2">
      <c r="A13" t="s">
        <v>30</v>
      </c>
      <c r="B13" s="10">
        <f>Parameters!$B$9</f>
        <v>9.89</v>
      </c>
    </row>
    <row r="14" spans="1:6" x14ac:dyDescent="0.2">
      <c r="A14" t="s">
        <v>31</v>
      </c>
      <c r="B14" s="11">
        <f>ROUND(B12-B13,3)</f>
        <v>-1E-3</v>
      </c>
    </row>
    <row r="15" spans="1:6" x14ac:dyDescent="0.2">
      <c r="A15" t="s">
        <v>32</v>
      </c>
      <c r="B15" s="13" t="str">
        <f>IF(ABS(B14)&lt;0.05,"Agrees with the deed within the rounding of the recited acreage","Differs from the recited acreage")</f>
        <v>Agrees with the deed within the rounding of the recited acreage</v>
      </c>
    </row>
    <row r="17" spans="1:1" x14ac:dyDescent="0.2">
      <c r="A17" t="s">
        <v>152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
  <sheetViews>
    <sheetView workbookViewId="0"/>
  </sheetViews>
  <sheetFormatPr baseColWidth="10" defaultColWidth="8.83203125" defaultRowHeight="15" x14ac:dyDescent="0.2"/>
  <cols>
    <col min="1" max="1" width="8" customWidth="1"/>
    <col min="2" max="2" width="22" customWidth="1"/>
    <col min="3" max="3" width="58" customWidth="1"/>
    <col min="4" max="4" width="10" customWidth="1"/>
    <col min="5" max="5" width="12" customWidth="1"/>
    <col min="6" max="6" width="52" customWidth="1"/>
  </cols>
  <sheetData>
    <row r="1" spans="1:6" ht="17" x14ac:dyDescent="0.2">
      <c r="A1" s="1" t="s">
        <v>153</v>
      </c>
    </row>
    <row r="3" spans="1:6" x14ac:dyDescent="0.2">
      <c r="A3" s="2" t="s">
        <v>142</v>
      </c>
      <c r="B3" s="2" t="s">
        <v>154</v>
      </c>
      <c r="C3" s="2" t="s">
        <v>155</v>
      </c>
      <c r="D3" s="2" t="s">
        <v>156</v>
      </c>
      <c r="E3" s="2" t="s">
        <v>157</v>
      </c>
      <c r="F3" s="2" t="s">
        <v>158</v>
      </c>
    </row>
    <row r="4" spans="1:6" ht="32" x14ac:dyDescent="0.2">
      <c r="A4" s="16">
        <v>1</v>
      </c>
      <c r="B4" s="16" t="s">
        <v>159</v>
      </c>
      <c r="C4" s="16" t="s">
        <v>160</v>
      </c>
      <c r="D4" s="16" t="s">
        <v>161</v>
      </c>
      <c r="E4" s="16" t="s">
        <v>162</v>
      </c>
      <c r="F4" s="16" t="s">
        <v>163</v>
      </c>
    </row>
    <row r="5" spans="1:6" ht="32" x14ac:dyDescent="0.2">
      <c r="A5" s="16">
        <v>2</v>
      </c>
      <c r="B5" s="16" t="s">
        <v>164</v>
      </c>
      <c r="C5" s="16" t="s">
        <v>165</v>
      </c>
      <c r="D5" s="16" t="s">
        <v>161</v>
      </c>
      <c r="E5" s="16" t="s">
        <v>162</v>
      </c>
      <c r="F5" s="16" t="s">
        <v>166</v>
      </c>
    </row>
    <row r="6" spans="1:6" ht="32" x14ac:dyDescent="0.2">
      <c r="A6" s="16">
        <v>3</v>
      </c>
      <c r="B6" s="16" t="s">
        <v>167</v>
      </c>
      <c r="C6" s="16" t="s">
        <v>168</v>
      </c>
      <c r="D6" s="16" t="s">
        <v>169</v>
      </c>
      <c r="E6" s="16" t="s">
        <v>169</v>
      </c>
      <c r="F6" s="16" t="s">
        <v>170</v>
      </c>
    </row>
    <row r="7" spans="1:6" ht="32" x14ac:dyDescent="0.2">
      <c r="A7" s="16">
        <v>4</v>
      </c>
      <c r="B7" s="16" t="s">
        <v>171</v>
      </c>
      <c r="C7" s="16" t="s">
        <v>172</v>
      </c>
      <c r="D7" s="16" t="s">
        <v>161</v>
      </c>
      <c r="E7" s="16" t="s">
        <v>162</v>
      </c>
      <c r="F7" s="16" t="s">
        <v>173</v>
      </c>
    </row>
    <row r="8" spans="1:6" ht="32" x14ac:dyDescent="0.2">
      <c r="A8" s="16">
        <v>5</v>
      </c>
      <c r="B8" s="16" t="s">
        <v>174</v>
      </c>
      <c r="C8" s="16" t="s">
        <v>175</v>
      </c>
      <c r="D8" s="16" t="s">
        <v>161</v>
      </c>
      <c r="E8" s="16" t="s">
        <v>162</v>
      </c>
      <c r="F8" s="16" t="s">
        <v>176</v>
      </c>
    </row>
    <row r="10" spans="1:6" x14ac:dyDescent="0.2">
      <c r="A10" t="s">
        <v>177</v>
      </c>
      <c r="B10">
        <f>COUNTIF(D4:D8,"Found")</f>
        <v>4</v>
      </c>
    </row>
    <row r="11" spans="1:6" x14ac:dyDescent="0.2">
      <c r="A11" t="s">
        <v>35</v>
      </c>
      <c r="B11">
        <f>COUNTIF(D4:D8,"Set")</f>
        <v>1</v>
      </c>
    </row>
    <row r="12" spans="1:6" x14ac:dyDescent="0.2">
      <c r="A12" t="s">
        <v>36</v>
      </c>
      <c r="B12">
        <f>INDEX(A4:A8,MATCH("Set",D4:D8,0))</f>
        <v>3</v>
      </c>
    </row>
    <row r="14" spans="1:6" x14ac:dyDescent="0.2">
      <c r="A14" t="s">
        <v>178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0"/>
  <sheetViews>
    <sheetView workbookViewId="0"/>
  </sheetViews>
  <sheetFormatPr baseColWidth="10" defaultColWidth="8.83203125" defaultRowHeight="15" x14ac:dyDescent="0.2"/>
  <cols>
    <col min="1" max="1" width="120" customWidth="1"/>
  </cols>
  <sheetData>
    <row r="1" spans="1:1" ht="17" x14ac:dyDescent="0.2">
      <c r="A1" s="1" t="s">
        <v>179</v>
      </c>
    </row>
    <row r="3" spans="1:1" ht="48" x14ac:dyDescent="0.2">
      <c r="A3" s="16" t="s">
        <v>180</v>
      </c>
    </row>
    <row r="4" spans="1:1" ht="64" x14ac:dyDescent="0.2">
      <c r="A4" s="16" t="s">
        <v>181</v>
      </c>
    </row>
    <row r="5" spans="1:1" ht="48" x14ac:dyDescent="0.2">
      <c r="A5" s="16" t="s">
        <v>182</v>
      </c>
    </row>
    <row r="6" spans="1:1" ht="64" x14ac:dyDescent="0.2">
      <c r="A6" s="16" t="s">
        <v>183</v>
      </c>
    </row>
    <row r="7" spans="1:1" ht="96" x14ac:dyDescent="0.2">
      <c r="A7" s="16" t="s">
        <v>184</v>
      </c>
    </row>
    <row r="8" spans="1:1" ht="32" x14ac:dyDescent="0.2">
      <c r="A8" s="16" t="s">
        <v>185</v>
      </c>
    </row>
    <row r="9" spans="1:1" ht="64" x14ac:dyDescent="0.2">
      <c r="A9" s="16" t="s">
        <v>186</v>
      </c>
    </row>
    <row r="10" spans="1:1" ht="96" x14ac:dyDescent="0.2">
      <c r="A10" s="16"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Findings</vt:lpstr>
      <vt:lpstr>Parameters</vt:lpstr>
      <vt:lpstr>Field Notes</vt:lpstr>
      <vt:lpstr>Traverse</vt:lpstr>
      <vt:lpstr>Deed</vt:lpstr>
      <vt:lpstr>Area</vt:lpstr>
      <vt:lpstr>Monuments</vt:lpstr>
      <vt:lpstr>Note to 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Hollins &amp; Vance Surveying</dc:creator>
  <dc:title xmlns:dc="http://purl.org/dc/elements/1.1/">Tract 7 boundary analysis, job 26-2214</dc:title>
  <dcterms:created xmlns:dcterms="http://purl.org/dc/terms/" xmlns:xsi="http://www.w3.org/2001/XMLSchema-instance" xsi:type="dcterms:W3CDTF">2026-10-12T08:10:24Z</dcterms:created>
  <dcterms:modified xmlns:dcterms="http://purl.org/dc/terms/" xmlns:xsi="http://www.w3.org/2001/XMLSchema-instance" xsi:type="dcterms:W3CDTF">2026-10-15T09:52:18Z</dcterms:modified>
  <cp:lastModifiedBy>Hollins &amp; Vance Surveying</cp:lastModifiedBy>
</cp:coreProperties>
</file>