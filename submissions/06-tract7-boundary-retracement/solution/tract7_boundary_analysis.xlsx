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9EE8CCBC-293A-9744-9927-41BCD1EA0938}" xr6:coauthVersionLast="47" xr6:coauthVersionMax="47" xr10:uidLastSave="{00000000-0000-0000-0000-000000000000}"/>
  <bookViews>
    <workbookView xWindow="0" yWindow="0" windowWidth="21600" windowHeight="38400" xr2:uid="{00000000-000D-0000-FFFF-FFFF00000000}"/>
  </bookViews>
  <sheets>
    <sheet name="Findings" sheetId="1" r:id="rId1"/>
    <sheet name="Parameters" sheetId="2" r:id="rId2"/>
    <sheet name="Field Notes" sheetId="3" r:id="rId3"/>
    <sheet name="Traverse" sheetId="4" r:id="rId4"/>
    <sheet name="Ties" sheetId="5" r:id="rId5"/>
    <sheet name="Deed" sheetId="6" r:id="rId6"/>
    <sheet name="Corners" sheetId="7" r:id="rId7"/>
    <sheet name="Area" sheetId="8" r:id="rId8"/>
    <sheet name="Fences" sheetId="9" r:id="rId9"/>
    <sheet name="Note to Ellen"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9" l="1"/>
  <c r="D17" i="9"/>
  <c r="D16" i="9"/>
  <c r="B13" i="8"/>
  <c r="F8" i="8"/>
  <c r="F7" i="8"/>
  <c r="F5" i="8"/>
  <c r="B35" i="7"/>
  <c r="B32" i="7"/>
  <c r="B31" i="7"/>
  <c r="B29" i="7"/>
  <c r="B22" i="7"/>
  <c r="B14" i="7"/>
  <c r="B44" i="6"/>
  <c r="B33" i="6"/>
  <c r="B25" i="6"/>
  <c r="B26" i="6" s="1"/>
  <c r="B23" i="6"/>
  <c r="F9" i="6"/>
  <c r="B12" i="6" s="1"/>
  <c r="G8" i="6"/>
  <c r="G7" i="6"/>
  <c r="G6" i="6"/>
  <c r="G5" i="6"/>
  <c r="G4" i="6"/>
  <c r="D26" i="5"/>
  <c r="D23" i="5"/>
  <c r="D19" i="5"/>
  <c r="C19" i="5"/>
  <c r="D18" i="5"/>
  <c r="C18" i="5"/>
  <c r="D17" i="5"/>
  <c r="C17" i="5"/>
  <c r="D16" i="5"/>
  <c r="C16" i="5"/>
  <c r="D15" i="5"/>
  <c r="C15" i="5"/>
  <c r="D14" i="5"/>
  <c r="C14" i="5"/>
  <c r="D13" i="5"/>
  <c r="C13" i="5"/>
  <c r="D12" i="5"/>
  <c r="C12" i="5"/>
  <c r="D11" i="5"/>
  <c r="C11" i="5"/>
  <c r="D10" i="5"/>
  <c r="C10" i="5"/>
  <c r="D9" i="5"/>
  <c r="C9" i="5"/>
  <c r="D8" i="5"/>
  <c r="C8" i="5"/>
  <c r="D7" i="5"/>
  <c r="C7" i="5"/>
  <c r="D6" i="5"/>
  <c r="C6" i="5"/>
  <c r="D5" i="5"/>
  <c r="C5" i="5"/>
  <c r="D4" i="5"/>
  <c r="C4" i="5"/>
  <c r="C25" i="4"/>
  <c r="B25" i="4"/>
  <c r="B19" i="4"/>
  <c r="B20" i="4" s="1"/>
  <c r="B14" i="1" s="1"/>
  <c r="O39" i="3"/>
  <c r="E18" i="5" s="1"/>
  <c r="O38" i="3"/>
  <c r="E19" i="5" s="1"/>
  <c r="X37" i="3"/>
  <c r="O37" i="3"/>
  <c r="E8" i="5" s="1"/>
  <c r="O36" i="3"/>
  <c r="E17" i="5" s="1"/>
  <c r="O35" i="3"/>
  <c r="E15" i="5" s="1"/>
  <c r="O34" i="3"/>
  <c r="E16" i="5" s="1"/>
  <c r="O33" i="3"/>
  <c r="E7" i="5" s="1"/>
  <c r="O32" i="3"/>
  <c r="E14" i="5" s="1"/>
  <c r="O31" i="3"/>
  <c r="E9" i="5" s="1"/>
  <c r="O30" i="3"/>
  <c r="E10" i="5" s="1"/>
  <c r="O29" i="3"/>
  <c r="E6" i="5" s="1"/>
  <c r="O28" i="3"/>
  <c r="E13" i="5" s="1"/>
  <c r="O27" i="3"/>
  <c r="E12" i="5" s="1"/>
  <c r="O26" i="3"/>
  <c r="E11" i="5" s="1"/>
  <c r="O25" i="3"/>
  <c r="E5" i="5" s="1"/>
  <c r="O24" i="3"/>
  <c r="E4" i="5" s="1"/>
  <c r="Y23" i="3"/>
  <c r="P23" i="3"/>
  <c r="Q23" i="3" s="1"/>
  <c r="R23" i="3" s="1"/>
  <c r="O23" i="3"/>
  <c r="Y22" i="3"/>
  <c r="P22" i="3"/>
  <c r="Q22" i="3" s="1"/>
  <c r="R22" i="3" s="1"/>
  <c r="O22" i="3"/>
  <c r="Y21" i="3"/>
  <c r="P21" i="3"/>
  <c r="Q21" i="3" s="1"/>
  <c r="R21" i="3" s="1"/>
  <c r="O21" i="3"/>
  <c r="Y20" i="3"/>
  <c r="P20" i="3"/>
  <c r="Q20" i="3" s="1"/>
  <c r="R20" i="3" s="1"/>
  <c r="O20" i="3"/>
  <c r="Y19" i="3"/>
  <c r="P19" i="3"/>
  <c r="Q19" i="3" s="1"/>
  <c r="R19" i="3" s="1"/>
  <c r="O19" i="3"/>
  <c r="Y18" i="3"/>
  <c r="P18" i="3"/>
  <c r="Q18" i="3" s="1"/>
  <c r="R18" i="3" s="1"/>
  <c r="O18" i="3"/>
  <c r="Y17" i="3"/>
  <c r="P17" i="3"/>
  <c r="Q17" i="3" s="1"/>
  <c r="R17" i="3" s="1"/>
  <c r="O17" i="3"/>
  <c r="Y16" i="3"/>
  <c r="P16" i="3"/>
  <c r="Q16" i="3" s="1"/>
  <c r="R16" i="3" s="1"/>
  <c r="O16" i="3"/>
  <c r="Y15" i="3"/>
  <c r="P15" i="3"/>
  <c r="Q15" i="3" s="1"/>
  <c r="R15" i="3" s="1"/>
  <c r="O15" i="3"/>
  <c r="Y14" i="3"/>
  <c r="P14" i="3"/>
  <c r="Q14" i="3" s="1"/>
  <c r="R14" i="3" s="1"/>
  <c r="O14" i="3"/>
  <c r="Y13" i="3"/>
  <c r="P13" i="3"/>
  <c r="Q13" i="3" s="1"/>
  <c r="R13" i="3" s="1"/>
  <c r="O13" i="3"/>
  <c r="Y12" i="3"/>
  <c r="P12" i="3"/>
  <c r="Q12" i="3" s="1"/>
  <c r="R12" i="3" s="1"/>
  <c r="O12" i="3"/>
  <c r="Y11" i="3"/>
  <c r="P11" i="3"/>
  <c r="Q11" i="3" s="1"/>
  <c r="R11" i="3" s="1"/>
  <c r="O11" i="3"/>
  <c r="Y10" i="3"/>
  <c r="P10" i="3"/>
  <c r="Q10" i="3" s="1"/>
  <c r="R10" i="3" s="1"/>
  <c r="O10" i="3"/>
  <c r="Y9" i="3"/>
  <c r="P9" i="3"/>
  <c r="Q9" i="3" s="1"/>
  <c r="R9" i="3" s="1"/>
  <c r="O9" i="3"/>
  <c r="Y8" i="3"/>
  <c r="P8" i="3"/>
  <c r="Q8" i="3" s="1"/>
  <c r="R8" i="3" s="1"/>
  <c r="O8" i="3"/>
  <c r="Y7" i="3"/>
  <c r="P7" i="3"/>
  <c r="Q7" i="3" s="1"/>
  <c r="R7" i="3" s="1"/>
  <c r="O7" i="3"/>
  <c r="Y6" i="3"/>
  <c r="P6" i="3"/>
  <c r="Q6" i="3" s="1"/>
  <c r="R6" i="3" s="1"/>
  <c r="O6" i="3"/>
  <c r="Y5" i="3"/>
  <c r="P5" i="3"/>
  <c r="Q5" i="3" s="1"/>
  <c r="R5" i="3" s="1"/>
  <c r="O5" i="3"/>
  <c r="Y4" i="3"/>
  <c r="P4" i="3"/>
  <c r="O4" i="3"/>
  <c r="B24" i="2"/>
  <c r="B63" i="1"/>
  <c r="B39" i="1"/>
  <c r="B32" i="1"/>
  <c r="B30" i="1"/>
  <c r="B25" i="1"/>
  <c r="B19" i="1"/>
  <c r="B18" i="1"/>
  <c r="B17" i="1"/>
  <c r="B13" i="1"/>
  <c r="I8" i="6" l="1"/>
  <c r="H8" i="6"/>
  <c r="I7" i="6"/>
  <c r="H7" i="6"/>
  <c r="I6" i="6"/>
  <c r="H6" i="6"/>
  <c r="I5" i="6"/>
  <c r="H5" i="6"/>
  <c r="H4" i="6"/>
  <c r="H9" i="6" s="1"/>
  <c r="I4" i="6"/>
  <c r="I9" i="6" s="1"/>
  <c r="B14" i="6" s="1"/>
  <c r="G4" i="5"/>
  <c r="H4" i="5"/>
  <c r="T23" i="3"/>
  <c r="U23" i="3"/>
  <c r="T22" i="3"/>
  <c r="U22" i="3"/>
  <c r="T21" i="3"/>
  <c r="U21" i="3"/>
  <c r="T20" i="3"/>
  <c r="U20" i="3"/>
  <c r="T19" i="3"/>
  <c r="U19" i="3"/>
  <c r="U18" i="3"/>
  <c r="T18" i="3"/>
  <c r="T17" i="3"/>
  <c r="U17" i="3"/>
  <c r="T16" i="3"/>
  <c r="U16" i="3"/>
  <c r="T15" i="3"/>
  <c r="U15" i="3"/>
  <c r="T14" i="3"/>
  <c r="U14" i="3"/>
  <c r="T13" i="3"/>
  <c r="U13" i="3"/>
  <c r="T12" i="3"/>
  <c r="U12" i="3"/>
  <c r="U11" i="3"/>
  <c r="T11" i="3"/>
  <c r="T10" i="3"/>
  <c r="U10" i="3"/>
  <c r="T9" i="3"/>
  <c r="U9" i="3"/>
  <c r="T8" i="3"/>
  <c r="U8" i="3"/>
  <c r="T7" i="3"/>
  <c r="U7" i="3"/>
  <c r="T6" i="3"/>
  <c r="U6" i="3"/>
  <c r="T5" i="3"/>
  <c r="U5" i="3"/>
  <c r="C49" i="4"/>
  <c r="H7" i="4"/>
  <c r="D40" i="4"/>
  <c r="G39" i="4"/>
  <c r="C39" i="4"/>
  <c r="D38" i="4"/>
  <c r="F37" i="4"/>
  <c r="E50" i="4"/>
  <c r="B51" i="4"/>
  <c r="G41" i="4"/>
  <c r="E8" i="4"/>
  <c r="F7" i="4"/>
  <c r="G7" i="4" s="1"/>
  <c r="F6" i="4"/>
  <c r="G6" i="4" s="1"/>
  <c r="H5" i="4"/>
  <c r="D5" i="4"/>
  <c r="E4" i="4"/>
  <c r="H9" i="4"/>
  <c r="H10" i="4"/>
  <c r="D9" i="4"/>
  <c r="C58" i="4"/>
  <c r="B57" i="4"/>
  <c r="C57" i="4"/>
  <c r="Q4" i="3"/>
  <c r="F42" i="4"/>
  <c r="D43" i="4"/>
  <c r="C44" i="4"/>
  <c r="G44" i="4"/>
  <c r="F45" i="4"/>
  <c r="C56" i="4"/>
  <c r="C55" i="4"/>
  <c r="D4" i="4"/>
  <c r="H4" i="4"/>
  <c r="F5" i="4"/>
  <c r="G5" i="4" s="1"/>
  <c r="E6" i="4"/>
  <c r="D7" i="4"/>
  <c r="E5" i="4"/>
  <c r="D6" i="4"/>
  <c r="H6" i="4"/>
  <c r="E7" i="4"/>
  <c r="D8" i="4"/>
  <c r="H8" i="4"/>
  <c r="E9" i="4"/>
  <c r="D10" i="4"/>
  <c r="E10" i="4"/>
  <c r="D36" i="4"/>
  <c r="C37" i="4"/>
  <c r="G37" i="4"/>
  <c r="F38" i="4"/>
  <c r="D39" i="4"/>
  <c r="C40" i="4"/>
  <c r="E40" i="4" s="1"/>
  <c r="G40" i="4"/>
  <c r="F41" i="4"/>
  <c r="H41" i="4" s="1"/>
  <c r="D42" i="4"/>
  <c r="C43" i="4"/>
  <c r="E43" i="4" s="1"/>
  <c r="G43" i="4"/>
  <c r="F44" i="4"/>
  <c r="H44" i="4" s="1"/>
  <c r="D45" i="4"/>
  <c r="B49" i="4"/>
  <c r="D49" i="4" s="1"/>
  <c r="F49" i="4"/>
  <c r="B50" i="4"/>
  <c r="F50" i="4"/>
  <c r="C51" i="4"/>
  <c r="B58" i="4"/>
  <c r="B56" i="4"/>
  <c r="B55" i="4"/>
  <c r="E51" i="4"/>
  <c r="C50" i="4"/>
  <c r="E49" i="4"/>
  <c r="G49" i="4" s="1"/>
  <c r="G45" i="4"/>
  <c r="C45" i="4"/>
  <c r="E45" i="4" s="1"/>
  <c r="D44" i="4"/>
  <c r="F43" i="4"/>
  <c r="H43" i="4" s="1"/>
  <c r="G42" i="4"/>
  <c r="C42" i="4"/>
  <c r="E42" i="4" s="1"/>
  <c r="D41" i="4"/>
  <c r="F40" i="4"/>
  <c r="H40" i="4" s="1"/>
  <c r="F39" i="4"/>
  <c r="H39" i="4" s="1"/>
  <c r="G38" i="4"/>
  <c r="C38" i="4"/>
  <c r="E38" i="4" s="1"/>
  <c r="D37" i="4"/>
  <c r="F36" i="4"/>
  <c r="F51" i="4"/>
  <c r="F10" i="4"/>
  <c r="G10" i="4" s="1"/>
  <c r="F9" i="4"/>
  <c r="G9" i="4" s="1"/>
  <c r="F8" i="4"/>
  <c r="G8" i="4" s="1"/>
  <c r="C41" i="4"/>
  <c r="E41" i="4" s="1"/>
  <c r="I41" i="4" s="1"/>
  <c r="W39" i="3"/>
  <c r="Y39" i="3" s="1"/>
  <c r="F18" i="5" s="1"/>
  <c r="W38" i="3"/>
  <c r="Y38" i="3" s="1"/>
  <c r="F19" i="5" s="1"/>
  <c r="W35" i="3"/>
  <c r="Y35" i="3" s="1"/>
  <c r="F15" i="5" s="1"/>
  <c r="W33" i="3"/>
  <c r="Y33" i="3" s="1"/>
  <c r="F7" i="5" s="1"/>
  <c r="W32" i="3"/>
  <c r="Y32" i="3" s="1"/>
  <c r="F14" i="5" s="1"/>
  <c r="W37" i="3"/>
  <c r="Y37" i="3" s="1"/>
  <c r="F8" i="5" s="1"/>
  <c r="W34" i="3"/>
  <c r="Y34" i="3" s="1"/>
  <c r="F16" i="5" s="1"/>
  <c r="W31" i="3"/>
  <c r="Y31" i="3" s="1"/>
  <c r="F9" i="5" s="1"/>
  <c r="W28" i="3"/>
  <c r="Y28" i="3" s="1"/>
  <c r="F13" i="5" s="1"/>
  <c r="W25" i="3"/>
  <c r="Y25" i="3" s="1"/>
  <c r="F5" i="5" s="1"/>
  <c r="W27" i="3"/>
  <c r="Y27" i="3" s="1"/>
  <c r="F12" i="5" s="1"/>
  <c r="W24" i="3"/>
  <c r="Y24" i="3" s="1"/>
  <c r="F4" i="5" s="1"/>
  <c r="W26" i="3"/>
  <c r="Y26" i="3" s="1"/>
  <c r="F11" i="5" s="1"/>
  <c r="W29" i="3"/>
  <c r="Y29" i="3" s="1"/>
  <c r="F6" i="5" s="1"/>
  <c r="W30" i="3"/>
  <c r="Y30" i="3" s="1"/>
  <c r="F10" i="5" s="1"/>
  <c r="W36" i="3"/>
  <c r="Y36" i="3" s="1"/>
  <c r="F17" i="5" s="1"/>
  <c r="B13" i="6" l="1"/>
  <c r="B27" i="6"/>
  <c r="B28" i="6"/>
  <c r="B29" i="6"/>
  <c r="B24" i="1" s="1"/>
  <c r="J7" i="4"/>
  <c r="I7" i="4"/>
  <c r="J5" i="4"/>
  <c r="I5" i="4"/>
  <c r="J9" i="4"/>
  <c r="I9" i="4"/>
  <c r="J10" i="4"/>
  <c r="I10" i="4"/>
  <c r="E58" i="4"/>
  <c r="D58" i="4"/>
  <c r="D57" i="4"/>
  <c r="E57" i="4"/>
  <c r="E56" i="4"/>
  <c r="D56" i="4"/>
  <c r="E55" i="4"/>
  <c r="D55" i="4"/>
  <c r="H11" i="4"/>
  <c r="J6" i="4"/>
  <c r="I6" i="4"/>
  <c r="J8" i="4"/>
  <c r="I8" i="4"/>
  <c r="I18" i="5"/>
  <c r="J18" i="5"/>
  <c r="I19" i="5"/>
  <c r="J19" i="5"/>
  <c r="I15" i="5"/>
  <c r="J15" i="5"/>
  <c r="I7" i="5"/>
  <c r="J7" i="5"/>
  <c r="I14" i="5"/>
  <c r="J14" i="5"/>
  <c r="I8" i="5"/>
  <c r="J8" i="5"/>
  <c r="I16" i="5"/>
  <c r="J16" i="5"/>
  <c r="J9" i="5"/>
  <c r="I9" i="5"/>
  <c r="I13" i="5"/>
  <c r="J13" i="5"/>
  <c r="I5" i="5"/>
  <c r="J5" i="5"/>
  <c r="I12" i="5"/>
  <c r="J12" i="5"/>
  <c r="I4" i="5"/>
  <c r="K4" i="5" s="1"/>
  <c r="G4" i="7" s="1"/>
  <c r="J4" i="5"/>
  <c r="L4" i="5" s="1"/>
  <c r="H4" i="7" s="1"/>
  <c r="J11" i="5"/>
  <c r="I11" i="5"/>
  <c r="I6" i="5"/>
  <c r="J6" i="5"/>
  <c r="J10" i="5"/>
  <c r="I10" i="5"/>
  <c r="I17" i="5"/>
  <c r="J17" i="5"/>
  <c r="H45" i="4"/>
  <c r="I45" i="4" s="1"/>
  <c r="D11" i="4"/>
  <c r="I40" i="4"/>
  <c r="H50" i="4" s="1"/>
  <c r="I50" i="4" s="1"/>
  <c r="E39" i="4"/>
  <c r="I39" i="4" s="1"/>
  <c r="E11" i="4"/>
  <c r="B12" i="1" s="1"/>
  <c r="E44" i="4"/>
  <c r="I44" i="4" s="1"/>
  <c r="H38" i="4"/>
  <c r="I38" i="4" s="1"/>
  <c r="H49" i="4" s="1"/>
  <c r="I49" i="4" s="1"/>
  <c r="I43" i="4"/>
  <c r="H51" i="4" s="1"/>
  <c r="D50" i="4"/>
  <c r="H37" i="4"/>
  <c r="G50" i="4"/>
  <c r="D51" i="4"/>
  <c r="H42" i="4"/>
  <c r="I42" i="4" s="1"/>
  <c r="E37" i="4"/>
  <c r="I37" i="4" s="1"/>
  <c r="G51" i="4"/>
  <c r="R4" i="3"/>
  <c r="G36" i="4"/>
  <c r="H36" i="4" s="1"/>
  <c r="C36" i="4"/>
  <c r="E36" i="4" s="1"/>
  <c r="I36" i="4" s="1"/>
  <c r="B15" i="6" l="1"/>
  <c r="B19" i="6"/>
  <c r="B20" i="6" s="1"/>
  <c r="B14" i="4"/>
  <c r="U4" i="3"/>
  <c r="T4" i="3"/>
  <c r="F4" i="4" s="1"/>
  <c r="I51" i="4"/>
  <c r="B17" i="6" l="1"/>
  <c r="B16" i="6"/>
  <c r="B21" i="1"/>
  <c r="B7" i="1"/>
  <c r="J4" i="4"/>
  <c r="I4" i="4"/>
  <c r="G4" i="4"/>
  <c r="B18" i="6" l="1"/>
  <c r="B23" i="1" s="1"/>
  <c r="B22" i="1"/>
  <c r="J11" i="4"/>
  <c r="I11" i="4"/>
  <c r="B16" i="4" l="1"/>
  <c r="B9" i="1" s="1"/>
  <c r="G55" i="4"/>
  <c r="G56" i="4"/>
  <c r="L4" i="4"/>
  <c r="L7" i="4"/>
  <c r="N7" i="4" s="1"/>
  <c r="L8" i="4"/>
  <c r="N8" i="4" s="1"/>
  <c r="G58" i="4"/>
  <c r="L5" i="4"/>
  <c r="N5" i="4" s="1"/>
  <c r="L9" i="4"/>
  <c r="N9" i="4" s="1"/>
  <c r="L10" i="4"/>
  <c r="N10" i="4" s="1"/>
  <c r="G57" i="4"/>
  <c r="L6" i="4"/>
  <c r="N6" i="4" s="1"/>
  <c r="B15" i="4"/>
  <c r="F56" i="4"/>
  <c r="H56" i="4" s="1"/>
  <c r="I56" i="4" s="1"/>
  <c r="K6" i="4"/>
  <c r="M6" i="4" s="1"/>
  <c r="K7" i="4"/>
  <c r="M7" i="4" s="1"/>
  <c r="F57" i="4"/>
  <c r="H57" i="4" s="1"/>
  <c r="I57" i="4" s="1"/>
  <c r="K4" i="4"/>
  <c r="K10" i="4"/>
  <c r="M10" i="4" s="1"/>
  <c r="F55" i="4"/>
  <c r="H55" i="4" s="1"/>
  <c r="I55" i="4" s="1"/>
  <c r="F58" i="4"/>
  <c r="H58" i="4" s="1"/>
  <c r="I58" i="4" s="1"/>
  <c r="K5" i="4"/>
  <c r="M5" i="4" s="1"/>
  <c r="K8" i="4"/>
  <c r="M8" i="4" s="1"/>
  <c r="K9" i="4"/>
  <c r="M9" i="4" s="1"/>
  <c r="N4" i="4" l="1"/>
  <c r="L11" i="4"/>
  <c r="B17" i="4"/>
  <c r="B8" i="1"/>
  <c r="M4" i="4"/>
  <c r="K11" i="4"/>
  <c r="N11" i="4" l="1"/>
  <c r="P4" i="4"/>
  <c r="B18" i="4"/>
  <c r="B10" i="1"/>
  <c r="O4" i="4"/>
  <c r="M11" i="4"/>
  <c r="C26" i="4" l="1"/>
  <c r="P5" i="4"/>
  <c r="B21" i="4"/>
  <c r="B15" i="1" s="1"/>
  <c r="B11" i="1"/>
  <c r="O5" i="4"/>
  <c r="B26" i="4"/>
  <c r="P6" i="4" l="1"/>
  <c r="C27" i="4"/>
  <c r="B27" i="4"/>
  <c r="O6" i="4"/>
  <c r="C28" i="4" l="1"/>
  <c r="H12" i="5" s="1"/>
  <c r="L12" i="5" s="1"/>
  <c r="I5" i="9" s="1"/>
  <c r="P7" i="4"/>
  <c r="H11" i="5"/>
  <c r="L11" i="5" s="1"/>
  <c r="I4" i="9" s="1"/>
  <c r="H5" i="5"/>
  <c r="L5" i="5" s="1"/>
  <c r="H5" i="7" s="1"/>
  <c r="G5" i="5"/>
  <c r="K5" i="5" s="1"/>
  <c r="G11" i="5"/>
  <c r="K11" i="5" s="1"/>
  <c r="H4" i="9" s="1"/>
  <c r="O7" i="4"/>
  <c r="B28" i="4"/>
  <c r="G12" i="5" s="1"/>
  <c r="K12" i="5" s="1"/>
  <c r="H5" i="9" s="1"/>
  <c r="P8" i="4" l="1"/>
  <c r="C29" i="4"/>
  <c r="D29" i="7"/>
  <c r="G5" i="7"/>
  <c r="O8" i="4"/>
  <c r="B29" i="4"/>
  <c r="C30" i="4" l="1"/>
  <c r="P9" i="4"/>
  <c r="H6" i="5"/>
  <c r="L6" i="5" s="1"/>
  <c r="H6" i="7" s="1"/>
  <c r="H9" i="5"/>
  <c r="L9" i="5" s="1"/>
  <c r="H9" i="7" s="1"/>
  <c r="H10" i="5"/>
  <c r="L10" i="5" s="1"/>
  <c r="H10" i="7" s="1"/>
  <c r="H14" i="5"/>
  <c r="L14" i="5" s="1"/>
  <c r="I7" i="9" s="1"/>
  <c r="H13" i="5"/>
  <c r="L13" i="5" s="1"/>
  <c r="I6" i="9" s="1"/>
  <c r="C5" i="8"/>
  <c r="E4" i="9"/>
  <c r="E5" i="9"/>
  <c r="E6" i="9"/>
  <c r="B53" i="1"/>
  <c r="C29" i="7"/>
  <c r="B38" i="6"/>
  <c r="B30" i="4"/>
  <c r="O9" i="4"/>
  <c r="G9" i="5"/>
  <c r="K9" i="5" s="1"/>
  <c r="G9" i="7" s="1"/>
  <c r="G10" i="5"/>
  <c r="K10" i="5" s="1"/>
  <c r="G14" i="5"/>
  <c r="K14" i="5" s="1"/>
  <c r="H7" i="9" s="1"/>
  <c r="G6" i="5"/>
  <c r="K6" i="5" s="1"/>
  <c r="G13" i="5"/>
  <c r="K13" i="5" s="1"/>
  <c r="H7" i="5" l="1"/>
  <c r="L7" i="5" s="1"/>
  <c r="H7" i="7" s="1"/>
  <c r="H15" i="5"/>
  <c r="L15" i="5" s="1"/>
  <c r="I8" i="9" s="1"/>
  <c r="H16" i="5"/>
  <c r="L16" i="5" s="1"/>
  <c r="I9" i="9" s="1"/>
  <c r="H17" i="5"/>
  <c r="L17" i="5" s="1"/>
  <c r="I10" i="9" s="1"/>
  <c r="P10" i="4"/>
  <c r="C32" i="4" s="1"/>
  <c r="C31" i="4"/>
  <c r="B5" i="8"/>
  <c r="B52" i="1"/>
  <c r="D4" i="9"/>
  <c r="D5" i="9"/>
  <c r="D6" i="9"/>
  <c r="B27" i="1"/>
  <c r="G7" i="5"/>
  <c r="K7" i="5" s="1"/>
  <c r="G15" i="5"/>
  <c r="K15" i="5" s="1"/>
  <c r="H8" i="9" s="1"/>
  <c r="G16" i="5"/>
  <c r="K16" i="5" s="1"/>
  <c r="H9" i="9" s="1"/>
  <c r="G17" i="5"/>
  <c r="K17" i="5" s="1"/>
  <c r="H10" i="9" s="1"/>
  <c r="O10" i="4"/>
  <c r="B32" i="4" s="1"/>
  <c r="B31" i="4"/>
  <c r="C25" i="5"/>
  <c r="G10" i="7"/>
  <c r="C23" i="5"/>
  <c r="E23" i="5" s="1"/>
  <c r="G6" i="7"/>
  <c r="C24" i="5"/>
  <c r="H6" i="9"/>
  <c r="D31" i="7" l="1"/>
  <c r="H8" i="5"/>
  <c r="L8" i="5" s="1"/>
  <c r="H8" i="7" s="1"/>
  <c r="D32" i="7" s="1"/>
  <c r="H18" i="5"/>
  <c r="L18" i="5" s="1"/>
  <c r="I11" i="9" s="1"/>
  <c r="H19" i="5"/>
  <c r="L19" i="5" s="1"/>
  <c r="I12" i="9" s="1"/>
  <c r="G7" i="7"/>
  <c r="C26" i="5"/>
  <c r="E26" i="5" s="1"/>
  <c r="G8" i="5"/>
  <c r="K8" i="5" s="1"/>
  <c r="G8" i="7" s="1"/>
  <c r="G18" i="5"/>
  <c r="K18" i="5" s="1"/>
  <c r="H11" i="9" s="1"/>
  <c r="G19" i="5"/>
  <c r="K19" i="5" s="1"/>
  <c r="H12" i="9" s="1"/>
  <c r="C7" i="8" l="1"/>
  <c r="E10" i="9"/>
  <c r="E11" i="9"/>
  <c r="E12" i="9"/>
  <c r="B57" i="1"/>
  <c r="B59" i="1"/>
  <c r="C8" i="8"/>
  <c r="B20" i="7"/>
  <c r="C31" i="7"/>
  <c r="B34" i="6"/>
  <c r="B35" i="6" s="1"/>
  <c r="C32" i="7"/>
  <c r="B7" i="8" l="1"/>
  <c r="D10" i="9"/>
  <c r="D11" i="9"/>
  <c r="D12" i="9"/>
  <c r="B56" i="1"/>
  <c r="B39" i="6"/>
  <c r="B36" i="6"/>
  <c r="B26" i="1" s="1"/>
  <c r="B37" i="6"/>
  <c r="B8" i="8"/>
  <c r="B58" i="1"/>
  <c r="F31" i="7"/>
  <c r="G31" i="7"/>
  <c r="D7" i="8" l="1"/>
  <c r="J4" i="6"/>
  <c r="J5" i="6"/>
  <c r="J6" i="6"/>
  <c r="K6" i="6" s="1"/>
  <c r="J7" i="6"/>
  <c r="K7" i="6" s="1"/>
  <c r="J8" i="6"/>
  <c r="K8" i="6" s="1"/>
  <c r="B47" i="6" s="1"/>
  <c r="B33" i="1" s="1"/>
  <c r="B48" i="6"/>
  <c r="B49" i="6" s="1"/>
  <c r="B34" i="1" s="1"/>
  <c r="E7" i="8"/>
  <c r="H31" i="7"/>
  <c r="F10" i="9"/>
  <c r="F11" i="9"/>
  <c r="F12" i="9"/>
  <c r="L7" i="6"/>
  <c r="G10" i="9"/>
  <c r="G11" i="9"/>
  <c r="G12" i="9"/>
  <c r="N7" i="6"/>
  <c r="P7" i="6" s="1"/>
  <c r="B13" i="7" l="1"/>
  <c r="K4" i="6"/>
  <c r="B19" i="7"/>
  <c r="K5" i="6"/>
  <c r="J10" i="9"/>
  <c r="K10" i="9"/>
  <c r="J11" i="9"/>
  <c r="K11" i="9"/>
  <c r="L11" i="9" s="1"/>
  <c r="J12" i="9"/>
  <c r="K12" i="9"/>
  <c r="L12" i="9" s="1"/>
  <c r="M7" i="6"/>
  <c r="O7" i="6"/>
  <c r="Q7" i="6" s="1"/>
  <c r="R7" i="6" s="1"/>
  <c r="B15" i="7" l="1"/>
  <c r="I4" i="7" s="1"/>
  <c r="K4" i="7" s="1"/>
  <c r="B16" i="7"/>
  <c r="J4" i="7" s="1"/>
  <c r="B21" i="7"/>
  <c r="B24" i="7"/>
  <c r="F18" i="9"/>
  <c r="E18" i="9"/>
  <c r="L10" i="9"/>
  <c r="B41" i="1" l="1"/>
  <c r="L4" i="7"/>
  <c r="B41" i="7"/>
  <c r="B25" i="7"/>
  <c r="B26" i="7"/>
  <c r="B23" i="7"/>
  <c r="G18" i="9"/>
  <c r="B71" i="1" s="1"/>
  <c r="B70" i="1"/>
  <c r="B28" i="7" l="1"/>
  <c r="C28" i="7"/>
  <c r="D28" i="7"/>
  <c r="I10" i="7"/>
  <c r="I6" i="7"/>
  <c r="J10" i="7"/>
  <c r="J6" i="7"/>
  <c r="F4" i="8" l="1"/>
  <c r="G28" i="7"/>
  <c r="N4" i="6" s="1"/>
  <c r="P4" i="6" s="1"/>
  <c r="F28" i="7"/>
  <c r="F32" i="7"/>
  <c r="G32" i="7"/>
  <c r="N8" i="6" s="1"/>
  <c r="P8" i="6" s="1"/>
  <c r="B4" i="8"/>
  <c r="B50" i="1"/>
  <c r="C4" i="8"/>
  <c r="B51" i="1"/>
  <c r="K10" i="7"/>
  <c r="K6" i="7"/>
  <c r="L4" i="6" l="1"/>
  <c r="H28" i="7"/>
  <c r="H32" i="7"/>
  <c r="L8" i="6"/>
  <c r="D4" i="8"/>
  <c r="E8" i="8"/>
  <c r="D8" i="8"/>
  <c r="E4" i="8"/>
  <c r="B40" i="7"/>
  <c r="B48" i="1" s="1"/>
  <c r="L10" i="7"/>
  <c r="L6" i="7"/>
  <c r="B43" i="1"/>
  <c r="M4" i="6" l="1"/>
  <c r="O4" i="6"/>
  <c r="Q4" i="6" s="1"/>
  <c r="M8" i="6"/>
  <c r="B50" i="6" s="1"/>
  <c r="B35" i="1" s="1"/>
  <c r="O8" i="6"/>
  <c r="Q8" i="6" s="1"/>
  <c r="R8" i="6" s="1"/>
  <c r="B51" i="6"/>
  <c r="B36" i="1" s="1"/>
  <c r="B37" i="7"/>
  <c r="B42" i="1" s="1"/>
  <c r="B36" i="7"/>
  <c r="B40" i="1" s="1"/>
  <c r="B30" i="7"/>
  <c r="C30" i="7"/>
  <c r="D30" i="7"/>
  <c r="R4" i="6" l="1"/>
  <c r="B39" i="7"/>
  <c r="B45" i="1" s="1"/>
  <c r="B38" i="7"/>
  <c r="B44" i="1" s="1"/>
  <c r="F6" i="8"/>
  <c r="G30" i="7"/>
  <c r="F30" i="7"/>
  <c r="B6" i="8"/>
  <c r="D7" i="9"/>
  <c r="D8" i="9"/>
  <c r="D9" i="9"/>
  <c r="B54" i="1"/>
  <c r="F29" i="7"/>
  <c r="G29" i="7"/>
  <c r="B55" i="1"/>
  <c r="C6" i="8"/>
  <c r="E7" i="9"/>
  <c r="E8" i="9"/>
  <c r="E9" i="9"/>
  <c r="B47" i="1" l="1"/>
  <c r="N6" i="6"/>
  <c r="G9" i="9"/>
  <c r="G8" i="9"/>
  <c r="G7" i="9"/>
  <c r="L6" i="6"/>
  <c r="F9" i="9"/>
  <c r="F8" i="9"/>
  <c r="F7" i="9"/>
  <c r="H30" i="7"/>
  <c r="D6" i="8"/>
  <c r="E5" i="8"/>
  <c r="H29" i="7"/>
  <c r="F4" i="9"/>
  <c r="F5" i="9"/>
  <c r="F6" i="9"/>
  <c r="L5" i="6"/>
  <c r="G4" i="9"/>
  <c r="G5" i="9"/>
  <c r="G6" i="9"/>
  <c r="B46" i="1"/>
  <c r="N5" i="6"/>
  <c r="P5" i="6" s="1"/>
  <c r="E6" i="8"/>
  <c r="D5" i="8"/>
  <c r="D9" i="8" s="1"/>
  <c r="P6" i="6" l="1"/>
  <c r="B45" i="6"/>
  <c r="M6" i="6"/>
  <c r="O6" i="6"/>
  <c r="K9" i="9"/>
  <c r="L9" i="9" s="1"/>
  <c r="J9" i="9"/>
  <c r="K8" i="9"/>
  <c r="L8" i="9" s="1"/>
  <c r="J8" i="9"/>
  <c r="K7" i="9"/>
  <c r="J7" i="9"/>
  <c r="J4" i="9"/>
  <c r="K4" i="9"/>
  <c r="J5" i="9"/>
  <c r="K5" i="9"/>
  <c r="L5" i="9" s="1"/>
  <c r="J6" i="9"/>
  <c r="K6" i="9"/>
  <c r="L6" i="9" s="1"/>
  <c r="M5" i="6"/>
  <c r="O5" i="6"/>
  <c r="Q5" i="6" s="1"/>
  <c r="R5" i="6"/>
  <c r="E9" i="8"/>
  <c r="B11" i="8" s="1"/>
  <c r="B46" i="6" l="1"/>
  <c r="B31" i="1"/>
  <c r="F17" i="9"/>
  <c r="B68" i="1" s="1"/>
  <c r="E17" i="9"/>
  <c r="G17" i="9" s="1"/>
  <c r="B69" i="1" s="1"/>
  <c r="L7" i="9"/>
  <c r="F16" i="9"/>
  <c r="E16" i="9"/>
  <c r="L4" i="9"/>
  <c r="B12" i="8"/>
  <c r="B15" i="8"/>
  <c r="B61" i="1"/>
  <c r="Q6" i="6"/>
  <c r="G16" i="9" l="1"/>
  <c r="B66" i="1"/>
  <c r="B14" i="8"/>
  <c r="B64" i="1" s="1"/>
  <c r="B62" i="1"/>
  <c r="B42" i="6"/>
  <c r="R6" i="6"/>
  <c r="B43" i="6" s="1"/>
  <c r="B29" i="1" s="1"/>
  <c r="B20" i="9" l="1"/>
  <c r="B67" i="1"/>
  <c r="B52" i="6"/>
  <c r="B37" i="1" s="1"/>
  <c r="B28" i="1"/>
</calcChain>
</file>

<file path=xl/sharedStrings.xml><?xml version="1.0" encoding="utf-8"?>
<sst xmlns="http://schemas.openxmlformats.org/spreadsheetml/2006/main" count="991" uniqueCount="477">
  <si>
    <t>Tract 7 boundary analysis, job 26-2214, Estate of Wendell R. Cope</t>
  </si>
  <si>
    <t>Prepared for Ellen Vance, who seals the plat, by the office; report prepared October 29, 2026</t>
  </si>
  <si>
    <t>Deed Book 412, Page 233, Putnam County, Tennessee; field work September 29 and 30, 2026</t>
  </si>
  <si>
    <t>Finding</t>
  </si>
  <si>
    <t>Value</t>
  </si>
  <si>
    <t>Read from</t>
  </si>
  <si>
    <t>Traverse closure</t>
  </si>
  <si>
    <t>Perimeter of the traverse (ft)</t>
  </si>
  <si>
    <t>Traverse</t>
  </si>
  <si>
    <t>Latitude misclosure (ft)</t>
  </si>
  <si>
    <t>Departure misclosure (ft)</t>
  </si>
  <si>
    <t>Linear error of closure (ft)</t>
  </si>
  <si>
    <t>Precision of closure, one part in</t>
  </si>
  <si>
    <t>Traverse shots set aside or rejected</t>
  </si>
  <si>
    <t>Tract classification on the field dates</t>
  </si>
  <si>
    <t>Parameters</t>
  </si>
  <si>
    <t>Firm standard for that class, one part in</t>
  </si>
  <si>
    <t>Closure test</t>
  </si>
  <si>
    <t>Notes file and ties</t>
  </si>
  <si>
    <t>Prism correction on every tie (ft)</t>
  </si>
  <si>
    <t>Offset added to the tie on point 105 (ft)</t>
  </si>
  <si>
    <t>Changes made to the notes file</t>
  </si>
  <si>
    <t>Field Notes</t>
  </si>
  <si>
    <t>Deed comparison</t>
  </si>
  <si>
    <t>Deed linear misclosure on its own calls, as transcribed (ft)</t>
  </si>
  <si>
    <t>Deed</t>
  </si>
  <si>
    <t>Deed misclosure per 1,000 ft of perimeter</t>
  </si>
  <si>
    <t>Deed description test</t>
  </si>
  <si>
    <t>Deed misclosure with the 1978 distance and the 5-1 bearing restored (ft)</t>
  </si>
  <si>
    <t>Rotation line</t>
  </si>
  <si>
    <t>Rotation, deed magnetic bearings to the grid</t>
  </si>
  <si>
    <t>Rotation the road course would give (minutes of arc)</t>
  </si>
  <si>
    <t>Calls out of tolerance</t>
  </si>
  <si>
    <t>Calls in error in the deed</t>
  </si>
  <si>
    <t>3-4 call, deed distance as transcribed (ft)</t>
  </si>
  <si>
    <t>3-4 call, measured distance the plat carries (ft)</t>
  </si>
  <si>
    <t>3-4 call, distance in the 1978 deed of trust (ft)</t>
  </si>
  <si>
    <t>5-1 call, rotated bearing as transcribed</t>
  </si>
  <si>
    <t>5-1 call, rotated bearing with the digits restored</t>
  </si>
  <si>
    <t>5-1 call, measured bearing the plat carries</t>
  </si>
  <si>
    <t>5-1 call, measured less restored (minutes)</t>
  </si>
  <si>
    <t>Finding on the calls in error</t>
  </si>
  <si>
    <t>Monuments and corners</t>
  </si>
  <si>
    <t>Original monuments of the tract found and held</t>
  </si>
  <si>
    <t>Corners</t>
  </si>
  <si>
    <t>Later monuments held as the corner</t>
  </si>
  <si>
    <t>Offset of the corner 1 pin from its test position (ft)</t>
  </si>
  <si>
    <t>Later monuments found and not held</t>
  </si>
  <si>
    <t>Offset of the corner 3 rebar from the corner (ft)</t>
  </si>
  <si>
    <t>Corners to be set</t>
  </si>
  <si>
    <t>Corner to be set</t>
  </si>
  <si>
    <t>Distance from corner 2 to corner 3 (ft)</t>
  </si>
  <si>
    <t>Distance from corner 3 to the stone at corner 4 (ft)</t>
  </si>
  <si>
    <t>Distance the crew's pin at corner 3 is to be moved (ft)</t>
  </si>
  <si>
    <t>Plat coordinates of the corners, adjusted</t>
  </si>
  <si>
    <t>Corner 1 northing (ft)</t>
  </si>
  <si>
    <t>Corner 1 easting (ft)</t>
  </si>
  <si>
    <t>Corner 2 northing (ft)</t>
  </si>
  <si>
    <t>Corner 2 easting (ft)</t>
  </si>
  <si>
    <t>Corner 3 northing (ft)</t>
  </si>
  <si>
    <t>Corner 3 easting (ft)</t>
  </si>
  <si>
    <t>Corner 4 northing (ft)</t>
  </si>
  <si>
    <t>Corner 4 easting (ft)</t>
  </si>
  <si>
    <t>Corner 5 northing (ft)</t>
  </si>
  <si>
    <t>Corner 5 easting (ft)</t>
  </si>
  <si>
    <t>Area</t>
  </si>
  <si>
    <t>Area by coordinates (sq ft)</t>
  </si>
  <si>
    <t>Area (acres)</t>
  </si>
  <si>
    <t>Deed acreage recited</t>
  </si>
  <si>
    <t>Difference, computed less deed (acres)</t>
  </si>
  <si>
    <t>Fences</t>
  </si>
  <si>
    <t>Hutchins fence, greatest offset inside the tract (ft)</t>
  </si>
  <si>
    <t>Hutchins fence finding</t>
  </si>
  <si>
    <t>Ballinger fence, greatest offset outside the tract (ft)</t>
  </si>
  <si>
    <t>Ballinger fence finding</t>
  </si>
  <si>
    <t>Farley fence, greatest offset inside the tract (ft)</t>
  </si>
  <si>
    <t>Farley fence finding</t>
  </si>
  <si>
    <t>Every value on this page reads from the tab named beside it. The tabs behind read from the Field Notes tab, which copies the crew's file shot for shot, and from the deed calls typed on the Deed tab.</t>
  </si>
  <si>
    <t>Parameters and office readings for the tract 7 analysis</t>
  </si>
  <si>
    <t>Parameter</t>
  </si>
  <si>
    <t>Source</t>
  </si>
  <si>
    <t>First station northing (ft)</t>
  </si>
  <si>
    <t>Firm standards 1.4</t>
  </si>
  <si>
    <t>First station easting (ft)</t>
  </si>
  <si>
    <t>Closure standard, urban, one part in</t>
  </si>
  <si>
    <t>Firm standards 1.3</t>
  </si>
  <si>
    <t>Closure standard, rural, one part in</t>
  </si>
  <si>
    <t>Rural</t>
  </si>
  <si>
    <t>Firm standards 1.3; record research: Parcel 041.00 comes inside the corporate limits under Ordinance O26-07, effective November 1, 2026, after the field work of September 29 and 30, 2026</t>
  </si>
  <si>
    <t>Square feet per acre</t>
  </si>
  <si>
    <t>Firm standards 2.1</t>
  </si>
  <si>
    <t>Deed Book 412, Page 233</t>
  </si>
  <si>
    <t>Deed misclosure threshold (ft per 1,000 ft of perimeter)</t>
  </si>
  <si>
    <t>Firm standards 3.1</t>
  </si>
  <si>
    <t>Perimeter unit for the deed misclosure rate (ft)</t>
  </si>
  <si>
    <t>Tolerance of the original survey, distance (ft)</t>
  </si>
  <si>
    <t>Firm standards 3.3</t>
  </si>
  <si>
    <t>Tolerance of the original survey, bearing (minutes)</t>
  </si>
  <si>
    <t>Later monument held within (ft)</t>
  </si>
  <si>
    <t>Firm standards 3.6</t>
  </si>
  <si>
    <t>Occupation reported as encroachment beyond (ft)</t>
  </si>
  <si>
    <t>Firm standards 3.8</t>
  </si>
  <si>
    <t>Minutes in a degree</t>
  </si>
  <si>
    <t>Sexagesimal angle</t>
  </si>
  <si>
    <t>Seconds in a degree</t>
  </si>
  <si>
    <t>Pairs on one course meaned together within (ft)</t>
  </si>
  <si>
    <t>Firm standards 1.1; the same figures test a forward shot against its reverse</t>
  </si>
  <si>
    <t>Pairs on one course meaned together within (seconds)</t>
  </si>
  <si>
    <t>Firm standards 1.1</t>
  </si>
  <si>
    <t>Prism constant set in the instrument (mm)</t>
  </si>
  <si>
    <t>Field book, instrument</t>
  </si>
  <si>
    <t>Prism constant of the mini prism used on the ties (mm)</t>
  </si>
  <si>
    <t>Field book, prisms</t>
  </si>
  <si>
    <t>Meters in a U.S. survey foot</t>
  </si>
  <si>
    <t>Firm standards 1.5</t>
  </si>
  <si>
    <t>Firm standards 1.5: the constant of the prism used less the constant set</t>
  </si>
  <si>
    <t>Field book, point 105: the pole was held 0.60 foot short of the drill hole on the line of sight</t>
  </si>
  <si>
    <t>Distance of the 3-4 call in the 1978 deed of trust (ft)</t>
  </si>
  <si>
    <t>Record research: Trust Book 88, Page 140</t>
  </si>
  <si>
    <t>Distance of the rebar from the Hutchins southwest corner on the 2008 plat (ft)</t>
  </si>
  <si>
    <t>Record research: Plat Cabinet D, Slide 57</t>
  </si>
  <si>
    <t>Length of the Ballinger west line in the Ballinger deed (ft)</t>
  </si>
  <si>
    <t>Record research: Deed Book 377, Page 102</t>
  </si>
  <si>
    <t>Millimeters in a meter</t>
  </si>
  <si>
    <t>Metric conversion, for the prism constants</t>
  </si>
  <si>
    <t>Turn applied to every leg azimuth before the direction mean (degrees)</t>
  </si>
  <si>
    <t>Office convention. The mean bearing of a leg is taken from summed cosines and sines, and the turn keeps those of the T7-T2 leg away from zero where it straddles north. The turn is taken off again after the mean.</t>
  </si>
  <si>
    <t>Field notes, field_notes_traverse_tract7.csv, every shot as recorded, with the office columns beside them</t>
  </si>
  <si>
    <t>SHOT</t>
  </si>
  <si>
    <t>DATE</t>
  </si>
  <si>
    <t>TIME</t>
  </si>
  <si>
    <t>AT</t>
  </si>
  <si>
    <t>TO</t>
  </si>
  <si>
    <t>NS</t>
  </si>
  <si>
    <t>DEG</t>
  </si>
  <si>
    <t>MIN</t>
  </si>
  <si>
    <t>SEC</t>
  </si>
  <si>
    <t>EW</t>
  </si>
  <si>
    <t>HORIZ_DIST_FT</t>
  </si>
  <si>
    <t>CODE</t>
  </si>
  <si>
    <t>STATION USED</t>
  </si>
  <si>
    <t>POINT USED</t>
  </si>
  <si>
    <t>AZIMUTH</t>
  </si>
  <si>
    <t>LEG</t>
  </si>
  <si>
    <t>DIRECTION</t>
  </si>
  <si>
    <t>AZIMUTH ALONG THE LEG</t>
  </si>
  <si>
    <t>PAIR</t>
  </si>
  <si>
    <t>COSINE, LEG AZIMUTH LESS THE TURN</t>
  </si>
  <si>
    <t>SINE, LEG AZIMUTH LESS THE TURN</t>
  </si>
  <si>
    <t>USED</t>
  </si>
  <si>
    <t>PRISM CORRECTION (FT)</t>
  </si>
  <si>
    <t>OFFSET (FT)</t>
  </si>
  <si>
    <t>DISTANCE USED (FT)</t>
  </si>
  <si>
    <t>OFFICE NOTE</t>
  </si>
  <si>
    <t>09/29/2026</t>
  </si>
  <si>
    <t>08:42</t>
  </si>
  <si>
    <t>T1</t>
  </si>
  <si>
    <t>T7</t>
  </si>
  <si>
    <t>N</t>
  </si>
  <si>
    <t>E</t>
  </si>
  <si>
    <t>TRAV</t>
  </si>
  <si>
    <t>Yes</t>
  </si>
  <si>
    <t>09:26</t>
  </si>
  <si>
    <t>S</t>
  </si>
  <si>
    <t>W</t>
  </si>
  <si>
    <t>09:38</t>
  </si>
  <si>
    <t>T2</t>
  </si>
  <si>
    <t>10:04</t>
  </si>
  <si>
    <t>10:31</t>
  </si>
  <si>
    <t>T3</t>
  </si>
  <si>
    <t>10:36</t>
  </si>
  <si>
    <t>11:09</t>
  </si>
  <si>
    <t>11:14</t>
  </si>
  <si>
    <t>11:22</t>
  </si>
  <si>
    <t>T4</t>
  </si>
  <si>
    <t>No</t>
  </si>
  <si>
    <t>Pair in error under firm standards 1.1: the reverse distance of this pair reads 1.20 feet longer than the forward. The pair is rejected, and the second pair carries the T3-T4 leg</t>
  </si>
  <si>
    <t>13:05</t>
  </si>
  <si>
    <t>Pair in error under firm standards 1.1, rejected with shot 9</t>
  </si>
  <si>
    <t>13:11</t>
  </si>
  <si>
    <t>13:17</t>
  </si>
  <si>
    <t>13:26</t>
  </si>
  <si>
    <t>T5</t>
  </si>
  <si>
    <t>14:40</t>
  </si>
  <si>
    <t>14:49</t>
  </si>
  <si>
    <t>T6</t>
  </si>
  <si>
    <t>Set aside: first pair on T5-T6, 0.28 foot short of the second pair, the distance of the county PK nail from the hub at T6</t>
  </si>
  <si>
    <t>15:33</t>
  </si>
  <si>
    <t>Set aside: first pair on T5-T6, taken to the PK nail and not to the hub</t>
  </si>
  <si>
    <t>15:40</t>
  </si>
  <si>
    <t>16:27</t>
  </si>
  <si>
    <t>16:48</t>
  </si>
  <si>
    <t>17:21</t>
  </si>
  <si>
    <t>09/30/2026</t>
  </si>
  <si>
    <t>08:10</t>
  </si>
  <si>
    <t>101</t>
  </si>
  <si>
    <t>IPF</t>
  </si>
  <si>
    <t>08:49</t>
  </si>
  <si>
    <t>102</t>
  </si>
  <si>
    <t>08:53</t>
  </si>
  <si>
    <t>201</t>
  </si>
  <si>
    <t>FNC</t>
  </si>
  <si>
    <t>09:31</t>
  </si>
  <si>
    <t>202</t>
  </si>
  <si>
    <t>Station changed from T2 to T3: the field book ties point 202 from T3, the shot falls between the T2 and T4 set-ups, and from T3 the post stands on the fence line</t>
  </si>
  <si>
    <t>10:12</t>
  </si>
  <si>
    <t>103</t>
  </si>
  <si>
    <t>203</t>
  </si>
  <si>
    <t>Point changed from 103 to 203: the code is FNC, and this is the fence corner post</t>
  </si>
  <si>
    <t>10:15</t>
  </si>
  <si>
    <t>IRF</t>
  </si>
  <si>
    <t>Point changed from 203 to 103: the code is IRF, and the mark stands 588.82 feet from the pin at corner 2, the distance on the 2008 plat</t>
  </si>
  <si>
    <t>10:19</t>
  </si>
  <si>
    <t>107</t>
  </si>
  <si>
    <t>IPS</t>
  </si>
  <si>
    <t>10:24</t>
  </si>
  <si>
    <t>106</t>
  </si>
  <si>
    <t>IP</t>
  </si>
  <si>
    <t>204</t>
  </si>
  <si>
    <t>11:17</t>
  </si>
  <si>
    <t>104</t>
  </si>
  <si>
    <t>STN</t>
  </si>
  <si>
    <t>11:20</t>
  </si>
  <si>
    <t>206</t>
  </si>
  <si>
    <t>11:26</t>
  </si>
  <si>
    <t>205</t>
  </si>
  <si>
    <t>11:33</t>
  </si>
  <si>
    <t>207</t>
  </si>
  <si>
    <t>13:22</t>
  </si>
  <si>
    <t>105</t>
  </si>
  <si>
    <t>Pole held 0.60 foot short of the drill hole on the line of sight; the taped 0.60 foot is added</t>
  </si>
  <si>
    <t>13:27</t>
  </si>
  <si>
    <t>209</t>
  </si>
  <si>
    <t>13:35</t>
  </si>
  <si>
    <t>208</t>
  </si>
  <si>
    <t>Columns A to L are the notes file as recorded. STATION USED and POINT USED carry the three changes the office made on reading the file against the field book, each with its reason in the note beside it. USED marks the traverse shots that enter the mean under firm standards 1.1: a pair in error is rejected, and the pair at fault on a doubled leg is set aside. The mean bearing of a leg is taken as a direction, from the summed cosines and sines of the azimuths turned by 45 degrees, because the T7-T2 leg straddles north.</t>
  </si>
  <si>
    <t>Traverse reduction: mean of the pairs that stand, latitudes and departures, closure, compass rule, station coordinates</t>
  </si>
  <si>
    <t>Leg</t>
  </si>
  <si>
    <t>From</t>
  </si>
  <si>
    <t>To</t>
  </si>
  <si>
    <t>Shots used</t>
  </si>
  <si>
    <t>Shots set aside</t>
  </si>
  <si>
    <t>Mean azimuth</t>
  </si>
  <si>
    <t>Mean bearing</t>
  </si>
  <si>
    <t>Mean distance (ft)</t>
  </si>
  <si>
    <t>Latitude (ft)</t>
  </si>
  <si>
    <t>Departure (ft)</t>
  </si>
  <si>
    <t>Latitude correction</t>
  </si>
  <si>
    <t>Departure correction</t>
  </si>
  <si>
    <t>Adjusted latitude</t>
  </si>
  <si>
    <t>Adjusted departure</t>
  </si>
  <si>
    <t>Northing of To (ft)</t>
  </si>
  <si>
    <t>Easting of To (ft)</t>
  </si>
  <si>
    <t>T1-T7</t>
  </si>
  <si>
    <t>T7-T2</t>
  </si>
  <si>
    <t>T2-T3</t>
  </si>
  <si>
    <t>T3-T4</t>
  </si>
  <si>
    <t>T4-T5</t>
  </si>
  <si>
    <t>T5-T6</t>
  </si>
  <si>
    <t>T6-T1</t>
  </si>
  <si>
    <t>Totals</t>
  </si>
  <si>
    <t>Closure, unadjusted</t>
  </si>
  <si>
    <t>Perimeter (ft)</t>
  </si>
  <si>
    <t>Station coordinates, adjusted</t>
  </si>
  <si>
    <t>Station</t>
  </si>
  <si>
    <t>Northing (ft)</t>
  </si>
  <si>
    <t>Easting (ft)</t>
  </si>
  <si>
    <t>T1 on return</t>
  </si>
  <si>
    <t>Every pair, the forward shot against its reverse under firm standards 1.1</t>
  </si>
  <si>
    <t>Pair</t>
  </si>
  <si>
    <t>Forward distance (ft)</t>
  </si>
  <si>
    <t>Reverse distance (ft)</t>
  </si>
  <si>
    <t>Difference in distance (ft)</t>
  </si>
  <si>
    <t>Forward azimuth</t>
  </si>
  <si>
    <t>Reverse azimuth, turned</t>
  </si>
  <si>
    <t>Difference in bearing (seconds)</t>
  </si>
  <si>
    <t>Test</t>
  </si>
  <si>
    <t>Legs shot twice, the pairs compared under firm standards 1.1</t>
  </si>
  <si>
    <t>First pair, mean distance (ft)</t>
  </si>
  <si>
    <t>Second pair, mean distance (ft)</t>
  </si>
  <si>
    <t>First pair, mean azimuth</t>
  </si>
  <si>
    <t>Second pair, mean azimuth</t>
  </si>
  <si>
    <t>Pairs in error on the leg</t>
  </si>
  <si>
    <t>Closure with other readings of the doubled legs, the other legs as above</t>
  </si>
  <si>
    <t>Reading</t>
  </si>
  <si>
    <t>Linear error (ft)</t>
  </si>
  <si>
    <t>Precision, one part in</t>
  </si>
  <si>
    <t>T5-T6, the first pair alone</t>
  </si>
  <si>
    <t>T5-T6, both pairs meaned together</t>
  </si>
  <si>
    <t>T3-T4, the pair in error alone</t>
  </si>
  <si>
    <t>T3-T4, both pairs meaned together</t>
  </si>
  <si>
    <t>Each leg is the mean of every shot marked used on the Field Notes tab, the reverse shots turned through 180 degrees and the bearings meaned as directions, under firm standards 1.1. The precision divides the perimeter by the linear error as reported to the hundredth, rounded down to the hundred, under firm standards 1.2. The closure is unadjusted, and the compass rule is applied afterwards for the station coordinates, under firm standards 1.4.</t>
  </si>
  <si>
    <t>Monument and fence ties, reduced from the adjusted station coordinates</t>
  </si>
  <si>
    <t>Point</t>
  </si>
  <si>
    <t>What was tied</t>
  </si>
  <si>
    <t>Shot</t>
  </si>
  <si>
    <t>Azimuth</t>
  </si>
  <si>
    <t>Distance used (ft)</t>
  </si>
  <si>
    <t>Station northing</t>
  </si>
  <si>
    <t>Station easting</t>
  </si>
  <si>
    <t>Iron pin, cap PLS 1188, southwest corner at Stanhope Road</t>
  </si>
  <si>
    <t>Iron pin, cap PLS 2207, northwest corner at the Hutchins line</t>
  </si>
  <si>
    <t>Rebar, cap PLS 2207, at the northeast corner</t>
  </si>
  <si>
    <t>Stone with chiseled cross, southeast corner</t>
  </si>
  <si>
    <t>Stone with drill hole, angle point in the Farley line</t>
  </si>
  <si>
    <t>Iron pipe, northwest corner of the Ballinger tract</t>
  </si>
  <si>
    <t>Iron pin, cap PLS 2641, set by the crew at the northeast corner on September 30</t>
  </si>
  <si>
    <t>Hutchins fence post</t>
  </si>
  <si>
    <t>Hutchins fence corner post, meeting the Ballinger fence</t>
  </si>
  <si>
    <t>Ballinger fence post</t>
  </si>
  <si>
    <t>Farley fence post</t>
  </si>
  <si>
    <t>Checks against the record</t>
  </si>
  <si>
    <t>Check</t>
  </si>
  <si>
    <t>Measured (ft)</t>
  </si>
  <si>
    <t>Record (ft)</t>
  </si>
  <si>
    <t>Difference (ft)</t>
  </si>
  <si>
    <t>Pin at corner 2 to the mark coded IRF, the rebar</t>
  </si>
  <si>
    <t>Pin at corner 2 to the fence corner post, point 203</t>
  </si>
  <si>
    <t>Pin at corner 2 to the pin the crew set, point 107</t>
  </si>
  <si>
    <t>Stone at corner 4 to the iron pipe, the Ballinger west line</t>
  </si>
  <si>
    <t>Every tie is reduced from the adjusted coordinates of the station the field book names, on the azimuth observed and the distance as corrected under firm standards 1.5: the prism correction on every tie, and the taped offset on point 105.</t>
  </si>
  <si>
    <t>Deed Book 412, Page 233, reduced on its own calls as transcribed, and compared with the field</t>
  </si>
  <si>
    <t>Call</t>
  </si>
  <si>
    <t>Degrees</t>
  </si>
  <si>
    <t>Minutes</t>
  </si>
  <si>
    <t>Deed distance (ft)</t>
  </si>
  <si>
    <t>Deed azimuth, magnetic 1962</t>
  </si>
  <si>
    <t>Rotated azimuth, grid</t>
  </si>
  <si>
    <t>Rotated bearing</t>
  </si>
  <si>
    <t>Measured azimuth</t>
  </si>
  <si>
    <t>Measured bearing</t>
  </si>
  <si>
    <t>Measured distance (ft)</t>
  </si>
  <si>
    <t>Bearing difference (minutes)</t>
  </si>
  <si>
    <t>Distance difference (ft)</t>
  </si>
  <si>
    <t>Test against the tolerance</t>
  </si>
  <si>
    <t>Finding under 3.3</t>
  </si>
  <si>
    <t>1-2</t>
  </si>
  <si>
    <t>2-3</t>
  </si>
  <si>
    <t>3-4</t>
  </si>
  <si>
    <t>4-5</t>
  </si>
  <si>
    <t>5-1</t>
  </si>
  <si>
    <t>Deed closure on its own calls, as transcribed</t>
  </si>
  <si>
    <t>Deed perimeter (ft)</t>
  </si>
  <si>
    <t>Deed latitude misclosure (ft)</t>
  </si>
  <si>
    <t>Deed departure misclosure (ft)</t>
  </si>
  <si>
    <t>Deed linear misclosure (ft)</t>
  </si>
  <si>
    <t>Deed precision, one part in</t>
  </si>
  <si>
    <t>Azimuth of the deed misclosure</t>
  </si>
  <si>
    <t>Bearing of the deed misclosure</t>
  </si>
  <si>
    <t>The deed with the record's figures in place of the transcription's</t>
  </si>
  <si>
    <t>Degrees of the 5-1 bearing with its two digits exchanged</t>
  </si>
  <si>
    <t>Minutes of the 5-1 bearing, as transcribed</t>
  </si>
  <si>
    <t>Azimuth of the 5-1 call so read, magnetic 1962</t>
  </si>
  <si>
    <t>Deed misclosure with 592.7 feet in the 3-4 call (ft)</t>
  </si>
  <si>
    <t>Deed misclosure with N 43° 31' W in the 5-1 call (ft)</t>
  </si>
  <si>
    <t>Deed misclosure with both figures (ft)</t>
  </si>
  <si>
    <t>Rotation, deed magnetic bearings to the grid, under firm standards 3.2</t>
  </si>
  <si>
    <t>Rotation line, the one deed course with a found original monument at each end</t>
  </si>
  <si>
    <t>Stone at corner 4 to stone at corner 5, the 4-5 call</t>
  </si>
  <si>
    <t>Deed azimuth of the 4-5 call</t>
  </si>
  <si>
    <t>Measured azimuth, stone to stone</t>
  </si>
  <si>
    <t>Rotation (minutes of arc, to the nearest minute)</t>
  </si>
  <si>
    <t>Rotation, degrees and minutes</t>
  </si>
  <si>
    <t>Rotation applied (decimal degrees)</t>
  </si>
  <si>
    <t>Rotation the road course would give, pin to pin, the 1-2 call (minutes of arc)</t>
  </si>
  <si>
    <t>Road course less the 4-5 course (minutes)</t>
  </si>
  <si>
    <t>Comparison</t>
  </si>
  <si>
    <t>Calls in error in the deed, both ends held or set</t>
  </si>
  <si>
    <t>3-4 call, measured less the 1978 figure (ft)</t>
  </si>
  <si>
    <t>5-1 call, that bearing in degrees and minutes</t>
  </si>
  <si>
    <t>5-1 call, measured bearing</t>
  </si>
  <si>
    <t>The deed is reduced on its magnetic bearings unrotated, as transcribed, under firm standards 3.1. The rotation comes from the 4-5 call, the one course with a found original monument at each end, under firm standards 3.2, and it is applied to every call before the comparison in columns J to R, under firm standards 3.3. The 2-3 course ends at the corner to be set, which lies on the rotated deed bearing by construction.</t>
  </si>
  <si>
    <t>Monuments found, the test of each later mark, the crew's pin, and the corners as held or set</t>
  </si>
  <si>
    <t>Corner</t>
  </si>
  <si>
    <t>Deed call for the monument</t>
  </si>
  <si>
    <t>Found in the field</t>
  </si>
  <si>
    <t>Record of the mark</t>
  </si>
  <si>
    <t>Class under firm standards 3.5 to 3.7</t>
  </si>
  <si>
    <t>Test position northing</t>
  </si>
  <si>
    <t>Test position easting</t>
  </si>
  <si>
    <t>Offset from the test position (ft)</t>
  </si>
  <si>
    <t>Disposition</t>
  </si>
  <si>
    <t>1</t>
  </si>
  <si>
    <t>Iron pin on the east margin of Stanhope Road</t>
  </si>
  <si>
    <t>5/8-inch iron pin, plastic cap PLS 1188</t>
  </si>
  <si>
    <t>Plat Cabinet B, Slide 212 (1994): no monument found, pin set at the deed distance from the stone at the angle point</t>
  </si>
  <si>
    <t>Later monument</t>
  </si>
  <si>
    <t>2</t>
  </si>
  <si>
    <t>Iron pin, southwest corner of Hutchins</t>
  </si>
  <si>
    <t>1/2-inch iron pin, aluminum cap PLS 2207, old bend</t>
  </si>
  <si>
    <t>Plat Cabinet D, Slide 57 (2008): pin of the Tolliver survey found in place, straightened and capped where it stood</t>
  </si>
  <si>
    <t>Original, capped in place</t>
  </si>
  <si>
    <t>Held</t>
  </si>
  <si>
    <t>3</t>
  </si>
  <si>
    <t>Iron pin in the west line of Ballinger</t>
  </si>
  <si>
    <t>1/2-inch rebar, aluminum cap PLS 2207</t>
  </si>
  <si>
    <t>Plat Cabinet D, Slide 57 (2008): no monument found, rebar set 588.8 feet from the southwest corner of Hutchins</t>
  </si>
  <si>
    <t>4</t>
  </si>
  <si>
    <t>Stone, southeast corner</t>
  </si>
  <si>
    <t>Stone, 8 by 10 inches, chiseled cross</t>
  </si>
  <si>
    <t>Plat Cabinet B, Slide 212 (1994): found upright; called for in the Cope and the Ballinger deeds</t>
  </si>
  <si>
    <t>Original</t>
  </si>
  <si>
    <t>5</t>
  </si>
  <si>
    <t>Stone in the Farley line</t>
  </si>
  <si>
    <t>Stone, 6 by 8 inches, drill hole, leaning in the fence row</t>
  </si>
  <si>
    <t>Plat Cabinet B, Slide 212 (1994): found in the fence row, leaning, and left as found</t>
  </si>
  <si>
    <t>Ballinger NW</t>
  </si>
  <si>
    <t>Iron pipe, Deed Book 377, Page 102</t>
  </si>
  <si>
    <t>1-inch iron pipe, open top</t>
  </si>
  <si>
    <t>Called for in the Ballinger deed; no survey of the Ballinger tract is of record</t>
  </si>
  <si>
    <t>Original of the adjoiner's deed</t>
  </si>
  <si>
    <t>3, crew's pin</t>
  </si>
  <si>
    <t>None; set September 30, 2026</t>
  </si>
  <si>
    <t>5/8-inch iron pin, cap PLS 2641, set by the crew</t>
  </si>
  <si>
    <t>Field book: set where the 2-3 and 3-4 calls meet when the deed is turned on the road course, before the loop was closed</t>
  </si>
  <si>
    <t>Provisional mark under 3.7</t>
  </si>
  <si>
    <t>Test position of corner 1, firm standards 3.7: the 1-2 call reversed and rotated, at the deed distance, from the pin at corner 2, the nearest held original monument reached by a call within tolerance (the 5-1 call being in error)</t>
  </si>
  <si>
    <t>Rotated azimuth of the 1-2 call, reversed</t>
  </si>
  <si>
    <t>Deed distance of the 1-2 call (ft)</t>
  </si>
  <si>
    <t>Position of corner 3, firm standards 3.7: the rotated 2-3 course from corner 2, met with the Ballinger west line run from the stone at corner 4 to the iron pipe</t>
  </si>
  <si>
    <t>Rotated azimuth of the 2-3 call</t>
  </si>
  <si>
    <t>Azimuth of the Ballinger west line, stone to pipe</t>
  </si>
  <si>
    <t>Distance from corner 2 to the meeting point (ft)</t>
  </si>
  <si>
    <t>Deed distance of the 2-3 call, which gives way (ft)</t>
  </si>
  <si>
    <t>Meeting point less the deed distance (ft)</t>
  </si>
  <si>
    <t>Where the rotated 2-3 course alone would put the corner, at the deed distance: northing</t>
  </si>
  <si>
    <t>Status</t>
  </si>
  <si>
    <t>Course from this corner</t>
  </si>
  <si>
    <t>Counts</t>
  </si>
  <si>
    <t>Distance the crew's pin is to be moved to the corner (ft)</t>
  </si>
  <si>
    <t>Rebar at corner 3, offset from the corner under the road-course rotation (ft)</t>
  </si>
  <si>
    <t>The pin at corner 2 and the stones at corners 4 and 5 are original monuments under firm standards 3.5 and are held. The pin at corner 1 and the rebar at corner 3 are later monuments under 3.6, each tested against the position the corner takes under 3.7. The crew's pin at corner 3 is a provisional mark under 3.7 and is moved to the position the analysis gives.</t>
  </si>
  <si>
    <t>Area by the coordinate method on the corners as held or set</t>
  </si>
  <si>
    <t>Cross product N(i) x E(i+1)</t>
  </si>
  <si>
    <t>Cross product N(i+1) x E(i)</t>
  </si>
  <si>
    <t>Area (sq ft)</t>
  </si>
  <si>
    <t>Difference (sq ft)</t>
  </si>
  <si>
    <t>The corners are the five corners as held or set on the Corners tab, under firm standards 2.1. The deed recites its acreage more or less, and area is the last of the calls under firm standards 3.4.</t>
  </si>
  <si>
    <t>Fence ties against the boundary as computed</t>
  </si>
  <si>
    <t>Fence</t>
  </si>
  <si>
    <t>Boundary course</t>
  </si>
  <si>
    <t>From corner northing</t>
  </si>
  <si>
    <t>From corner easting</t>
  </si>
  <si>
    <t>Course azimuth</t>
  </si>
  <si>
    <t>Course length (ft)</t>
  </si>
  <si>
    <t>Post northing</t>
  </si>
  <si>
    <t>Post easting</t>
  </si>
  <si>
    <t>Distance along the course (ft)</t>
  </si>
  <si>
    <t>Offset, inside the tract positive (ft)</t>
  </si>
  <si>
    <t>Side</t>
  </si>
  <si>
    <t>Hutchins</t>
  </si>
  <si>
    <t>Ballinger</t>
  </si>
  <si>
    <t>Farley</t>
  </si>
  <si>
    <t>Adjoining owner</t>
  </si>
  <si>
    <t>Posts tied</t>
  </si>
  <si>
    <t>Greatest offset inside the tract (ft)</t>
  </si>
  <si>
    <t>Greatest offset outside the tract (ft)</t>
  </si>
  <si>
    <t>Finding under firm standards 3.8</t>
  </si>
  <si>
    <t>Hutchins fence</t>
  </si>
  <si>
    <t>Ballinger fence</t>
  </si>
  <si>
    <t>Farley fence</t>
  </si>
  <si>
    <t>Fences reported as encroachments</t>
  </si>
  <si>
    <t>The tract lies to the right of each course in the order 1, 2, 3, 4, 5, so a post to the right of its course stands inside the tract. Offsets are at right angles to the boundary as computed, under firm standards 3.8.</t>
  </si>
  <si>
    <t>Note to Ellen Vance on the tract 7 analysis</t>
  </si>
  <si>
    <t>Ellen, this is the office analysis on tract 7 for the Cope estate, job 26-2214, from Dwight's traverse of September 29, the ties of September 30, and Colleen's record research of October 1 and 2. The findings page carries every figure the plat will rest on, and each one reads from the tab named beside it.</t>
  </si>
  <si>
    <t>The traverse closes inside the rural standard. Three legs were shot twice. On T3 to T4 the first pair reads 1.20 feet apart between its forward and reverse, so it is a pair in error under firm standards 1.1. It is rejected, and the second pair carries the leg. On T5 to T6 both pairs stand on their own but differ by 0.28 foot, so they are not meaned together. The first pair is set aside: the field book puts the county's PK nail 0.28 foot from the hub at T6 on the side toward T5, the first pair is short by that distance, and the loop closes to one part in 8,300 on the first pair against one part in 12,500 on the second. The two pairs on T2 to T3 agree within 0.01 foot and are meaned together. On the shots used the seven legs run 2,511.75 feet and miss T1 by 0.202 foot in latitude and 0.017 foot in departure, a linear error of 0.20 foot and a precision of one part in 12,500.</t>
  </si>
  <si>
    <t>The T7 to T2 leg runs within seconds of due north, and its forward shot falls on the west side of north while the reverse falls on the east. The bearings are meaned as directions on every leg, from the summed cosines and sines of the azimuths turned by 45 degrees, with the turn taken off again after the mean. A plain average of the two azimuths on that leg, 359.999 and 0.000, would point the leg south and throw the loop open by six hundred feet.</t>
  </si>
  <si>
    <t>The tract is rural on the field dates under firm standards 1.3, as the crew ran it. Parcel 041.00 comes inside the corporate limits of Cookeville under Ordinance O26-07, which takes effect on November 1, 2026, after the field work. The standard is one part in 10,000, and the traverse meets it. The same closure would not meet the urban standard of one part in 15,000.</t>
  </si>
  <si>
    <t>Three entries in the notes file are changed on the field book and the record. The shot to point 202 is reduced from T3 and not from T2, because the field book ties that post from T3 and the shot was taken between the T2 and T4 set-ups. The numbers of points 103 and 203 are exchanged, because the shot coded IRF is the rebar, and it stands 588.82 feet from the pin at corner 2, the distance on the 2008 plat. Every tie distance carries a prism correction of 0.04 foot under firm standards 1.5, since the mini prism of -17.5 mm was shot with the instrument set at -30 mm, and the tie to the stone at corner 5 carries the 0.60 foot the crew taped as well.</t>
  </si>
  <si>
    <t>The deed does not close on its own calls as transcribed. Reduced on its magnetic bearings, the description runs 2,562.0 feet and misses the point of beginning by 32.13 feet, which is 12.54 feet per 1,000 feet of perimeter. That is a defect in the description under firm standards 3.1. Two calls are at fault. With the 1978 deed of trust's 592.7 feet in the 3-4 call alone the misclosure is 35.30 feet; with the 5-1 bearing read N 43° 31' W alone it is 4.69 feet; with both it is 0.21 foot.</t>
  </si>
  <si>
    <t>Three original monuments of the tract are found and held: the pin at corner 2, which the 2008 Hutchins survey found in place as the Tolliver pin and capped where it stood, the stone at corner 4, found upright in 1994, and the stone at corner 5, which the 1994 survey found in the fence row and left as found. The 4-5 call is the one deed course with a found original monument at each end, so the rotation comes from it under firm standards 3.2. The deed bearing S 77° 59' W stands against the measured S 80° 11' 02" W, a rotation of 2° 12' east of the deed bearings taken to the nearest minute. Every call is rotated by that amount. The road course, pin to pin, would give 2° 15', but the pin at corner 1 is not an original monument: its cap reads PLS 1188, and the 1994 plat records that no monument was found there, with a pin set at the deed distance from the stone.</t>
  </si>
  <si>
    <t>The pin at corner 1 is a later monument under firm standards 3.6. The 5-1 call is in error, so its test position comes from the pin at corner 2 by the reversed 1-2 call. That position lies 0.48 foot from the pin, inside the 0.50 foot, and the pin is held as the corner. The rebar at corner 3 is a later monument as well. The 2008 survey set it at the deed distance from corner 2 with no monument found, and it lies 0.85 foot from the position the corner takes under firm standards 3.7, so it is not held. Under the road-course rotation the same rebar would sit 0.33 foot from the corner and would wrongly hold.</t>
  </si>
  <si>
    <t>The deed places corner 3 in the west line of Ballinger, and that line runs between the stone at corner 4 and the iron pipe at the Ballinger northwest corner, both called for in Deed Book 377, Page 102. Corner 3 is set where the rotated 2-3 course from corner 2 meets that line, at northing 5,493.900 and easting 5,751.948, which is 588.81 feet from corner 2 and 592.42 feet from the stone at corner 4. The stone and the pipe measure 806.85 feet apart against 806.9 feet in the Ballinger deed. Dwight's pin at corner 3 was set on the road-course rotation where the 2-3 and 3-4 calls meet, before the loop was closed; it stands 0.47 foot from the corner and is to be reset there under 3.7.</t>
  </si>
  <si>
    <t>The 3-4 and 5-1 calls are the two in error, and the field is right on both. Our transcription reads 597.2 feet for the 3-4 call, the measured course is 592.42 feet, and the 1978 deed of trust reads 592.7 feet, which is 597.2 with its last two digits exchanged; the plat carries the measured 592.42 feet. Our transcription reads N 34° 31' W for the 5-1 call, which is 9 degrees off the course between the stone at corner 5 and the pin at corner 1. With its first two digits exchanged the call reads N 43° 31' W, which rotated is N 41° 19' W against the measured N 41° 15' 59" W, a difference of 3 minutes; the plat carries the measured bearing. Every other call agrees with the field within ten minutes and one foot. Both are errors in the deed under firm standards 3.3, each resting on held or set corners at both ends.</t>
  </si>
  <si>
    <t>The area by coordinates on the five corners as held or set is 430,624 square feet, which is 9.886 acres. The deed recites 9.89 acres more or less, so the computed area is under the deed by 0.004 acre, which is 184 square feet.</t>
  </si>
  <si>
    <t>The Hutchins wire fence stands inside the tract along the 2-3 course at its middle post, by 0.66 foot, with the post by the road 0.15 foot outside and the corner post 0.43 foot outside. That is an encroachment by Hutchins under firm standards 3.8, because the greatest offset inside is over 0.25 foot. The Ballinger board fence stands outside the tract by 0.12 to 0.35 foot, and the Farley fence stands inside it by 0.24 foot at most, so both are occupation notes only.</t>
  </si>
  <si>
    <t>Five things the field evidence leaves open. First, Dwight's pin at corner 3 is to be reset 0.47 foot away at the position above, so the crew goes back before the plat is final. Second, the corner 1 pin is held on the 1994 survey's measurements and not on an original mark, so an original pin recovered at that corner would control over it. Third, the register's image of Deed Book 412, Page 233, should be read again at the 3-4 and 5-1 calls, because the slips may be in our transcription and not in the deed. Fourth, the tract comes inside the city on November 1, 2026, before the closing, and this traverse would not meet the urban standard that applies to field work from that date. Fifth, the Hutchins fence encroachment at the middle post is for you to show on the plat and to raise with the buyer.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</si>
</sst>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00000000"/>
    <numFmt numFmtId="166" formatCode="0.000"/>
    <numFmt numFmtId="167" formatCode="0.0"/>
    <numFmt numFmtId="168" formatCode="#,##0.000"/>
  </numFmts>
  <fonts count="4" x14ac:knownFonts="1">
    <font>
      <sz val="11"/>
      <color theme="1"/>
      <name val="Calibri"/>
      <family val="2"/>
      <scheme val="minor"/>
    </font>
    <font>
      <b/>
      <sz val="13"/>
      <name val="Calibri"/>
      <family val="2"/>
    </font>
    <font>
      <b/>
      <sz val="11"/>
      <name val="Calibri"/>
      <family val="2"/>
    </font>
    <font>
      <sz val="11"/>
      <name val="Calibri"/>
      <family val="2"/>
    </font>
  </fonts>
  <fills count="3">
    <fill>
      <patternFill patternType="none"/>
    </fill>
    <fill>
      <patternFill patternType="gray125"/>
    </fill>
    <fill>
      <patternFill patternType="solid">
        <fgColor rgb="FFE3E8D9"/>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3" fillId="0" borderId="0" xfId="0" applyFont="1"/>
    <xf numFmtId="0" fontId="2" fillId="2" borderId="0" xfId="0" applyFont="1" applyFill="1" applyAlignment="1">
      <alignment vertical="top" wrapText="1"/>
    </xf>
    <xf numFmtId="0" fontId="2" fillId="0" borderId="0" xfId="0" applyFont="1"/>
    <xf numFmtId="166" fontId="3" fillId="0" borderId="0" xfId="0" applyNumberFormat="1" applyFont="1" applyAlignment="1">
      <alignment horizontal="left"/>
    </xf>
    <xf numFmtId="2" fontId="3" fillId="0" borderId="0" xfId="0" applyNumberFormat="1" applyFont="1" applyAlignment="1">
      <alignment horizontal="left"/>
    </xf>
    <xf numFmtId="3" fontId="3" fillId="0" borderId="0" xfId="0" applyNumberFormat="1" applyFont="1" applyAlignment="1">
      <alignment horizontal="left"/>
    </xf>
    <xf numFmtId="1" fontId="3" fillId="0" borderId="0" xfId="0" applyNumberFormat="1" applyFont="1" applyAlignment="1">
      <alignment horizontal="left"/>
    </xf>
    <xf numFmtId="0" fontId="3" fillId="0" borderId="0" xfId="0" applyFont="1" applyAlignment="1">
      <alignment horizontal="left"/>
    </xf>
    <xf numFmtId="167" fontId="3" fillId="0" borderId="0" xfId="0" applyNumberFormat="1" applyFont="1" applyAlignment="1">
      <alignment horizontal="left"/>
    </xf>
    <xf numFmtId="0" fontId="3" fillId="0" borderId="0" xfId="0" applyFont="1" applyAlignment="1">
      <alignment vertical="top" wrapText="1"/>
    </xf>
    <xf numFmtId="2" fontId="3" fillId="0" borderId="0" xfId="0" applyNumberFormat="1" applyFont="1"/>
    <xf numFmtId="164" fontId="3" fillId="0" borderId="0" xfId="0" applyNumberFormat="1" applyFont="1"/>
    <xf numFmtId="165" fontId="3" fillId="0" borderId="0" xfId="0" applyNumberFormat="1" applyFont="1"/>
    <xf numFmtId="166" fontId="3" fillId="0" borderId="0" xfId="0" applyNumberFormat="1" applyFont="1"/>
    <xf numFmtId="3" fontId="3" fillId="0" borderId="0" xfId="0" applyNumberFormat="1" applyFont="1"/>
    <xf numFmtId="1" fontId="3" fillId="0" borderId="0" xfId="0" applyNumberFormat="1" applyFont="1"/>
    <xf numFmtId="167" fontId="3" fillId="0" borderId="0" xfId="0" applyNumberFormat="1" applyFont="1"/>
    <xf numFmtId="168"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tabSelected="1" workbookViewId="0"/>
  </sheetViews>
  <sheetFormatPr baseColWidth="10" defaultColWidth="8.83203125" defaultRowHeight="15" x14ac:dyDescent="0.2"/>
  <cols>
    <col min="1" max="1" width="62" customWidth="1"/>
    <col min="2" max="2" width="36" customWidth="1"/>
    <col min="3" max="3" width="16" customWidth="1"/>
  </cols>
  <sheetData>
    <row r="1" spans="1:3" ht="17" customHeight="1" x14ac:dyDescent="0.2">
      <c r="A1" s="1" t="s">
        <v>0</v>
      </c>
    </row>
    <row r="2" spans="1:3" x14ac:dyDescent="0.2">
      <c r="A2" s="2" t="s">
        <v>1</v>
      </c>
    </row>
    <row r="3" spans="1:3" x14ac:dyDescent="0.2">
      <c r="A3" s="2" t="s">
        <v>2</v>
      </c>
    </row>
    <row r="5" spans="1:3" ht="16" customHeight="1" x14ac:dyDescent="0.2">
      <c r="A5" s="3" t="s">
        <v>3</v>
      </c>
      <c r="B5" s="3" t="s">
        <v>4</v>
      </c>
      <c r="C5" s="3" t="s">
        <v>5</v>
      </c>
    </row>
    <row r="6" spans="1:3" x14ac:dyDescent="0.2">
      <c r="A6" s="4" t="s">
        <v>6</v>
      </c>
    </row>
    <row r="7" spans="1:3" x14ac:dyDescent="0.2">
      <c r="A7" s="2" t="s">
        <v>7</v>
      </c>
      <c r="B7" s="5">
        <f>Traverse!B14</f>
        <v>2511.753</v>
      </c>
      <c r="C7" s="2" t="s">
        <v>8</v>
      </c>
    </row>
    <row r="8" spans="1:3" x14ac:dyDescent="0.2">
      <c r="A8" s="2" t="s">
        <v>9</v>
      </c>
      <c r="B8" s="5">
        <f>Traverse!B15</f>
        <v>-0.202</v>
      </c>
      <c r="C8" s="2" t="s">
        <v>8</v>
      </c>
    </row>
    <row r="9" spans="1:3" x14ac:dyDescent="0.2">
      <c r="A9" s="2" t="s">
        <v>10</v>
      </c>
      <c r="B9" s="5">
        <f>Traverse!B16</f>
        <v>-0.017</v>
      </c>
      <c r="C9" s="2" t="s">
        <v>8</v>
      </c>
    </row>
    <row r="10" spans="1:3" x14ac:dyDescent="0.2">
      <c r="A10" s="2" t="s">
        <v>11</v>
      </c>
      <c r="B10" s="6">
        <f>Traverse!B17</f>
        <v>0.2</v>
      </c>
      <c r="C10" s="2" t="s">
        <v>8</v>
      </c>
    </row>
    <row r="11" spans="1:3" x14ac:dyDescent="0.2">
      <c r="A11" s="2" t="s">
        <v>12</v>
      </c>
      <c r="B11" s="7">
        <f>Traverse!B18</f>
        <v>12500</v>
      </c>
      <c r="C11" s="2" t="s">
        <v>8</v>
      </c>
    </row>
    <row r="12" spans="1:3" x14ac:dyDescent="0.2">
      <c r="A12" s="2" t="s">
        <v>13</v>
      </c>
      <c r="B12" s="8">
        <f>Traverse!E11</f>
        <v>4</v>
      </c>
      <c r="C12" s="2" t="s">
        <v>8</v>
      </c>
    </row>
    <row r="13" spans="1:3" x14ac:dyDescent="0.2">
      <c r="A13" s="2" t="s">
        <v>14</v>
      </c>
      <c r="B13" s="9" t="str">
        <f>Traverse!B19</f>
        <v>Rural</v>
      </c>
      <c r="C13" s="2" t="s">
        <v>15</v>
      </c>
    </row>
    <row r="14" spans="1:3" x14ac:dyDescent="0.2">
      <c r="A14" s="2" t="s">
        <v>16</v>
      </c>
      <c r="B14" s="7">
        <f>Traverse!B20</f>
        <v>10000</v>
      </c>
      <c r="C14" s="2" t="s">
        <v>15</v>
      </c>
    </row>
    <row r="15" spans="1:3" x14ac:dyDescent="0.2">
      <c r="A15" s="2" t="s">
        <v>17</v>
      </c>
      <c r="B15" s="9" t="str">
        <f>Traverse!B21</f>
        <v>Meets the standard</v>
      </c>
      <c r="C15" s="2" t="s">
        <v>8</v>
      </c>
    </row>
    <row r="16" spans="1:3" x14ac:dyDescent="0.2">
      <c r="A16" s="4" t="s">
        <v>18</v>
      </c>
    </row>
    <row r="17" spans="1:3" x14ac:dyDescent="0.2">
      <c r="A17" s="2" t="s">
        <v>19</v>
      </c>
      <c r="B17" s="6">
        <f>Parameters!B24</f>
        <v>0.04</v>
      </c>
      <c r="C17" s="2" t="s">
        <v>15</v>
      </c>
    </row>
    <row r="18" spans="1:3" x14ac:dyDescent="0.2">
      <c r="A18" s="2" t="s">
        <v>20</v>
      </c>
      <c r="B18" s="6">
        <f>Parameters!B25</f>
        <v>0.6</v>
      </c>
      <c r="C18" s="2" t="s">
        <v>15</v>
      </c>
    </row>
    <row r="19" spans="1:3" x14ac:dyDescent="0.2">
      <c r="A19" s="2" t="s">
        <v>21</v>
      </c>
      <c r="B19" s="8">
        <f>COUNTA('Field Notes'!Z27:Z29)</f>
        <v>3</v>
      </c>
      <c r="C19" s="2" t="s">
        <v>22</v>
      </c>
    </row>
    <row r="20" spans="1:3" x14ac:dyDescent="0.2">
      <c r="A20" s="4" t="s">
        <v>23</v>
      </c>
    </row>
    <row r="21" spans="1:3" x14ac:dyDescent="0.2">
      <c r="A21" s="2" t="s">
        <v>24</v>
      </c>
      <c r="B21" s="6">
        <f>Deed!B15</f>
        <v>32.13</v>
      </c>
      <c r="C21" s="2" t="s">
        <v>25</v>
      </c>
    </row>
    <row r="22" spans="1:3" x14ac:dyDescent="0.2">
      <c r="A22" s="2" t="s">
        <v>26</v>
      </c>
      <c r="B22" s="6">
        <f>Deed!B16</f>
        <v>12.54</v>
      </c>
      <c r="C22" s="2" t="s">
        <v>25</v>
      </c>
    </row>
    <row r="23" spans="1:3" x14ac:dyDescent="0.2">
      <c r="A23" s="2" t="s">
        <v>27</v>
      </c>
      <c r="B23" s="9" t="str">
        <f>Deed!B18</f>
        <v>Defect in the description</v>
      </c>
      <c r="C23" s="2" t="s">
        <v>25</v>
      </c>
    </row>
    <row r="24" spans="1:3" x14ac:dyDescent="0.2">
      <c r="A24" s="2" t="s">
        <v>28</v>
      </c>
      <c r="B24" s="6">
        <f>Deed!B29</f>
        <v>0.21</v>
      </c>
      <c r="C24" s="2" t="s">
        <v>25</v>
      </c>
    </row>
    <row r="25" spans="1:3" x14ac:dyDescent="0.2">
      <c r="A25" s="2" t="s">
        <v>29</v>
      </c>
      <c r="B25" s="9" t="str">
        <f>Deed!B32</f>
        <v>Stone at corner 4 to stone at corner 5, the 4-5 call</v>
      </c>
      <c r="C25" s="2" t="s">
        <v>25</v>
      </c>
    </row>
    <row r="26" spans="1:3" x14ac:dyDescent="0.2">
      <c r="A26" s="2" t="s">
        <v>30</v>
      </c>
      <c r="B26" s="9" t="str">
        <f>Deed!B36</f>
        <v>2° 12' east of the deed bearings</v>
      </c>
      <c r="C26" s="2" t="s">
        <v>25</v>
      </c>
    </row>
    <row r="27" spans="1:3" x14ac:dyDescent="0.2">
      <c r="A27" s="2" t="s">
        <v>31</v>
      </c>
      <c r="B27" s="8">
        <f>Deed!B38</f>
        <v>135</v>
      </c>
      <c r="C27" s="2" t="s">
        <v>25</v>
      </c>
    </row>
    <row r="28" spans="1:3" x14ac:dyDescent="0.2">
      <c r="A28" s="2" t="s">
        <v>32</v>
      </c>
      <c r="B28" s="8">
        <f>Deed!B42</f>
        <v>2</v>
      </c>
      <c r="C28" s="2" t="s">
        <v>25</v>
      </c>
    </row>
    <row r="29" spans="1:3" x14ac:dyDescent="0.2">
      <c r="A29" s="2" t="s">
        <v>33</v>
      </c>
      <c r="B29" s="8">
        <f>Deed!B43</f>
        <v>2</v>
      </c>
      <c r="C29" s="2" t="s">
        <v>25</v>
      </c>
    </row>
    <row r="30" spans="1:3" x14ac:dyDescent="0.2">
      <c r="A30" s="2" t="s">
        <v>34</v>
      </c>
      <c r="B30" s="10">
        <f>Deed!B44</f>
        <v>597.2</v>
      </c>
      <c r="C30" s="2" t="s">
        <v>25</v>
      </c>
    </row>
    <row r="31" spans="1:3" x14ac:dyDescent="0.2">
      <c r="A31" s="2" t="s">
        <v>35</v>
      </c>
      <c r="B31" s="6">
        <f>Deed!B45</f>
        <v>592.42</v>
      </c>
      <c r="C31" s="2" t="s">
        <v>25</v>
      </c>
    </row>
    <row r="32" spans="1:3" x14ac:dyDescent="0.2">
      <c r="A32" s="2" t="s">
        <v>36</v>
      </c>
      <c r="B32" s="10">
        <f>Deed!B23</f>
        <v>592.7</v>
      </c>
      <c r="C32" s="2" t="s">
        <v>25</v>
      </c>
    </row>
    <row r="33" spans="1:3" x14ac:dyDescent="0.2">
      <c r="A33" s="2" t="s">
        <v>37</v>
      </c>
      <c r="B33" s="9" t="str">
        <f>Deed!B47</f>
        <v>N 32° 19' W</v>
      </c>
      <c r="C33" s="2" t="s">
        <v>25</v>
      </c>
    </row>
    <row r="34" spans="1:3" x14ac:dyDescent="0.2">
      <c r="A34" s="2" t="s">
        <v>38</v>
      </c>
      <c r="B34" s="9" t="str">
        <f>Deed!B49</f>
        <v>N 41° 19' W</v>
      </c>
      <c r="C34" s="2" t="s">
        <v>25</v>
      </c>
    </row>
    <row r="35" spans="1:3" x14ac:dyDescent="0.2">
      <c r="A35" s="2" t="s">
        <v>39</v>
      </c>
      <c r="B35" s="9" t="str">
        <f>Deed!B50</f>
        <v>N 41° 15' 59" W</v>
      </c>
      <c r="C35" s="2" t="s">
        <v>25</v>
      </c>
    </row>
    <row r="36" spans="1:3" x14ac:dyDescent="0.2">
      <c r="A36" s="2" t="s">
        <v>40</v>
      </c>
      <c r="B36" s="8">
        <f>Deed!B51</f>
        <v>3</v>
      </c>
      <c r="C36" s="2" t="s">
        <v>25</v>
      </c>
    </row>
    <row r="37" spans="1:3" x14ac:dyDescent="0.2">
      <c r="A37" s="2" t="s">
        <v>41</v>
      </c>
      <c r="B37" s="9" t="str">
        <f>Deed!B52</f>
        <v>Two errors in the deed, the 3-4 distance and the 5-1 bearing; the measured courses stand</v>
      </c>
      <c r="C37" s="2" t="s">
        <v>25</v>
      </c>
    </row>
    <row r="38" spans="1:3" x14ac:dyDescent="0.2">
      <c r="A38" s="4" t="s">
        <v>42</v>
      </c>
    </row>
    <row r="39" spans="1:3" x14ac:dyDescent="0.2">
      <c r="A39" s="2" t="s">
        <v>43</v>
      </c>
      <c r="B39" s="8">
        <f>Corners!B35</f>
        <v>3</v>
      </c>
      <c r="C39" s="2" t="s">
        <v>44</v>
      </c>
    </row>
    <row r="40" spans="1:3" x14ac:dyDescent="0.2">
      <c r="A40" s="2" t="s">
        <v>45</v>
      </c>
      <c r="B40" s="8">
        <f>Corners!B36</f>
        <v>1</v>
      </c>
      <c r="C40" s="2" t="s">
        <v>44</v>
      </c>
    </row>
    <row r="41" spans="1:3" x14ac:dyDescent="0.2">
      <c r="A41" s="2" t="s">
        <v>46</v>
      </c>
      <c r="B41" s="6">
        <f>Corners!K4</f>
        <v>0.48</v>
      </c>
      <c r="C41" s="2" t="s">
        <v>44</v>
      </c>
    </row>
    <row r="42" spans="1:3" x14ac:dyDescent="0.2">
      <c r="A42" s="2" t="s">
        <v>47</v>
      </c>
      <c r="B42" s="8">
        <f>Corners!B37</f>
        <v>1</v>
      </c>
      <c r="C42" s="2" t="s">
        <v>44</v>
      </c>
    </row>
    <row r="43" spans="1:3" x14ac:dyDescent="0.2">
      <c r="A43" s="2" t="s">
        <v>48</v>
      </c>
      <c r="B43" s="6">
        <f>Corners!K6</f>
        <v>0.85</v>
      </c>
      <c r="C43" s="2" t="s">
        <v>44</v>
      </c>
    </row>
    <row r="44" spans="1:3" x14ac:dyDescent="0.2">
      <c r="A44" s="2" t="s">
        <v>49</v>
      </c>
      <c r="B44" s="8">
        <f>Corners!B38</f>
        <v>1</v>
      </c>
      <c r="C44" s="2" t="s">
        <v>44</v>
      </c>
    </row>
    <row r="45" spans="1:3" x14ac:dyDescent="0.2">
      <c r="A45" s="2" t="s">
        <v>50</v>
      </c>
      <c r="B45" s="8">
        <f>Corners!B39</f>
        <v>3</v>
      </c>
      <c r="C45" s="2" t="s">
        <v>44</v>
      </c>
    </row>
    <row r="46" spans="1:3" x14ac:dyDescent="0.2">
      <c r="A46" s="2" t="s">
        <v>51</v>
      </c>
      <c r="B46" s="6">
        <f>Corners!G29</f>
        <v>588.81</v>
      </c>
      <c r="C46" s="2" t="s">
        <v>44</v>
      </c>
    </row>
    <row r="47" spans="1:3" x14ac:dyDescent="0.2">
      <c r="A47" s="2" t="s">
        <v>52</v>
      </c>
      <c r="B47" s="6">
        <f>Corners!G30</f>
        <v>592.42</v>
      </c>
      <c r="C47" s="2" t="s">
        <v>44</v>
      </c>
    </row>
    <row r="48" spans="1:3" x14ac:dyDescent="0.2">
      <c r="A48" s="2" t="s">
        <v>53</v>
      </c>
      <c r="B48" s="6">
        <f>Corners!B40</f>
        <v>0.47</v>
      </c>
      <c r="C48" s="2" t="s">
        <v>44</v>
      </c>
    </row>
    <row r="49" spans="1:3" x14ac:dyDescent="0.2">
      <c r="A49" s="4" t="s">
        <v>54</v>
      </c>
    </row>
    <row r="50" spans="1:3" x14ac:dyDescent="0.2">
      <c r="A50" s="2" t="s">
        <v>55</v>
      </c>
      <c r="B50" s="5">
        <f>Corners!C28</f>
        <v>4994.8</v>
      </c>
      <c r="C50" s="2" t="s">
        <v>44</v>
      </c>
    </row>
    <row r="51" spans="1:3" x14ac:dyDescent="0.2">
      <c r="A51" s="2" t="s">
        <v>56</v>
      </c>
      <c r="B51" s="5">
        <f>Corners!D28</f>
        <v>4987.185</v>
      </c>
      <c r="C51" s="2" t="s">
        <v>44</v>
      </c>
    </row>
    <row r="52" spans="1:3" x14ac:dyDescent="0.2">
      <c r="A52" s="2" t="s">
        <v>57</v>
      </c>
      <c r="B52" s="5">
        <f>Corners!C29</f>
        <v>5607.26</v>
      </c>
      <c r="C52" s="2" t="s">
        <v>44</v>
      </c>
    </row>
    <row r="53" spans="1:3" x14ac:dyDescent="0.2">
      <c r="A53" s="2" t="s">
        <v>58</v>
      </c>
      <c r="B53" s="5">
        <f>Corners!D29</f>
        <v>5174.149</v>
      </c>
      <c r="C53" s="2" t="s">
        <v>44</v>
      </c>
    </row>
    <row r="54" spans="1:3" x14ac:dyDescent="0.2">
      <c r="A54" s="2" t="s">
        <v>59</v>
      </c>
      <c r="B54" s="5">
        <f>Corners!C30</f>
        <v>5493.9</v>
      </c>
      <c r="C54" s="2" t="s">
        <v>44</v>
      </c>
    </row>
    <row r="55" spans="1:3" x14ac:dyDescent="0.2">
      <c r="A55" s="2" t="s">
        <v>60</v>
      </c>
      <c r="B55" s="5">
        <f>Corners!D30</f>
        <v>5751.948</v>
      </c>
      <c r="C55" s="2" t="s">
        <v>44</v>
      </c>
    </row>
    <row r="56" spans="1:3" x14ac:dyDescent="0.2">
      <c r="A56" s="2" t="s">
        <v>61</v>
      </c>
      <c r="B56" s="5">
        <f>Corners!C31</f>
        <v>4912.431</v>
      </c>
      <c r="C56" s="2" t="s">
        <v>44</v>
      </c>
    </row>
    <row r="57" spans="1:3" x14ac:dyDescent="0.2">
      <c r="A57" s="2" t="s">
        <v>62</v>
      </c>
      <c r="B57" s="5">
        <f>Corners!D31</f>
        <v>5638.568</v>
      </c>
      <c r="C57" s="2" t="s">
        <v>44</v>
      </c>
    </row>
    <row r="58" spans="1:3" x14ac:dyDescent="0.2">
      <c r="A58" s="2" t="s">
        <v>63</v>
      </c>
      <c r="B58" s="5">
        <f>Corners!C32</f>
        <v>4825.442</v>
      </c>
      <c r="C58" s="2" t="s">
        <v>44</v>
      </c>
    </row>
    <row r="59" spans="1:3" x14ac:dyDescent="0.2">
      <c r="A59" s="2" t="s">
        <v>64</v>
      </c>
      <c r="B59" s="5">
        <f>Corners!D32</f>
        <v>5135.793</v>
      </c>
      <c r="C59" s="2" t="s">
        <v>44</v>
      </c>
    </row>
    <row r="60" spans="1:3" x14ac:dyDescent="0.2">
      <c r="A60" s="4" t="s">
        <v>65</v>
      </c>
    </row>
    <row r="61" spans="1:3" x14ac:dyDescent="0.2">
      <c r="A61" s="2" t="s">
        <v>66</v>
      </c>
      <c r="B61" s="7">
        <f>Area!B11</f>
        <v>430624</v>
      </c>
      <c r="C61" s="2" t="s">
        <v>65</v>
      </c>
    </row>
    <row r="62" spans="1:3" x14ac:dyDescent="0.2">
      <c r="A62" s="2" t="s">
        <v>67</v>
      </c>
      <c r="B62" s="5">
        <f>Area!B12</f>
        <v>9.886</v>
      </c>
      <c r="C62" s="2" t="s">
        <v>65</v>
      </c>
    </row>
    <row r="63" spans="1:3" x14ac:dyDescent="0.2">
      <c r="A63" s="2" t="s">
        <v>68</v>
      </c>
      <c r="B63" s="6">
        <f>Area!B13</f>
        <v>9.89</v>
      </c>
      <c r="C63" s="2" t="s">
        <v>65</v>
      </c>
    </row>
    <row r="64" spans="1:3" x14ac:dyDescent="0.2">
      <c r="A64" s="2" t="s">
        <v>69</v>
      </c>
      <c r="B64" s="5">
        <f>Area!B14</f>
        <v>-0.004</v>
      </c>
      <c r="C64" s="2" t="s">
        <v>65</v>
      </c>
    </row>
    <row r="65" spans="1:3" x14ac:dyDescent="0.2">
      <c r="A65" s="4" t="s">
        <v>70</v>
      </c>
    </row>
    <row r="66" spans="1:3" x14ac:dyDescent="0.2">
      <c r="A66" s="2" t="s">
        <v>71</v>
      </c>
      <c r="B66" s="6">
        <f>Fences!E16</f>
        <v>0.66</v>
      </c>
      <c r="C66" s="2" t="s">
        <v>70</v>
      </c>
    </row>
    <row r="67" spans="1:3" x14ac:dyDescent="0.2">
      <c r="A67" s="2" t="s">
        <v>72</v>
      </c>
      <c r="B67" s="9" t="str">
        <f>Fences!G16</f>
        <v>Encroachment</v>
      </c>
      <c r="C67" s="2" t="s">
        <v>70</v>
      </c>
    </row>
    <row r="68" spans="1:3" x14ac:dyDescent="0.2">
      <c r="A68" s="2" t="s">
        <v>73</v>
      </c>
      <c r="B68" s="6">
        <f>Fences!F17</f>
        <v>0.35</v>
      </c>
      <c r="C68" s="2" t="s">
        <v>70</v>
      </c>
    </row>
    <row r="69" spans="1:3" x14ac:dyDescent="0.2">
      <c r="A69" s="2" t="s">
        <v>74</v>
      </c>
      <c r="B69" s="9" t="str">
        <f>Fences!G17</f>
        <v>Occupation note only</v>
      </c>
      <c r="C69" s="2" t="s">
        <v>70</v>
      </c>
    </row>
    <row r="70" spans="1:3" x14ac:dyDescent="0.2">
      <c r="A70" s="2" t="s">
        <v>75</v>
      </c>
      <c r="B70" s="6">
        <f>Fences!E18</f>
        <v>0.24</v>
      </c>
      <c r="C70" s="2" t="s">
        <v>70</v>
      </c>
    </row>
    <row r="71" spans="1:3" x14ac:dyDescent="0.2">
      <c r="A71" s="2" t="s">
        <v>76</v>
      </c>
      <c r="B71" s="9" t="str">
        <f>Fences!G18</f>
        <v>Occupation note only</v>
      </c>
      <c r="C71" s="2" t="s">
        <v>70</v>
      </c>
    </row>
    <row r="73" spans="1:3" ht="32" customHeight="1" x14ac:dyDescent="0.2">
      <c r="A73" s="11" t="s">
        <v>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workbookViewId="0"/>
  </sheetViews>
  <sheetFormatPr baseColWidth="10" defaultColWidth="8.83203125" defaultRowHeight="15" x14ac:dyDescent="0.2"/>
  <cols>
    <col min="1" max="1" width="54" customWidth="1"/>
    <col min="2" max="2" width="14" customWidth="1"/>
    <col min="3" max="3" width="100" customWidth="1"/>
  </cols>
  <sheetData>
    <row r="1" spans="1:3" ht="17" customHeight="1" x14ac:dyDescent="0.2">
      <c r="A1" s="1" t="s">
        <v>78</v>
      </c>
    </row>
    <row r="3" spans="1:3" ht="16" customHeight="1" x14ac:dyDescent="0.2">
      <c r="A3" s="3" t="s">
        <v>79</v>
      </c>
      <c r="B3" s="3" t="s">
        <v>4</v>
      </c>
      <c r="C3" s="3" t="s">
        <v>80</v>
      </c>
    </row>
    <row r="4" spans="1:3" ht="16" customHeight="1" x14ac:dyDescent="0.2">
      <c r="A4" s="2" t="s">
        <v>81</v>
      </c>
      <c r="B4" s="2">
        <v>5000</v>
      </c>
      <c r="C4" s="11" t="s">
        <v>82</v>
      </c>
    </row>
    <row r="5" spans="1:3" ht="16" customHeight="1" x14ac:dyDescent="0.2">
      <c r="A5" s="2" t="s">
        <v>83</v>
      </c>
      <c r="B5" s="2">
        <v>5000</v>
      </c>
      <c r="C5" s="11" t="s">
        <v>82</v>
      </c>
    </row>
    <row r="6" spans="1:3" ht="16" customHeight="1" x14ac:dyDescent="0.2">
      <c r="A6" s="2" t="s">
        <v>84</v>
      </c>
      <c r="B6" s="2">
        <v>15000</v>
      </c>
      <c r="C6" s="11" t="s">
        <v>85</v>
      </c>
    </row>
    <row r="7" spans="1:3" ht="16" customHeight="1" x14ac:dyDescent="0.2">
      <c r="A7" s="2" t="s">
        <v>86</v>
      </c>
      <c r="B7" s="2">
        <v>10000</v>
      </c>
      <c r="C7" s="11" t="s">
        <v>85</v>
      </c>
    </row>
    <row r="8" spans="1:3" ht="32" customHeight="1" x14ac:dyDescent="0.2">
      <c r="A8" s="2" t="s">
        <v>14</v>
      </c>
      <c r="B8" s="2" t="s">
        <v>87</v>
      </c>
      <c r="C8" s="11" t="s">
        <v>88</v>
      </c>
    </row>
    <row r="9" spans="1:3" ht="16" customHeight="1" x14ac:dyDescent="0.2">
      <c r="A9" s="2" t="s">
        <v>89</v>
      </c>
      <c r="B9" s="2">
        <v>43560</v>
      </c>
      <c r="C9" s="11" t="s">
        <v>90</v>
      </c>
    </row>
    <row r="10" spans="1:3" ht="16" customHeight="1" x14ac:dyDescent="0.2">
      <c r="A10" s="2" t="s">
        <v>68</v>
      </c>
      <c r="B10" s="2">
        <v>9.89</v>
      </c>
      <c r="C10" s="11" t="s">
        <v>91</v>
      </c>
    </row>
    <row r="11" spans="1:3" ht="16" customHeight="1" x14ac:dyDescent="0.2">
      <c r="A11" s="2" t="s">
        <v>92</v>
      </c>
      <c r="B11" s="2">
        <v>1</v>
      </c>
      <c r="C11" s="11" t="s">
        <v>93</v>
      </c>
    </row>
    <row r="12" spans="1:3" ht="16" customHeight="1" x14ac:dyDescent="0.2">
      <c r="A12" s="2" t="s">
        <v>94</v>
      </c>
      <c r="B12" s="2">
        <v>1000</v>
      </c>
      <c r="C12" s="11" t="s">
        <v>93</v>
      </c>
    </row>
    <row r="13" spans="1:3" ht="16" customHeight="1" x14ac:dyDescent="0.2">
      <c r="A13" s="2" t="s">
        <v>95</v>
      </c>
      <c r="B13" s="2">
        <v>1</v>
      </c>
      <c r="C13" s="11" t="s">
        <v>96</v>
      </c>
    </row>
    <row r="14" spans="1:3" ht="16" customHeight="1" x14ac:dyDescent="0.2">
      <c r="A14" s="2" t="s">
        <v>97</v>
      </c>
      <c r="B14" s="2">
        <v>10</v>
      </c>
      <c r="C14" s="11" t="s">
        <v>96</v>
      </c>
    </row>
    <row r="15" spans="1:3" ht="16" customHeight="1" x14ac:dyDescent="0.2">
      <c r="A15" s="2" t="s">
        <v>98</v>
      </c>
      <c r="B15" s="2">
        <v>0.5</v>
      </c>
      <c r="C15" s="11" t="s">
        <v>99</v>
      </c>
    </row>
    <row r="16" spans="1:3" ht="16" customHeight="1" x14ac:dyDescent="0.2">
      <c r="A16" s="2" t="s">
        <v>100</v>
      </c>
      <c r="B16" s="2">
        <v>0.25</v>
      </c>
      <c r="C16" s="11" t="s">
        <v>101</v>
      </c>
    </row>
    <row r="17" spans="1:3" ht="16" customHeight="1" x14ac:dyDescent="0.2">
      <c r="A17" s="2" t="s">
        <v>102</v>
      </c>
      <c r="B17" s="2">
        <v>60</v>
      </c>
      <c r="C17" s="11" t="s">
        <v>103</v>
      </c>
    </row>
    <row r="18" spans="1:3" ht="16" customHeight="1" x14ac:dyDescent="0.2">
      <c r="A18" s="2" t="s">
        <v>104</v>
      </c>
      <c r="B18" s="2">
        <v>3600</v>
      </c>
      <c r="C18" s="11" t="s">
        <v>103</v>
      </c>
    </row>
    <row r="19" spans="1:3" ht="16" customHeight="1" x14ac:dyDescent="0.2">
      <c r="A19" s="2" t="s">
        <v>105</v>
      </c>
      <c r="B19" s="2">
        <v>0.05</v>
      </c>
      <c r="C19" s="11" t="s">
        <v>106</v>
      </c>
    </row>
    <row r="20" spans="1:3" ht="16" customHeight="1" x14ac:dyDescent="0.2">
      <c r="A20" s="2" t="s">
        <v>107</v>
      </c>
      <c r="B20" s="2">
        <v>20</v>
      </c>
      <c r="C20" s="11" t="s">
        <v>108</v>
      </c>
    </row>
    <row r="21" spans="1:3" ht="16" customHeight="1" x14ac:dyDescent="0.2">
      <c r="A21" s="2" t="s">
        <v>109</v>
      </c>
      <c r="B21" s="2">
        <v>-30</v>
      </c>
      <c r="C21" s="11" t="s">
        <v>110</v>
      </c>
    </row>
    <row r="22" spans="1:3" ht="16" customHeight="1" x14ac:dyDescent="0.2">
      <c r="A22" s="2" t="s">
        <v>111</v>
      </c>
      <c r="B22" s="2">
        <v>-17.5</v>
      </c>
      <c r="C22" s="11" t="s">
        <v>112</v>
      </c>
    </row>
    <row r="23" spans="1:3" ht="16" customHeight="1" x14ac:dyDescent="0.2">
      <c r="A23" s="2" t="s">
        <v>113</v>
      </c>
      <c r="B23" s="2">
        <v>0.3048006</v>
      </c>
      <c r="C23" s="11" t="s">
        <v>114</v>
      </c>
    </row>
    <row r="24" spans="1:3" ht="16" customHeight="1" x14ac:dyDescent="0.2">
      <c r="A24" s="2" t="s">
        <v>19</v>
      </c>
      <c r="B24" s="12">
        <f>ROUND((B22-B21)/B29/B23,2)</f>
        <v>0.04</v>
      </c>
      <c r="C24" s="11" t="s">
        <v>115</v>
      </c>
    </row>
    <row r="25" spans="1:3" ht="32" customHeight="1" x14ac:dyDescent="0.2">
      <c r="A25" s="2" t="s">
        <v>20</v>
      </c>
      <c r="B25" s="2">
        <v>0.6</v>
      </c>
      <c r="C25" s="11" t="s">
        <v>116</v>
      </c>
    </row>
    <row r="26" spans="1:3" ht="16" customHeight="1" x14ac:dyDescent="0.2">
      <c r="A26" s="2" t="s">
        <v>117</v>
      </c>
      <c r="B26" s="2">
        <v>592.7</v>
      </c>
      <c r="C26" s="11" t="s">
        <v>118</v>
      </c>
    </row>
    <row r="27" spans="1:3" ht="16" customHeight="1" x14ac:dyDescent="0.2">
      <c r="A27" s="2" t="s">
        <v>119</v>
      </c>
      <c r="B27" s="2">
        <v>588.8</v>
      </c>
      <c r="C27" s="11" t="s">
        <v>120</v>
      </c>
    </row>
    <row r="28" spans="1:3" ht="16" customHeight="1" x14ac:dyDescent="0.2">
      <c r="A28" s="2" t="s">
        <v>121</v>
      </c>
      <c r="B28" s="2">
        <v>806.9</v>
      </c>
      <c r="C28" s="11" t="s">
        <v>122</v>
      </c>
    </row>
    <row r="29" spans="1:3" ht="16" customHeight="1" x14ac:dyDescent="0.2">
      <c r="A29" s="2" t="s">
        <v>123</v>
      </c>
      <c r="B29" s="2">
        <v>1000</v>
      </c>
      <c r="C29" s="11" t="s">
        <v>124</v>
      </c>
    </row>
    <row r="30" spans="1:3" ht="32" customHeight="1" x14ac:dyDescent="0.2">
      <c r="A30" s="2" t="s">
        <v>125</v>
      </c>
      <c r="B30" s="2">
        <v>45</v>
      </c>
      <c r="C30" s="11" t="s">
        <v>126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1"/>
  <sheetViews>
    <sheetView workbookViewId="0"/>
  </sheetViews>
  <sheetFormatPr baseColWidth="10" defaultColWidth="8.83203125" defaultRowHeight="15" x14ac:dyDescent="0.2"/>
  <cols>
    <col min="1" max="1" width="6" customWidth="1"/>
    <col min="2" max="2" width="12" customWidth="1"/>
    <col min="3" max="3" width="7" customWidth="1"/>
    <col min="4" max="5" width="6" customWidth="1"/>
    <col min="6" max="6" width="4" customWidth="1"/>
    <col min="7" max="9" width="5" customWidth="1"/>
    <col min="10" max="10" width="4" customWidth="1"/>
    <col min="11" max="11" width="14" customWidth="1"/>
    <col min="12" max="12" width="7" customWidth="1"/>
    <col min="13" max="13" width="9" customWidth="1"/>
    <col min="14" max="14" width="8" customWidth="1"/>
    <col min="15" max="15" width="12" customWidth="1"/>
    <col min="16" max="16" width="9" customWidth="1"/>
    <col min="17" max="17" width="10" customWidth="1"/>
    <col min="18" max="18" width="13" customWidth="1"/>
    <col min="19" max="19" width="6" customWidth="1"/>
    <col min="20" max="21" width="11" customWidth="1"/>
    <col min="22" max="22" width="7" customWidth="1"/>
    <col min="23" max="23" width="11" customWidth="1"/>
    <col min="24" max="24" width="9" customWidth="1"/>
    <col min="25" max="25" width="12" customWidth="1"/>
    <col min="26" max="26" width="90" customWidth="1"/>
  </cols>
  <sheetData>
    <row r="1" spans="1:26" ht="17" customHeight="1" x14ac:dyDescent="0.2">
      <c r="A1" s="1" t="s">
        <v>127</v>
      </c>
    </row>
    <row r="3" spans="1:26" ht="48" customHeight="1" x14ac:dyDescent="0.2">
      <c r="A3" s="3" t="s">
        <v>128</v>
      </c>
      <c r="B3" s="3" t="s">
        <v>129</v>
      </c>
      <c r="C3" s="3" t="s">
        <v>130</v>
      </c>
      <c r="D3" s="3" t="s">
        <v>131</v>
      </c>
      <c r="E3" s="3" t="s">
        <v>132</v>
      </c>
      <c r="F3" s="3" t="s">
        <v>133</v>
      </c>
      <c r="G3" s="3" t="s">
        <v>134</v>
      </c>
      <c r="H3" s="3" t="s">
        <v>135</v>
      </c>
      <c r="I3" s="3" t="s">
        <v>136</v>
      </c>
      <c r="J3" s="3" t="s">
        <v>137</v>
      </c>
      <c r="K3" s="3" t="s">
        <v>138</v>
      </c>
      <c r="L3" s="3" t="s">
        <v>139</v>
      </c>
      <c r="M3" s="3" t="s">
        <v>140</v>
      </c>
      <c r="N3" s="3" t="s">
        <v>141</v>
      </c>
      <c r="O3" s="3" t="s">
        <v>142</v>
      </c>
      <c r="P3" s="3" t="s">
        <v>143</v>
      </c>
      <c r="Q3" s="3" t="s">
        <v>144</v>
      </c>
      <c r="R3" s="3" t="s">
        <v>145</v>
      </c>
      <c r="S3" s="3" t="s">
        <v>146</v>
      </c>
      <c r="T3" s="3" t="s">
        <v>147</v>
      </c>
      <c r="U3" s="3" t="s">
        <v>148</v>
      </c>
      <c r="V3" s="3" t="s">
        <v>149</v>
      </c>
      <c r="W3" s="3" t="s">
        <v>150</v>
      </c>
      <c r="X3" s="3" t="s">
        <v>151</v>
      </c>
      <c r="Y3" s="3" t="s">
        <v>152</v>
      </c>
      <c r="Z3" s="3" t="s">
        <v>153</v>
      </c>
    </row>
    <row r="4" spans="1:26" x14ac:dyDescent="0.2">
      <c r="A4" s="2">
        <v>1</v>
      </c>
      <c r="B4" s="2" t="s">
        <v>154</v>
      </c>
      <c r="C4" s="2" t="s">
        <v>155</v>
      </c>
      <c r="D4" s="2" t="s">
        <v>156</v>
      </c>
      <c r="E4" s="2" t="s">
        <v>157</v>
      </c>
      <c r="F4" s="2" t="s">
        <v>158</v>
      </c>
      <c r="G4" s="2">
        <v>31</v>
      </c>
      <c r="H4" s="2">
        <v>7</v>
      </c>
      <c r="I4" s="2">
        <v>24</v>
      </c>
      <c r="J4" s="2" t="s">
        <v>159</v>
      </c>
      <c r="K4" s="12">
        <v>347.42</v>
      </c>
      <c r="L4" s="2" t="s">
        <v>160</v>
      </c>
      <c r="M4" s="2" t="s">
        <v>156</v>
      </c>
      <c r="N4" s="2" t="s">
        <v>157</v>
      </c>
      <c r="O4" s="13">
        <f>ROUND(IF(AND(F4="N",J4="E"),(G4+H4/Parameters!$B$17+I4/Parameters!$B$18),IF(AND(F4="S",J4="E"),180-(G4+H4/Parameters!$B$17+I4/Parameters!$B$18),IF(AND(F4="S",J4="W"),180+(G4+H4/Parameters!$B$17+I4/Parameters!$B$18),360-(G4+H4/Parameters!$B$17+I4/Parameters!$B$18)))),6)</f>
        <v>31.123333</v>
      </c>
      <c r="P4" s="2" t="str">
        <f>IF(ISNUMBER(MATCH(M4&amp;"-"&amp;N4,Traverse!$A$4:$A$10,0)),M4&amp;"-"&amp;N4,N4&amp;"-"&amp;M4)</f>
        <v>T1-T7</v>
      </c>
      <c r="Q4" s="2" t="str">
        <f t="shared" ref="Q4:Q23" si="0">IF(P4=M4&amp;"-"&amp;N4,"Forward","Reverse")</f>
        <v>Forward</v>
      </c>
      <c r="R4" s="13">
        <f t="shared" ref="R4:R23" si="1">IF(Q4="Forward",O4,ROUND(MOD(O4+180,360),6))</f>
        <v>31.123333</v>
      </c>
      <c r="S4" s="2">
        <v>1</v>
      </c>
      <c r="T4" s="14">
        <f>COS(RADIANS(R4-Parameters!$B$30))</f>
        <v>0.97081423</v>
      </c>
      <c r="U4" s="14">
        <f>SIN(RADIANS(R4-Parameters!$B$30))</f>
        <v>-0.23983271</v>
      </c>
      <c r="V4" s="2" t="s">
        <v>161</v>
      </c>
      <c r="Y4" s="12">
        <f t="shared" ref="Y4:Y23" si="2">K4</f>
        <v>347.42</v>
      </c>
    </row>
    <row r="5" spans="1:26" x14ac:dyDescent="0.2">
      <c r="A5" s="2">
        <v>2</v>
      </c>
      <c r="B5" s="2" t="s">
        <v>154</v>
      </c>
      <c r="C5" s="2" t="s">
        <v>162</v>
      </c>
      <c r="D5" s="2" t="s">
        <v>157</v>
      </c>
      <c r="E5" s="2" t="s">
        <v>156</v>
      </c>
      <c r="F5" s="2" t="s">
        <v>163</v>
      </c>
      <c r="G5" s="2">
        <v>31</v>
      </c>
      <c r="H5" s="2">
        <v>7</v>
      </c>
      <c r="I5" s="2">
        <v>21</v>
      </c>
      <c r="J5" s="2" t="s">
        <v>164</v>
      </c>
      <c r="K5" s="12">
        <v>347.43</v>
      </c>
      <c r="L5" s="2" t="s">
        <v>160</v>
      </c>
      <c r="M5" s="2" t="s">
        <v>157</v>
      </c>
      <c r="N5" s="2" t="s">
        <v>156</v>
      </c>
      <c r="O5" s="13">
        <f>ROUND(IF(AND(F5="N",J5="E"),(G5+H5/Parameters!$B$17+I5/Parameters!$B$18),IF(AND(F5="S",J5="E"),180-(G5+H5/Parameters!$B$17+I5/Parameters!$B$18),IF(AND(F5="S",J5="W"),180+(G5+H5/Parameters!$B$17+I5/Parameters!$B$18),360-(G5+H5/Parameters!$B$17+I5/Parameters!$B$18)))),6)</f>
        <v>211.1225</v>
      </c>
      <c r="P5" s="2" t="str">
        <f>IF(ISNUMBER(MATCH(M5&amp;"-"&amp;N5,Traverse!$A$4:$A$10,0)),M5&amp;"-"&amp;N5,N5&amp;"-"&amp;M5)</f>
        <v>T1-T7</v>
      </c>
      <c r="Q5" s="2" t="str">
        <f t="shared" si="0"/>
        <v>Reverse</v>
      </c>
      <c r="R5" s="13">
        <f t="shared" si="1"/>
        <v>31.1225</v>
      </c>
      <c r="S5" s="2">
        <v>1</v>
      </c>
      <c r="T5" s="14">
        <f>COS(RADIANS(R5-Parameters!$B$30))</f>
        <v>0.970810744</v>
      </c>
      <c r="U5" s="14">
        <f>SIN(RADIANS(R5-Parameters!$B$30))</f>
        <v>-0.239846824</v>
      </c>
      <c r="V5" s="2" t="s">
        <v>161</v>
      </c>
      <c r="Y5" s="12">
        <f t="shared" si="2"/>
        <v>347.43</v>
      </c>
    </row>
    <row r="6" spans="1:26" x14ac:dyDescent="0.2">
      <c r="A6" s="2">
        <v>3</v>
      </c>
      <c r="B6" s="2" t="s">
        <v>154</v>
      </c>
      <c r="C6" s="2" t="s">
        <v>165</v>
      </c>
      <c r="D6" s="2" t="s">
        <v>157</v>
      </c>
      <c r="E6" s="2" t="s">
        <v>166</v>
      </c>
      <c r="F6" s="2" t="s">
        <v>158</v>
      </c>
      <c r="G6" s="2">
        <v>0</v>
      </c>
      <c r="H6" s="2">
        <v>0</v>
      </c>
      <c r="I6" s="2">
        <v>3</v>
      </c>
      <c r="J6" s="2" t="s">
        <v>164</v>
      </c>
      <c r="K6" s="12">
        <v>300.01</v>
      </c>
      <c r="L6" s="2" t="s">
        <v>160</v>
      </c>
      <c r="M6" s="2" t="s">
        <v>157</v>
      </c>
      <c r="N6" s="2" t="s">
        <v>166</v>
      </c>
      <c r="O6" s="13">
        <f>ROUND(IF(AND(F6="N",J6="E"),(G6+H6/Parameters!$B$17+I6/Parameters!$B$18),IF(AND(F6="S",J6="E"),180-(G6+H6/Parameters!$B$17+I6/Parameters!$B$18),IF(AND(F6="S",J6="W"),180+(G6+H6/Parameters!$B$17+I6/Parameters!$B$18),360-(G6+H6/Parameters!$B$17+I6/Parameters!$B$18)))),6)</f>
        <v>359.999167</v>
      </c>
      <c r="P6" s="2" t="str">
        <f>IF(ISNUMBER(MATCH(M6&amp;"-"&amp;N6,Traverse!$A$4:$A$10,0)),M6&amp;"-"&amp;N6,N6&amp;"-"&amp;M6)</f>
        <v>T7-T2</v>
      </c>
      <c r="Q6" s="2" t="str">
        <f t="shared" si="0"/>
        <v>Forward</v>
      </c>
      <c r="R6" s="13">
        <f t="shared" si="1"/>
        <v>359.999167</v>
      </c>
      <c r="S6" s="2">
        <v>1</v>
      </c>
      <c r="T6" s="14">
        <f>COS(RADIANS(R6-Parameters!$B$30))</f>
        <v>0.7070965</v>
      </c>
      <c r="U6" s="14">
        <f>SIN(RADIANS(R6-Parameters!$B$30))</f>
        <v>-0.707117061</v>
      </c>
      <c r="V6" s="2" t="s">
        <v>161</v>
      </c>
      <c r="Y6" s="12">
        <f t="shared" si="2"/>
        <v>300.01</v>
      </c>
    </row>
    <row r="7" spans="1:26" x14ac:dyDescent="0.2">
      <c r="A7" s="2">
        <v>4</v>
      </c>
      <c r="B7" s="2" t="s">
        <v>154</v>
      </c>
      <c r="C7" s="2" t="s">
        <v>167</v>
      </c>
      <c r="D7" s="2" t="s">
        <v>166</v>
      </c>
      <c r="E7" s="2" t="s">
        <v>157</v>
      </c>
      <c r="F7" s="2" t="s">
        <v>163</v>
      </c>
      <c r="G7" s="2">
        <v>0</v>
      </c>
      <c r="H7" s="2">
        <v>0</v>
      </c>
      <c r="I7" s="2">
        <v>1</v>
      </c>
      <c r="J7" s="2" t="s">
        <v>164</v>
      </c>
      <c r="K7" s="12">
        <v>299.98</v>
      </c>
      <c r="L7" s="2" t="s">
        <v>160</v>
      </c>
      <c r="M7" s="2" t="s">
        <v>166</v>
      </c>
      <c r="N7" s="2" t="s">
        <v>157</v>
      </c>
      <c r="O7" s="13">
        <f>ROUND(IF(AND(F7="N",J7="E"),(G7+H7/Parameters!$B$17+I7/Parameters!$B$18),IF(AND(F7="S",J7="E"),180-(G7+H7/Parameters!$B$17+I7/Parameters!$B$18),IF(AND(F7="S",J7="W"),180+(G7+H7/Parameters!$B$17+I7/Parameters!$B$18),360-(G7+H7/Parameters!$B$17+I7/Parameters!$B$18)))),6)</f>
        <v>180.000278</v>
      </c>
      <c r="P7" s="2" t="str">
        <f>IF(ISNUMBER(MATCH(M7&amp;"-"&amp;N7,Traverse!$A$4:$A$10,0)),M7&amp;"-"&amp;N7,N7&amp;"-"&amp;M7)</f>
        <v>T7-T2</v>
      </c>
      <c r="Q7" s="2" t="str">
        <f t="shared" si="0"/>
        <v>Reverse</v>
      </c>
      <c r="R7" s="13">
        <f t="shared" si="1"/>
        <v>0.000278</v>
      </c>
      <c r="S7" s="2">
        <v>1</v>
      </c>
      <c r="T7" s="14">
        <f>COS(RADIANS(R7-Parameters!$B$30))</f>
        <v>0.707110212</v>
      </c>
      <c r="U7" s="14">
        <f>SIN(RADIANS(R7-Parameters!$B$30))</f>
        <v>-0.70710335</v>
      </c>
      <c r="V7" s="2" t="s">
        <v>161</v>
      </c>
      <c r="Y7" s="12">
        <f t="shared" si="2"/>
        <v>299.98</v>
      </c>
    </row>
    <row r="8" spans="1:26" x14ac:dyDescent="0.2">
      <c r="A8" s="2">
        <v>5</v>
      </c>
      <c r="B8" s="2" t="s">
        <v>154</v>
      </c>
      <c r="C8" s="2" t="s">
        <v>168</v>
      </c>
      <c r="D8" s="2" t="s">
        <v>166</v>
      </c>
      <c r="E8" s="2" t="s">
        <v>169</v>
      </c>
      <c r="F8" s="2" t="s">
        <v>163</v>
      </c>
      <c r="G8" s="2">
        <v>76</v>
      </c>
      <c r="H8" s="2">
        <v>36</v>
      </c>
      <c r="I8" s="2">
        <v>15</v>
      </c>
      <c r="J8" s="2" t="s">
        <v>159</v>
      </c>
      <c r="K8" s="12">
        <v>285.02</v>
      </c>
      <c r="L8" s="2" t="s">
        <v>160</v>
      </c>
      <c r="M8" s="2" t="s">
        <v>166</v>
      </c>
      <c r="N8" s="2" t="s">
        <v>169</v>
      </c>
      <c r="O8" s="13">
        <f>ROUND(IF(AND(F8="N",J8="E"),(G8+H8/Parameters!$B$17+I8/Parameters!$B$18),IF(AND(F8="S",J8="E"),180-(G8+H8/Parameters!$B$17+I8/Parameters!$B$18),IF(AND(F8="S",J8="W"),180+(G8+H8/Parameters!$B$17+I8/Parameters!$B$18),360-(G8+H8/Parameters!$B$17+I8/Parameters!$B$18)))),6)</f>
        <v>103.395833</v>
      </c>
      <c r="P8" s="2" t="str">
        <f>IF(ISNUMBER(MATCH(M8&amp;"-"&amp;N8,Traverse!$A$4:$A$10,0)),M8&amp;"-"&amp;N8,N8&amp;"-"&amp;M8)</f>
        <v>T2-T3</v>
      </c>
      <c r="Q8" s="2" t="str">
        <f t="shared" si="0"/>
        <v>Forward</v>
      </c>
      <c r="R8" s="13">
        <f t="shared" si="1"/>
        <v>103.395833</v>
      </c>
      <c r="S8" s="2">
        <v>1</v>
      </c>
      <c r="T8" s="14">
        <f>COS(RADIANS(R8-Parameters!$B$30))</f>
        <v>0.524047849</v>
      </c>
      <c r="U8" s="14">
        <f>SIN(RADIANS(R8-Parameters!$B$30))</f>
        <v>0.851688824</v>
      </c>
      <c r="V8" s="2" t="s">
        <v>161</v>
      </c>
      <c r="Y8" s="12">
        <f t="shared" si="2"/>
        <v>285.02</v>
      </c>
    </row>
    <row r="9" spans="1:26" x14ac:dyDescent="0.2">
      <c r="A9" s="2">
        <v>6</v>
      </c>
      <c r="B9" s="2" t="s">
        <v>154</v>
      </c>
      <c r="C9" s="2" t="s">
        <v>170</v>
      </c>
      <c r="D9" s="2" t="s">
        <v>169</v>
      </c>
      <c r="E9" s="2" t="s">
        <v>166</v>
      </c>
      <c r="F9" s="2" t="s">
        <v>158</v>
      </c>
      <c r="G9" s="2">
        <v>76</v>
      </c>
      <c r="H9" s="2">
        <v>36</v>
      </c>
      <c r="I9" s="2">
        <v>16</v>
      </c>
      <c r="J9" s="2" t="s">
        <v>164</v>
      </c>
      <c r="K9" s="12">
        <v>285.03</v>
      </c>
      <c r="L9" s="2" t="s">
        <v>160</v>
      </c>
      <c r="M9" s="2" t="s">
        <v>169</v>
      </c>
      <c r="N9" s="2" t="s">
        <v>166</v>
      </c>
      <c r="O9" s="13">
        <f>ROUND(IF(AND(F9="N",J9="E"),(G9+H9/Parameters!$B$17+I9/Parameters!$B$18),IF(AND(F9="S",J9="E"),180-(G9+H9/Parameters!$B$17+I9/Parameters!$B$18),IF(AND(F9="S",J9="W"),180+(G9+H9/Parameters!$B$17+I9/Parameters!$B$18),360-(G9+H9/Parameters!$B$17+I9/Parameters!$B$18)))),6)</f>
        <v>283.395556</v>
      </c>
      <c r="P9" s="2" t="str">
        <f>IF(ISNUMBER(MATCH(M9&amp;"-"&amp;N9,Traverse!$A$4:$A$10,0)),M9&amp;"-"&amp;N9,N9&amp;"-"&amp;M9)</f>
        <v>T2-T3</v>
      </c>
      <c r="Q9" s="2" t="str">
        <f t="shared" si="0"/>
        <v>Reverse</v>
      </c>
      <c r="R9" s="13">
        <f t="shared" si="1"/>
        <v>103.395556</v>
      </c>
      <c r="S9" s="2">
        <v>1</v>
      </c>
      <c r="T9" s="14">
        <f>COS(RADIANS(R9-Parameters!$B$30))</f>
        <v>0.524051966</v>
      </c>
      <c r="U9" s="14">
        <f>SIN(RADIANS(R9-Parameters!$B$30))</f>
        <v>0.85168629</v>
      </c>
      <c r="V9" s="2" t="s">
        <v>161</v>
      </c>
      <c r="Y9" s="12">
        <f t="shared" si="2"/>
        <v>285.03</v>
      </c>
    </row>
    <row r="10" spans="1:26" x14ac:dyDescent="0.2">
      <c r="A10" s="2">
        <v>7</v>
      </c>
      <c r="B10" s="2" t="s">
        <v>154</v>
      </c>
      <c r="C10" s="2" t="s">
        <v>171</v>
      </c>
      <c r="D10" s="2" t="s">
        <v>166</v>
      </c>
      <c r="E10" s="2" t="s">
        <v>169</v>
      </c>
      <c r="F10" s="2" t="s">
        <v>163</v>
      </c>
      <c r="G10" s="2">
        <v>76</v>
      </c>
      <c r="H10" s="2">
        <v>36</v>
      </c>
      <c r="I10" s="2">
        <v>13</v>
      </c>
      <c r="J10" s="2" t="s">
        <v>159</v>
      </c>
      <c r="K10" s="12">
        <v>285.03</v>
      </c>
      <c r="L10" s="2" t="s">
        <v>160</v>
      </c>
      <c r="M10" s="2" t="s">
        <v>166</v>
      </c>
      <c r="N10" s="2" t="s">
        <v>169</v>
      </c>
      <c r="O10" s="13">
        <f>ROUND(IF(AND(F10="N",J10="E"),(G10+H10/Parameters!$B$17+I10/Parameters!$B$18),IF(AND(F10="S",J10="E"),180-(G10+H10/Parameters!$B$17+I10/Parameters!$B$18),IF(AND(F10="S",J10="W"),180+(G10+H10/Parameters!$B$17+I10/Parameters!$B$18),360-(G10+H10/Parameters!$B$17+I10/Parameters!$B$18)))),6)</f>
        <v>103.396389</v>
      </c>
      <c r="P10" s="2" t="str">
        <f>IF(ISNUMBER(MATCH(M10&amp;"-"&amp;N10,Traverse!$A$4:$A$10,0)),M10&amp;"-"&amp;N10,N10&amp;"-"&amp;M10)</f>
        <v>T2-T3</v>
      </c>
      <c r="Q10" s="2" t="str">
        <f t="shared" si="0"/>
        <v>Forward</v>
      </c>
      <c r="R10" s="13">
        <f t="shared" si="1"/>
        <v>103.396389</v>
      </c>
      <c r="S10" s="2">
        <v>2</v>
      </c>
      <c r="T10" s="14">
        <f>COS(RADIANS(R10-Parameters!$B$30))</f>
        <v>0.524039584</v>
      </c>
      <c r="U10" s="14">
        <f>SIN(RADIANS(R10-Parameters!$B$30))</f>
        <v>0.851693909</v>
      </c>
      <c r="V10" s="2" t="s">
        <v>161</v>
      </c>
      <c r="Y10" s="12">
        <f t="shared" si="2"/>
        <v>285.03</v>
      </c>
    </row>
    <row r="11" spans="1:26" x14ac:dyDescent="0.2">
      <c r="A11" s="2">
        <v>8</v>
      </c>
      <c r="B11" s="2" t="s">
        <v>154</v>
      </c>
      <c r="C11" s="2" t="s">
        <v>172</v>
      </c>
      <c r="D11" s="2" t="s">
        <v>169</v>
      </c>
      <c r="E11" s="2" t="s">
        <v>166</v>
      </c>
      <c r="F11" s="2" t="s">
        <v>158</v>
      </c>
      <c r="G11" s="2">
        <v>76</v>
      </c>
      <c r="H11" s="2">
        <v>36</v>
      </c>
      <c r="I11" s="2">
        <v>17</v>
      </c>
      <c r="J11" s="2" t="s">
        <v>164</v>
      </c>
      <c r="K11" s="12">
        <v>285.03</v>
      </c>
      <c r="L11" s="2" t="s">
        <v>160</v>
      </c>
      <c r="M11" s="2" t="s">
        <v>169</v>
      </c>
      <c r="N11" s="2" t="s">
        <v>166</v>
      </c>
      <c r="O11" s="13">
        <f>ROUND(IF(AND(F11="N",J11="E"),(G11+H11/Parameters!$B$17+I11/Parameters!$B$18),IF(AND(F11="S",J11="E"),180-(G11+H11/Parameters!$B$17+I11/Parameters!$B$18),IF(AND(F11="S",J11="W"),180+(G11+H11/Parameters!$B$17+I11/Parameters!$B$18),360-(G11+H11/Parameters!$B$17+I11/Parameters!$B$18)))),6)</f>
        <v>283.395278</v>
      </c>
      <c r="P11" s="2" t="str">
        <f>IF(ISNUMBER(MATCH(M11&amp;"-"&amp;N11,Traverse!$A$4:$A$10,0)),M11&amp;"-"&amp;N11,N11&amp;"-"&amp;M11)</f>
        <v>T2-T3</v>
      </c>
      <c r="Q11" s="2" t="str">
        <f t="shared" si="0"/>
        <v>Reverse</v>
      </c>
      <c r="R11" s="13">
        <f t="shared" si="1"/>
        <v>103.395278</v>
      </c>
      <c r="S11" s="2">
        <v>2</v>
      </c>
      <c r="T11" s="14">
        <f>COS(RADIANS(R11-Parameters!$B$30))</f>
        <v>0.524056099</v>
      </c>
      <c r="U11" s="14">
        <f>SIN(RADIANS(R11-Parameters!$B$30))</f>
        <v>0.851683747</v>
      </c>
      <c r="V11" s="2" t="s">
        <v>161</v>
      </c>
      <c r="Y11" s="12">
        <f t="shared" si="2"/>
        <v>285.03</v>
      </c>
    </row>
    <row r="12" spans="1:26" ht="32" x14ac:dyDescent="0.2">
      <c r="A12" s="2">
        <v>9</v>
      </c>
      <c r="B12" s="2" t="s">
        <v>154</v>
      </c>
      <c r="C12" s="2" t="s">
        <v>173</v>
      </c>
      <c r="D12" s="2" t="s">
        <v>169</v>
      </c>
      <c r="E12" s="2" t="s">
        <v>174</v>
      </c>
      <c r="F12" s="2" t="s">
        <v>163</v>
      </c>
      <c r="G12" s="2">
        <v>81</v>
      </c>
      <c r="H12" s="2">
        <v>0</v>
      </c>
      <c r="I12" s="2">
        <v>3</v>
      </c>
      <c r="J12" s="2" t="s">
        <v>159</v>
      </c>
      <c r="K12" s="12">
        <v>287.39</v>
      </c>
      <c r="L12" s="2" t="s">
        <v>160</v>
      </c>
      <c r="M12" s="2" t="s">
        <v>169</v>
      </c>
      <c r="N12" s="2" t="s">
        <v>174</v>
      </c>
      <c r="O12" s="13">
        <f>ROUND(IF(AND(F12="N",J12="E"),(G12+H12/Parameters!$B$17+I12/Parameters!$B$18),IF(AND(F12="S",J12="E"),180-(G12+H12/Parameters!$B$17+I12/Parameters!$B$18),IF(AND(F12="S",J12="W"),180+(G12+H12/Parameters!$B$17+I12/Parameters!$B$18),360-(G12+H12/Parameters!$B$17+I12/Parameters!$B$18)))),6)</f>
        <v>98.999167</v>
      </c>
      <c r="P12" s="2" t="str">
        <f>IF(ISNUMBER(MATCH(M12&amp;"-"&amp;N12,Traverse!$A$4:$A$10,0)),M12&amp;"-"&amp;N12,N12&amp;"-"&amp;M12)</f>
        <v>T3-T4</v>
      </c>
      <c r="Q12" s="2" t="str">
        <f t="shared" si="0"/>
        <v>Forward</v>
      </c>
      <c r="R12" s="13">
        <f t="shared" si="1"/>
        <v>98.999167</v>
      </c>
      <c r="S12" s="2">
        <v>1</v>
      </c>
      <c r="T12" s="14">
        <f>COS(RADIANS(R12-Parameters!$B$30))</f>
        <v>0.587797014</v>
      </c>
      <c r="U12" s="14">
        <f>SIN(RADIANS(R12-Parameters!$B$30))</f>
        <v>0.809008449</v>
      </c>
      <c r="V12" s="2" t="s">
        <v>175</v>
      </c>
      <c r="Y12" s="12">
        <f t="shared" si="2"/>
        <v>287.39</v>
      </c>
      <c r="Z12" s="11" t="s">
        <v>176</v>
      </c>
    </row>
    <row r="13" spans="1:26" ht="16" x14ac:dyDescent="0.2">
      <c r="A13" s="2">
        <v>10</v>
      </c>
      <c r="B13" s="2" t="s">
        <v>154</v>
      </c>
      <c r="C13" s="2" t="s">
        <v>177</v>
      </c>
      <c r="D13" s="2" t="s">
        <v>174</v>
      </c>
      <c r="E13" s="2" t="s">
        <v>169</v>
      </c>
      <c r="F13" s="2" t="s">
        <v>158</v>
      </c>
      <c r="G13" s="2">
        <v>81</v>
      </c>
      <c r="H13" s="2">
        <v>0</v>
      </c>
      <c r="I13" s="2">
        <v>8</v>
      </c>
      <c r="J13" s="2" t="s">
        <v>164</v>
      </c>
      <c r="K13" s="12">
        <v>288.59</v>
      </c>
      <c r="L13" s="2" t="s">
        <v>160</v>
      </c>
      <c r="M13" s="2" t="s">
        <v>174</v>
      </c>
      <c r="N13" s="2" t="s">
        <v>169</v>
      </c>
      <c r="O13" s="13">
        <f>ROUND(IF(AND(F13="N",J13="E"),(G13+H13/Parameters!$B$17+I13/Parameters!$B$18),IF(AND(F13="S",J13="E"),180-(G13+H13/Parameters!$B$17+I13/Parameters!$B$18),IF(AND(F13="S",J13="W"),180+(G13+H13/Parameters!$B$17+I13/Parameters!$B$18),360-(G13+H13/Parameters!$B$17+I13/Parameters!$B$18)))),6)</f>
        <v>278.997778</v>
      </c>
      <c r="P13" s="2" t="str">
        <f>IF(ISNUMBER(MATCH(M13&amp;"-"&amp;N13,Traverse!$A$4:$A$10,0)),M13&amp;"-"&amp;N13,N13&amp;"-"&amp;M13)</f>
        <v>T3-T4</v>
      </c>
      <c r="Q13" s="2" t="str">
        <f t="shared" si="0"/>
        <v>Reverse</v>
      </c>
      <c r="R13" s="13">
        <f t="shared" si="1"/>
        <v>98.997778</v>
      </c>
      <c r="S13" s="2">
        <v>1</v>
      </c>
      <c r="T13" s="14">
        <f>COS(RADIANS(R13-Parameters!$B$30))</f>
        <v>0.587816627</v>
      </c>
      <c r="U13" s="14">
        <f>SIN(RADIANS(R13-Parameters!$B$30))</f>
        <v>0.808994199</v>
      </c>
      <c r="V13" s="2" t="s">
        <v>175</v>
      </c>
      <c r="Y13" s="12">
        <f t="shared" si="2"/>
        <v>288.59</v>
      </c>
      <c r="Z13" s="11" t="s">
        <v>178</v>
      </c>
    </row>
    <row r="14" spans="1:26" x14ac:dyDescent="0.2">
      <c r="A14" s="2">
        <v>11</v>
      </c>
      <c r="B14" s="2" t="s">
        <v>154</v>
      </c>
      <c r="C14" s="2" t="s">
        <v>179</v>
      </c>
      <c r="D14" s="2" t="s">
        <v>169</v>
      </c>
      <c r="E14" s="2" t="s">
        <v>174</v>
      </c>
      <c r="F14" s="2" t="s">
        <v>163</v>
      </c>
      <c r="G14" s="2">
        <v>81</v>
      </c>
      <c r="H14" s="2">
        <v>0</v>
      </c>
      <c r="I14" s="2">
        <v>8</v>
      </c>
      <c r="J14" s="2" t="s">
        <v>159</v>
      </c>
      <c r="K14" s="12">
        <v>287.39</v>
      </c>
      <c r="L14" s="2" t="s">
        <v>160</v>
      </c>
      <c r="M14" s="2" t="s">
        <v>169</v>
      </c>
      <c r="N14" s="2" t="s">
        <v>174</v>
      </c>
      <c r="O14" s="13">
        <f>ROUND(IF(AND(F14="N",J14="E"),(G14+H14/Parameters!$B$17+I14/Parameters!$B$18),IF(AND(F14="S",J14="E"),180-(G14+H14/Parameters!$B$17+I14/Parameters!$B$18),IF(AND(F14="S",J14="W"),180+(G14+H14/Parameters!$B$17+I14/Parameters!$B$18),360-(G14+H14/Parameters!$B$17+I14/Parameters!$B$18)))),6)</f>
        <v>98.997778</v>
      </c>
      <c r="P14" s="2" t="str">
        <f>IF(ISNUMBER(MATCH(M14&amp;"-"&amp;N14,Traverse!$A$4:$A$10,0)),M14&amp;"-"&amp;N14,N14&amp;"-"&amp;M14)</f>
        <v>T3-T4</v>
      </c>
      <c r="Q14" s="2" t="str">
        <f t="shared" si="0"/>
        <v>Forward</v>
      </c>
      <c r="R14" s="13">
        <f t="shared" si="1"/>
        <v>98.997778</v>
      </c>
      <c r="S14" s="2">
        <v>2</v>
      </c>
      <c r="T14" s="14">
        <f>COS(RADIANS(R14-Parameters!$B$30))</f>
        <v>0.587816627</v>
      </c>
      <c r="U14" s="14">
        <f>SIN(RADIANS(R14-Parameters!$B$30))</f>
        <v>0.808994199</v>
      </c>
      <c r="V14" s="2" t="s">
        <v>161</v>
      </c>
      <c r="Y14" s="12">
        <f t="shared" si="2"/>
        <v>287.39</v>
      </c>
    </row>
    <row r="15" spans="1:26" x14ac:dyDescent="0.2">
      <c r="A15" s="2">
        <v>12</v>
      </c>
      <c r="B15" s="2" t="s">
        <v>154</v>
      </c>
      <c r="C15" s="2" t="s">
        <v>180</v>
      </c>
      <c r="D15" s="2" t="s">
        <v>174</v>
      </c>
      <c r="E15" s="2" t="s">
        <v>169</v>
      </c>
      <c r="F15" s="2" t="s">
        <v>158</v>
      </c>
      <c r="G15" s="2">
        <v>81</v>
      </c>
      <c r="H15" s="2">
        <v>0</v>
      </c>
      <c r="I15" s="2">
        <v>5</v>
      </c>
      <c r="J15" s="2" t="s">
        <v>164</v>
      </c>
      <c r="K15" s="12">
        <v>287.39</v>
      </c>
      <c r="L15" s="2" t="s">
        <v>160</v>
      </c>
      <c r="M15" s="2" t="s">
        <v>174</v>
      </c>
      <c r="N15" s="2" t="s">
        <v>169</v>
      </c>
      <c r="O15" s="13">
        <f>ROUND(IF(AND(F15="N",J15="E"),(G15+H15/Parameters!$B$17+I15/Parameters!$B$18),IF(AND(F15="S",J15="E"),180-(G15+H15/Parameters!$B$17+I15/Parameters!$B$18),IF(AND(F15="S",J15="W"),180+(G15+H15/Parameters!$B$17+I15/Parameters!$B$18),360-(G15+H15/Parameters!$B$17+I15/Parameters!$B$18)))),6)</f>
        <v>278.998611</v>
      </c>
      <c r="P15" s="2" t="str">
        <f>IF(ISNUMBER(MATCH(M15&amp;"-"&amp;N15,Traverse!$A$4:$A$10,0)),M15&amp;"-"&amp;N15,N15&amp;"-"&amp;M15)</f>
        <v>T3-T4</v>
      </c>
      <c r="Q15" s="2" t="str">
        <f t="shared" si="0"/>
        <v>Reverse</v>
      </c>
      <c r="R15" s="13">
        <f t="shared" si="1"/>
        <v>98.998611</v>
      </c>
      <c r="S15" s="2">
        <v>2</v>
      </c>
      <c r="T15" s="14">
        <f>COS(RADIANS(R15-Parameters!$B$30))</f>
        <v>0.587804865</v>
      </c>
      <c r="U15" s="14">
        <f>SIN(RADIANS(R15-Parameters!$B$30))</f>
        <v>0.809002745</v>
      </c>
      <c r="V15" s="2" t="s">
        <v>161</v>
      </c>
      <c r="Y15" s="12">
        <f t="shared" si="2"/>
        <v>287.39</v>
      </c>
    </row>
    <row r="16" spans="1:26" x14ac:dyDescent="0.2">
      <c r="A16" s="2">
        <v>13</v>
      </c>
      <c r="B16" s="2" t="s">
        <v>154</v>
      </c>
      <c r="C16" s="2" t="s">
        <v>181</v>
      </c>
      <c r="D16" s="2" t="s">
        <v>174</v>
      </c>
      <c r="E16" s="2" t="s">
        <v>182</v>
      </c>
      <c r="F16" s="2" t="s">
        <v>163</v>
      </c>
      <c r="G16" s="2">
        <v>11</v>
      </c>
      <c r="H16" s="2">
        <v>1</v>
      </c>
      <c r="I16" s="2">
        <v>13</v>
      </c>
      <c r="J16" s="2" t="s">
        <v>164</v>
      </c>
      <c r="K16" s="12">
        <v>575.24</v>
      </c>
      <c r="L16" s="2" t="s">
        <v>160</v>
      </c>
      <c r="M16" s="2" t="s">
        <v>174</v>
      </c>
      <c r="N16" s="2" t="s">
        <v>182</v>
      </c>
      <c r="O16" s="13">
        <f>ROUND(IF(AND(F16="N",J16="E"),(G16+H16/Parameters!$B$17+I16/Parameters!$B$18),IF(AND(F16="S",J16="E"),180-(G16+H16/Parameters!$B$17+I16/Parameters!$B$18),IF(AND(F16="S",J16="W"),180+(G16+H16/Parameters!$B$17+I16/Parameters!$B$18),360-(G16+H16/Parameters!$B$17+I16/Parameters!$B$18)))),6)</f>
        <v>191.020278</v>
      </c>
      <c r="P16" s="2" t="str">
        <f>IF(ISNUMBER(MATCH(M16&amp;"-"&amp;N16,Traverse!$A$4:$A$10,0)),M16&amp;"-"&amp;N16,N16&amp;"-"&amp;M16)</f>
        <v>T4-T5</v>
      </c>
      <c r="Q16" s="2" t="str">
        <f t="shared" si="0"/>
        <v>Forward</v>
      </c>
      <c r="R16" s="13">
        <f t="shared" si="1"/>
        <v>191.020278</v>
      </c>
      <c r="S16" s="2">
        <v>1</v>
      </c>
      <c r="T16" s="14">
        <f>COS(RADIANS(R16-Parameters!$B$30))</f>
        <v>-0.829235429</v>
      </c>
      <c r="U16" s="14">
        <f>SIN(RADIANS(R16-Parameters!$B$30))</f>
        <v>0.558899457</v>
      </c>
      <c r="V16" s="2" t="s">
        <v>161</v>
      </c>
      <c r="Y16" s="12">
        <f t="shared" si="2"/>
        <v>575.24</v>
      </c>
    </row>
    <row r="17" spans="1:26" x14ac:dyDescent="0.2">
      <c r="A17" s="2">
        <v>14</v>
      </c>
      <c r="B17" s="2" t="s">
        <v>154</v>
      </c>
      <c r="C17" s="2" t="s">
        <v>183</v>
      </c>
      <c r="D17" s="2" t="s">
        <v>182</v>
      </c>
      <c r="E17" s="2" t="s">
        <v>174</v>
      </c>
      <c r="F17" s="2" t="s">
        <v>158</v>
      </c>
      <c r="G17" s="2">
        <v>11</v>
      </c>
      <c r="H17" s="2">
        <v>1</v>
      </c>
      <c r="I17" s="2">
        <v>16</v>
      </c>
      <c r="J17" s="2" t="s">
        <v>159</v>
      </c>
      <c r="K17" s="12">
        <v>575.28</v>
      </c>
      <c r="L17" s="2" t="s">
        <v>160</v>
      </c>
      <c r="M17" s="2" t="s">
        <v>182</v>
      </c>
      <c r="N17" s="2" t="s">
        <v>174</v>
      </c>
      <c r="O17" s="13">
        <f>ROUND(IF(AND(F17="N",J17="E"),(G17+H17/Parameters!$B$17+I17/Parameters!$B$18),IF(AND(F17="S",J17="E"),180-(G17+H17/Parameters!$B$17+I17/Parameters!$B$18),IF(AND(F17="S",J17="W"),180+(G17+H17/Parameters!$B$17+I17/Parameters!$B$18),360-(G17+H17/Parameters!$B$17+I17/Parameters!$B$18)))),6)</f>
        <v>11.021111</v>
      </c>
      <c r="P17" s="2" t="str">
        <f>IF(ISNUMBER(MATCH(M17&amp;"-"&amp;N17,Traverse!$A$4:$A$10,0)),M17&amp;"-"&amp;N17,N17&amp;"-"&amp;M17)</f>
        <v>T4-T5</v>
      </c>
      <c r="Q17" s="2" t="str">
        <f t="shared" si="0"/>
        <v>Reverse</v>
      </c>
      <c r="R17" s="13">
        <f t="shared" si="1"/>
        <v>191.021111</v>
      </c>
      <c r="S17" s="2">
        <v>1</v>
      </c>
      <c r="T17" s="14">
        <f>COS(RADIANS(R17-Parameters!$B$30))</f>
        <v>-0.829243555</v>
      </c>
      <c r="U17" s="14">
        <f>SIN(RADIANS(R17-Parameters!$B$30))</f>
        <v>0.558887401</v>
      </c>
      <c r="V17" s="2" t="s">
        <v>161</v>
      </c>
      <c r="Y17" s="12">
        <f t="shared" si="2"/>
        <v>575.28</v>
      </c>
    </row>
    <row r="18" spans="1:26" ht="16" x14ac:dyDescent="0.2">
      <c r="A18" s="2">
        <v>15</v>
      </c>
      <c r="B18" s="2" t="s">
        <v>154</v>
      </c>
      <c r="C18" s="2" t="s">
        <v>184</v>
      </c>
      <c r="D18" s="2" t="s">
        <v>182</v>
      </c>
      <c r="E18" s="2" t="s">
        <v>185</v>
      </c>
      <c r="F18" s="2" t="s">
        <v>163</v>
      </c>
      <c r="G18" s="2">
        <v>79</v>
      </c>
      <c r="H18" s="2">
        <v>55</v>
      </c>
      <c r="I18" s="2">
        <v>56</v>
      </c>
      <c r="J18" s="2" t="s">
        <v>164</v>
      </c>
      <c r="K18" s="12">
        <v>501.58</v>
      </c>
      <c r="L18" s="2" t="s">
        <v>160</v>
      </c>
      <c r="M18" s="2" t="s">
        <v>182</v>
      </c>
      <c r="N18" s="2" t="s">
        <v>185</v>
      </c>
      <c r="O18" s="13">
        <f>ROUND(IF(AND(F18="N",J18="E"),(G18+H18/Parameters!$B$17+I18/Parameters!$B$18),IF(AND(F18="S",J18="E"),180-(G18+H18/Parameters!$B$17+I18/Parameters!$B$18),IF(AND(F18="S",J18="W"),180+(G18+H18/Parameters!$B$17+I18/Parameters!$B$18),360-(G18+H18/Parameters!$B$17+I18/Parameters!$B$18)))),6)</f>
        <v>259.932222</v>
      </c>
      <c r="P18" s="2" t="str">
        <f>IF(ISNUMBER(MATCH(M18&amp;"-"&amp;N18,Traverse!$A$4:$A$10,0)),M18&amp;"-"&amp;N18,N18&amp;"-"&amp;M18)</f>
        <v>T5-T6</v>
      </c>
      <c r="Q18" s="2" t="str">
        <f t="shared" si="0"/>
        <v>Forward</v>
      </c>
      <c r="R18" s="13">
        <f t="shared" si="1"/>
        <v>259.932222</v>
      </c>
      <c r="S18" s="2">
        <v>1</v>
      </c>
      <c r="T18" s="14">
        <f>COS(RADIANS(R18-Parameters!$B$30))</f>
        <v>-0.819829983</v>
      </c>
      <c r="U18" s="14">
        <f>SIN(RADIANS(R18-Parameters!$B$30))</f>
        <v>-0.57260702</v>
      </c>
      <c r="V18" s="2" t="s">
        <v>175</v>
      </c>
      <c r="Y18" s="12">
        <f t="shared" si="2"/>
        <v>501.58</v>
      </c>
      <c r="Z18" s="11" t="s">
        <v>186</v>
      </c>
    </row>
    <row r="19" spans="1:26" ht="16" x14ac:dyDescent="0.2">
      <c r="A19" s="2">
        <v>16</v>
      </c>
      <c r="B19" s="2" t="s">
        <v>154</v>
      </c>
      <c r="C19" s="2" t="s">
        <v>187</v>
      </c>
      <c r="D19" s="2" t="s">
        <v>185</v>
      </c>
      <c r="E19" s="2" t="s">
        <v>182</v>
      </c>
      <c r="F19" s="2" t="s">
        <v>158</v>
      </c>
      <c r="G19" s="2">
        <v>79</v>
      </c>
      <c r="H19" s="2">
        <v>56</v>
      </c>
      <c r="I19" s="2">
        <v>0</v>
      </c>
      <c r="J19" s="2" t="s">
        <v>159</v>
      </c>
      <c r="K19" s="12">
        <v>501.59</v>
      </c>
      <c r="L19" s="2" t="s">
        <v>160</v>
      </c>
      <c r="M19" s="2" t="s">
        <v>185</v>
      </c>
      <c r="N19" s="2" t="s">
        <v>182</v>
      </c>
      <c r="O19" s="13">
        <f>ROUND(IF(AND(F19="N",J19="E"),(G19+H19/Parameters!$B$17+I19/Parameters!$B$18),IF(AND(F19="S",J19="E"),180-(G19+H19/Parameters!$B$17+I19/Parameters!$B$18),IF(AND(F19="S",J19="W"),180+(G19+H19/Parameters!$B$17+I19/Parameters!$B$18),360-(G19+H19/Parameters!$B$17+I19/Parameters!$B$18)))),6)</f>
        <v>79.933333</v>
      </c>
      <c r="P19" s="2" t="str">
        <f>IF(ISNUMBER(MATCH(M19&amp;"-"&amp;N19,Traverse!$A$4:$A$10,0)),M19&amp;"-"&amp;N19,N19&amp;"-"&amp;M19)</f>
        <v>T5-T6</v>
      </c>
      <c r="Q19" s="2" t="str">
        <f t="shared" si="0"/>
        <v>Reverse</v>
      </c>
      <c r="R19" s="13">
        <f t="shared" si="1"/>
        <v>259.933333</v>
      </c>
      <c r="S19" s="2">
        <v>1</v>
      </c>
      <c r="T19" s="14">
        <f>COS(RADIANS(R19-Parameters!$B$30))</f>
        <v>-0.81981888</v>
      </c>
      <c r="U19" s="14">
        <f>SIN(RADIANS(R19-Parameters!$B$30))</f>
        <v>-0.572622917</v>
      </c>
      <c r="V19" s="2" t="s">
        <v>175</v>
      </c>
      <c r="Y19" s="12">
        <f t="shared" si="2"/>
        <v>501.59</v>
      </c>
      <c r="Z19" s="11" t="s">
        <v>188</v>
      </c>
    </row>
    <row r="20" spans="1:26" x14ac:dyDescent="0.2">
      <c r="A20" s="2">
        <v>17</v>
      </c>
      <c r="B20" s="2" t="s">
        <v>154</v>
      </c>
      <c r="C20" s="2" t="s">
        <v>189</v>
      </c>
      <c r="D20" s="2" t="s">
        <v>182</v>
      </c>
      <c r="E20" s="2" t="s">
        <v>185</v>
      </c>
      <c r="F20" s="2" t="s">
        <v>163</v>
      </c>
      <c r="G20" s="2">
        <v>79</v>
      </c>
      <c r="H20" s="2">
        <v>55</v>
      </c>
      <c r="I20" s="2">
        <v>56</v>
      </c>
      <c r="J20" s="2" t="s">
        <v>164</v>
      </c>
      <c r="K20" s="12">
        <v>501.86</v>
      </c>
      <c r="L20" s="2" t="s">
        <v>160</v>
      </c>
      <c r="M20" s="2" t="s">
        <v>182</v>
      </c>
      <c r="N20" s="2" t="s">
        <v>185</v>
      </c>
      <c r="O20" s="13">
        <f>ROUND(IF(AND(F20="N",J20="E"),(G20+H20/Parameters!$B$17+I20/Parameters!$B$18),IF(AND(F20="S",J20="E"),180-(G20+H20/Parameters!$B$17+I20/Parameters!$B$18),IF(AND(F20="S",J20="W"),180+(G20+H20/Parameters!$B$17+I20/Parameters!$B$18),360-(G20+H20/Parameters!$B$17+I20/Parameters!$B$18)))),6)</f>
        <v>259.932222</v>
      </c>
      <c r="P20" s="2" t="str">
        <f>IF(ISNUMBER(MATCH(M20&amp;"-"&amp;N20,Traverse!$A$4:$A$10,0)),M20&amp;"-"&amp;N20,N20&amp;"-"&amp;M20)</f>
        <v>T5-T6</v>
      </c>
      <c r="Q20" s="2" t="str">
        <f t="shared" si="0"/>
        <v>Forward</v>
      </c>
      <c r="R20" s="13">
        <f t="shared" si="1"/>
        <v>259.932222</v>
      </c>
      <c r="S20" s="2">
        <v>2</v>
      </c>
      <c r="T20" s="14">
        <f>COS(RADIANS(R20-Parameters!$B$30))</f>
        <v>-0.819829983</v>
      </c>
      <c r="U20" s="14">
        <f>SIN(RADIANS(R20-Parameters!$B$30))</f>
        <v>-0.57260702</v>
      </c>
      <c r="V20" s="2" t="s">
        <v>161</v>
      </c>
      <c r="Y20" s="12">
        <f t="shared" si="2"/>
        <v>501.86</v>
      </c>
    </row>
    <row r="21" spans="1:26" x14ac:dyDescent="0.2">
      <c r="A21" s="2">
        <v>18</v>
      </c>
      <c r="B21" s="2" t="s">
        <v>154</v>
      </c>
      <c r="C21" s="2" t="s">
        <v>190</v>
      </c>
      <c r="D21" s="2" t="s">
        <v>185</v>
      </c>
      <c r="E21" s="2" t="s">
        <v>182</v>
      </c>
      <c r="F21" s="2" t="s">
        <v>158</v>
      </c>
      <c r="G21" s="2">
        <v>79</v>
      </c>
      <c r="H21" s="2">
        <v>56</v>
      </c>
      <c r="I21" s="2">
        <v>0</v>
      </c>
      <c r="J21" s="2" t="s">
        <v>159</v>
      </c>
      <c r="K21" s="12">
        <v>501.87</v>
      </c>
      <c r="L21" s="2" t="s">
        <v>160</v>
      </c>
      <c r="M21" s="2" t="s">
        <v>185</v>
      </c>
      <c r="N21" s="2" t="s">
        <v>182</v>
      </c>
      <c r="O21" s="13">
        <f>ROUND(IF(AND(F21="N",J21="E"),(G21+H21/Parameters!$B$17+I21/Parameters!$B$18),IF(AND(F21="S",J21="E"),180-(G21+H21/Parameters!$B$17+I21/Parameters!$B$18),IF(AND(F21="S",J21="W"),180+(G21+H21/Parameters!$B$17+I21/Parameters!$B$18),360-(G21+H21/Parameters!$B$17+I21/Parameters!$B$18)))),6)</f>
        <v>79.933333</v>
      </c>
      <c r="P21" s="2" t="str">
        <f>IF(ISNUMBER(MATCH(M21&amp;"-"&amp;N21,Traverse!$A$4:$A$10,0)),M21&amp;"-"&amp;N21,N21&amp;"-"&amp;M21)</f>
        <v>T5-T6</v>
      </c>
      <c r="Q21" s="2" t="str">
        <f t="shared" si="0"/>
        <v>Reverse</v>
      </c>
      <c r="R21" s="13">
        <f t="shared" si="1"/>
        <v>259.933333</v>
      </c>
      <c r="S21" s="2">
        <v>2</v>
      </c>
      <c r="T21" s="14">
        <f>COS(RADIANS(R21-Parameters!$B$30))</f>
        <v>-0.81981888</v>
      </c>
      <c r="U21" s="14">
        <f>SIN(RADIANS(R21-Parameters!$B$30))</f>
        <v>-0.572622917</v>
      </c>
      <c r="V21" s="2" t="s">
        <v>161</v>
      </c>
      <c r="Y21" s="12">
        <f t="shared" si="2"/>
        <v>501.87</v>
      </c>
    </row>
    <row r="22" spans="1:26" x14ac:dyDescent="0.2">
      <c r="A22" s="2">
        <v>19</v>
      </c>
      <c r="B22" s="2" t="s">
        <v>154</v>
      </c>
      <c r="C22" s="2" t="s">
        <v>191</v>
      </c>
      <c r="D22" s="2" t="s">
        <v>185</v>
      </c>
      <c r="E22" s="2" t="s">
        <v>156</v>
      </c>
      <c r="F22" s="2" t="s">
        <v>158</v>
      </c>
      <c r="G22" s="2">
        <v>39</v>
      </c>
      <c r="H22" s="2">
        <v>29</v>
      </c>
      <c r="I22" s="2">
        <v>43</v>
      </c>
      <c r="J22" s="2" t="s">
        <v>164</v>
      </c>
      <c r="K22" s="12">
        <v>214.8</v>
      </c>
      <c r="L22" s="2" t="s">
        <v>160</v>
      </c>
      <c r="M22" s="2" t="s">
        <v>185</v>
      </c>
      <c r="N22" s="2" t="s">
        <v>156</v>
      </c>
      <c r="O22" s="13">
        <f>ROUND(IF(AND(F22="N",J22="E"),(G22+H22/Parameters!$B$17+I22/Parameters!$B$18),IF(AND(F22="S",J22="E"),180-(G22+H22/Parameters!$B$17+I22/Parameters!$B$18),IF(AND(F22="S",J22="W"),180+(G22+H22/Parameters!$B$17+I22/Parameters!$B$18),360-(G22+H22/Parameters!$B$17+I22/Parameters!$B$18)))),6)</f>
        <v>320.504722</v>
      </c>
      <c r="P22" s="2" t="str">
        <f>IF(ISNUMBER(MATCH(M22&amp;"-"&amp;N22,Traverse!$A$4:$A$10,0)),M22&amp;"-"&amp;N22,N22&amp;"-"&amp;M22)</f>
        <v>T6-T1</v>
      </c>
      <c r="Q22" s="2" t="str">
        <f t="shared" si="0"/>
        <v>Forward</v>
      </c>
      <c r="R22" s="13">
        <f t="shared" si="1"/>
        <v>320.504722</v>
      </c>
      <c r="S22" s="2">
        <v>1</v>
      </c>
      <c r="T22" s="14">
        <f>COS(RADIANS(R22-Parameters!$B$30))</f>
        <v>0.095927787</v>
      </c>
      <c r="U22" s="14">
        <f>SIN(RADIANS(R22-Parameters!$B$30))</f>
        <v>-0.995388296</v>
      </c>
      <c r="V22" s="2" t="s">
        <v>161</v>
      </c>
      <c r="Y22" s="12">
        <f t="shared" si="2"/>
        <v>214.8</v>
      </c>
    </row>
    <row r="23" spans="1:26" x14ac:dyDescent="0.2">
      <c r="A23" s="2">
        <v>20</v>
      </c>
      <c r="B23" s="2" t="s">
        <v>154</v>
      </c>
      <c r="C23" s="2" t="s">
        <v>192</v>
      </c>
      <c r="D23" s="2" t="s">
        <v>156</v>
      </c>
      <c r="E23" s="2" t="s">
        <v>185</v>
      </c>
      <c r="F23" s="2" t="s">
        <v>163</v>
      </c>
      <c r="G23" s="2">
        <v>39</v>
      </c>
      <c r="H23" s="2">
        <v>29</v>
      </c>
      <c r="I23" s="2">
        <v>46</v>
      </c>
      <c r="J23" s="2" t="s">
        <v>159</v>
      </c>
      <c r="K23" s="12">
        <v>214.78</v>
      </c>
      <c r="L23" s="2" t="s">
        <v>160</v>
      </c>
      <c r="M23" s="2" t="s">
        <v>156</v>
      </c>
      <c r="N23" s="2" t="s">
        <v>185</v>
      </c>
      <c r="O23" s="13">
        <f>ROUND(IF(AND(F23="N",J23="E"),(G23+H23/Parameters!$B$17+I23/Parameters!$B$18),IF(AND(F23="S",J23="E"),180-(G23+H23/Parameters!$B$17+I23/Parameters!$B$18),IF(AND(F23="S",J23="W"),180+(G23+H23/Parameters!$B$17+I23/Parameters!$B$18),360-(G23+H23/Parameters!$B$17+I23/Parameters!$B$18)))),6)</f>
        <v>140.503889</v>
      </c>
      <c r="P23" s="2" t="str">
        <f>IF(ISNUMBER(MATCH(M23&amp;"-"&amp;N23,Traverse!$A$4:$A$10,0)),M23&amp;"-"&amp;N23,N23&amp;"-"&amp;M23)</f>
        <v>T6-T1</v>
      </c>
      <c r="Q23" s="2" t="str">
        <f t="shared" si="0"/>
        <v>Reverse</v>
      </c>
      <c r="R23" s="13">
        <f t="shared" si="1"/>
        <v>320.503889</v>
      </c>
      <c r="S23" s="2">
        <v>1</v>
      </c>
      <c r="T23" s="14">
        <f>COS(RADIANS(R23-Parameters!$B$30))</f>
        <v>0.095913316</v>
      </c>
      <c r="U23" s="14">
        <f>SIN(RADIANS(R23-Parameters!$B$30))</f>
        <v>-0.99538969</v>
      </c>
      <c r="V23" s="2" t="s">
        <v>161</v>
      </c>
      <c r="Y23" s="12">
        <f t="shared" si="2"/>
        <v>214.78</v>
      </c>
    </row>
    <row r="24" spans="1:26" x14ac:dyDescent="0.2">
      <c r="A24" s="2">
        <v>21</v>
      </c>
      <c r="B24" s="2" t="s">
        <v>193</v>
      </c>
      <c r="C24" s="2" t="s">
        <v>194</v>
      </c>
      <c r="D24" s="2" t="s">
        <v>156</v>
      </c>
      <c r="E24" s="2" t="s">
        <v>195</v>
      </c>
      <c r="F24" s="2" t="s">
        <v>163</v>
      </c>
      <c r="G24" s="2">
        <v>67</v>
      </c>
      <c r="H24" s="2">
        <v>54</v>
      </c>
      <c r="I24" s="2">
        <v>49</v>
      </c>
      <c r="J24" s="2" t="s">
        <v>164</v>
      </c>
      <c r="K24" s="12">
        <v>13.79</v>
      </c>
      <c r="L24" s="2" t="s">
        <v>196</v>
      </c>
      <c r="M24" s="2" t="s">
        <v>156</v>
      </c>
      <c r="N24" s="2" t="s">
        <v>195</v>
      </c>
      <c r="O24" s="13">
        <f>ROUND(IF(AND(F24="N",J24="E"),(G24+H24/Parameters!$B$17+I24/Parameters!$B$18),IF(AND(F24="S",J24="E"),180-(G24+H24/Parameters!$B$17+I24/Parameters!$B$18),IF(AND(F24="S",J24="W"),180+(G24+H24/Parameters!$B$17+I24/Parameters!$B$18),360-(G24+H24/Parameters!$B$17+I24/Parameters!$B$18)))),6)</f>
        <v>247.913611</v>
      </c>
      <c r="W24" s="12">
        <f>Parameters!$B$24</f>
        <v>0.04</v>
      </c>
      <c r="X24" s="12">
        <v>0</v>
      </c>
      <c r="Y24" s="12">
        <f t="shared" ref="Y24:Y39" si="3">ROUND(K24+W24+X24,2)</f>
        <v>13.83</v>
      </c>
    </row>
    <row r="25" spans="1:26" x14ac:dyDescent="0.2">
      <c r="A25" s="2">
        <v>22</v>
      </c>
      <c r="B25" s="2" t="s">
        <v>193</v>
      </c>
      <c r="C25" s="2" t="s">
        <v>197</v>
      </c>
      <c r="D25" s="2" t="s">
        <v>166</v>
      </c>
      <c r="E25" s="2" t="s">
        <v>198</v>
      </c>
      <c r="F25" s="2" t="s">
        <v>158</v>
      </c>
      <c r="G25" s="2">
        <v>29</v>
      </c>
      <c r="H25" s="2">
        <v>0</v>
      </c>
      <c r="I25" s="2">
        <v>1</v>
      </c>
      <c r="J25" s="2" t="s">
        <v>164</v>
      </c>
      <c r="K25" s="12">
        <v>11.16</v>
      </c>
      <c r="L25" s="2" t="s">
        <v>196</v>
      </c>
      <c r="M25" s="2" t="s">
        <v>166</v>
      </c>
      <c r="N25" s="2" t="s">
        <v>198</v>
      </c>
      <c r="O25" s="13">
        <f>ROUND(IF(AND(F25="N",J25="E"),(G25+H25/Parameters!$B$17+I25/Parameters!$B$18),IF(AND(F25="S",J25="E"),180-(G25+H25/Parameters!$B$17+I25/Parameters!$B$18),IF(AND(F25="S",J25="W"),180+(G25+H25/Parameters!$B$17+I25/Parameters!$B$18),360-(G25+H25/Parameters!$B$17+I25/Parameters!$B$18)))),6)</f>
        <v>330.999722</v>
      </c>
      <c r="W25" s="12">
        <f>Parameters!$B$24</f>
        <v>0.04</v>
      </c>
      <c r="X25" s="12">
        <v>0</v>
      </c>
      <c r="Y25" s="12">
        <f t="shared" si="3"/>
        <v>11.2</v>
      </c>
    </row>
    <row r="26" spans="1:26" x14ac:dyDescent="0.2">
      <c r="A26" s="2">
        <v>23</v>
      </c>
      <c r="B26" s="2" t="s">
        <v>193</v>
      </c>
      <c r="C26" s="2" t="s">
        <v>199</v>
      </c>
      <c r="D26" s="2" t="s">
        <v>166</v>
      </c>
      <c r="E26" s="2" t="s">
        <v>200</v>
      </c>
      <c r="F26" s="2" t="s">
        <v>158</v>
      </c>
      <c r="G26" s="2">
        <v>81</v>
      </c>
      <c r="H26" s="2">
        <v>43</v>
      </c>
      <c r="I26" s="2">
        <v>12</v>
      </c>
      <c r="J26" s="2" t="s">
        <v>159</v>
      </c>
      <c r="K26" s="12">
        <v>26.23</v>
      </c>
      <c r="L26" s="2" t="s">
        <v>201</v>
      </c>
      <c r="M26" s="2" t="s">
        <v>166</v>
      </c>
      <c r="N26" s="2" t="s">
        <v>200</v>
      </c>
      <c r="O26" s="13">
        <f>ROUND(IF(AND(F26="N",J26="E"),(G26+H26/Parameters!$B$17+I26/Parameters!$B$18),IF(AND(F26="S",J26="E"),180-(G26+H26/Parameters!$B$17+I26/Parameters!$B$18),IF(AND(F26="S",J26="W"),180+(G26+H26/Parameters!$B$17+I26/Parameters!$B$18),360-(G26+H26/Parameters!$B$17+I26/Parameters!$B$18)))),6)</f>
        <v>81.72</v>
      </c>
      <c r="W26" s="12">
        <f>Parameters!$B$24</f>
        <v>0.04</v>
      </c>
      <c r="X26" s="12">
        <v>0</v>
      </c>
      <c r="Y26" s="12">
        <f t="shared" si="3"/>
        <v>26.27</v>
      </c>
    </row>
    <row r="27" spans="1:26" ht="32" x14ac:dyDescent="0.2">
      <c r="A27" s="2">
        <v>24</v>
      </c>
      <c r="B27" s="2" t="s">
        <v>193</v>
      </c>
      <c r="C27" s="2" t="s">
        <v>202</v>
      </c>
      <c r="D27" s="2" t="s">
        <v>166</v>
      </c>
      <c r="E27" s="2" t="s">
        <v>203</v>
      </c>
      <c r="F27" s="2" t="s">
        <v>158</v>
      </c>
      <c r="G27" s="2">
        <v>22</v>
      </c>
      <c r="H27" s="2">
        <v>48</v>
      </c>
      <c r="I27" s="2">
        <v>20</v>
      </c>
      <c r="J27" s="2" t="s">
        <v>159</v>
      </c>
      <c r="K27" s="12">
        <v>19.67</v>
      </c>
      <c r="L27" s="2" t="s">
        <v>201</v>
      </c>
      <c r="M27" s="2" t="s">
        <v>169</v>
      </c>
      <c r="N27" s="2" t="s">
        <v>203</v>
      </c>
      <c r="O27" s="13">
        <f>ROUND(IF(AND(F27="N",J27="E"),(G27+H27/Parameters!$B$17+I27/Parameters!$B$18),IF(AND(F27="S",J27="E"),180-(G27+H27/Parameters!$B$17+I27/Parameters!$B$18),IF(AND(F27="S",J27="W"),180+(G27+H27/Parameters!$B$17+I27/Parameters!$B$18),360-(G27+H27/Parameters!$B$17+I27/Parameters!$B$18)))),6)</f>
        <v>22.805556</v>
      </c>
      <c r="W27" s="12">
        <f>Parameters!$B$24</f>
        <v>0.04</v>
      </c>
      <c r="X27" s="12">
        <v>0</v>
      </c>
      <c r="Y27" s="12">
        <f t="shared" si="3"/>
        <v>19.71</v>
      </c>
      <c r="Z27" s="11" t="s">
        <v>204</v>
      </c>
    </row>
    <row r="28" spans="1:26" ht="16" x14ac:dyDescent="0.2">
      <c r="A28" s="2">
        <v>25</v>
      </c>
      <c r="B28" s="2" t="s">
        <v>193</v>
      </c>
      <c r="C28" s="2" t="s">
        <v>205</v>
      </c>
      <c r="D28" s="2" t="s">
        <v>174</v>
      </c>
      <c r="E28" s="2" t="s">
        <v>206</v>
      </c>
      <c r="F28" s="2" t="s">
        <v>158</v>
      </c>
      <c r="G28" s="2">
        <v>55</v>
      </c>
      <c r="H28" s="2">
        <v>46</v>
      </c>
      <c r="I28" s="2">
        <v>19</v>
      </c>
      <c r="J28" s="2" t="s">
        <v>159</v>
      </c>
      <c r="K28" s="12">
        <v>13.78</v>
      </c>
      <c r="L28" s="2" t="s">
        <v>201</v>
      </c>
      <c r="M28" s="2" t="s">
        <v>174</v>
      </c>
      <c r="N28" s="2" t="s">
        <v>207</v>
      </c>
      <c r="O28" s="13">
        <f>ROUND(IF(AND(F28="N",J28="E"),(G28+H28/Parameters!$B$17+I28/Parameters!$B$18),IF(AND(F28="S",J28="E"),180-(G28+H28/Parameters!$B$17+I28/Parameters!$B$18),IF(AND(F28="S",J28="W"),180+(G28+H28/Parameters!$B$17+I28/Parameters!$B$18),360-(G28+H28/Parameters!$B$17+I28/Parameters!$B$18)))),6)</f>
        <v>55.771944</v>
      </c>
      <c r="W28" s="12">
        <f>Parameters!$B$24</f>
        <v>0.04</v>
      </c>
      <c r="X28" s="12">
        <v>0</v>
      </c>
      <c r="Y28" s="12">
        <f t="shared" si="3"/>
        <v>13.82</v>
      </c>
      <c r="Z28" s="11" t="s">
        <v>208</v>
      </c>
    </row>
    <row r="29" spans="1:26" ht="32" x14ac:dyDescent="0.2">
      <c r="A29" s="2">
        <v>26</v>
      </c>
      <c r="B29" s="2" t="s">
        <v>193</v>
      </c>
      <c r="C29" s="2" t="s">
        <v>209</v>
      </c>
      <c r="D29" s="2" t="s">
        <v>174</v>
      </c>
      <c r="E29" s="2" t="s">
        <v>207</v>
      </c>
      <c r="F29" s="2" t="s">
        <v>158</v>
      </c>
      <c r="G29" s="2">
        <v>59</v>
      </c>
      <c r="H29" s="2">
        <v>27</v>
      </c>
      <c r="I29" s="2">
        <v>9</v>
      </c>
      <c r="J29" s="2" t="s">
        <v>159</v>
      </c>
      <c r="K29" s="12">
        <v>12.83</v>
      </c>
      <c r="L29" s="2" t="s">
        <v>210</v>
      </c>
      <c r="M29" s="2" t="s">
        <v>174</v>
      </c>
      <c r="N29" s="2" t="s">
        <v>206</v>
      </c>
      <c r="O29" s="13">
        <f>ROUND(IF(AND(F29="N",J29="E"),(G29+H29/Parameters!$B$17+I29/Parameters!$B$18),IF(AND(F29="S",J29="E"),180-(G29+H29/Parameters!$B$17+I29/Parameters!$B$18),IF(AND(F29="S",J29="W"),180+(G29+H29/Parameters!$B$17+I29/Parameters!$B$18),360-(G29+H29/Parameters!$B$17+I29/Parameters!$B$18)))),6)</f>
        <v>59.4525</v>
      </c>
      <c r="W29" s="12">
        <f>Parameters!$B$24</f>
        <v>0.04</v>
      </c>
      <c r="X29" s="12">
        <v>0</v>
      </c>
      <c r="Y29" s="12">
        <f t="shared" si="3"/>
        <v>12.87</v>
      </c>
      <c r="Z29" s="11" t="s">
        <v>211</v>
      </c>
    </row>
    <row r="30" spans="1:26" x14ac:dyDescent="0.2">
      <c r="A30" s="2">
        <v>27</v>
      </c>
      <c r="B30" s="2" t="s">
        <v>193</v>
      </c>
      <c r="C30" s="2" t="s">
        <v>212</v>
      </c>
      <c r="D30" s="2" t="s">
        <v>174</v>
      </c>
      <c r="E30" s="2" t="s">
        <v>213</v>
      </c>
      <c r="F30" s="2" t="s">
        <v>158</v>
      </c>
      <c r="G30" s="2">
        <v>57</v>
      </c>
      <c r="H30" s="2">
        <v>15</v>
      </c>
      <c r="I30" s="2">
        <v>36</v>
      </c>
      <c r="J30" s="2" t="s">
        <v>159</v>
      </c>
      <c r="K30" s="12">
        <v>12.95</v>
      </c>
      <c r="L30" s="2" t="s">
        <v>214</v>
      </c>
      <c r="M30" s="2" t="s">
        <v>174</v>
      </c>
      <c r="N30" s="2" t="s">
        <v>213</v>
      </c>
      <c r="O30" s="13">
        <f>ROUND(IF(AND(F30="N",J30="E"),(G30+H30/Parameters!$B$17+I30/Parameters!$B$18),IF(AND(F30="S",J30="E"),180-(G30+H30/Parameters!$B$17+I30/Parameters!$B$18),IF(AND(F30="S",J30="W"),180+(G30+H30/Parameters!$B$17+I30/Parameters!$B$18),360-(G30+H30/Parameters!$B$17+I30/Parameters!$B$18)))),6)</f>
        <v>57.26</v>
      </c>
      <c r="W30" s="12">
        <f>Parameters!$B$24</f>
        <v>0.04</v>
      </c>
      <c r="X30" s="12">
        <v>0</v>
      </c>
      <c r="Y30" s="12">
        <f t="shared" si="3"/>
        <v>12.99</v>
      </c>
    </row>
    <row r="31" spans="1:26" x14ac:dyDescent="0.2">
      <c r="A31" s="2">
        <v>28</v>
      </c>
      <c r="B31" s="2" t="s">
        <v>193</v>
      </c>
      <c r="C31" s="2" t="s">
        <v>215</v>
      </c>
      <c r="D31" s="2" t="s">
        <v>174</v>
      </c>
      <c r="E31" s="2" t="s">
        <v>216</v>
      </c>
      <c r="F31" s="2" t="s">
        <v>158</v>
      </c>
      <c r="G31" s="2">
        <v>13</v>
      </c>
      <c r="H31" s="2">
        <v>29</v>
      </c>
      <c r="I31" s="2">
        <v>42</v>
      </c>
      <c r="J31" s="2" t="s">
        <v>159</v>
      </c>
      <c r="K31" s="12">
        <v>223.98</v>
      </c>
      <c r="L31" s="2" t="s">
        <v>217</v>
      </c>
      <c r="M31" s="2" t="s">
        <v>174</v>
      </c>
      <c r="N31" s="2" t="s">
        <v>216</v>
      </c>
      <c r="O31" s="13">
        <f>ROUND(IF(AND(F31="N",J31="E"),(G31+H31/Parameters!$B$17+I31/Parameters!$B$18),IF(AND(F31="S",J31="E"),180-(G31+H31/Parameters!$B$17+I31/Parameters!$B$18),IF(AND(F31="S",J31="W"),180+(G31+H31/Parameters!$B$17+I31/Parameters!$B$18),360-(G31+H31/Parameters!$B$17+I31/Parameters!$B$18)))),6)</f>
        <v>13.495</v>
      </c>
      <c r="W31" s="12">
        <f>Parameters!$B$24</f>
        <v>0.04</v>
      </c>
      <c r="X31" s="12">
        <v>0</v>
      </c>
      <c r="Y31" s="12">
        <f t="shared" si="3"/>
        <v>224.02</v>
      </c>
    </row>
    <row r="32" spans="1:26" x14ac:dyDescent="0.2">
      <c r="A32" s="2">
        <v>29</v>
      </c>
      <c r="B32" s="2" t="s">
        <v>193</v>
      </c>
      <c r="C32" s="2" t="s">
        <v>168</v>
      </c>
      <c r="D32" s="2" t="s">
        <v>174</v>
      </c>
      <c r="E32" s="2" t="s">
        <v>218</v>
      </c>
      <c r="F32" s="2" t="s">
        <v>163</v>
      </c>
      <c r="G32" s="2">
        <v>1</v>
      </c>
      <c r="H32" s="2">
        <v>52</v>
      </c>
      <c r="I32" s="2">
        <v>10</v>
      </c>
      <c r="J32" s="2" t="s">
        <v>159</v>
      </c>
      <c r="K32" s="12">
        <v>43.59</v>
      </c>
      <c r="L32" s="2" t="s">
        <v>201</v>
      </c>
      <c r="M32" s="2" t="s">
        <v>174</v>
      </c>
      <c r="N32" s="2" t="s">
        <v>218</v>
      </c>
      <c r="O32" s="13">
        <f>ROUND(IF(AND(F32="N",J32="E"),(G32+H32/Parameters!$B$17+I32/Parameters!$B$18),IF(AND(F32="S",J32="E"),180-(G32+H32/Parameters!$B$17+I32/Parameters!$B$18),IF(AND(F32="S",J32="W"),180+(G32+H32/Parameters!$B$17+I32/Parameters!$B$18),360-(G32+H32/Parameters!$B$17+I32/Parameters!$B$18)))),6)</f>
        <v>178.130556</v>
      </c>
      <c r="W32" s="12">
        <f>Parameters!$B$24</f>
        <v>0.04</v>
      </c>
      <c r="X32" s="12">
        <v>0</v>
      </c>
      <c r="Y32" s="12">
        <f t="shared" si="3"/>
        <v>43.63</v>
      </c>
    </row>
    <row r="33" spans="1:26" x14ac:dyDescent="0.2">
      <c r="A33" s="2">
        <v>30</v>
      </c>
      <c r="B33" s="2" t="s">
        <v>193</v>
      </c>
      <c r="C33" s="2" t="s">
        <v>219</v>
      </c>
      <c r="D33" s="2" t="s">
        <v>182</v>
      </c>
      <c r="E33" s="2" t="s">
        <v>220</v>
      </c>
      <c r="F33" s="2" t="s">
        <v>163</v>
      </c>
      <c r="G33" s="2">
        <v>39</v>
      </c>
      <c r="H33" s="2">
        <v>29</v>
      </c>
      <c r="I33" s="2">
        <v>59</v>
      </c>
      <c r="J33" s="2" t="s">
        <v>159</v>
      </c>
      <c r="K33" s="12">
        <v>12.26</v>
      </c>
      <c r="L33" s="2" t="s">
        <v>221</v>
      </c>
      <c r="M33" s="2" t="s">
        <v>182</v>
      </c>
      <c r="N33" s="2" t="s">
        <v>220</v>
      </c>
      <c r="O33" s="13">
        <f>ROUND(IF(AND(F33="N",J33="E"),(G33+H33/Parameters!$B$17+I33/Parameters!$B$18),IF(AND(F33="S",J33="E"),180-(G33+H33/Parameters!$B$17+I33/Parameters!$B$18),IF(AND(F33="S",J33="W"),180+(G33+H33/Parameters!$B$17+I33/Parameters!$B$18),360-(G33+H33/Parameters!$B$17+I33/Parameters!$B$18)))),6)</f>
        <v>140.500278</v>
      </c>
      <c r="W33" s="12">
        <f>Parameters!$B$24</f>
        <v>0.04</v>
      </c>
      <c r="X33" s="12">
        <v>0</v>
      </c>
      <c r="Y33" s="12">
        <f t="shared" si="3"/>
        <v>12.3</v>
      </c>
    </row>
    <row r="34" spans="1:26" x14ac:dyDescent="0.2">
      <c r="A34" s="2">
        <v>31</v>
      </c>
      <c r="B34" s="2" t="s">
        <v>193</v>
      </c>
      <c r="C34" s="2" t="s">
        <v>222</v>
      </c>
      <c r="D34" s="2" t="s">
        <v>182</v>
      </c>
      <c r="E34" s="2" t="s">
        <v>223</v>
      </c>
      <c r="F34" s="2" t="s">
        <v>158</v>
      </c>
      <c r="G34" s="2">
        <v>32</v>
      </c>
      <c r="H34" s="2">
        <v>35</v>
      </c>
      <c r="I34" s="2">
        <v>33</v>
      </c>
      <c r="J34" s="2" t="s">
        <v>159</v>
      </c>
      <c r="K34" s="12">
        <v>26.34</v>
      </c>
      <c r="L34" s="2" t="s">
        <v>201</v>
      </c>
      <c r="M34" s="2" t="s">
        <v>182</v>
      </c>
      <c r="N34" s="2" t="s">
        <v>223</v>
      </c>
      <c r="O34" s="13">
        <f>ROUND(IF(AND(F34="N",J34="E"),(G34+H34/Parameters!$B$17+I34/Parameters!$B$18),IF(AND(F34="S",J34="E"),180-(G34+H34/Parameters!$B$17+I34/Parameters!$B$18),IF(AND(F34="S",J34="W"),180+(G34+H34/Parameters!$B$17+I34/Parameters!$B$18),360-(G34+H34/Parameters!$B$17+I34/Parameters!$B$18)))),6)</f>
        <v>32.5925</v>
      </c>
      <c r="W34" s="12">
        <f>Parameters!$B$24</f>
        <v>0.04</v>
      </c>
      <c r="X34" s="12">
        <v>0</v>
      </c>
      <c r="Y34" s="12">
        <f t="shared" si="3"/>
        <v>26.38</v>
      </c>
    </row>
    <row r="35" spans="1:26" x14ac:dyDescent="0.2">
      <c r="A35" s="2">
        <v>32</v>
      </c>
      <c r="B35" s="2" t="s">
        <v>193</v>
      </c>
      <c r="C35" s="2" t="s">
        <v>224</v>
      </c>
      <c r="D35" s="2" t="s">
        <v>182</v>
      </c>
      <c r="E35" s="2" t="s">
        <v>225</v>
      </c>
      <c r="F35" s="2" t="s">
        <v>158</v>
      </c>
      <c r="G35" s="2">
        <v>13</v>
      </c>
      <c r="H35" s="2">
        <v>47</v>
      </c>
      <c r="I35" s="2">
        <v>21</v>
      </c>
      <c r="J35" s="2" t="s">
        <v>159</v>
      </c>
      <c r="K35" s="12">
        <v>204.74</v>
      </c>
      <c r="L35" s="2" t="s">
        <v>201</v>
      </c>
      <c r="M35" s="2" t="s">
        <v>182</v>
      </c>
      <c r="N35" s="2" t="s">
        <v>225</v>
      </c>
      <c r="O35" s="13">
        <f>ROUND(IF(AND(F35="N",J35="E"),(G35+H35/Parameters!$B$17+I35/Parameters!$B$18),IF(AND(F35="S",J35="E"),180-(G35+H35/Parameters!$B$17+I35/Parameters!$B$18),IF(AND(F35="S",J35="W"),180+(G35+H35/Parameters!$B$17+I35/Parameters!$B$18),360-(G35+H35/Parameters!$B$17+I35/Parameters!$B$18)))),6)</f>
        <v>13.789167</v>
      </c>
      <c r="W35" s="12">
        <f>Parameters!$B$24</f>
        <v>0.04</v>
      </c>
      <c r="X35" s="12">
        <v>0</v>
      </c>
      <c r="Y35" s="12">
        <f t="shared" si="3"/>
        <v>204.78</v>
      </c>
    </row>
    <row r="36" spans="1:26" x14ac:dyDescent="0.2">
      <c r="A36" s="2">
        <v>33</v>
      </c>
      <c r="B36" s="2" t="s">
        <v>193</v>
      </c>
      <c r="C36" s="2" t="s">
        <v>226</v>
      </c>
      <c r="D36" s="2" t="s">
        <v>182</v>
      </c>
      <c r="E36" s="2" t="s">
        <v>227</v>
      </c>
      <c r="F36" s="2" t="s">
        <v>163</v>
      </c>
      <c r="G36" s="2">
        <v>68</v>
      </c>
      <c r="H36" s="2">
        <v>2</v>
      </c>
      <c r="I36" s="2">
        <v>43</v>
      </c>
      <c r="J36" s="2" t="s">
        <v>164</v>
      </c>
      <c r="K36" s="12">
        <v>49.99</v>
      </c>
      <c r="L36" s="2" t="s">
        <v>201</v>
      </c>
      <c r="M36" s="2" t="s">
        <v>182</v>
      </c>
      <c r="N36" s="2" t="s">
        <v>227</v>
      </c>
      <c r="O36" s="13">
        <f>ROUND(IF(AND(F36="N",J36="E"),(G36+H36/Parameters!$B$17+I36/Parameters!$B$18),IF(AND(F36="S",J36="E"),180-(G36+H36/Parameters!$B$17+I36/Parameters!$B$18),IF(AND(F36="S",J36="W"),180+(G36+H36/Parameters!$B$17+I36/Parameters!$B$18),360-(G36+H36/Parameters!$B$17+I36/Parameters!$B$18)))),6)</f>
        <v>248.045278</v>
      </c>
      <c r="W36" s="12">
        <f>Parameters!$B$24</f>
        <v>0.04</v>
      </c>
      <c r="X36" s="12">
        <v>0</v>
      </c>
      <c r="Y36" s="12">
        <f t="shared" si="3"/>
        <v>50.03</v>
      </c>
    </row>
    <row r="37" spans="1:26" ht="16" x14ac:dyDescent="0.2">
      <c r="A37" s="2">
        <v>34</v>
      </c>
      <c r="B37" s="2" t="s">
        <v>193</v>
      </c>
      <c r="C37" s="2" t="s">
        <v>228</v>
      </c>
      <c r="D37" s="2" t="s">
        <v>185</v>
      </c>
      <c r="E37" s="2" t="s">
        <v>229</v>
      </c>
      <c r="F37" s="2" t="s">
        <v>163</v>
      </c>
      <c r="G37" s="2">
        <v>5</v>
      </c>
      <c r="H37" s="2">
        <v>18</v>
      </c>
      <c r="I37" s="2">
        <v>1</v>
      </c>
      <c r="J37" s="2" t="s">
        <v>164</v>
      </c>
      <c r="K37" s="12">
        <v>8.19</v>
      </c>
      <c r="L37" s="2" t="s">
        <v>221</v>
      </c>
      <c r="M37" s="2" t="s">
        <v>185</v>
      </c>
      <c r="N37" s="2" t="s">
        <v>229</v>
      </c>
      <c r="O37" s="13">
        <f>ROUND(IF(AND(F37="N",J37="E"),(G37+H37/Parameters!$B$17+I37/Parameters!$B$18),IF(AND(F37="S",J37="E"),180-(G37+H37/Parameters!$B$17+I37/Parameters!$B$18),IF(AND(F37="S",J37="W"),180+(G37+H37/Parameters!$B$17+I37/Parameters!$B$18),360-(G37+H37/Parameters!$B$17+I37/Parameters!$B$18)))),6)</f>
        <v>185.300278</v>
      </c>
      <c r="W37" s="12">
        <f>Parameters!$B$24</f>
        <v>0.04</v>
      </c>
      <c r="X37" s="12">
        <f>Parameters!$B$25</f>
        <v>0.6</v>
      </c>
      <c r="Y37" s="12">
        <f t="shared" si="3"/>
        <v>8.83</v>
      </c>
      <c r="Z37" s="11" t="s">
        <v>230</v>
      </c>
    </row>
    <row r="38" spans="1:26" x14ac:dyDescent="0.2">
      <c r="A38" s="2">
        <v>35</v>
      </c>
      <c r="B38" s="2" t="s">
        <v>193</v>
      </c>
      <c r="C38" s="2" t="s">
        <v>231</v>
      </c>
      <c r="D38" s="2" t="s">
        <v>185</v>
      </c>
      <c r="E38" s="2" t="s">
        <v>232</v>
      </c>
      <c r="F38" s="2" t="s">
        <v>163</v>
      </c>
      <c r="G38" s="2">
        <v>83</v>
      </c>
      <c r="H38" s="2">
        <v>1</v>
      </c>
      <c r="I38" s="2">
        <v>32</v>
      </c>
      <c r="J38" s="2" t="s">
        <v>159</v>
      </c>
      <c r="K38" s="12">
        <v>29.15</v>
      </c>
      <c r="L38" s="2" t="s">
        <v>201</v>
      </c>
      <c r="M38" s="2" t="s">
        <v>185</v>
      </c>
      <c r="N38" s="2" t="s">
        <v>232</v>
      </c>
      <c r="O38" s="13">
        <f>ROUND(IF(AND(F38="N",J38="E"),(G38+H38/Parameters!$B$17+I38/Parameters!$B$18),IF(AND(F38="S",J38="E"),180-(G38+H38/Parameters!$B$17+I38/Parameters!$B$18),IF(AND(F38="S",J38="W"),180+(G38+H38/Parameters!$B$17+I38/Parameters!$B$18),360-(G38+H38/Parameters!$B$17+I38/Parameters!$B$18)))),6)</f>
        <v>96.974444</v>
      </c>
      <c r="W38" s="12">
        <f>Parameters!$B$24</f>
        <v>0.04</v>
      </c>
      <c r="X38" s="12">
        <v>0</v>
      </c>
      <c r="Y38" s="12">
        <f t="shared" si="3"/>
        <v>29.19</v>
      </c>
    </row>
    <row r="39" spans="1:26" x14ac:dyDescent="0.2">
      <c r="A39" s="2">
        <v>36</v>
      </c>
      <c r="B39" s="2" t="s">
        <v>193</v>
      </c>
      <c r="C39" s="2" t="s">
        <v>233</v>
      </c>
      <c r="D39" s="2" t="s">
        <v>185</v>
      </c>
      <c r="E39" s="2" t="s">
        <v>234</v>
      </c>
      <c r="F39" s="2" t="s">
        <v>158</v>
      </c>
      <c r="G39" s="2">
        <v>82</v>
      </c>
      <c r="H39" s="2">
        <v>6</v>
      </c>
      <c r="I39" s="2">
        <v>48</v>
      </c>
      <c r="J39" s="2" t="s">
        <v>159</v>
      </c>
      <c r="K39" s="12">
        <v>246.05</v>
      </c>
      <c r="L39" s="2" t="s">
        <v>201</v>
      </c>
      <c r="M39" s="2" t="s">
        <v>185</v>
      </c>
      <c r="N39" s="2" t="s">
        <v>234</v>
      </c>
      <c r="O39" s="13">
        <f>ROUND(IF(AND(F39="N",J39="E"),(G39+H39/Parameters!$B$17+I39/Parameters!$B$18),IF(AND(F39="S",J39="E"),180-(G39+H39/Parameters!$B$17+I39/Parameters!$B$18),IF(AND(F39="S",J39="W"),180+(G39+H39/Parameters!$B$17+I39/Parameters!$B$18),360-(G39+H39/Parameters!$B$17+I39/Parameters!$B$18)))),6)</f>
        <v>82.113333</v>
      </c>
      <c r="W39" s="12">
        <f>Parameters!$B$24</f>
        <v>0.04</v>
      </c>
      <c r="X39" s="12">
        <v>0</v>
      </c>
      <c r="Y39" s="12">
        <f t="shared" si="3"/>
        <v>246.09</v>
      </c>
    </row>
    <row r="41" spans="1:26" ht="48" customHeight="1" x14ac:dyDescent="0.2">
      <c r="A41" s="11" t="s">
        <v>235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0"/>
  <sheetViews>
    <sheetView workbookViewId="0"/>
  </sheetViews>
  <sheetFormatPr baseColWidth="10" defaultColWidth="8.83203125" defaultRowHeight="15" x14ac:dyDescent="0.2"/>
  <cols>
    <col min="1" max="1" width="46" customWidth="1"/>
    <col min="2" max="3" width="14" customWidth="1"/>
    <col min="4" max="5" width="13" customWidth="1"/>
    <col min="6" max="6" width="14" customWidth="1"/>
    <col min="7" max="7" width="18" customWidth="1"/>
    <col min="8" max="8" width="14" customWidth="1"/>
    <col min="9" max="10" width="13" customWidth="1"/>
    <col min="11" max="12" width="11" customWidth="1"/>
    <col min="13" max="14" width="12" customWidth="1"/>
    <col min="15" max="16" width="13" customWidth="1"/>
  </cols>
  <sheetData>
    <row r="1" spans="1:16" ht="17" customHeight="1" x14ac:dyDescent="0.2">
      <c r="A1" s="1" t="s">
        <v>236</v>
      </c>
    </row>
    <row r="3" spans="1:16" ht="32" customHeight="1" x14ac:dyDescent="0.2">
      <c r="A3" s="3" t="s">
        <v>237</v>
      </c>
      <c r="B3" s="3" t="s">
        <v>238</v>
      </c>
      <c r="C3" s="3" t="s">
        <v>239</v>
      </c>
      <c r="D3" s="3" t="s">
        <v>240</v>
      </c>
      <c r="E3" s="3" t="s">
        <v>241</v>
      </c>
      <c r="F3" s="3" t="s">
        <v>242</v>
      </c>
      <c r="G3" s="3" t="s">
        <v>243</v>
      </c>
      <c r="H3" s="3" t="s">
        <v>244</v>
      </c>
      <c r="I3" s="3" t="s">
        <v>245</v>
      </c>
      <c r="J3" s="3" t="s">
        <v>246</v>
      </c>
      <c r="K3" s="3" t="s">
        <v>247</v>
      </c>
      <c r="L3" s="3" t="s">
        <v>248</v>
      </c>
      <c r="M3" s="3" t="s">
        <v>249</v>
      </c>
      <c r="N3" s="3" t="s">
        <v>250</v>
      </c>
      <c r="O3" s="3" t="s">
        <v>251</v>
      </c>
      <c r="P3" s="3" t="s">
        <v>252</v>
      </c>
    </row>
    <row r="4" spans="1:16" x14ac:dyDescent="0.2">
      <c r="A4" s="2" t="s">
        <v>253</v>
      </c>
      <c r="B4" s="2" t="s">
        <v>156</v>
      </c>
      <c r="C4" s="2" t="s">
        <v>157</v>
      </c>
      <c r="D4" s="2">
        <f>COUNTIFS('Field Notes'!$P$4:$P$39,A4,'Field Notes'!$V$4:$V$39,"Yes")</f>
        <v>2</v>
      </c>
      <c r="E4" s="2">
        <f>COUNTIFS('Field Notes'!$P$4:$P$39,A4,'Field Notes'!$V$4:$V$39,"No")</f>
        <v>0</v>
      </c>
      <c r="F4" s="13">
        <f>ROUND(MOD(DEGREES(ATAN2(SUMIFS('Field Notes'!$T$4:$T$39,'Field Notes'!$P$4:$P$39,A4,'Field Notes'!$V$4:$V$39,"Yes"),SUMIFS('Field Notes'!$U$4:$U$39,'Field Notes'!$P$4:$P$39,A4,'Field Notes'!$V$4:$V$39,"Yes")))+Parameters!$B$30,360),6)</f>
        <v>31.122917</v>
      </c>
      <c r="G4" s="2" t="str">
        <f>IF(OR(F4&lt;=90,F4&gt;270),"N","S")&amp;" "&amp;TEXT(INT(ROUND((IF(F4&lt;=90,F4,IF(F4&lt;=180,180-F4,IF(F4&lt;=270,F4-180,360-F4))))*Parameters!$B$18,0)/Parameters!$B$18),"0")&amp;"° "&amp;TEXT(INT(MOD(ROUND((IF(F4&lt;=90,F4,IF(F4&lt;=180,180-F4,IF(F4&lt;=270,F4-180,360-F4))))*Parameters!$B$18,0),Parameters!$B$18)/Parameters!$B$17),"00")&amp;"' "&amp;TEXT(MOD(ROUND((IF(F4&lt;=90,F4,IF(F4&lt;=180,180-F4,IF(F4&lt;=270,F4-180,360-F4))))*Parameters!$B$18,0),Parameters!$B$17),"00")&amp;""""&amp;" "&amp;IF(F4&lt;=180,"E","W")</f>
        <v>N 31° 07' 23" E</v>
      </c>
      <c r="H4" s="15">
        <f>ROUND(AVERAGEIFS('Field Notes'!$K$4:$K$39,'Field Notes'!$P$4:$P$39,A4,'Field Notes'!$V$4:$V$39,"Yes"),3)</f>
        <v>347.425</v>
      </c>
      <c r="I4" s="15">
        <f t="shared" ref="I4:I10" si="0">ROUND(H4*COS(RADIANS(F4)),3)</f>
        <v>297.417</v>
      </c>
      <c r="J4" s="15">
        <f t="shared" ref="J4:J10" si="1">ROUND(H4*SIN(RADIANS(F4)),3)</f>
        <v>179.576</v>
      </c>
      <c r="K4" s="15">
        <f t="shared" ref="K4:K10" si="2">ROUND(-$I$11*H4/$H$11,3)</f>
        <v>0.028</v>
      </c>
      <c r="L4" s="15">
        <f t="shared" ref="L4:L10" si="3">ROUND(-$J$11*H4/$H$11,3)</f>
        <v>2E-3</v>
      </c>
      <c r="M4" s="15">
        <f t="shared" ref="M4:N10" si="4">ROUND(I4+K4,3)</f>
        <v>297.445</v>
      </c>
      <c r="N4" s="15">
        <f t="shared" si="4"/>
        <v>179.578</v>
      </c>
      <c r="O4" s="15">
        <f>ROUND(Parameters!$B$4+M4,3)</f>
        <v>5297.445</v>
      </c>
      <c r="P4" s="15">
        <f>ROUND(Parameters!$B$5+N4,3)</f>
        <v>5179.578</v>
      </c>
    </row>
    <row r="5" spans="1:16" x14ac:dyDescent="0.2">
      <c r="A5" s="2" t="s">
        <v>254</v>
      </c>
      <c r="B5" s="2" t="s">
        <v>157</v>
      </c>
      <c r="C5" s="2" t="s">
        <v>166</v>
      </c>
      <c r="D5" s="2">
        <f>COUNTIFS('Field Notes'!$P$4:$P$39,A5,'Field Notes'!$V$4:$V$39,"Yes")</f>
        <v>2</v>
      </c>
      <c r="E5" s="2">
        <f>COUNTIFS('Field Notes'!$P$4:$P$39,A5,'Field Notes'!$V$4:$V$39,"No")</f>
        <v>0</v>
      </c>
      <c r="F5" s="13">
        <f>ROUND(MOD(DEGREES(ATAN2(SUMIFS('Field Notes'!$T$4:$T$39,'Field Notes'!$P$4:$P$39,A5,'Field Notes'!$V$4:$V$39,"Yes"),SUMIFS('Field Notes'!$U$4:$U$39,'Field Notes'!$P$4:$P$39,A5,'Field Notes'!$V$4:$V$39,"Yes")))+Parameters!$B$30,360),6)</f>
        <v>359.999723</v>
      </c>
      <c r="G5" s="2" t="str">
        <f>IF(OR(F5&lt;=90,F5&gt;270),"N","S")&amp;" "&amp;TEXT(INT(ROUND((IF(F5&lt;=90,F5,IF(F5&lt;=180,180-F5,IF(F5&lt;=270,F5-180,360-F5))))*Parameters!$B$18,0)/Parameters!$B$18),"0")&amp;"° "&amp;TEXT(INT(MOD(ROUND((IF(F5&lt;=90,F5,IF(F5&lt;=180,180-F5,IF(F5&lt;=270,F5-180,360-F5))))*Parameters!$B$18,0),Parameters!$B$18)/Parameters!$B$17),"00")&amp;"' "&amp;TEXT(MOD(ROUND((IF(F5&lt;=90,F5,IF(F5&lt;=180,180-F5,IF(F5&lt;=270,F5-180,360-F5))))*Parameters!$B$18,0),Parameters!$B$17),"00")&amp;""""&amp;" "&amp;IF(F5&lt;=180,"E","W")</f>
        <v>N 0° 00' 01" W</v>
      </c>
      <c r="H5" s="15">
        <f>ROUND(AVERAGEIFS('Field Notes'!$K$4:$K$39,'Field Notes'!$P$4:$P$39,A5,'Field Notes'!$V$4:$V$39,"Yes"),3)</f>
        <v>299.995</v>
      </c>
      <c r="I5" s="15">
        <f t="shared" si="0"/>
        <v>299.995</v>
      </c>
      <c r="J5" s="15">
        <f t="shared" si="1"/>
        <v>-1E-3</v>
      </c>
      <c r="K5" s="15">
        <f t="shared" si="2"/>
        <v>0.024</v>
      </c>
      <c r="L5" s="15">
        <f t="shared" si="3"/>
        <v>2E-3</v>
      </c>
      <c r="M5" s="15">
        <f t="shared" si="4"/>
        <v>300.019</v>
      </c>
      <c r="N5" s="15">
        <f t="shared" si="4"/>
        <v>1E-3</v>
      </c>
      <c r="O5" s="15">
        <f t="shared" ref="O5:P10" si="5">ROUND(O4+M5,3)</f>
        <v>5597.464</v>
      </c>
      <c r="P5" s="15">
        <f t="shared" si="5"/>
        <v>5179.579</v>
      </c>
    </row>
    <row r="6" spans="1:16" x14ac:dyDescent="0.2">
      <c r="A6" s="2" t="s">
        <v>255</v>
      </c>
      <c r="B6" s="2" t="s">
        <v>166</v>
      </c>
      <c r="C6" s="2" t="s">
        <v>169</v>
      </c>
      <c r="D6" s="2">
        <f>COUNTIFS('Field Notes'!$P$4:$P$39,A6,'Field Notes'!$V$4:$V$39,"Yes")</f>
        <v>4</v>
      </c>
      <c r="E6" s="2">
        <f>COUNTIFS('Field Notes'!$P$4:$P$39,A6,'Field Notes'!$V$4:$V$39,"No")</f>
        <v>0</v>
      </c>
      <c r="F6" s="13">
        <f>ROUND(MOD(DEGREES(ATAN2(SUMIFS('Field Notes'!$T$4:$T$39,'Field Notes'!$P$4:$P$39,A6,'Field Notes'!$V$4:$V$39,"Yes"),SUMIFS('Field Notes'!$U$4:$U$39,'Field Notes'!$P$4:$P$39,A6,'Field Notes'!$V$4:$V$39,"Yes")))+Parameters!$B$30,360),6)</f>
        <v>103.395764</v>
      </c>
      <c r="G6" s="2" t="str">
        <f>IF(OR(F6&lt;=90,F6&gt;270),"N","S")&amp;" "&amp;TEXT(INT(ROUND((IF(F6&lt;=90,F6,IF(F6&lt;=180,180-F6,IF(F6&lt;=270,F6-180,360-F6))))*Parameters!$B$18,0)/Parameters!$B$18),"0")&amp;"° "&amp;TEXT(INT(MOD(ROUND((IF(F6&lt;=90,F6,IF(F6&lt;=180,180-F6,IF(F6&lt;=270,F6-180,360-F6))))*Parameters!$B$18,0),Parameters!$B$18)/Parameters!$B$17),"00")&amp;"' "&amp;TEXT(MOD(ROUND((IF(F6&lt;=90,F6,IF(F6&lt;=180,180-F6,IF(F6&lt;=270,F6-180,360-F6))))*Parameters!$B$18,0),Parameters!$B$17),"00")&amp;""""&amp;" "&amp;IF(F6&lt;=180,"E","W")</f>
        <v>S 76° 36' 15" E</v>
      </c>
      <c r="H6" s="15">
        <f>ROUND(AVERAGEIFS('Field Notes'!$K$4:$K$39,'Field Notes'!$P$4:$P$39,A6,'Field Notes'!$V$4:$V$39,"Yes"),3)</f>
        <v>285.028</v>
      </c>
      <c r="I6" s="15">
        <f t="shared" si="0"/>
        <v>-66.034</v>
      </c>
      <c r="J6" s="15">
        <f t="shared" si="1"/>
        <v>277.273</v>
      </c>
      <c r="K6" s="15">
        <f t="shared" si="2"/>
        <v>0.023</v>
      </c>
      <c r="L6" s="15">
        <f t="shared" si="3"/>
        <v>2E-3</v>
      </c>
      <c r="M6" s="15">
        <f t="shared" si="4"/>
        <v>-66.011</v>
      </c>
      <c r="N6" s="15">
        <f t="shared" si="4"/>
        <v>277.275</v>
      </c>
      <c r="O6" s="15">
        <f t="shared" si="5"/>
        <v>5531.453</v>
      </c>
      <c r="P6" s="15">
        <f t="shared" si="5"/>
        <v>5456.854</v>
      </c>
    </row>
    <row r="7" spans="1:16" x14ac:dyDescent="0.2">
      <c r="A7" s="2" t="s">
        <v>256</v>
      </c>
      <c r="B7" s="2" t="s">
        <v>169</v>
      </c>
      <c r="C7" s="2" t="s">
        <v>174</v>
      </c>
      <c r="D7" s="2">
        <f>COUNTIFS('Field Notes'!$P$4:$P$39,A7,'Field Notes'!$V$4:$V$39,"Yes")</f>
        <v>2</v>
      </c>
      <c r="E7" s="2">
        <f>COUNTIFS('Field Notes'!$P$4:$P$39,A7,'Field Notes'!$V$4:$V$39,"No")</f>
        <v>2</v>
      </c>
      <c r="F7" s="13">
        <f>ROUND(MOD(DEGREES(ATAN2(SUMIFS('Field Notes'!$T$4:$T$39,'Field Notes'!$P$4:$P$39,A7,'Field Notes'!$V$4:$V$39,"Yes"),SUMIFS('Field Notes'!$U$4:$U$39,'Field Notes'!$P$4:$P$39,A7,'Field Notes'!$V$4:$V$39,"Yes")))+Parameters!$B$30,360),6)</f>
        <v>98.998195</v>
      </c>
      <c r="G7" s="2" t="str">
        <f>IF(OR(F7&lt;=90,F7&gt;270),"N","S")&amp;" "&amp;TEXT(INT(ROUND((IF(F7&lt;=90,F7,IF(F7&lt;=180,180-F7,IF(F7&lt;=270,F7-180,360-F7))))*Parameters!$B$18,0)/Parameters!$B$18),"0")&amp;"° "&amp;TEXT(INT(MOD(ROUND((IF(F7&lt;=90,F7,IF(F7&lt;=180,180-F7,IF(F7&lt;=270,F7-180,360-F7))))*Parameters!$B$18,0),Parameters!$B$18)/Parameters!$B$17),"00")&amp;"' "&amp;TEXT(MOD(ROUND((IF(F7&lt;=90,F7,IF(F7&lt;=180,180-F7,IF(F7&lt;=270,F7-180,360-F7))))*Parameters!$B$18,0),Parameters!$B$17),"00")&amp;""""&amp;" "&amp;IF(F7&lt;=180,"E","W")</f>
        <v>S 81° 00' 06" E</v>
      </c>
      <c r="H7" s="15">
        <f>ROUND(AVERAGEIFS('Field Notes'!$K$4:$K$39,'Field Notes'!$P$4:$P$39,A7,'Field Notes'!$V$4:$V$39,"Yes"),3)</f>
        <v>287.39</v>
      </c>
      <c r="I7" s="15">
        <f t="shared" si="0"/>
        <v>-44.949</v>
      </c>
      <c r="J7" s="15">
        <f t="shared" si="1"/>
        <v>283.853</v>
      </c>
      <c r="K7" s="15">
        <f t="shared" si="2"/>
        <v>0.023</v>
      </c>
      <c r="L7" s="15">
        <f t="shared" si="3"/>
        <v>2E-3</v>
      </c>
      <c r="M7" s="15">
        <f t="shared" si="4"/>
        <v>-44.926</v>
      </c>
      <c r="N7" s="15">
        <f t="shared" si="4"/>
        <v>283.855</v>
      </c>
      <c r="O7" s="15">
        <f t="shared" si="5"/>
        <v>5486.527</v>
      </c>
      <c r="P7" s="15">
        <f t="shared" si="5"/>
        <v>5740.709</v>
      </c>
    </row>
    <row r="8" spans="1:16" x14ac:dyDescent="0.2">
      <c r="A8" s="2" t="s">
        <v>257</v>
      </c>
      <c r="B8" s="2" t="s">
        <v>174</v>
      </c>
      <c r="C8" s="2" t="s">
        <v>182</v>
      </c>
      <c r="D8" s="2">
        <f>COUNTIFS('Field Notes'!$P$4:$P$39,A8,'Field Notes'!$V$4:$V$39,"Yes")</f>
        <v>2</v>
      </c>
      <c r="E8" s="2">
        <f>COUNTIFS('Field Notes'!$P$4:$P$39,A8,'Field Notes'!$V$4:$V$39,"No")</f>
        <v>0</v>
      </c>
      <c r="F8" s="13">
        <f>ROUND(MOD(DEGREES(ATAN2(SUMIFS('Field Notes'!$T$4:$T$39,'Field Notes'!$P$4:$P$39,A8,'Field Notes'!$V$4:$V$39,"Yes"),SUMIFS('Field Notes'!$U$4:$U$39,'Field Notes'!$P$4:$P$39,A8,'Field Notes'!$V$4:$V$39,"Yes")))+Parameters!$B$30,360),6)</f>
        <v>191.020695</v>
      </c>
      <c r="G8" s="2" t="str">
        <f>IF(OR(F8&lt;=90,F8&gt;270),"N","S")&amp;" "&amp;TEXT(INT(ROUND((IF(F8&lt;=90,F8,IF(F8&lt;=180,180-F8,IF(F8&lt;=270,F8-180,360-F8))))*Parameters!$B$18,0)/Parameters!$B$18),"0")&amp;"° "&amp;TEXT(INT(MOD(ROUND((IF(F8&lt;=90,F8,IF(F8&lt;=180,180-F8,IF(F8&lt;=270,F8-180,360-F8))))*Parameters!$B$18,0),Parameters!$B$18)/Parameters!$B$17),"00")&amp;"' "&amp;TEXT(MOD(ROUND((IF(F8&lt;=90,F8,IF(F8&lt;=180,180-F8,IF(F8&lt;=270,F8-180,360-F8))))*Parameters!$B$18,0),Parameters!$B$17),"00")&amp;""""&amp;" "&amp;IF(F8&lt;=180,"E","W")</f>
        <v>S 11° 01' 15" W</v>
      </c>
      <c r="H8" s="15">
        <f>ROUND(AVERAGEIFS('Field Notes'!$K$4:$K$39,'Field Notes'!$P$4:$P$39,A8,'Field Notes'!$V$4:$V$39,"Yes"),3)</f>
        <v>575.26</v>
      </c>
      <c r="I8" s="15">
        <f t="shared" si="0"/>
        <v>-564.651</v>
      </c>
      <c r="J8" s="15">
        <f t="shared" si="1"/>
        <v>-109.969</v>
      </c>
      <c r="K8" s="15">
        <f t="shared" si="2"/>
        <v>0.046</v>
      </c>
      <c r="L8" s="15">
        <f t="shared" si="3"/>
        <v>0.004</v>
      </c>
      <c r="M8" s="15">
        <f t="shared" si="4"/>
        <v>-564.605</v>
      </c>
      <c r="N8" s="15">
        <f t="shared" si="4"/>
        <v>-109.965</v>
      </c>
      <c r="O8" s="15">
        <f t="shared" si="5"/>
        <v>4921.922</v>
      </c>
      <c r="P8" s="15">
        <f t="shared" si="5"/>
        <v>5630.744</v>
      </c>
    </row>
    <row r="9" spans="1:16" x14ac:dyDescent="0.2">
      <c r="A9" s="2" t="s">
        <v>258</v>
      </c>
      <c r="B9" s="2" t="s">
        <v>182</v>
      </c>
      <c r="C9" s="2" t="s">
        <v>185</v>
      </c>
      <c r="D9" s="2">
        <f>COUNTIFS('Field Notes'!$P$4:$P$39,A9,'Field Notes'!$V$4:$V$39,"Yes")</f>
        <v>2</v>
      </c>
      <c r="E9" s="2">
        <f>COUNTIFS('Field Notes'!$P$4:$P$39,A9,'Field Notes'!$V$4:$V$39,"No")</f>
        <v>2</v>
      </c>
      <c r="F9" s="13">
        <f>ROUND(MOD(DEGREES(ATAN2(SUMIFS('Field Notes'!$T$4:$T$39,'Field Notes'!$P$4:$P$39,A9,'Field Notes'!$V$4:$V$39,"Yes"),SUMIFS('Field Notes'!$U$4:$U$39,'Field Notes'!$P$4:$P$39,A9,'Field Notes'!$V$4:$V$39,"Yes")))+Parameters!$B$30,360),6)</f>
        <v>259.932778</v>
      </c>
      <c r="G9" s="2" t="str">
        <f>IF(OR(F9&lt;=90,F9&gt;270),"N","S")&amp;" "&amp;TEXT(INT(ROUND((IF(F9&lt;=90,F9,IF(F9&lt;=180,180-F9,IF(F9&lt;=270,F9-180,360-F9))))*Parameters!$B$18,0)/Parameters!$B$18),"0")&amp;"° "&amp;TEXT(INT(MOD(ROUND((IF(F9&lt;=90,F9,IF(F9&lt;=180,180-F9,IF(F9&lt;=270,F9-180,360-F9))))*Parameters!$B$18,0),Parameters!$B$18)/Parameters!$B$17),"00")&amp;"' "&amp;TEXT(MOD(ROUND((IF(F9&lt;=90,F9,IF(F9&lt;=180,180-F9,IF(F9&lt;=270,F9-180,360-F9))))*Parameters!$B$18,0),Parameters!$B$17),"00")&amp;""""&amp;" "&amp;IF(F9&lt;=180,"E","W")</f>
        <v>S 79° 55' 58" W</v>
      </c>
      <c r="H9" s="15">
        <f>ROUND(AVERAGEIFS('Field Notes'!$K$4:$K$39,'Field Notes'!$P$4:$P$39,A9,'Field Notes'!$V$4:$V$39,"Yes"),3)</f>
        <v>501.865</v>
      </c>
      <c r="I9" s="15">
        <f t="shared" si="0"/>
        <v>-87.728</v>
      </c>
      <c r="J9" s="15">
        <f t="shared" si="1"/>
        <v>-494.138</v>
      </c>
      <c r="K9" s="15">
        <f t="shared" si="2"/>
        <v>0.04</v>
      </c>
      <c r="L9" s="15">
        <f t="shared" si="3"/>
        <v>0.003</v>
      </c>
      <c r="M9" s="15">
        <f t="shared" si="4"/>
        <v>-87.688</v>
      </c>
      <c r="N9" s="15">
        <f t="shared" si="4"/>
        <v>-494.135</v>
      </c>
      <c r="O9" s="15">
        <f t="shared" si="5"/>
        <v>4834.234</v>
      </c>
      <c r="P9" s="15">
        <f t="shared" si="5"/>
        <v>5136.609</v>
      </c>
    </row>
    <row r="10" spans="1:16" x14ac:dyDescent="0.2">
      <c r="A10" s="2" t="s">
        <v>259</v>
      </c>
      <c r="B10" s="2" t="s">
        <v>185</v>
      </c>
      <c r="C10" s="2" t="s">
        <v>156</v>
      </c>
      <c r="D10" s="2">
        <f>COUNTIFS('Field Notes'!$P$4:$P$39,A10,'Field Notes'!$V$4:$V$39,"Yes")</f>
        <v>2</v>
      </c>
      <c r="E10" s="2">
        <f>COUNTIFS('Field Notes'!$P$4:$P$39,A10,'Field Notes'!$V$4:$V$39,"No")</f>
        <v>0</v>
      </c>
      <c r="F10" s="13">
        <f>ROUND(MOD(DEGREES(ATAN2(SUMIFS('Field Notes'!$T$4:$T$39,'Field Notes'!$P$4:$P$39,A10,'Field Notes'!$V$4:$V$39,"Yes"),SUMIFS('Field Notes'!$U$4:$U$39,'Field Notes'!$P$4:$P$39,A10,'Field Notes'!$V$4:$V$39,"Yes")))+Parameters!$B$30,360),6)</f>
        <v>320.504306</v>
      </c>
      <c r="G10" s="2" t="str">
        <f>IF(OR(F10&lt;=90,F10&gt;270),"N","S")&amp;" "&amp;TEXT(INT(ROUND((IF(F10&lt;=90,F10,IF(F10&lt;=180,180-F10,IF(F10&lt;=270,F10-180,360-F10))))*Parameters!$B$18,0)/Parameters!$B$18),"0")&amp;"° "&amp;TEXT(INT(MOD(ROUND((IF(F10&lt;=90,F10,IF(F10&lt;=180,180-F10,IF(F10&lt;=270,F10-180,360-F10))))*Parameters!$B$18,0),Parameters!$B$18)/Parameters!$B$17),"00")&amp;"' "&amp;TEXT(MOD(ROUND((IF(F10&lt;=90,F10,IF(F10&lt;=180,180-F10,IF(F10&lt;=270,F10-180,360-F10))))*Parameters!$B$18,0),Parameters!$B$17),"00")&amp;""""&amp;" "&amp;IF(F10&lt;=180,"E","W")</f>
        <v>N 39° 29' 44" W</v>
      </c>
      <c r="H10" s="15">
        <f>ROUND(AVERAGEIFS('Field Notes'!$K$4:$K$39,'Field Notes'!$P$4:$P$39,A10,'Field Notes'!$V$4:$V$39,"Yes"),3)</f>
        <v>214.79</v>
      </c>
      <c r="I10" s="15">
        <f t="shared" si="0"/>
        <v>165.748</v>
      </c>
      <c r="J10" s="15">
        <f t="shared" si="1"/>
        <v>-136.611</v>
      </c>
      <c r="K10" s="15">
        <f t="shared" si="2"/>
        <v>0.017</v>
      </c>
      <c r="L10" s="15">
        <f t="shared" si="3"/>
        <v>1E-3</v>
      </c>
      <c r="M10" s="15">
        <f t="shared" si="4"/>
        <v>165.765</v>
      </c>
      <c r="N10" s="15">
        <f t="shared" si="4"/>
        <v>-136.61</v>
      </c>
      <c r="O10" s="15">
        <f t="shared" si="5"/>
        <v>4999.999</v>
      </c>
      <c r="P10" s="15">
        <f t="shared" si="5"/>
        <v>4999.999</v>
      </c>
    </row>
    <row r="11" spans="1:16" x14ac:dyDescent="0.2">
      <c r="A11" s="4" t="s">
        <v>260</v>
      </c>
      <c r="D11" s="2">
        <f>SUM(D4:D10)</f>
        <v>16</v>
      </c>
      <c r="E11" s="2">
        <f>SUM(E4:E10)</f>
        <v>4</v>
      </c>
      <c r="H11" s="15">
        <f t="shared" ref="H11:N11" si="6">ROUND(SUM(H4:H10),3)</f>
        <v>2511.753</v>
      </c>
      <c r="I11" s="15">
        <f t="shared" si="6"/>
        <v>-0.202</v>
      </c>
      <c r="J11" s="15">
        <f t="shared" si="6"/>
        <v>-0.017</v>
      </c>
      <c r="K11" s="15">
        <f t="shared" si="6"/>
        <v>0.201</v>
      </c>
      <c r="L11" s="15">
        <f t="shared" si="6"/>
        <v>0.016</v>
      </c>
      <c r="M11" s="15">
        <f t="shared" si="6"/>
        <v>-1E-3</v>
      </c>
      <c r="N11" s="15">
        <f t="shared" si="6"/>
        <v>-1E-3</v>
      </c>
    </row>
    <row r="13" spans="1:16" x14ac:dyDescent="0.2">
      <c r="A13" s="4" t="s">
        <v>261</v>
      </c>
    </row>
    <row r="14" spans="1:16" x14ac:dyDescent="0.2">
      <c r="A14" s="2" t="s">
        <v>262</v>
      </c>
      <c r="B14" s="15">
        <f>H11</f>
        <v>2511.753</v>
      </c>
    </row>
    <row r="15" spans="1:16" x14ac:dyDescent="0.2">
      <c r="A15" s="2" t="s">
        <v>9</v>
      </c>
      <c r="B15" s="15">
        <f>I11</f>
        <v>-0.202</v>
      </c>
    </row>
    <row r="16" spans="1:16" x14ac:dyDescent="0.2">
      <c r="A16" s="2" t="s">
        <v>10</v>
      </c>
      <c r="B16" s="15">
        <f>J11</f>
        <v>-0.017</v>
      </c>
    </row>
    <row r="17" spans="1:3" x14ac:dyDescent="0.2">
      <c r="A17" s="2" t="s">
        <v>11</v>
      </c>
      <c r="B17" s="12">
        <f>ROUND(SQRT(B15^2+B16^2),2)</f>
        <v>0.2</v>
      </c>
    </row>
    <row r="18" spans="1:3" x14ac:dyDescent="0.2">
      <c r="A18" s="2" t="s">
        <v>12</v>
      </c>
      <c r="B18" s="16">
        <f>ROUNDDOWN(B14/B17,-2)</f>
        <v>12500</v>
      </c>
    </row>
    <row r="19" spans="1:3" x14ac:dyDescent="0.2">
      <c r="A19" s="2" t="s">
        <v>14</v>
      </c>
      <c r="B19" s="2" t="str">
        <f>Parameters!B8</f>
        <v>Rural</v>
      </c>
    </row>
    <row r="20" spans="1:3" x14ac:dyDescent="0.2">
      <c r="A20" s="2" t="s">
        <v>16</v>
      </c>
      <c r="B20" s="16">
        <f>IF(B19="Urban",Parameters!B6,Parameters!B7)</f>
        <v>10000</v>
      </c>
    </row>
    <row r="21" spans="1:3" x14ac:dyDescent="0.2">
      <c r="A21" s="2" t="s">
        <v>17</v>
      </c>
      <c r="B21" s="2" t="str">
        <f>IF(B18&gt;=B20,"Meets the standard","Does not meet the standard")</f>
        <v>Meets the standard</v>
      </c>
    </row>
    <row r="23" spans="1:3" x14ac:dyDescent="0.2">
      <c r="A23" s="4" t="s">
        <v>263</v>
      </c>
    </row>
    <row r="24" spans="1:3" ht="16" customHeight="1" x14ac:dyDescent="0.2">
      <c r="A24" s="3" t="s">
        <v>264</v>
      </c>
      <c r="B24" s="3" t="s">
        <v>265</v>
      </c>
      <c r="C24" s="3" t="s">
        <v>266</v>
      </c>
    </row>
    <row r="25" spans="1:3" x14ac:dyDescent="0.2">
      <c r="A25" s="2" t="s">
        <v>156</v>
      </c>
      <c r="B25" s="15">
        <f>Parameters!B4</f>
        <v>5000</v>
      </c>
      <c r="C25" s="15">
        <f>Parameters!B5</f>
        <v>5000</v>
      </c>
    </row>
    <row r="26" spans="1:3" x14ac:dyDescent="0.2">
      <c r="A26" s="2" t="s">
        <v>157</v>
      </c>
      <c r="B26" s="15">
        <f t="shared" ref="B26:C32" si="7">O4</f>
        <v>5297.445</v>
      </c>
      <c r="C26" s="15">
        <f t="shared" si="7"/>
        <v>5179.578</v>
      </c>
    </row>
    <row r="27" spans="1:3" x14ac:dyDescent="0.2">
      <c r="A27" s="2" t="s">
        <v>166</v>
      </c>
      <c r="B27" s="15">
        <f t="shared" si="7"/>
        <v>5597.464</v>
      </c>
      <c r="C27" s="15">
        <f t="shared" si="7"/>
        <v>5179.579</v>
      </c>
    </row>
    <row r="28" spans="1:3" x14ac:dyDescent="0.2">
      <c r="A28" s="2" t="s">
        <v>169</v>
      </c>
      <c r="B28" s="15">
        <f t="shared" si="7"/>
        <v>5531.453</v>
      </c>
      <c r="C28" s="15">
        <f t="shared" si="7"/>
        <v>5456.854</v>
      </c>
    </row>
    <row r="29" spans="1:3" x14ac:dyDescent="0.2">
      <c r="A29" s="2" t="s">
        <v>174</v>
      </c>
      <c r="B29" s="15">
        <f t="shared" si="7"/>
        <v>5486.527</v>
      </c>
      <c r="C29" s="15">
        <f t="shared" si="7"/>
        <v>5740.709</v>
      </c>
    </row>
    <row r="30" spans="1:3" x14ac:dyDescent="0.2">
      <c r="A30" s="2" t="s">
        <v>182</v>
      </c>
      <c r="B30" s="15">
        <f t="shared" si="7"/>
        <v>4921.922</v>
      </c>
      <c r="C30" s="15">
        <f t="shared" si="7"/>
        <v>5630.744</v>
      </c>
    </row>
    <row r="31" spans="1:3" x14ac:dyDescent="0.2">
      <c r="A31" s="2" t="s">
        <v>185</v>
      </c>
      <c r="B31" s="15">
        <f t="shared" si="7"/>
        <v>4834.234</v>
      </c>
      <c r="C31" s="15">
        <f t="shared" si="7"/>
        <v>5136.609</v>
      </c>
    </row>
    <row r="32" spans="1:3" x14ac:dyDescent="0.2">
      <c r="A32" s="2" t="s">
        <v>267</v>
      </c>
      <c r="B32" s="15">
        <f t="shared" si="7"/>
        <v>4999.999</v>
      </c>
      <c r="C32" s="15">
        <f t="shared" si="7"/>
        <v>4999.999</v>
      </c>
    </row>
    <row r="34" spans="1:9" x14ac:dyDescent="0.2">
      <c r="A34" s="4" t="s">
        <v>268</v>
      </c>
    </row>
    <row r="35" spans="1:9" ht="48" customHeight="1" x14ac:dyDescent="0.2">
      <c r="A35" s="3" t="s">
        <v>237</v>
      </c>
      <c r="B35" s="3" t="s">
        <v>269</v>
      </c>
      <c r="C35" s="3" t="s">
        <v>270</v>
      </c>
      <c r="D35" s="3" t="s">
        <v>271</v>
      </c>
      <c r="E35" s="3" t="s">
        <v>272</v>
      </c>
      <c r="F35" s="3" t="s">
        <v>273</v>
      </c>
      <c r="G35" s="3" t="s">
        <v>274</v>
      </c>
      <c r="H35" s="3" t="s">
        <v>275</v>
      </c>
      <c r="I35" s="3" t="s">
        <v>276</v>
      </c>
    </row>
    <row r="36" spans="1:9" x14ac:dyDescent="0.2">
      <c r="A36" s="2" t="s">
        <v>253</v>
      </c>
      <c r="B36" s="2">
        <v>1</v>
      </c>
      <c r="C36" s="12">
        <f>AVERAGEIFS('Field Notes'!$K$4:$K$39,'Field Notes'!$P$4:$P$39,A36,'Field Notes'!$S$4:$S$39,B36,'Field Notes'!$Q$4:$Q$39,"Forward")</f>
        <v>347.42</v>
      </c>
      <c r="D36" s="12">
        <f>AVERAGEIFS('Field Notes'!$K$4:$K$39,'Field Notes'!$P$4:$P$39,A36,'Field Notes'!$S$4:$S$39,B36,'Field Notes'!$Q$4:$Q$39,"Reverse")</f>
        <v>347.43</v>
      </c>
      <c r="E36" s="15">
        <f t="shared" ref="E36:E45" si="8">ROUND(ABS(C36-D36),3)</f>
        <v>0.01</v>
      </c>
      <c r="F36" s="13">
        <f>AVERAGEIFS('Field Notes'!$R$4:$R$39,'Field Notes'!$P$4:$P$39,A36,'Field Notes'!$S$4:$S$39,B36,'Field Notes'!$Q$4:$Q$39,"Forward")</f>
        <v>31.123333</v>
      </c>
      <c r="G36" s="13">
        <f>AVERAGEIFS('Field Notes'!$R$4:$R$39,'Field Notes'!$P$4:$P$39,A36,'Field Notes'!$S$4:$S$39,B36,'Field Notes'!$Q$4:$Q$39,"Reverse")</f>
        <v>31.1225</v>
      </c>
      <c r="H36" s="17">
        <f>ROUND(MIN(ABS(F36-G36),360-ABS(F36-G36))*Parameters!$B$18,0)</f>
        <v>3</v>
      </c>
      <c r="I36" s="2" t="str">
        <f>IF(OR(E36&gt;Parameters!$B$19,H36&gt;Parameters!$B$20),"Pair in error","Pair stands")</f>
        <v>Pair stands</v>
      </c>
    </row>
    <row r="37" spans="1:9" x14ac:dyDescent="0.2">
      <c r="A37" s="2" t="s">
        <v>254</v>
      </c>
      <c r="B37" s="2">
        <v>1</v>
      </c>
      <c r="C37" s="12">
        <f>AVERAGEIFS('Field Notes'!$K$4:$K$39,'Field Notes'!$P$4:$P$39,A37,'Field Notes'!$S$4:$S$39,B37,'Field Notes'!$Q$4:$Q$39,"Forward")</f>
        <v>300.01</v>
      </c>
      <c r="D37" s="12">
        <f>AVERAGEIFS('Field Notes'!$K$4:$K$39,'Field Notes'!$P$4:$P$39,A37,'Field Notes'!$S$4:$S$39,B37,'Field Notes'!$Q$4:$Q$39,"Reverse")</f>
        <v>299.98</v>
      </c>
      <c r="E37" s="15">
        <f t="shared" si="8"/>
        <v>0.03</v>
      </c>
      <c r="F37" s="13">
        <f>AVERAGEIFS('Field Notes'!$R$4:$R$39,'Field Notes'!$P$4:$P$39,A37,'Field Notes'!$S$4:$S$39,B37,'Field Notes'!$Q$4:$Q$39,"Forward")</f>
        <v>359.999167</v>
      </c>
      <c r="G37" s="13">
        <f>AVERAGEIFS('Field Notes'!$R$4:$R$39,'Field Notes'!$P$4:$P$39,A37,'Field Notes'!$S$4:$S$39,B37,'Field Notes'!$Q$4:$Q$39,"Reverse")</f>
        <v>0.000278</v>
      </c>
      <c r="H37" s="17">
        <f>ROUND(MIN(ABS(F37-G37),360-ABS(F37-G37))*Parameters!$B$18,0)</f>
        <v>4</v>
      </c>
      <c r="I37" s="2" t="str">
        <f>IF(OR(E37&gt;Parameters!$B$19,H37&gt;Parameters!$B$20),"Pair in error","Pair stands")</f>
        <v>Pair stands</v>
      </c>
    </row>
    <row r="38" spans="1:9" x14ac:dyDescent="0.2">
      <c r="A38" s="2" t="s">
        <v>255</v>
      </c>
      <c r="B38" s="2">
        <v>1</v>
      </c>
      <c r="C38" s="12">
        <f>AVERAGEIFS('Field Notes'!$K$4:$K$39,'Field Notes'!$P$4:$P$39,A38,'Field Notes'!$S$4:$S$39,B38,'Field Notes'!$Q$4:$Q$39,"Forward")</f>
        <v>285.02</v>
      </c>
      <c r="D38" s="12">
        <f>AVERAGEIFS('Field Notes'!$K$4:$K$39,'Field Notes'!$P$4:$P$39,A38,'Field Notes'!$S$4:$S$39,B38,'Field Notes'!$Q$4:$Q$39,"Reverse")</f>
        <v>285.03</v>
      </c>
      <c r="E38" s="15">
        <f t="shared" si="8"/>
        <v>0.01</v>
      </c>
      <c r="F38" s="13">
        <f>AVERAGEIFS('Field Notes'!$R$4:$R$39,'Field Notes'!$P$4:$P$39,A38,'Field Notes'!$S$4:$S$39,B38,'Field Notes'!$Q$4:$Q$39,"Forward")</f>
        <v>103.395833</v>
      </c>
      <c r="G38" s="13">
        <f>AVERAGEIFS('Field Notes'!$R$4:$R$39,'Field Notes'!$P$4:$P$39,A38,'Field Notes'!$S$4:$S$39,B38,'Field Notes'!$Q$4:$Q$39,"Reverse")</f>
        <v>103.395556</v>
      </c>
      <c r="H38" s="17">
        <f>ROUND(MIN(ABS(F38-G38),360-ABS(F38-G38))*Parameters!$B$18,0)</f>
        <v>1</v>
      </c>
      <c r="I38" s="2" t="str">
        <f>IF(OR(E38&gt;Parameters!$B$19,H38&gt;Parameters!$B$20),"Pair in error","Pair stands")</f>
        <v>Pair stands</v>
      </c>
    </row>
    <row r="39" spans="1:9" x14ac:dyDescent="0.2">
      <c r="A39" s="2" t="s">
        <v>255</v>
      </c>
      <c r="B39" s="2">
        <v>2</v>
      </c>
      <c r="C39" s="12">
        <f>AVERAGEIFS('Field Notes'!$K$4:$K$39,'Field Notes'!$P$4:$P$39,A39,'Field Notes'!$S$4:$S$39,B39,'Field Notes'!$Q$4:$Q$39,"Forward")</f>
        <v>285.03</v>
      </c>
      <c r="D39" s="12">
        <f>AVERAGEIFS('Field Notes'!$K$4:$K$39,'Field Notes'!$P$4:$P$39,A39,'Field Notes'!$S$4:$S$39,B39,'Field Notes'!$Q$4:$Q$39,"Reverse")</f>
        <v>285.03</v>
      </c>
      <c r="E39" s="15">
        <f t="shared" si="8"/>
        <v>0</v>
      </c>
      <c r="F39" s="13">
        <f>AVERAGEIFS('Field Notes'!$R$4:$R$39,'Field Notes'!$P$4:$P$39,A39,'Field Notes'!$S$4:$S$39,B39,'Field Notes'!$Q$4:$Q$39,"Forward")</f>
        <v>103.396389</v>
      </c>
      <c r="G39" s="13">
        <f>AVERAGEIFS('Field Notes'!$R$4:$R$39,'Field Notes'!$P$4:$P$39,A39,'Field Notes'!$S$4:$S$39,B39,'Field Notes'!$Q$4:$Q$39,"Reverse")</f>
        <v>103.395278</v>
      </c>
      <c r="H39" s="17">
        <f>ROUND(MIN(ABS(F39-G39),360-ABS(F39-G39))*Parameters!$B$18,0)</f>
        <v>4</v>
      </c>
      <c r="I39" s="2" t="str">
        <f>IF(OR(E39&gt;Parameters!$B$19,H39&gt;Parameters!$B$20),"Pair in error","Pair stands")</f>
        <v>Pair stands</v>
      </c>
    </row>
    <row r="40" spans="1:9" x14ac:dyDescent="0.2">
      <c r="A40" s="2" t="s">
        <v>256</v>
      </c>
      <c r="B40" s="2">
        <v>1</v>
      </c>
      <c r="C40" s="12">
        <f>AVERAGEIFS('Field Notes'!$K$4:$K$39,'Field Notes'!$P$4:$P$39,A40,'Field Notes'!$S$4:$S$39,B40,'Field Notes'!$Q$4:$Q$39,"Forward")</f>
        <v>287.39</v>
      </c>
      <c r="D40" s="12">
        <f>AVERAGEIFS('Field Notes'!$K$4:$K$39,'Field Notes'!$P$4:$P$39,A40,'Field Notes'!$S$4:$S$39,B40,'Field Notes'!$Q$4:$Q$39,"Reverse")</f>
        <v>288.59</v>
      </c>
      <c r="E40" s="15">
        <f t="shared" si="8"/>
        <v>1.2</v>
      </c>
      <c r="F40" s="13">
        <f>AVERAGEIFS('Field Notes'!$R$4:$R$39,'Field Notes'!$P$4:$P$39,A40,'Field Notes'!$S$4:$S$39,B40,'Field Notes'!$Q$4:$Q$39,"Forward")</f>
        <v>98.999167</v>
      </c>
      <c r="G40" s="13">
        <f>AVERAGEIFS('Field Notes'!$R$4:$R$39,'Field Notes'!$P$4:$P$39,A40,'Field Notes'!$S$4:$S$39,B40,'Field Notes'!$Q$4:$Q$39,"Reverse")</f>
        <v>98.997778</v>
      </c>
      <c r="H40" s="17">
        <f>ROUND(MIN(ABS(F40-G40),360-ABS(F40-G40))*Parameters!$B$18,0)</f>
        <v>5</v>
      </c>
      <c r="I40" s="2" t="str">
        <f>IF(OR(E40&gt;Parameters!$B$19,H40&gt;Parameters!$B$20),"Pair in error","Pair stands")</f>
        <v>Pair in error</v>
      </c>
    </row>
    <row r="41" spans="1:9" x14ac:dyDescent="0.2">
      <c r="A41" s="2" t="s">
        <v>256</v>
      </c>
      <c r="B41" s="2">
        <v>2</v>
      </c>
      <c r="C41" s="12">
        <f>AVERAGEIFS('Field Notes'!$K$4:$K$39,'Field Notes'!$P$4:$P$39,A41,'Field Notes'!$S$4:$S$39,B41,'Field Notes'!$Q$4:$Q$39,"Forward")</f>
        <v>287.39</v>
      </c>
      <c r="D41" s="12">
        <f>AVERAGEIFS('Field Notes'!$K$4:$K$39,'Field Notes'!$P$4:$P$39,A41,'Field Notes'!$S$4:$S$39,B41,'Field Notes'!$Q$4:$Q$39,"Reverse")</f>
        <v>287.39</v>
      </c>
      <c r="E41" s="15">
        <f t="shared" si="8"/>
        <v>0</v>
      </c>
      <c r="F41" s="13">
        <f>AVERAGEIFS('Field Notes'!$R$4:$R$39,'Field Notes'!$P$4:$P$39,A41,'Field Notes'!$S$4:$S$39,B41,'Field Notes'!$Q$4:$Q$39,"Forward")</f>
        <v>98.997778</v>
      </c>
      <c r="G41" s="13">
        <f>AVERAGEIFS('Field Notes'!$R$4:$R$39,'Field Notes'!$P$4:$P$39,A41,'Field Notes'!$S$4:$S$39,B41,'Field Notes'!$Q$4:$Q$39,"Reverse")</f>
        <v>98.998611</v>
      </c>
      <c r="H41" s="17">
        <f>ROUND(MIN(ABS(F41-G41),360-ABS(F41-G41))*Parameters!$B$18,0)</f>
        <v>3</v>
      </c>
      <c r="I41" s="2" t="str">
        <f>IF(OR(E41&gt;Parameters!$B$19,H41&gt;Parameters!$B$20),"Pair in error","Pair stands")</f>
        <v>Pair stands</v>
      </c>
    </row>
    <row r="42" spans="1:9" x14ac:dyDescent="0.2">
      <c r="A42" s="2" t="s">
        <v>257</v>
      </c>
      <c r="B42" s="2">
        <v>1</v>
      </c>
      <c r="C42" s="12">
        <f>AVERAGEIFS('Field Notes'!$K$4:$K$39,'Field Notes'!$P$4:$P$39,A42,'Field Notes'!$S$4:$S$39,B42,'Field Notes'!$Q$4:$Q$39,"Forward")</f>
        <v>575.24</v>
      </c>
      <c r="D42" s="12">
        <f>AVERAGEIFS('Field Notes'!$K$4:$K$39,'Field Notes'!$P$4:$P$39,A42,'Field Notes'!$S$4:$S$39,B42,'Field Notes'!$Q$4:$Q$39,"Reverse")</f>
        <v>575.28</v>
      </c>
      <c r="E42" s="15">
        <f t="shared" si="8"/>
        <v>0.04</v>
      </c>
      <c r="F42" s="13">
        <f>AVERAGEIFS('Field Notes'!$R$4:$R$39,'Field Notes'!$P$4:$P$39,A42,'Field Notes'!$S$4:$S$39,B42,'Field Notes'!$Q$4:$Q$39,"Forward")</f>
        <v>191.020278</v>
      </c>
      <c r="G42" s="13">
        <f>AVERAGEIFS('Field Notes'!$R$4:$R$39,'Field Notes'!$P$4:$P$39,A42,'Field Notes'!$S$4:$S$39,B42,'Field Notes'!$Q$4:$Q$39,"Reverse")</f>
        <v>191.021111</v>
      </c>
      <c r="H42" s="17">
        <f>ROUND(MIN(ABS(F42-G42),360-ABS(F42-G42))*Parameters!$B$18,0)</f>
        <v>3</v>
      </c>
      <c r="I42" s="2" t="str">
        <f>IF(OR(E42&gt;Parameters!$B$19,H42&gt;Parameters!$B$20),"Pair in error","Pair stands")</f>
        <v>Pair stands</v>
      </c>
    </row>
    <row r="43" spans="1:9" x14ac:dyDescent="0.2">
      <c r="A43" s="2" t="s">
        <v>258</v>
      </c>
      <c r="B43" s="2">
        <v>1</v>
      </c>
      <c r="C43" s="12">
        <f>AVERAGEIFS('Field Notes'!$K$4:$K$39,'Field Notes'!$P$4:$P$39,A43,'Field Notes'!$S$4:$S$39,B43,'Field Notes'!$Q$4:$Q$39,"Forward")</f>
        <v>501.58</v>
      </c>
      <c r="D43" s="12">
        <f>AVERAGEIFS('Field Notes'!$K$4:$K$39,'Field Notes'!$P$4:$P$39,A43,'Field Notes'!$S$4:$S$39,B43,'Field Notes'!$Q$4:$Q$39,"Reverse")</f>
        <v>501.59</v>
      </c>
      <c r="E43" s="15">
        <f t="shared" si="8"/>
        <v>0.01</v>
      </c>
      <c r="F43" s="13">
        <f>AVERAGEIFS('Field Notes'!$R$4:$R$39,'Field Notes'!$P$4:$P$39,A43,'Field Notes'!$S$4:$S$39,B43,'Field Notes'!$Q$4:$Q$39,"Forward")</f>
        <v>259.932222</v>
      </c>
      <c r="G43" s="13">
        <f>AVERAGEIFS('Field Notes'!$R$4:$R$39,'Field Notes'!$P$4:$P$39,A43,'Field Notes'!$S$4:$S$39,B43,'Field Notes'!$Q$4:$Q$39,"Reverse")</f>
        <v>259.933333</v>
      </c>
      <c r="H43" s="17">
        <f>ROUND(MIN(ABS(F43-G43),360-ABS(F43-G43))*Parameters!$B$18,0)</f>
        <v>4</v>
      </c>
      <c r="I43" s="2" t="str">
        <f>IF(OR(E43&gt;Parameters!$B$19,H43&gt;Parameters!$B$20),"Pair in error","Pair stands")</f>
        <v>Pair stands</v>
      </c>
    </row>
    <row r="44" spans="1:9" x14ac:dyDescent="0.2">
      <c r="A44" s="2" t="s">
        <v>258</v>
      </c>
      <c r="B44" s="2">
        <v>2</v>
      </c>
      <c r="C44" s="12">
        <f>AVERAGEIFS('Field Notes'!$K$4:$K$39,'Field Notes'!$P$4:$P$39,A44,'Field Notes'!$S$4:$S$39,B44,'Field Notes'!$Q$4:$Q$39,"Forward")</f>
        <v>501.86</v>
      </c>
      <c r="D44" s="12">
        <f>AVERAGEIFS('Field Notes'!$K$4:$K$39,'Field Notes'!$P$4:$P$39,A44,'Field Notes'!$S$4:$S$39,B44,'Field Notes'!$Q$4:$Q$39,"Reverse")</f>
        <v>501.87</v>
      </c>
      <c r="E44" s="15">
        <f t="shared" si="8"/>
        <v>0.01</v>
      </c>
      <c r="F44" s="13">
        <f>AVERAGEIFS('Field Notes'!$R$4:$R$39,'Field Notes'!$P$4:$P$39,A44,'Field Notes'!$S$4:$S$39,B44,'Field Notes'!$Q$4:$Q$39,"Forward")</f>
        <v>259.932222</v>
      </c>
      <c r="G44" s="13">
        <f>AVERAGEIFS('Field Notes'!$R$4:$R$39,'Field Notes'!$P$4:$P$39,A44,'Field Notes'!$S$4:$S$39,B44,'Field Notes'!$Q$4:$Q$39,"Reverse")</f>
        <v>259.933333</v>
      </c>
      <c r="H44" s="17">
        <f>ROUND(MIN(ABS(F44-G44),360-ABS(F44-G44))*Parameters!$B$18,0)</f>
        <v>4</v>
      </c>
      <c r="I44" s="2" t="str">
        <f>IF(OR(E44&gt;Parameters!$B$19,H44&gt;Parameters!$B$20),"Pair in error","Pair stands")</f>
        <v>Pair stands</v>
      </c>
    </row>
    <row r="45" spans="1:9" x14ac:dyDescent="0.2">
      <c r="A45" s="2" t="s">
        <v>259</v>
      </c>
      <c r="B45" s="2">
        <v>1</v>
      </c>
      <c r="C45" s="12">
        <f>AVERAGEIFS('Field Notes'!$K$4:$K$39,'Field Notes'!$P$4:$P$39,A45,'Field Notes'!$S$4:$S$39,B45,'Field Notes'!$Q$4:$Q$39,"Forward")</f>
        <v>214.8</v>
      </c>
      <c r="D45" s="12">
        <f>AVERAGEIFS('Field Notes'!$K$4:$K$39,'Field Notes'!$P$4:$P$39,A45,'Field Notes'!$S$4:$S$39,B45,'Field Notes'!$Q$4:$Q$39,"Reverse")</f>
        <v>214.78</v>
      </c>
      <c r="E45" s="15">
        <f t="shared" si="8"/>
        <v>0.02</v>
      </c>
      <c r="F45" s="13">
        <f>AVERAGEIFS('Field Notes'!$R$4:$R$39,'Field Notes'!$P$4:$P$39,A45,'Field Notes'!$S$4:$S$39,B45,'Field Notes'!$Q$4:$Q$39,"Forward")</f>
        <v>320.504722</v>
      </c>
      <c r="G45" s="13">
        <f>AVERAGEIFS('Field Notes'!$R$4:$R$39,'Field Notes'!$P$4:$P$39,A45,'Field Notes'!$S$4:$S$39,B45,'Field Notes'!$Q$4:$Q$39,"Reverse")</f>
        <v>320.503889</v>
      </c>
      <c r="H45" s="17">
        <f>ROUND(MIN(ABS(F45-G45),360-ABS(F45-G45))*Parameters!$B$18,0)</f>
        <v>3</v>
      </c>
      <c r="I45" s="2" t="str">
        <f>IF(OR(E45&gt;Parameters!$B$19,H45&gt;Parameters!$B$20),"Pair in error","Pair stands")</f>
        <v>Pair stands</v>
      </c>
    </row>
    <row r="47" spans="1:9" x14ac:dyDescent="0.2">
      <c r="A47" s="4" t="s">
        <v>277</v>
      </c>
    </row>
    <row r="48" spans="1:9" ht="48" customHeight="1" x14ac:dyDescent="0.2">
      <c r="A48" s="3" t="s">
        <v>237</v>
      </c>
      <c r="B48" s="3" t="s">
        <v>278</v>
      </c>
      <c r="C48" s="3" t="s">
        <v>279</v>
      </c>
      <c r="D48" s="3" t="s">
        <v>272</v>
      </c>
      <c r="E48" s="3" t="s">
        <v>280</v>
      </c>
      <c r="F48" s="3" t="s">
        <v>281</v>
      </c>
      <c r="G48" s="3" t="s">
        <v>275</v>
      </c>
      <c r="H48" s="3" t="s">
        <v>282</v>
      </c>
      <c r="I48" s="3" t="s">
        <v>276</v>
      </c>
    </row>
    <row r="49" spans="1:9" x14ac:dyDescent="0.2">
      <c r="A49" s="2" t="s">
        <v>255</v>
      </c>
      <c r="B49" s="15">
        <f>ROUND(AVERAGEIFS('Field Notes'!$K$4:$K$39,'Field Notes'!$P$4:$P$39,A49,'Field Notes'!$S$4:$S$39,1),3)</f>
        <v>285.025</v>
      </c>
      <c r="C49" s="15">
        <f>ROUND(AVERAGEIFS('Field Notes'!$K$4:$K$39,'Field Notes'!$P$4:$P$39,A49,'Field Notes'!$S$4:$S$39,2),3)</f>
        <v>285.03</v>
      </c>
      <c r="D49" s="15">
        <f>ROUND(ABS(B49-C49),3)</f>
        <v>0.005</v>
      </c>
      <c r="E49" s="13">
        <f>ROUND(MOD(DEGREES(ATAN2(SUMIFS('Field Notes'!$T$4:$T$39,'Field Notes'!$P$4:$P$39,A49,'Field Notes'!$S$4:$S$39,1),SUMIFS('Field Notes'!$U$4:$U$39,'Field Notes'!$P$4:$P$39,A49,'Field Notes'!$S$4:$S$39,1)))+Parameters!$B$30,360),6)</f>
        <v>103.395695</v>
      </c>
      <c r="F49" s="13">
        <f>ROUND(MOD(DEGREES(ATAN2(SUMIFS('Field Notes'!$T$4:$T$39,'Field Notes'!$P$4:$P$39,A49,'Field Notes'!$S$4:$S$39,2),SUMIFS('Field Notes'!$U$4:$U$39,'Field Notes'!$P$4:$P$39,A49,'Field Notes'!$S$4:$S$39,2)))+Parameters!$B$30,360),6)</f>
        <v>103.395834</v>
      </c>
      <c r="G49" s="17">
        <f>ROUND(MIN(ABS(E49-F49),360-ABS(E49-F49))*Parameters!$B$18,0)</f>
        <v>1</v>
      </c>
      <c r="H49" s="17">
        <f>COUNTIFS($A$36:$A$45,A49,$I$36:$I$45,"Pair in error")</f>
        <v>0</v>
      </c>
      <c r="I49" s="2" t="str">
        <f>IF(H49&gt;0,"A pair in error is rejected, the other pair carries the leg",IF(AND(D49&lt;=Parameters!$B$19,G49&lt;=Parameters!$B$20),"Agree, meaned together","Do not agree, the pair at fault set aside"))</f>
        <v>Agree, meaned together</v>
      </c>
    </row>
    <row r="50" spans="1:9" x14ac:dyDescent="0.2">
      <c r="A50" s="2" t="s">
        <v>256</v>
      </c>
      <c r="B50" s="15">
        <f>ROUND(AVERAGEIFS('Field Notes'!$K$4:$K$39,'Field Notes'!$P$4:$P$39,A50,'Field Notes'!$S$4:$S$39,1),3)</f>
        <v>287.99</v>
      </c>
      <c r="C50" s="15">
        <f>ROUND(AVERAGEIFS('Field Notes'!$K$4:$K$39,'Field Notes'!$P$4:$P$39,A50,'Field Notes'!$S$4:$S$39,2),3)</f>
        <v>287.39</v>
      </c>
      <c r="D50" s="15">
        <f>ROUND(ABS(B50-C50),3)</f>
        <v>0.6</v>
      </c>
      <c r="E50" s="13">
        <f>ROUND(MOD(DEGREES(ATAN2(SUMIFS('Field Notes'!$T$4:$T$39,'Field Notes'!$P$4:$P$39,A50,'Field Notes'!$S$4:$S$39,1),SUMIFS('Field Notes'!$U$4:$U$39,'Field Notes'!$P$4:$P$39,A50,'Field Notes'!$S$4:$S$39,1)))+Parameters!$B$30,360),6)</f>
        <v>98.998473</v>
      </c>
      <c r="F50" s="13">
        <f>ROUND(MOD(DEGREES(ATAN2(SUMIFS('Field Notes'!$T$4:$T$39,'Field Notes'!$P$4:$P$39,A50,'Field Notes'!$S$4:$S$39,2),SUMIFS('Field Notes'!$U$4:$U$39,'Field Notes'!$P$4:$P$39,A50,'Field Notes'!$S$4:$S$39,2)))+Parameters!$B$30,360),6)</f>
        <v>98.998195</v>
      </c>
      <c r="G50" s="17">
        <f>ROUND(MIN(ABS(E50-F50),360-ABS(E50-F50))*Parameters!$B$18,0)</f>
        <v>1</v>
      </c>
      <c r="H50" s="17">
        <f>COUNTIFS($A$36:$A$45,A50,$I$36:$I$45,"Pair in error")</f>
        <v>1</v>
      </c>
      <c r="I50" s="2" t="str">
        <f>IF(H50&gt;0,"A pair in error is rejected, the other pair carries the leg",IF(AND(D50&lt;=Parameters!$B$19,G50&lt;=Parameters!$B$20),"Agree, meaned together","Do not agree, the pair at fault set aside"))</f>
        <v>A pair in error is rejected, the other pair carries the leg</v>
      </c>
    </row>
    <row r="51" spans="1:9" x14ac:dyDescent="0.2">
      <c r="A51" s="2" t="s">
        <v>258</v>
      </c>
      <c r="B51" s="15">
        <f>ROUND(AVERAGEIFS('Field Notes'!$K$4:$K$39,'Field Notes'!$P$4:$P$39,A51,'Field Notes'!$S$4:$S$39,1),3)</f>
        <v>501.585</v>
      </c>
      <c r="C51" s="15">
        <f>ROUND(AVERAGEIFS('Field Notes'!$K$4:$K$39,'Field Notes'!$P$4:$P$39,A51,'Field Notes'!$S$4:$S$39,2),3)</f>
        <v>501.865</v>
      </c>
      <c r="D51" s="15">
        <f>ROUND(ABS(B51-C51),3)</f>
        <v>0.28</v>
      </c>
      <c r="E51" s="13">
        <f>ROUND(MOD(DEGREES(ATAN2(SUMIFS('Field Notes'!$T$4:$T$39,'Field Notes'!$P$4:$P$39,A51,'Field Notes'!$S$4:$S$39,1),SUMIFS('Field Notes'!$U$4:$U$39,'Field Notes'!$P$4:$P$39,A51,'Field Notes'!$S$4:$S$39,1)))+Parameters!$B$30,360),6)</f>
        <v>259.932778</v>
      </c>
      <c r="F51" s="13">
        <f>ROUND(MOD(DEGREES(ATAN2(SUMIFS('Field Notes'!$T$4:$T$39,'Field Notes'!$P$4:$P$39,A51,'Field Notes'!$S$4:$S$39,2),SUMIFS('Field Notes'!$U$4:$U$39,'Field Notes'!$P$4:$P$39,A51,'Field Notes'!$S$4:$S$39,2)))+Parameters!$B$30,360),6)</f>
        <v>259.932778</v>
      </c>
      <c r="G51" s="17">
        <f>ROUND(MIN(ABS(E51-F51),360-ABS(E51-F51))*Parameters!$B$18,0)</f>
        <v>0</v>
      </c>
      <c r="H51" s="17">
        <f>COUNTIFS($A$36:$A$45,A51,$I$36:$I$45,"Pair in error")</f>
        <v>0</v>
      </c>
      <c r="I51" s="2" t="str">
        <f>IF(H51&gt;0,"A pair in error is rejected, the other pair carries the leg",IF(AND(D51&lt;=Parameters!$B$19,G51&lt;=Parameters!$B$20),"Agree, meaned together","Do not agree, the pair at fault set aside"))</f>
        <v>Do not agree, the pair at fault set aside</v>
      </c>
    </row>
    <row r="53" spans="1:9" x14ac:dyDescent="0.2">
      <c r="A53" s="4" t="s">
        <v>283</v>
      </c>
    </row>
    <row r="54" spans="1:9" ht="32" customHeight="1" x14ac:dyDescent="0.2">
      <c r="A54" s="3" t="s">
        <v>284</v>
      </c>
      <c r="B54" s="3" t="s">
        <v>242</v>
      </c>
      <c r="C54" s="3" t="s">
        <v>244</v>
      </c>
      <c r="D54" s="3" t="s">
        <v>245</v>
      </c>
      <c r="E54" s="3" t="s">
        <v>246</v>
      </c>
      <c r="F54" s="3" t="s">
        <v>9</v>
      </c>
      <c r="G54" s="3" t="s">
        <v>10</v>
      </c>
      <c r="H54" s="3" t="s">
        <v>285</v>
      </c>
      <c r="I54" s="3" t="s">
        <v>286</v>
      </c>
    </row>
    <row r="55" spans="1:9" x14ac:dyDescent="0.2">
      <c r="A55" s="2" t="s">
        <v>287</v>
      </c>
      <c r="B55" s="13">
        <f>ROUND(MOD(DEGREES(ATAN2(SUMIFS('Field Notes'!$T$4:$T$39,'Field Notes'!$P$4:$P$39,"T5-T6",'Field Notes'!$S$4:$S$39,1),SUMIFS('Field Notes'!$U$4:$U$39,'Field Notes'!$P$4:$P$39,"T5-T6",'Field Notes'!$S$4:$S$39,1)))+Parameters!$B$30,360),6)</f>
        <v>259.932778</v>
      </c>
      <c r="C55" s="15">
        <f>ROUND(AVERAGEIFS('Field Notes'!$K$4:$K$39,'Field Notes'!$P$4:$P$39,"T5-T6",'Field Notes'!$S$4:$S$39,1),3)</f>
        <v>501.585</v>
      </c>
      <c r="D55" s="15">
        <f>ROUND(C55*COS(RADIANS(B55)),3)</f>
        <v>-87.679</v>
      </c>
      <c r="E55" s="15">
        <f>ROUND(C55*SIN(RADIANS(B55)),3)</f>
        <v>-493.862</v>
      </c>
      <c r="F55" s="15">
        <f>ROUND($I$11-$I$9+D55,3)</f>
        <v>-0.153</v>
      </c>
      <c r="G55" s="15">
        <f>ROUND($J$11-$J$9+E55,3)</f>
        <v>0.259</v>
      </c>
      <c r="H55" s="12">
        <f>ROUND(SQRT(F55^2+G55^2),2)</f>
        <v>0.3</v>
      </c>
      <c r="I55" s="16">
        <f>ROUNDDOWN(($H$11-$H$9+C55)/H55,-2)</f>
        <v>8300</v>
      </c>
    </row>
    <row r="56" spans="1:9" x14ac:dyDescent="0.2">
      <c r="A56" s="2" t="s">
        <v>288</v>
      </c>
      <c r="B56" s="13">
        <f>ROUND(MOD(DEGREES(ATAN2(SUMIFS('Field Notes'!$T$4:$T$39,'Field Notes'!$P$4:$P$39,"T5-T6"),SUMIFS('Field Notes'!$U$4:$U$39,'Field Notes'!$P$4:$P$39,"T5-T6")))+Parameters!$B$30,360),6)</f>
        <v>259.932778</v>
      </c>
      <c r="C56" s="15">
        <f>ROUND(AVERAGEIFS('Field Notes'!$K$4:$K$39,'Field Notes'!$P$4:$P$39,"T5-T6"),3)</f>
        <v>501.725</v>
      </c>
      <c r="D56" s="15">
        <f>ROUND(C56*COS(RADIANS(B56)),3)</f>
        <v>-87.703</v>
      </c>
      <c r="E56" s="15">
        <f>ROUND(C56*SIN(RADIANS(B56)),3)</f>
        <v>-494</v>
      </c>
      <c r="F56" s="15">
        <f>ROUND($I$11-$I$9+D56,3)</f>
        <v>-0.177</v>
      </c>
      <c r="G56" s="15">
        <f>ROUND($J$11-$J$9+E56,3)</f>
        <v>0.121</v>
      </c>
      <c r="H56" s="12">
        <f>ROUND(SQRT(F56^2+G56^2),2)</f>
        <v>0.21</v>
      </c>
      <c r="I56" s="16">
        <f>ROUNDDOWN(($H$11-$H$9+C56)/H56,-2)</f>
        <v>11900</v>
      </c>
    </row>
    <row r="57" spans="1:9" x14ac:dyDescent="0.2">
      <c r="A57" s="2" t="s">
        <v>289</v>
      </c>
      <c r="B57" s="13">
        <f>ROUND(MOD(DEGREES(ATAN2(SUMIFS('Field Notes'!$T$4:$T$39,'Field Notes'!$P$4:$P$39,"T3-T4",'Field Notes'!$S$4:$S$39,1),SUMIFS('Field Notes'!$U$4:$U$39,'Field Notes'!$P$4:$P$39,"T3-T4",'Field Notes'!$S$4:$S$39,1)))+Parameters!$B$30,360),6)</f>
        <v>98.998473</v>
      </c>
      <c r="C57" s="15">
        <f>ROUND(AVERAGEIFS('Field Notes'!$K$4:$K$39,'Field Notes'!$P$4:$P$39,"T3-T4",'Field Notes'!$S$4:$S$39,1),3)</f>
        <v>287.99</v>
      </c>
      <c r="D57" s="15">
        <f>ROUND(C57*COS(RADIANS(B57)),3)</f>
        <v>-45.044</v>
      </c>
      <c r="E57" s="15">
        <f>ROUND(C57*SIN(RADIANS(B57)),3)</f>
        <v>284.446</v>
      </c>
      <c r="F57" s="15">
        <f>ROUND($I$11-$I$7+D57,3)</f>
        <v>-0.297</v>
      </c>
      <c r="G57" s="15">
        <f>ROUND($J$11-$J$7+E57,3)</f>
        <v>0.576</v>
      </c>
      <c r="H57" s="12">
        <f>ROUND(SQRT(F57^2+G57^2),2)</f>
        <v>0.65</v>
      </c>
      <c r="I57" s="16">
        <f>ROUNDDOWN(($H$11-$H$7+C57)/H57,-2)</f>
        <v>3800</v>
      </c>
    </row>
    <row r="58" spans="1:9" x14ac:dyDescent="0.2">
      <c r="A58" s="2" t="s">
        <v>290</v>
      </c>
      <c r="B58" s="13">
        <f>ROUND(MOD(DEGREES(ATAN2(SUMIFS('Field Notes'!$T$4:$T$39,'Field Notes'!$P$4:$P$39,"T3-T4"),SUMIFS('Field Notes'!$U$4:$U$39,'Field Notes'!$P$4:$P$39,"T3-T4")))+Parameters!$B$30,360),6)</f>
        <v>98.998334</v>
      </c>
      <c r="C58" s="15">
        <f>ROUND(AVERAGEIFS('Field Notes'!$K$4:$K$39,'Field Notes'!$P$4:$P$39,"T3-T4"),3)</f>
        <v>287.69</v>
      </c>
      <c r="D58" s="15">
        <f>ROUND(C58*COS(RADIANS(B58)),3)</f>
        <v>-44.996</v>
      </c>
      <c r="E58" s="15">
        <f>ROUND(C58*SIN(RADIANS(B58)),3)</f>
        <v>284.149</v>
      </c>
      <c r="F58" s="15">
        <f>ROUND($I$11-$I$7+D58,3)</f>
        <v>-0.249</v>
      </c>
      <c r="G58" s="15">
        <f>ROUND($J$11-$J$7+E58,3)</f>
        <v>0.279</v>
      </c>
      <c r="H58" s="12">
        <f>ROUND(SQRT(F58^2+G58^2),2)</f>
        <v>0.37</v>
      </c>
      <c r="I58" s="16">
        <f>ROUNDDOWN(($H$11-$H$7+C58)/H58,-2)</f>
        <v>6700</v>
      </c>
    </row>
    <row r="60" spans="1:9" ht="48" customHeight="1" x14ac:dyDescent="0.2">
      <c r="A60" s="11" t="s">
        <v>291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8"/>
  <sheetViews>
    <sheetView workbookViewId="0"/>
  </sheetViews>
  <sheetFormatPr baseColWidth="10" defaultColWidth="8.83203125" defaultRowHeight="15" x14ac:dyDescent="0.2"/>
  <cols>
    <col min="1" max="1" width="8" customWidth="1"/>
    <col min="2" max="2" width="60" customWidth="1"/>
    <col min="3" max="3" width="9" customWidth="1"/>
    <col min="4" max="4" width="7" customWidth="1"/>
    <col min="5" max="5" width="13" customWidth="1"/>
    <col min="6" max="6" width="12" customWidth="1"/>
    <col min="7" max="8" width="14" customWidth="1"/>
    <col min="9" max="10" width="11" customWidth="1"/>
    <col min="11" max="12" width="13" customWidth="1"/>
  </cols>
  <sheetData>
    <row r="1" spans="1:12" ht="17" customHeight="1" x14ac:dyDescent="0.2">
      <c r="A1" s="1" t="s">
        <v>292</v>
      </c>
    </row>
    <row r="3" spans="1:12" ht="32" customHeight="1" x14ac:dyDescent="0.2">
      <c r="A3" s="3" t="s">
        <v>293</v>
      </c>
      <c r="B3" s="3" t="s">
        <v>294</v>
      </c>
      <c r="C3" s="3" t="s">
        <v>264</v>
      </c>
      <c r="D3" s="3" t="s">
        <v>295</v>
      </c>
      <c r="E3" s="3" t="s">
        <v>296</v>
      </c>
      <c r="F3" s="3" t="s">
        <v>297</v>
      </c>
      <c r="G3" s="3" t="s">
        <v>298</v>
      </c>
      <c r="H3" s="3" t="s">
        <v>299</v>
      </c>
      <c r="I3" s="3" t="s">
        <v>245</v>
      </c>
      <c r="J3" s="3" t="s">
        <v>246</v>
      </c>
      <c r="K3" s="3" t="s">
        <v>265</v>
      </c>
      <c r="L3" s="3" t="s">
        <v>266</v>
      </c>
    </row>
    <row r="4" spans="1:12" x14ac:dyDescent="0.2">
      <c r="A4" s="2" t="s">
        <v>195</v>
      </c>
      <c r="B4" s="2" t="s">
        <v>300</v>
      </c>
      <c r="C4" s="2" t="str">
        <f>INDEX('Field Notes'!$M$4:$M$39,MATCH(A4,'Field Notes'!$N$4:$N$39,0))</f>
        <v>T1</v>
      </c>
      <c r="D4" s="2">
        <f>INDEX('Field Notes'!$A$4:$A$39,MATCH(A4,'Field Notes'!$N$4:$N$39,0))</f>
        <v>21</v>
      </c>
      <c r="E4" s="13">
        <f>INDEX('Field Notes'!$O$4:$O$39,MATCH(A4,'Field Notes'!$N$4:$N$39,0))</f>
        <v>247.913611</v>
      </c>
      <c r="F4" s="12">
        <f>INDEX('Field Notes'!$Y$4:$Y$39,MATCH(A4,'Field Notes'!$N$4:$N$39,0))</f>
        <v>13.83</v>
      </c>
      <c r="G4" s="15">
        <f>INDEX(Traverse!$B$25:$B$31,MATCH(C4,Traverse!$A$25:$A$31,0))</f>
        <v>5000</v>
      </c>
      <c r="H4" s="15">
        <f>INDEX(Traverse!$C$25:$C$31,MATCH(C4,Traverse!$A$25:$A$31,0))</f>
        <v>5000</v>
      </c>
      <c r="I4" s="15">
        <f t="shared" ref="I4:I19" si="0">ROUND(F4*COS(RADIANS(E4)),3)</f>
        <v>-5.2</v>
      </c>
      <c r="J4" s="15">
        <f t="shared" ref="J4:J19" si="1">ROUND(F4*SIN(RADIANS(E4)),3)</f>
        <v>-12.815</v>
      </c>
      <c r="K4" s="15">
        <f t="shared" ref="K4:K19" si="2">ROUND(G4+I4,3)</f>
        <v>4994.8</v>
      </c>
      <c r="L4" s="15">
        <f t="shared" ref="L4:L19" si="3">ROUND(H4+J4,3)</f>
        <v>4987.185</v>
      </c>
    </row>
    <row r="5" spans="1:12" x14ac:dyDescent="0.2">
      <c r="A5" s="2" t="s">
        <v>198</v>
      </c>
      <c r="B5" s="2" t="s">
        <v>301</v>
      </c>
      <c r="C5" s="2" t="str">
        <f>INDEX('Field Notes'!$M$4:$M$39,MATCH(A5,'Field Notes'!$N$4:$N$39,0))</f>
        <v>T2</v>
      </c>
      <c r="D5" s="2">
        <f>INDEX('Field Notes'!$A$4:$A$39,MATCH(A5,'Field Notes'!$N$4:$N$39,0))</f>
        <v>22</v>
      </c>
      <c r="E5" s="13">
        <f>INDEX('Field Notes'!$O$4:$O$39,MATCH(A5,'Field Notes'!$N$4:$N$39,0))</f>
        <v>330.999722</v>
      </c>
      <c r="F5" s="12">
        <f>INDEX('Field Notes'!$Y$4:$Y$39,MATCH(A5,'Field Notes'!$N$4:$N$39,0))</f>
        <v>11.2</v>
      </c>
      <c r="G5" s="15">
        <f>INDEX(Traverse!$B$25:$B$31,MATCH(C5,Traverse!$A$25:$A$31,0))</f>
        <v>5597.464</v>
      </c>
      <c r="H5" s="15">
        <f>INDEX(Traverse!$C$25:$C$31,MATCH(C5,Traverse!$A$25:$A$31,0))</f>
        <v>5179.579</v>
      </c>
      <c r="I5" s="15">
        <f t="shared" si="0"/>
        <v>9.796</v>
      </c>
      <c r="J5" s="15">
        <f t="shared" si="1"/>
        <v>-5.43</v>
      </c>
      <c r="K5" s="15">
        <f t="shared" si="2"/>
        <v>5607.26</v>
      </c>
      <c r="L5" s="15">
        <f t="shared" si="3"/>
        <v>5174.149</v>
      </c>
    </row>
    <row r="6" spans="1:12" x14ac:dyDescent="0.2">
      <c r="A6" s="2" t="s">
        <v>206</v>
      </c>
      <c r="B6" s="2" t="s">
        <v>302</v>
      </c>
      <c r="C6" s="2" t="str">
        <f>INDEX('Field Notes'!$M$4:$M$39,MATCH(A6,'Field Notes'!$N$4:$N$39,0))</f>
        <v>T4</v>
      </c>
      <c r="D6" s="2">
        <f>INDEX('Field Notes'!$A$4:$A$39,MATCH(A6,'Field Notes'!$N$4:$N$39,0))</f>
        <v>26</v>
      </c>
      <c r="E6" s="13">
        <f>INDEX('Field Notes'!$O$4:$O$39,MATCH(A6,'Field Notes'!$N$4:$N$39,0))</f>
        <v>59.4525</v>
      </c>
      <c r="F6" s="12">
        <f>INDEX('Field Notes'!$Y$4:$Y$39,MATCH(A6,'Field Notes'!$N$4:$N$39,0))</f>
        <v>12.87</v>
      </c>
      <c r="G6" s="15">
        <f>INDEX(Traverse!$B$25:$B$31,MATCH(C6,Traverse!$A$25:$A$31,0))</f>
        <v>5486.527</v>
      </c>
      <c r="H6" s="15">
        <f>INDEX(Traverse!$C$25:$C$31,MATCH(C6,Traverse!$A$25:$A$31,0))</f>
        <v>5740.709</v>
      </c>
      <c r="I6" s="15">
        <f t="shared" si="0"/>
        <v>6.541</v>
      </c>
      <c r="J6" s="15">
        <f t="shared" si="1"/>
        <v>11.084</v>
      </c>
      <c r="K6" s="15">
        <f t="shared" si="2"/>
        <v>5493.068</v>
      </c>
      <c r="L6" s="15">
        <f t="shared" si="3"/>
        <v>5751.793</v>
      </c>
    </row>
    <row r="7" spans="1:12" x14ac:dyDescent="0.2">
      <c r="A7" s="2" t="s">
        <v>220</v>
      </c>
      <c r="B7" s="2" t="s">
        <v>303</v>
      </c>
      <c r="C7" s="2" t="str">
        <f>INDEX('Field Notes'!$M$4:$M$39,MATCH(A7,'Field Notes'!$N$4:$N$39,0))</f>
        <v>T5</v>
      </c>
      <c r="D7" s="2">
        <f>INDEX('Field Notes'!$A$4:$A$39,MATCH(A7,'Field Notes'!$N$4:$N$39,0))</f>
        <v>30</v>
      </c>
      <c r="E7" s="13">
        <f>INDEX('Field Notes'!$O$4:$O$39,MATCH(A7,'Field Notes'!$N$4:$N$39,0))</f>
        <v>140.500278</v>
      </c>
      <c r="F7" s="12">
        <f>INDEX('Field Notes'!$Y$4:$Y$39,MATCH(A7,'Field Notes'!$N$4:$N$39,0))</f>
        <v>12.3</v>
      </c>
      <c r="G7" s="15">
        <f>INDEX(Traverse!$B$25:$B$31,MATCH(C7,Traverse!$A$25:$A$31,0))</f>
        <v>4921.922</v>
      </c>
      <c r="H7" s="15">
        <f>INDEX(Traverse!$C$25:$C$31,MATCH(C7,Traverse!$A$25:$A$31,0))</f>
        <v>5630.744</v>
      </c>
      <c r="I7" s="15">
        <f t="shared" si="0"/>
        <v>-9.491</v>
      </c>
      <c r="J7" s="15">
        <f t="shared" si="1"/>
        <v>7.824</v>
      </c>
      <c r="K7" s="15">
        <f t="shared" si="2"/>
        <v>4912.431</v>
      </c>
      <c r="L7" s="15">
        <f t="shared" si="3"/>
        <v>5638.568</v>
      </c>
    </row>
    <row r="8" spans="1:12" x14ac:dyDescent="0.2">
      <c r="A8" s="2" t="s">
        <v>229</v>
      </c>
      <c r="B8" s="2" t="s">
        <v>304</v>
      </c>
      <c r="C8" s="2" t="str">
        <f>INDEX('Field Notes'!$M$4:$M$39,MATCH(A8,'Field Notes'!$N$4:$N$39,0))</f>
        <v>T6</v>
      </c>
      <c r="D8" s="2">
        <f>INDEX('Field Notes'!$A$4:$A$39,MATCH(A8,'Field Notes'!$N$4:$N$39,0))</f>
        <v>34</v>
      </c>
      <c r="E8" s="13">
        <f>INDEX('Field Notes'!$O$4:$O$39,MATCH(A8,'Field Notes'!$N$4:$N$39,0))</f>
        <v>185.300278</v>
      </c>
      <c r="F8" s="12">
        <f>INDEX('Field Notes'!$Y$4:$Y$39,MATCH(A8,'Field Notes'!$N$4:$N$39,0))</f>
        <v>8.83</v>
      </c>
      <c r="G8" s="15">
        <f>INDEX(Traverse!$B$25:$B$31,MATCH(C8,Traverse!$A$25:$A$31,0))</f>
        <v>4834.234</v>
      </c>
      <c r="H8" s="15">
        <f>INDEX(Traverse!$C$25:$C$31,MATCH(C8,Traverse!$A$25:$A$31,0))</f>
        <v>5136.609</v>
      </c>
      <c r="I8" s="15">
        <f t="shared" si="0"/>
        <v>-8.792</v>
      </c>
      <c r="J8" s="15">
        <f t="shared" si="1"/>
        <v>-0.816</v>
      </c>
      <c r="K8" s="15">
        <f t="shared" si="2"/>
        <v>4825.442</v>
      </c>
      <c r="L8" s="15">
        <f t="shared" si="3"/>
        <v>5135.793</v>
      </c>
    </row>
    <row r="9" spans="1:12" x14ac:dyDescent="0.2">
      <c r="A9" s="2" t="s">
        <v>216</v>
      </c>
      <c r="B9" s="2" t="s">
        <v>305</v>
      </c>
      <c r="C9" s="2" t="str">
        <f>INDEX('Field Notes'!$M$4:$M$39,MATCH(A9,'Field Notes'!$N$4:$N$39,0))</f>
        <v>T4</v>
      </c>
      <c r="D9" s="2">
        <f>INDEX('Field Notes'!$A$4:$A$39,MATCH(A9,'Field Notes'!$N$4:$N$39,0))</f>
        <v>28</v>
      </c>
      <c r="E9" s="13">
        <f>INDEX('Field Notes'!$O$4:$O$39,MATCH(A9,'Field Notes'!$N$4:$N$39,0))</f>
        <v>13.495</v>
      </c>
      <c r="F9" s="12">
        <f>INDEX('Field Notes'!$Y$4:$Y$39,MATCH(A9,'Field Notes'!$N$4:$N$39,0))</f>
        <v>224.02</v>
      </c>
      <c r="G9" s="15">
        <f>INDEX(Traverse!$B$25:$B$31,MATCH(C9,Traverse!$A$25:$A$31,0))</f>
        <v>5486.527</v>
      </c>
      <c r="H9" s="15">
        <f>INDEX(Traverse!$C$25:$C$31,MATCH(C9,Traverse!$A$25:$A$31,0))</f>
        <v>5740.709</v>
      </c>
      <c r="I9" s="15">
        <f t="shared" si="0"/>
        <v>217.835</v>
      </c>
      <c r="J9" s="15">
        <f t="shared" si="1"/>
        <v>52.277</v>
      </c>
      <c r="K9" s="15">
        <f t="shared" si="2"/>
        <v>5704.362</v>
      </c>
      <c r="L9" s="15">
        <f t="shared" si="3"/>
        <v>5792.986</v>
      </c>
    </row>
    <row r="10" spans="1:12" x14ac:dyDescent="0.2">
      <c r="A10" s="2" t="s">
        <v>213</v>
      </c>
      <c r="B10" s="2" t="s">
        <v>306</v>
      </c>
      <c r="C10" s="2" t="str">
        <f>INDEX('Field Notes'!$M$4:$M$39,MATCH(A10,'Field Notes'!$N$4:$N$39,0))</f>
        <v>T4</v>
      </c>
      <c r="D10" s="2">
        <f>INDEX('Field Notes'!$A$4:$A$39,MATCH(A10,'Field Notes'!$N$4:$N$39,0))</f>
        <v>27</v>
      </c>
      <c r="E10" s="13">
        <f>INDEX('Field Notes'!$O$4:$O$39,MATCH(A10,'Field Notes'!$N$4:$N$39,0))</f>
        <v>57.26</v>
      </c>
      <c r="F10" s="12">
        <f>INDEX('Field Notes'!$Y$4:$Y$39,MATCH(A10,'Field Notes'!$N$4:$N$39,0))</f>
        <v>12.99</v>
      </c>
      <c r="G10" s="15">
        <f>INDEX(Traverse!$B$25:$B$31,MATCH(C10,Traverse!$A$25:$A$31,0))</f>
        <v>5486.527</v>
      </c>
      <c r="H10" s="15">
        <f>INDEX(Traverse!$C$25:$C$31,MATCH(C10,Traverse!$A$25:$A$31,0))</f>
        <v>5740.709</v>
      </c>
      <c r="I10" s="15">
        <f t="shared" si="0"/>
        <v>7.025</v>
      </c>
      <c r="J10" s="15">
        <f t="shared" si="1"/>
        <v>10.926</v>
      </c>
      <c r="K10" s="15">
        <f t="shared" si="2"/>
        <v>5493.552</v>
      </c>
      <c r="L10" s="15">
        <f t="shared" si="3"/>
        <v>5751.635</v>
      </c>
    </row>
    <row r="11" spans="1:12" x14ac:dyDescent="0.2">
      <c r="A11" s="2" t="s">
        <v>200</v>
      </c>
      <c r="B11" s="2" t="s">
        <v>307</v>
      </c>
      <c r="C11" s="2" t="str">
        <f>INDEX('Field Notes'!$M$4:$M$39,MATCH(A11,'Field Notes'!$N$4:$N$39,0))</f>
        <v>T2</v>
      </c>
      <c r="D11" s="2">
        <f>INDEX('Field Notes'!$A$4:$A$39,MATCH(A11,'Field Notes'!$N$4:$N$39,0))</f>
        <v>23</v>
      </c>
      <c r="E11" s="13">
        <f>INDEX('Field Notes'!$O$4:$O$39,MATCH(A11,'Field Notes'!$N$4:$N$39,0))</f>
        <v>81.72</v>
      </c>
      <c r="F11" s="12">
        <f>INDEX('Field Notes'!$Y$4:$Y$39,MATCH(A11,'Field Notes'!$N$4:$N$39,0))</f>
        <v>26.27</v>
      </c>
      <c r="G11" s="15">
        <f>INDEX(Traverse!$B$25:$B$31,MATCH(C11,Traverse!$A$25:$A$31,0))</f>
        <v>5597.464</v>
      </c>
      <c r="H11" s="15">
        <f>INDEX(Traverse!$C$25:$C$31,MATCH(C11,Traverse!$A$25:$A$31,0))</f>
        <v>5179.579</v>
      </c>
      <c r="I11" s="15">
        <f t="shared" si="0"/>
        <v>3.783</v>
      </c>
      <c r="J11" s="15">
        <f t="shared" si="1"/>
        <v>25.996</v>
      </c>
      <c r="K11" s="15">
        <f t="shared" si="2"/>
        <v>5601.247</v>
      </c>
      <c r="L11" s="15">
        <f t="shared" si="3"/>
        <v>5205.575</v>
      </c>
    </row>
    <row r="12" spans="1:12" x14ac:dyDescent="0.2">
      <c r="A12" s="2" t="s">
        <v>203</v>
      </c>
      <c r="B12" s="2" t="s">
        <v>307</v>
      </c>
      <c r="C12" s="2" t="str">
        <f>INDEX('Field Notes'!$M$4:$M$39,MATCH(A12,'Field Notes'!$N$4:$N$39,0))</f>
        <v>T3</v>
      </c>
      <c r="D12" s="2">
        <f>INDEX('Field Notes'!$A$4:$A$39,MATCH(A12,'Field Notes'!$N$4:$N$39,0))</f>
        <v>24</v>
      </c>
      <c r="E12" s="13">
        <f>INDEX('Field Notes'!$O$4:$O$39,MATCH(A12,'Field Notes'!$N$4:$N$39,0))</f>
        <v>22.805556</v>
      </c>
      <c r="F12" s="12">
        <f>INDEX('Field Notes'!$Y$4:$Y$39,MATCH(A12,'Field Notes'!$N$4:$N$39,0))</f>
        <v>19.71</v>
      </c>
      <c r="G12" s="15">
        <f>INDEX(Traverse!$B$25:$B$31,MATCH(C12,Traverse!$A$25:$A$31,0))</f>
        <v>5531.453</v>
      </c>
      <c r="H12" s="15">
        <f>INDEX(Traverse!$C$25:$C$31,MATCH(C12,Traverse!$A$25:$A$31,0))</f>
        <v>5456.854</v>
      </c>
      <c r="I12" s="15">
        <f t="shared" si="0"/>
        <v>18.169</v>
      </c>
      <c r="J12" s="15">
        <f t="shared" si="1"/>
        <v>7.64</v>
      </c>
      <c r="K12" s="15">
        <f t="shared" si="2"/>
        <v>5549.622</v>
      </c>
      <c r="L12" s="15">
        <f t="shared" si="3"/>
        <v>5464.494</v>
      </c>
    </row>
    <row r="13" spans="1:12" x14ac:dyDescent="0.2">
      <c r="A13" s="2" t="s">
        <v>207</v>
      </c>
      <c r="B13" s="2" t="s">
        <v>308</v>
      </c>
      <c r="C13" s="2" t="str">
        <f>INDEX('Field Notes'!$M$4:$M$39,MATCH(A13,'Field Notes'!$N$4:$N$39,0))</f>
        <v>T4</v>
      </c>
      <c r="D13" s="2">
        <f>INDEX('Field Notes'!$A$4:$A$39,MATCH(A13,'Field Notes'!$N$4:$N$39,0))</f>
        <v>25</v>
      </c>
      <c r="E13" s="13">
        <f>INDEX('Field Notes'!$O$4:$O$39,MATCH(A13,'Field Notes'!$N$4:$N$39,0))</f>
        <v>55.771944</v>
      </c>
      <c r="F13" s="12">
        <f>INDEX('Field Notes'!$Y$4:$Y$39,MATCH(A13,'Field Notes'!$N$4:$N$39,0))</f>
        <v>13.82</v>
      </c>
      <c r="G13" s="15">
        <f>INDEX(Traverse!$B$25:$B$31,MATCH(C13,Traverse!$A$25:$A$31,0))</f>
        <v>5486.527</v>
      </c>
      <c r="H13" s="15">
        <f>INDEX(Traverse!$C$25:$C$31,MATCH(C13,Traverse!$A$25:$A$31,0))</f>
        <v>5740.709</v>
      </c>
      <c r="I13" s="15">
        <f t="shared" si="0"/>
        <v>7.774</v>
      </c>
      <c r="J13" s="15">
        <f t="shared" si="1"/>
        <v>11.426</v>
      </c>
      <c r="K13" s="15">
        <f t="shared" si="2"/>
        <v>5494.301</v>
      </c>
      <c r="L13" s="15">
        <f t="shared" si="3"/>
        <v>5752.135</v>
      </c>
    </row>
    <row r="14" spans="1:12" x14ac:dyDescent="0.2">
      <c r="A14" s="2" t="s">
        <v>218</v>
      </c>
      <c r="B14" s="2" t="s">
        <v>309</v>
      </c>
      <c r="C14" s="2" t="str">
        <f>INDEX('Field Notes'!$M$4:$M$39,MATCH(A14,'Field Notes'!$N$4:$N$39,0))</f>
        <v>T4</v>
      </c>
      <c r="D14" s="2">
        <f>INDEX('Field Notes'!$A$4:$A$39,MATCH(A14,'Field Notes'!$N$4:$N$39,0))</f>
        <v>29</v>
      </c>
      <c r="E14" s="13">
        <f>INDEX('Field Notes'!$O$4:$O$39,MATCH(A14,'Field Notes'!$N$4:$N$39,0))</f>
        <v>178.130556</v>
      </c>
      <c r="F14" s="12">
        <f>INDEX('Field Notes'!$Y$4:$Y$39,MATCH(A14,'Field Notes'!$N$4:$N$39,0))</f>
        <v>43.63</v>
      </c>
      <c r="G14" s="15">
        <f>INDEX(Traverse!$B$25:$B$31,MATCH(C14,Traverse!$A$25:$A$31,0))</f>
        <v>5486.527</v>
      </c>
      <c r="H14" s="15">
        <f>INDEX(Traverse!$C$25:$C$31,MATCH(C14,Traverse!$A$25:$A$31,0))</f>
        <v>5740.709</v>
      </c>
      <c r="I14" s="15">
        <f t="shared" si="0"/>
        <v>-43.607</v>
      </c>
      <c r="J14" s="15">
        <f t="shared" si="1"/>
        <v>1.423</v>
      </c>
      <c r="K14" s="15">
        <f t="shared" si="2"/>
        <v>5442.92</v>
      </c>
      <c r="L14" s="15">
        <f t="shared" si="3"/>
        <v>5742.132</v>
      </c>
    </row>
    <row r="15" spans="1:12" x14ac:dyDescent="0.2">
      <c r="A15" s="2" t="s">
        <v>225</v>
      </c>
      <c r="B15" s="2" t="s">
        <v>309</v>
      </c>
      <c r="C15" s="2" t="str">
        <f>INDEX('Field Notes'!$M$4:$M$39,MATCH(A15,'Field Notes'!$N$4:$N$39,0))</f>
        <v>T5</v>
      </c>
      <c r="D15" s="2">
        <f>INDEX('Field Notes'!$A$4:$A$39,MATCH(A15,'Field Notes'!$N$4:$N$39,0))</f>
        <v>32</v>
      </c>
      <c r="E15" s="13">
        <f>INDEX('Field Notes'!$O$4:$O$39,MATCH(A15,'Field Notes'!$N$4:$N$39,0))</f>
        <v>13.789167</v>
      </c>
      <c r="F15" s="12">
        <f>INDEX('Field Notes'!$Y$4:$Y$39,MATCH(A15,'Field Notes'!$N$4:$N$39,0))</f>
        <v>204.78</v>
      </c>
      <c r="G15" s="15">
        <f>INDEX(Traverse!$B$25:$B$31,MATCH(C15,Traverse!$A$25:$A$31,0))</f>
        <v>4921.922</v>
      </c>
      <c r="H15" s="15">
        <f>INDEX(Traverse!$C$25:$C$31,MATCH(C15,Traverse!$A$25:$A$31,0))</f>
        <v>5630.744</v>
      </c>
      <c r="I15" s="15">
        <f t="shared" si="0"/>
        <v>198.878</v>
      </c>
      <c r="J15" s="15">
        <f t="shared" si="1"/>
        <v>48.809</v>
      </c>
      <c r="K15" s="15">
        <f t="shared" si="2"/>
        <v>5120.8</v>
      </c>
      <c r="L15" s="15">
        <f t="shared" si="3"/>
        <v>5679.553</v>
      </c>
    </row>
    <row r="16" spans="1:12" x14ac:dyDescent="0.2">
      <c r="A16" s="2" t="s">
        <v>223</v>
      </c>
      <c r="B16" s="2" t="s">
        <v>309</v>
      </c>
      <c r="C16" s="2" t="str">
        <f>INDEX('Field Notes'!$M$4:$M$39,MATCH(A16,'Field Notes'!$N$4:$N$39,0))</f>
        <v>T5</v>
      </c>
      <c r="D16" s="2">
        <f>INDEX('Field Notes'!$A$4:$A$39,MATCH(A16,'Field Notes'!$N$4:$N$39,0))</f>
        <v>31</v>
      </c>
      <c r="E16" s="13">
        <f>INDEX('Field Notes'!$O$4:$O$39,MATCH(A16,'Field Notes'!$N$4:$N$39,0))</f>
        <v>32.5925</v>
      </c>
      <c r="F16" s="12">
        <f>INDEX('Field Notes'!$Y$4:$Y$39,MATCH(A16,'Field Notes'!$N$4:$N$39,0))</f>
        <v>26.38</v>
      </c>
      <c r="G16" s="15">
        <f>INDEX(Traverse!$B$25:$B$31,MATCH(C16,Traverse!$A$25:$A$31,0))</f>
        <v>4921.922</v>
      </c>
      <c r="H16" s="15">
        <f>INDEX(Traverse!$C$25:$C$31,MATCH(C16,Traverse!$A$25:$A$31,0))</f>
        <v>5630.744</v>
      </c>
      <c r="I16" s="15">
        <f t="shared" si="0"/>
        <v>22.226</v>
      </c>
      <c r="J16" s="15">
        <f t="shared" si="1"/>
        <v>14.21</v>
      </c>
      <c r="K16" s="15">
        <f t="shared" si="2"/>
        <v>4944.148</v>
      </c>
      <c r="L16" s="15">
        <f t="shared" si="3"/>
        <v>5644.954</v>
      </c>
    </row>
    <row r="17" spans="1:12" x14ac:dyDescent="0.2">
      <c r="A17" s="2" t="s">
        <v>227</v>
      </c>
      <c r="B17" s="2" t="s">
        <v>310</v>
      </c>
      <c r="C17" s="2" t="str">
        <f>INDEX('Field Notes'!$M$4:$M$39,MATCH(A17,'Field Notes'!$N$4:$N$39,0))</f>
        <v>T5</v>
      </c>
      <c r="D17" s="2">
        <f>INDEX('Field Notes'!$A$4:$A$39,MATCH(A17,'Field Notes'!$N$4:$N$39,0))</f>
        <v>33</v>
      </c>
      <c r="E17" s="13">
        <f>INDEX('Field Notes'!$O$4:$O$39,MATCH(A17,'Field Notes'!$N$4:$N$39,0))</f>
        <v>248.045278</v>
      </c>
      <c r="F17" s="12">
        <f>INDEX('Field Notes'!$Y$4:$Y$39,MATCH(A17,'Field Notes'!$N$4:$N$39,0))</f>
        <v>50.03</v>
      </c>
      <c r="G17" s="15">
        <f>INDEX(Traverse!$B$25:$B$31,MATCH(C17,Traverse!$A$25:$A$31,0))</f>
        <v>4921.922</v>
      </c>
      <c r="H17" s="15">
        <f>INDEX(Traverse!$C$25:$C$31,MATCH(C17,Traverse!$A$25:$A$31,0))</f>
        <v>5630.744</v>
      </c>
      <c r="I17" s="15">
        <f t="shared" si="0"/>
        <v>-18.705</v>
      </c>
      <c r="J17" s="15">
        <f t="shared" si="1"/>
        <v>-46.402</v>
      </c>
      <c r="K17" s="15">
        <f t="shared" si="2"/>
        <v>4903.217</v>
      </c>
      <c r="L17" s="15">
        <f t="shared" si="3"/>
        <v>5584.342</v>
      </c>
    </row>
    <row r="18" spans="1:12" x14ac:dyDescent="0.2">
      <c r="A18" s="2" t="s">
        <v>234</v>
      </c>
      <c r="B18" s="2" t="s">
        <v>310</v>
      </c>
      <c r="C18" s="2" t="str">
        <f>INDEX('Field Notes'!$M$4:$M$39,MATCH(A18,'Field Notes'!$N$4:$N$39,0))</f>
        <v>T6</v>
      </c>
      <c r="D18" s="2">
        <f>INDEX('Field Notes'!$A$4:$A$39,MATCH(A18,'Field Notes'!$N$4:$N$39,0))</f>
        <v>36</v>
      </c>
      <c r="E18" s="13">
        <f>INDEX('Field Notes'!$O$4:$O$39,MATCH(A18,'Field Notes'!$N$4:$N$39,0))</f>
        <v>82.113333</v>
      </c>
      <c r="F18" s="12">
        <f>INDEX('Field Notes'!$Y$4:$Y$39,MATCH(A18,'Field Notes'!$N$4:$N$39,0))</f>
        <v>246.09</v>
      </c>
      <c r="G18" s="15">
        <f>INDEX(Traverse!$B$25:$B$31,MATCH(C18,Traverse!$A$25:$A$31,0))</f>
        <v>4834.234</v>
      </c>
      <c r="H18" s="15">
        <f>INDEX(Traverse!$C$25:$C$31,MATCH(C18,Traverse!$A$25:$A$31,0))</f>
        <v>5136.609</v>
      </c>
      <c r="I18" s="15">
        <f t="shared" si="0"/>
        <v>33.767</v>
      </c>
      <c r="J18" s="15">
        <f t="shared" si="1"/>
        <v>243.762</v>
      </c>
      <c r="K18" s="15">
        <f t="shared" si="2"/>
        <v>4868.001</v>
      </c>
      <c r="L18" s="15">
        <f t="shared" si="3"/>
        <v>5380.371</v>
      </c>
    </row>
    <row r="19" spans="1:12" x14ac:dyDescent="0.2">
      <c r="A19" s="2" t="s">
        <v>232</v>
      </c>
      <c r="B19" s="2" t="s">
        <v>310</v>
      </c>
      <c r="C19" s="2" t="str">
        <f>INDEX('Field Notes'!$M$4:$M$39,MATCH(A19,'Field Notes'!$N$4:$N$39,0))</f>
        <v>T6</v>
      </c>
      <c r="D19" s="2">
        <f>INDEX('Field Notes'!$A$4:$A$39,MATCH(A19,'Field Notes'!$N$4:$N$39,0))</f>
        <v>35</v>
      </c>
      <c r="E19" s="13">
        <f>INDEX('Field Notes'!$O$4:$O$39,MATCH(A19,'Field Notes'!$N$4:$N$39,0))</f>
        <v>96.974444</v>
      </c>
      <c r="F19" s="12">
        <f>INDEX('Field Notes'!$Y$4:$Y$39,MATCH(A19,'Field Notes'!$N$4:$N$39,0))</f>
        <v>29.19</v>
      </c>
      <c r="G19" s="15">
        <f>INDEX(Traverse!$B$25:$B$31,MATCH(C19,Traverse!$A$25:$A$31,0))</f>
        <v>4834.234</v>
      </c>
      <c r="H19" s="15">
        <f>INDEX(Traverse!$C$25:$C$31,MATCH(C19,Traverse!$A$25:$A$31,0))</f>
        <v>5136.609</v>
      </c>
      <c r="I19" s="15">
        <f t="shared" si="0"/>
        <v>-3.544</v>
      </c>
      <c r="J19" s="15">
        <f t="shared" si="1"/>
        <v>28.974</v>
      </c>
      <c r="K19" s="15">
        <f t="shared" si="2"/>
        <v>4830.69</v>
      </c>
      <c r="L19" s="15">
        <f t="shared" si="3"/>
        <v>5165.583</v>
      </c>
    </row>
    <row r="21" spans="1:12" x14ac:dyDescent="0.2">
      <c r="A21" s="4" t="s">
        <v>311</v>
      </c>
    </row>
    <row r="22" spans="1:12" ht="32" customHeight="1" x14ac:dyDescent="0.2">
      <c r="A22" s="3" t="s">
        <v>312</v>
      </c>
      <c r="B22" s="3"/>
      <c r="C22" s="3" t="s">
        <v>313</v>
      </c>
      <c r="D22" s="3" t="s">
        <v>314</v>
      </c>
      <c r="E22" s="3" t="s">
        <v>315</v>
      </c>
    </row>
    <row r="23" spans="1:12" x14ac:dyDescent="0.2">
      <c r="A23" s="2" t="s">
        <v>316</v>
      </c>
      <c r="C23" s="12">
        <f>ROUND(SQRT((K5-K6)^2+(L5-L6)^2),2)</f>
        <v>588.82</v>
      </c>
      <c r="D23" s="18">
        <f>Parameters!B27</f>
        <v>588.8</v>
      </c>
      <c r="E23" s="12">
        <f>ROUND(C23-D23,2)</f>
        <v>0.02</v>
      </c>
    </row>
    <row r="24" spans="1:12" x14ac:dyDescent="0.2">
      <c r="A24" s="2" t="s">
        <v>317</v>
      </c>
      <c r="C24" s="12">
        <f>ROUND(SQRT((K5-K13)^2+(L5-L13)^2),2)</f>
        <v>588.92</v>
      </c>
    </row>
    <row r="25" spans="1:12" x14ac:dyDescent="0.2">
      <c r="A25" s="2" t="s">
        <v>318</v>
      </c>
      <c r="C25" s="12">
        <f>ROUND(SQRT((K5-K10)^2+(L5-L10)^2),2)</f>
        <v>588.57</v>
      </c>
    </row>
    <row r="26" spans="1:12" x14ac:dyDescent="0.2">
      <c r="A26" s="2" t="s">
        <v>319</v>
      </c>
      <c r="C26" s="12">
        <f>ROUND(SQRT((K7-K9)^2+(L7-L9)^2),2)</f>
        <v>806.85</v>
      </c>
      <c r="D26" s="18">
        <f>Parameters!B28</f>
        <v>806.9</v>
      </c>
      <c r="E26" s="12">
        <f>ROUND(C26-D26,2)</f>
        <v>-0.05</v>
      </c>
    </row>
    <row r="28" spans="1:12" ht="32" customHeight="1" x14ac:dyDescent="0.2">
      <c r="A28" s="11" t="s">
        <v>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4"/>
  <sheetViews>
    <sheetView workbookViewId="0"/>
  </sheetViews>
  <sheetFormatPr baseColWidth="10" defaultColWidth="8.83203125" defaultRowHeight="15" x14ac:dyDescent="0.2"/>
  <cols>
    <col min="1" max="1" width="66" customWidth="1"/>
    <col min="2" max="2" width="14" customWidth="1"/>
    <col min="3" max="4" width="9" customWidth="1"/>
    <col min="5" max="5" width="5" customWidth="1"/>
    <col min="6" max="6" width="12" customWidth="1"/>
    <col min="7" max="7" width="13" customWidth="1"/>
    <col min="8" max="9" width="12" customWidth="1"/>
    <col min="10" max="10" width="13" customWidth="1"/>
    <col min="11" max="11" width="16" customWidth="1"/>
    <col min="12" max="12" width="13" customWidth="1"/>
    <col min="13" max="13" width="20" customWidth="1"/>
    <col min="14" max="14" width="13" customWidth="1"/>
    <col min="15" max="16" width="12" customWidth="1"/>
    <col min="17" max="17" width="18" customWidth="1"/>
    <col min="18" max="18" width="20" customWidth="1"/>
  </cols>
  <sheetData>
    <row r="1" spans="1:18" ht="17" customHeight="1" x14ac:dyDescent="0.2">
      <c r="A1" s="1" t="s">
        <v>321</v>
      </c>
    </row>
    <row r="3" spans="1:18" ht="48" customHeight="1" x14ac:dyDescent="0.2">
      <c r="A3" s="3" t="s">
        <v>322</v>
      </c>
      <c r="B3" s="3" t="s">
        <v>133</v>
      </c>
      <c r="C3" s="3" t="s">
        <v>323</v>
      </c>
      <c r="D3" s="3" t="s">
        <v>324</v>
      </c>
      <c r="E3" s="3" t="s">
        <v>137</v>
      </c>
      <c r="F3" s="3" t="s">
        <v>325</v>
      </c>
      <c r="G3" s="3" t="s">
        <v>326</v>
      </c>
      <c r="H3" s="3" t="s">
        <v>245</v>
      </c>
      <c r="I3" s="3" t="s">
        <v>246</v>
      </c>
      <c r="J3" s="3" t="s">
        <v>327</v>
      </c>
      <c r="K3" s="3" t="s">
        <v>328</v>
      </c>
      <c r="L3" s="3" t="s">
        <v>329</v>
      </c>
      <c r="M3" s="3" t="s">
        <v>330</v>
      </c>
      <c r="N3" s="3" t="s">
        <v>331</v>
      </c>
      <c r="O3" s="3" t="s">
        <v>332</v>
      </c>
      <c r="P3" s="3" t="s">
        <v>333</v>
      </c>
      <c r="Q3" s="3" t="s">
        <v>334</v>
      </c>
      <c r="R3" s="3" t="s">
        <v>335</v>
      </c>
    </row>
    <row r="4" spans="1:18" x14ac:dyDescent="0.2">
      <c r="A4" s="2" t="s">
        <v>336</v>
      </c>
      <c r="B4" s="2" t="s">
        <v>158</v>
      </c>
      <c r="C4" s="2">
        <v>14</v>
      </c>
      <c r="D4" s="2">
        <v>44</v>
      </c>
      <c r="E4" s="2" t="s">
        <v>159</v>
      </c>
      <c r="F4" s="18">
        <v>640.4</v>
      </c>
      <c r="G4" s="13">
        <f>ROUND(IF(AND(B4="N",E4="E"),(C4+D4/Parameters!$B$17),IF(AND(B4="S",E4="E"),180-(C4+D4/Parameters!$B$17),IF(AND(B4="S",E4="W"),180+(C4+D4/Parameters!$B$17),360-(C4+D4/Parameters!$B$17)))),6)</f>
        <v>14.733333</v>
      </c>
      <c r="H4" s="15">
        <f>ROUND(F4*COS(RADIANS(G4)),3)</f>
        <v>619.344</v>
      </c>
      <c r="I4" s="15">
        <f>ROUND(F4*SIN(RADIANS(G4)),3)</f>
        <v>162.867</v>
      </c>
      <c r="J4" s="13">
        <f>ROUND(MOD(G4+$B$37,360),6)</f>
        <v>16.933333</v>
      </c>
      <c r="K4" s="2" t="str">
        <f>IF(OR(J4&lt;=90,J4&gt;270),"N","S")&amp;" "&amp;TEXT(INT(ROUND((IF(J4&lt;=90,J4,IF(J4&lt;=180,180-J4,IF(J4&lt;=270,J4-180,360-J4))))*Parameters!$B$17,0)/Parameters!$B$17),"0")&amp;"° "&amp;TEXT(MOD(ROUND((IF(J4&lt;=90,J4,IF(J4&lt;=180,180-J4,IF(J4&lt;=270,J4-180,360-J4))))*Parameters!$B$17,0),Parameters!$B$17),"00")&amp;"' "&amp;IF(J4&lt;=180,"E","W")</f>
        <v>N 16° 56' E</v>
      </c>
      <c r="L4" s="13">
        <f>Corners!F28</f>
        <v>16.975716</v>
      </c>
      <c r="M4" s="2" t="str">
        <f>IF(OR(L4&lt;=90,L4&gt;270),"N","S")&amp;" "&amp;TEXT(INT(ROUND((IF(L4&lt;=90,L4,IF(L4&lt;=180,180-L4,IF(L4&lt;=270,L4-180,360-L4))))*Parameters!$B$18,0)/Parameters!$B$18),"0")&amp;"° "&amp;TEXT(INT(MOD(ROUND((IF(L4&lt;=90,L4,IF(L4&lt;=180,180-L4,IF(L4&lt;=270,L4-180,360-L4))))*Parameters!$B$18,0),Parameters!$B$18)/Parameters!$B$17),"00")&amp;"' "&amp;TEXT(MOD(ROUND((IF(L4&lt;=90,L4,IF(L4&lt;=180,180-L4,IF(L4&lt;=270,L4-180,360-L4))))*Parameters!$B$18,0),Parameters!$B$17),"00")&amp;""""&amp;" "&amp;IF(L4&lt;=180,"E","W")</f>
        <v>N 16° 58' 33" E</v>
      </c>
      <c r="N4" s="12">
        <f>Corners!G28</f>
        <v>640.36</v>
      </c>
      <c r="O4" s="17">
        <f>ROUND((L4-J4)*Parameters!$B$17,0)</f>
        <v>3</v>
      </c>
      <c r="P4" s="12">
        <f>ROUND(N4-F4,2)</f>
        <v>-0.04</v>
      </c>
      <c r="Q4" s="2" t="str">
        <f>IF(OR(ABS(P4)&gt;Parameters!$B$13,ABS(O4)&gt;Parameters!$B$14),"Out of tolerance","Within tolerance")</f>
        <v>Within tolerance</v>
      </c>
      <c r="R4" s="2" t="str">
        <f>IF(Q4="Out of tolerance","Error in the deed","Call holds")</f>
        <v>Call holds</v>
      </c>
    </row>
    <row r="5" spans="1:18" x14ac:dyDescent="0.2">
      <c r="A5" s="2" t="s">
        <v>337</v>
      </c>
      <c r="B5" s="2" t="s">
        <v>163</v>
      </c>
      <c r="C5" s="2">
        <v>81</v>
      </c>
      <c r="D5" s="2">
        <v>6</v>
      </c>
      <c r="E5" s="2" t="s">
        <v>159</v>
      </c>
      <c r="F5" s="18">
        <v>588.8</v>
      </c>
      <c r="G5" s="13">
        <f>ROUND(IF(AND(B5="N",E5="E"),(C5+D5/Parameters!$B$17),IF(AND(B5="S",E5="E"),180-(C5+D5/Parameters!$B$17),IF(AND(B5="S",E5="W"),180+(C5+D5/Parameters!$B$17),360-(C5+D5/Parameters!$B$17)))),6)</f>
        <v>98.9</v>
      </c>
      <c r="H5" s="15">
        <f>ROUND(F5*COS(RADIANS(G5)),3)</f>
        <v>-91.093</v>
      </c>
      <c r="I5" s="15">
        <f>ROUND(F5*SIN(RADIANS(G5)),3)</f>
        <v>581.711</v>
      </c>
      <c r="J5" s="13">
        <f>ROUND(MOD(G5+$B$37,360),6)</f>
        <v>101.1</v>
      </c>
      <c r="K5" s="2" t="str">
        <f>IF(OR(J5&lt;=90,J5&gt;270),"N","S")&amp;" "&amp;TEXT(INT(ROUND((IF(J5&lt;=90,J5,IF(J5&lt;=180,180-J5,IF(J5&lt;=270,J5-180,360-J5))))*Parameters!$B$17,0)/Parameters!$B$17),"0")&amp;"° "&amp;TEXT(MOD(ROUND((IF(J5&lt;=90,J5,IF(J5&lt;=180,180-J5,IF(J5&lt;=270,J5-180,360-J5))))*Parameters!$B$17,0),Parameters!$B$17),"00")&amp;"' "&amp;IF(J5&lt;=180,"E","W")</f>
        <v>S 78° 54' E</v>
      </c>
      <c r="L5" s="13">
        <f>Corners!F29</f>
        <v>101.100033</v>
      </c>
      <c r="M5" s="2" t="str">
        <f>IF(OR(L5&lt;=90,L5&gt;270),"N","S")&amp;" "&amp;TEXT(INT(ROUND((IF(L5&lt;=90,L5,IF(L5&lt;=180,180-L5,IF(L5&lt;=270,L5-180,360-L5))))*Parameters!$B$18,0)/Parameters!$B$18),"0")&amp;"° "&amp;TEXT(INT(MOD(ROUND((IF(L5&lt;=90,L5,IF(L5&lt;=180,180-L5,IF(L5&lt;=270,L5-180,360-L5))))*Parameters!$B$18,0),Parameters!$B$18)/Parameters!$B$17),"00")&amp;"' "&amp;TEXT(MOD(ROUND((IF(L5&lt;=90,L5,IF(L5&lt;=180,180-L5,IF(L5&lt;=270,L5-180,360-L5))))*Parameters!$B$18,0),Parameters!$B$17),"00")&amp;""""&amp;" "&amp;IF(L5&lt;=180,"E","W")</f>
        <v>S 78° 54' 00" E</v>
      </c>
      <c r="N5" s="12">
        <f>Corners!G29</f>
        <v>588.81</v>
      </c>
      <c r="O5" s="17">
        <f>ROUND((L5-J5)*Parameters!$B$17,0)</f>
        <v>0</v>
      </c>
      <c r="P5" s="12">
        <f>ROUND(N5-F5,2)</f>
        <v>0.01</v>
      </c>
      <c r="Q5" s="2" t="str">
        <f>IF(OR(ABS(P5)&gt;Parameters!$B$13,ABS(O5)&gt;Parameters!$B$14),"Out of tolerance","Within tolerance")</f>
        <v>Within tolerance</v>
      </c>
      <c r="R5" s="2" t="str">
        <f>IF(Q5="Out of tolerance","Error in the deed","Call holds")</f>
        <v>Call holds</v>
      </c>
    </row>
    <row r="6" spans="1:18" x14ac:dyDescent="0.2">
      <c r="A6" s="2" t="s">
        <v>338</v>
      </c>
      <c r="B6" s="2" t="s">
        <v>163</v>
      </c>
      <c r="C6" s="2">
        <v>8</v>
      </c>
      <c r="D6" s="2">
        <v>46</v>
      </c>
      <c r="E6" s="2" t="s">
        <v>164</v>
      </c>
      <c r="F6" s="18">
        <v>597.2</v>
      </c>
      <c r="G6" s="13">
        <f>ROUND(IF(AND(B6="N",E6="E"),(C6+D6/Parameters!$B$17),IF(AND(B6="S",E6="E"),180-(C6+D6/Parameters!$B$17),IF(AND(B6="S",E6="W"),180+(C6+D6/Parameters!$B$17),360-(C6+D6/Parameters!$B$17)))),6)</f>
        <v>188.766667</v>
      </c>
      <c r="H6" s="15">
        <f>ROUND(F6*COS(RADIANS(G6)),3)</f>
        <v>-590.223</v>
      </c>
      <c r="I6" s="15">
        <f>ROUND(F6*SIN(RADIANS(G6)),3)</f>
        <v>-91.02</v>
      </c>
      <c r="J6" s="13">
        <f>ROUND(MOD(G6+$B$37,360),6)</f>
        <v>190.966667</v>
      </c>
      <c r="K6" s="2" t="str">
        <f>IF(OR(J6&lt;=90,J6&gt;270),"N","S")&amp;" "&amp;TEXT(INT(ROUND((IF(J6&lt;=90,J6,IF(J6&lt;=180,180-J6,IF(J6&lt;=270,J6-180,360-J6))))*Parameters!$B$17,0)/Parameters!$B$17),"0")&amp;"° "&amp;TEXT(MOD(ROUND((IF(J6&lt;=90,J6,IF(J6&lt;=180,180-J6,IF(J6&lt;=270,J6-180,360-J6))))*Parameters!$B$17,0),Parameters!$B$17),"00")&amp;"' "&amp;IF(J6&lt;=180,"E","W")</f>
        <v>S 10° 58' W</v>
      </c>
      <c r="L6" s="13">
        <f>Corners!F30</f>
        <v>191.033596</v>
      </c>
      <c r="M6" s="2" t="str">
        <f>IF(OR(L6&lt;=90,L6&gt;270),"N","S")&amp;" "&amp;TEXT(INT(ROUND((IF(L6&lt;=90,L6,IF(L6&lt;=180,180-L6,IF(L6&lt;=270,L6-180,360-L6))))*Parameters!$B$18,0)/Parameters!$B$18),"0")&amp;"° "&amp;TEXT(INT(MOD(ROUND((IF(L6&lt;=90,L6,IF(L6&lt;=180,180-L6,IF(L6&lt;=270,L6-180,360-L6))))*Parameters!$B$18,0),Parameters!$B$18)/Parameters!$B$17),"00")&amp;"' "&amp;TEXT(MOD(ROUND((IF(L6&lt;=90,L6,IF(L6&lt;=180,180-L6,IF(L6&lt;=270,L6-180,360-L6))))*Parameters!$B$18,0),Parameters!$B$17),"00")&amp;""""&amp;" "&amp;IF(L6&lt;=180,"E","W")</f>
        <v>S 11° 02' 01" W</v>
      </c>
      <c r="N6" s="12">
        <f>Corners!G30</f>
        <v>592.42</v>
      </c>
      <c r="O6" s="17">
        <f>ROUND((L6-J6)*Parameters!$B$17,0)</f>
        <v>4</v>
      </c>
      <c r="P6" s="12">
        <f>ROUND(N6-F6,2)</f>
        <v>-4.78</v>
      </c>
      <c r="Q6" s="2" t="str">
        <f>IF(OR(ABS(P6)&gt;Parameters!$B$13,ABS(O6)&gt;Parameters!$B$14),"Out of tolerance","Within tolerance")</f>
        <v>Out of tolerance</v>
      </c>
      <c r="R6" s="2" t="str">
        <f>IF(Q6="Out of tolerance","Error in the deed","Call holds")</f>
        <v>Error in the deed</v>
      </c>
    </row>
    <row r="7" spans="1:18" x14ac:dyDescent="0.2">
      <c r="A7" s="2" t="s">
        <v>339</v>
      </c>
      <c r="B7" s="2" t="s">
        <v>163</v>
      </c>
      <c r="C7" s="2">
        <v>77</v>
      </c>
      <c r="D7" s="2">
        <v>59</v>
      </c>
      <c r="E7" s="2" t="s">
        <v>164</v>
      </c>
      <c r="F7" s="18">
        <v>510.1</v>
      </c>
      <c r="G7" s="13">
        <f>ROUND(IF(AND(B7="N",E7="E"),(C7+D7/Parameters!$B$17),IF(AND(B7="S",E7="E"),180-(C7+D7/Parameters!$B$17),IF(AND(B7="S",E7="W"),180+(C7+D7/Parameters!$B$17),360-(C7+D7/Parameters!$B$17)))),6)</f>
        <v>257.983333</v>
      </c>
      <c r="H7" s="15">
        <f>ROUND(F7*COS(RADIANS(G7)),3)</f>
        <v>-106.201</v>
      </c>
      <c r="I7" s="15">
        <f>ROUND(F7*SIN(RADIANS(G7)),3)</f>
        <v>-498.922</v>
      </c>
      <c r="J7" s="13">
        <f>ROUND(MOD(G7+$B$37,360),6)</f>
        <v>260.183333</v>
      </c>
      <c r="K7" s="2" t="str">
        <f>IF(OR(J7&lt;=90,J7&gt;270),"N","S")&amp;" "&amp;TEXT(INT(ROUND((IF(J7&lt;=90,J7,IF(J7&lt;=180,180-J7,IF(J7&lt;=270,J7-180,360-J7))))*Parameters!$B$17,0)/Parameters!$B$17),"0")&amp;"° "&amp;TEXT(MOD(ROUND((IF(J7&lt;=90,J7,IF(J7&lt;=180,180-J7,IF(J7&lt;=270,J7-180,360-J7))))*Parameters!$B$17,0),Parameters!$B$17),"00")&amp;"' "&amp;IF(J7&lt;=180,"E","W")</f>
        <v>S 80° 11' W</v>
      </c>
      <c r="L7" s="13">
        <f>Corners!F31</f>
        <v>260.183991</v>
      </c>
      <c r="M7" s="2" t="str">
        <f>IF(OR(L7&lt;=90,L7&gt;270),"N","S")&amp;" "&amp;TEXT(INT(ROUND((IF(L7&lt;=90,L7,IF(L7&lt;=180,180-L7,IF(L7&lt;=270,L7-180,360-L7))))*Parameters!$B$18,0)/Parameters!$B$18),"0")&amp;"° "&amp;TEXT(INT(MOD(ROUND((IF(L7&lt;=90,L7,IF(L7&lt;=180,180-L7,IF(L7&lt;=270,L7-180,360-L7))))*Parameters!$B$18,0),Parameters!$B$18)/Parameters!$B$17),"00")&amp;"' "&amp;TEXT(MOD(ROUND((IF(L7&lt;=90,L7,IF(L7&lt;=180,180-L7,IF(L7&lt;=270,L7-180,360-L7))))*Parameters!$B$18,0),Parameters!$B$17),"00")&amp;""""&amp;" "&amp;IF(L7&lt;=180,"E","W")</f>
        <v>S 80° 11' 02" W</v>
      </c>
      <c r="N7" s="12">
        <f>Corners!G31</f>
        <v>510.24</v>
      </c>
      <c r="O7" s="17">
        <f>ROUND((L7-J7)*Parameters!$B$17,0)</f>
        <v>0</v>
      </c>
      <c r="P7" s="12">
        <f>ROUND(N7-F7,2)</f>
        <v>0.14</v>
      </c>
      <c r="Q7" s="2" t="str">
        <f>IF(OR(ABS(P7)&gt;Parameters!$B$13,ABS(O7)&gt;Parameters!$B$14),"Out of tolerance","Within tolerance")</f>
        <v>Within tolerance</v>
      </c>
      <c r="R7" s="2" t="str">
        <f>IF(Q7="Out of tolerance","Error in the deed","Call holds")</f>
        <v>Call holds</v>
      </c>
    </row>
    <row r="8" spans="1:18" x14ac:dyDescent="0.2">
      <c r="A8" s="2" t="s">
        <v>340</v>
      </c>
      <c r="B8" s="2" t="s">
        <v>158</v>
      </c>
      <c r="C8" s="2">
        <v>34</v>
      </c>
      <c r="D8" s="2">
        <v>31</v>
      </c>
      <c r="E8" s="2" t="s">
        <v>164</v>
      </c>
      <c r="F8" s="18">
        <v>225.5</v>
      </c>
      <c r="G8" s="13">
        <f>ROUND(IF(AND(B8="N",E8="E"),(C8+D8/Parameters!$B$17),IF(AND(B8="S",E8="E"),180-(C8+D8/Parameters!$B$17),IF(AND(B8="S",E8="W"),180+(C8+D8/Parameters!$B$17),360-(C8+D8/Parameters!$B$17)))),6)</f>
        <v>325.483333</v>
      </c>
      <c r="H8" s="15">
        <f>ROUND(F8*COS(RADIANS(G8)),3)</f>
        <v>185.803</v>
      </c>
      <c r="I8" s="15">
        <f>ROUND(F8*SIN(RADIANS(G8)),3)</f>
        <v>-127.779</v>
      </c>
      <c r="J8" s="13">
        <f>ROUND(MOD(G8+$B$37,360),6)</f>
        <v>327.683333</v>
      </c>
      <c r="K8" s="2" t="str">
        <f>IF(OR(J8&lt;=90,J8&gt;270),"N","S")&amp;" "&amp;TEXT(INT(ROUND((IF(J8&lt;=90,J8,IF(J8&lt;=180,180-J8,IF(J8&lt;=270,J8-180,360-J8))))*Parameters!$B$17,0)/Parameters!$B$17),"0")&amp;"° "&amp;TEXT(MOD(ROUND((IF(J8&lt;=90,J8,IF(J8&lt;=180,180-J8,IF(J8&lt;=270,J8-180,360-J8))))*Parameters!$B$17,0),Parameters!$B$17),"00")&amp;"' "&amp;IF(J8&lt;=180,"E","W")</f>
        <v>N 32° 19' W</v>
      </c>
      <c r="L8" s="13">
        <f>Corners!F32</f>
        <v>318.733745</v>
      </c>
      <c r="M8" s="2" t="str">
        <f>IF(OR(L8&lt;=90,L8&gt;270),"N","S")&amp;" "&amp;TEXT(INT(ROUND((IF(L8&lt;=90,L8,IF(L8&lt;=180,180-L8,IF(L8&lt;=270,L8-180,360-L8))))*Parameters!$B$18,0)/Parameters!$B$18),"0")&amp;"° "&amp;TEXT(INT(MOD(ROUND((IF(L8&lt;=90,L8,IF(L8&lt;=180,180-L8,IF(L8&lt;=270,L8-180,360-L8))))*Parameters!$B$18,0),Parameters!$B$18)/Parameters!$B$17),"00")&amp;"' "&amp;TEXT(MOD(ROUND((IF(L8&lt;=90,L8,IF(L8&lt;=180,180-L8,IF(L8&lt;=270,L8-180,360-L8))))*Parameters!$B$18,0),Parameters!$B$17),"00")&amp;""""&amp;" "&amp;IF(L8&lt;=180,"E","W")</f>
        <v>N 41° 15' 59" W</v>
      </c>
      <c r="N8" s="12">
        <f>Corners!G32</f>
        <v>225.31</v>
      </c>
      <c r="O8" s="17">
        <f>ROUND((L8-J8)*Parameters!$B$17,0)</f>
        <v>-537</v>
      </c>
      <c r="P8" s="12">
        <f>ROUND(N8-F8,2)</f>
        <v>-0.19</v>
      </c>
      <c r="Q8" s="2" t="str">
        <f>IF(OR(ABS(P8)&gt;Parameters!$B$13,ABS(O8)&gt;Parameters!$B$14),"Out of tolerance","Within tolerance")</f>
        <v>Out of tolerance</v>
      </c>
      <c r="R8" s="2" t="str">
        <f>IF(Q8="Out of tolerance","Error in the deed","Call holds")</f>
        <v>Error in the deed</v>
      </c>
    </row>
    <row r="9" spans="1:18" x14ac:dyDescent="0.2">
      <c r="A9" s="4" t="s">
        <v>260</v>
      </c>
      <c r="F9" s="18">
        <f>ROUND(SUM(F4:F8),1)</f>
        <v>2562</v>
      </c>
      <c r="H9" s="15">
        <f>ROUND(SUM(H4:H8),3)</f>
        <v>17.63</v>
      </c>
      <c r="I9" s="15">
        <f>ROUND(SUM(I4:I8),3)</f>
        <v>26.857</v>
      </c>
    </row>
    <row r="11" spans="1:18" x14ac:dyDescent="0.2">
      <c r="A11" s="4" t="s">
        <v>341</v>
      </c>
    </row>
    <row r="12" spans="1:18" x14ac:dyDescent="0.2">
      <c r="A12" s="2" t="s">
        <v>342</v>
      </c>
      <c r="B12" s="18">
        <f>F9</f>
        <v>2562</v>
      </c>
    </row>
    <row r="13" spans="1:18" x14ac:dyDescent="0.2">
      <c r="A13" s="2" t="s">
        <v>343</v>
      </c>
      <c r="B13" s="15">
        <f>H9</f>
        <v>17.63</v>
      </c>
    </row>
    <row r="14" spans="1:18" x14ac:dyDescent="0.2">
      <c r="A14" s="2" t="s">
        <v>344</v>
      </c>
      <c r="B14" s="15">
        <f>I9</f>
        <v>26.857</v>
      </c>
    </row>
    <row r="15" spans="1:18" x14ac:dyDescent="0.2">
      <c r="A15" s="2" t="s">
        <v>345</v>
      </c>
      <c r="B15" s="12">
        <f>ROUND(SQRT(B13^2+B14^2),2)</f>
        <v>32.13</v>
      </c>
    </row>
    <row r="16" spans="1:18" x14ac:dyDescent="0.2">
      <c r="A16" s="2" t="s">
        <v>26</v>
      </c>
      <c r="B16" s="12">
        <f>ROUND(B15/B12*Parameters!$B$12,2)</f>
        <v>12.54</v>
      </c>
    </row>
    <row r="17" spans="1:2" x14ac:dyDescent="0.2">
      <c r="A17" s="2" t="s">
        <v>346</v>
      </c>
      <c r="B17" s="16">
        <f>ROUND(B12/B15,0)</f>
        <v>80</v>
      </c>
    </row>
    <row r="18" spans="1:2" x14ac:dyDescent="0.2">
      <c r="A18" s="2" t="s">
        <v>27</v>
      </c>
      <c r="B18" s="2" t="str">
        <f>IF(B16&gt;Parameters!$B$11,"Defect in the description","Within the tolerance of the original survey")</f>
        <v>Defect in the description</v>
      </c>
    </row>
    <row r="19" spans="1:2" x14ac:dyDescent="0.2">
      <c r="A19" s="2" t="s">
        <v>347</v>
      </c>
      <c r="B19" s="13">
        <f>ROUND(MOD(DEGREES(ATAN2(B13,B14)),360),6)</f>
        <v>56.717517</v>
      </c>
    </row>
    <row r="20" spans="1:2" x14ac:dyDescent="0.2">
      <c r="A20" s="2" t="s">
        <v>348</v>
      </c>
      <c r="B20" s="2" t="str">
        <f>IF(OR(B19&lt;=90,B19&gt;270),"N","S")&amp;" "&amp;TEXT(INT(ROUND((IF(B19&lt;=90,B19,IF(B19&lt;=180,180-B19,IF(B19&lt;=270,B19-180,360-B19))))*Parameters!$B$17,0)/Parameters!$B$17),"0")&amp;"° "&amp;TEXT(MOD(ROUND((IF(B19&lt;=90,B19,IF(B19&lt;=180,180-B19,IF(B19&lt;=270,B19-180,360-B19))))*Parameters!$B$17,0),Parameters!$B$17),"00")&amp;"' "&amp;IF(B19&lt;=180,"E","W")</f>
        <v>N 56° 43' E</v>
      </c>
    </row>
    <row r="22" spans="1:2" x14ac:dyDescent="0.2">
      <c r="A22" s="4" t="s">
        <v>349</v>
      </c>
    </row>
    <row r="23" spans="1:2" x14ac:dyDescent="0.2">
      <c r="A23" s="2" t="s">
        <v>117</v>
      </c>
      <c r="B23" s="18">
        <f>Parameters!B26</f>
        <v>592.7</v>
      </c>
    </row>
    <row r="24" spans="1:2" x14ac:dyDescent="0.2">
      <c r="A24" s="2" t="s">
        <v>350</v>
      </c>
      <c r="B24" s="2">
        <v>43</v>
      </c>
    </row>
    <row r="25" spans="1:2" x14ac:dyDescent="0.2">
      <c r="A25" s="2" t="s">
        <v>351</v>
      </c>
      <c r="B25" s="2">
        <f>D8</f>
        <v>31</v>
      </c>
    </row>
    <row r="26" spans="1:2" x14ac:dyDescent="0.2">
      <c r="A26" s="2" t="s">
        <v>352</v>
      </c>
      <c r="B26" s="13">
        <f>ROUND(360-(B24+B25/Parameters!$B$17),6)</f>
        <v>316.483333</v>
      </c>
    </row>
    <row r="27" spans="1:2" x14ac:dyDescent="0.2">
      <c r="A27" s="2" t="s">
        <v>353</v>
      </c>
      <c r="B27" s="12">
        <f>ROUND(SQRT((H9-H6+ROUND(B23*COS(RADIANS(G6)),3))^2+(I9-I6+ROUND(B23*SIN(RADIANS(G6)),3))^2),2)</f>
        <v>35.3</v>
      </c>
    </row>
    <row r="28" spans="1:2" x14ac:dyDescent="0.2">
      <c r="A28" s="2" t="s">
        <v>354</v>
      </c>
      <c r="B28" s="12">
        <f>ROUND(SQRT((H9-H8+ROUND(F8*COS(RADIANS(B26)),3))^2+(I9-I8+ROUND(F8*SIN(RADIANS(B26)),3))^2),2)</f>
        <v>4.69</v>
      </c>
    </row>
    <row r="29" spans="1:2" x14ac:dyDescent="0.2">
      <c r="A29" s="2" t="s">
        <v>355</v>
      </c>
      <c r="B29" s="12">
        <f>ROUND(SQRT((H9-H6-H8+ROUND(B23*COS(RADIANS(G6)),3)+ROUND(F8*COS(RADIANS(B26)),3))^2+(I9-I6-I8+ROUND(B23*SIN(RADIANS(G6)),3)+ROUND(F8*SIN(RADIANS(B26)),3))^2),2)</f>
        <v>0.21</v>
      </c>
    </row>
    <row r="31" spans="1:2" x14ac:dyDescent="0.2">
      <c r="A31" s="4" t="s">
        <v>356</v>
      </c>
    </row>
    <row r="32" spans="1:2" x14ac:dyDescent="0.2">
      <c r="A32" s="2" t="s">
        <v>357</v>
      </c>
      <c r="B32" s="2" t="s">
        <v>358</v>
      </c>
    </row>
    <row r="33" spans="1:2" x14ac:dyDescent="0.2">
      <c r="A33" s="2" t="s">
        <v>359</v>
      </c>
      <c r="B33" s="13">
        <f>G7</f>
        <v>257.983333</v>
      </c>
    </row>
    <row r="34" spans="1:2" x14ac:dyDescent="0.2">
      <c r="A34" s="2" t="s">
        <v>360</v>
      </c>
      <c r="B34" s="13">
        <f>ROUND(MOD(DEGREES(ATAN2(Corners!G8-Corners!G7,Corners!H8-Corners!H7)),360),6)</f>
        <v>260.183991</v>
      </c>
    </row>
    <row r="35" spans="1:2" x14ac:dyDescent="0.2">
      <c r="A35" s="2" t="s">
        <v>361</v>
      </c>
      <c r="B35" s="17">
        <f>ROUND((B34-B33)*Parameters!$B$17,0)</f>
        <v>132</v>
      </c>
    </row>
    <row r="36" spans="1:2" x14ac:dyDescent="0.2">
      <c r="A36" s="2" t="s">
        <v>362</v>
      </c>
      <c r="B36" s="2" t="str">
        <f>TEXT(INT(B35/Parameters!$B$17),"0")&amp;"° "&amp;TEXT(MOD(B35,Parameters!$B$17),"00")&amp;"' east of the deed bearings"</f>
        <v>2° 12' east of the deed bearings</v>
      </c>
    </row>
    <row r="37" spans="1:2" x14ac:dyDescent="0.2">
      <c r="A37" s="2" t="s">
        <v>363</v>
      </c>
      <c r="B37" s="13">
        <f>ROUND(B35/Parameters!$B$17,6)</f>
        <v>2.2</v>
      </c>
    </row>
    <row r="38" spans="1:2" x14ac:dyDescent="0.2">
      <c r="A38" s="2" t="s">
        <v>364</v>
      </c>
      <c r="B38" s="17">
        <f>ROUND((ROUND(MOD(DEGREES(ATAN2(Corners!G5-Corners!G4,Corners!H5-Corners!H4)),360),6)-G4)*Parameters!$B$17,0)</f>
        <v>135</v>
      </c>
    </row>
    <row r="39" spans="1:2" x14ac:dyDescent="0.2">
      <c r="A39" s="2" t="s">
        <v>365</v>
      </c>
      <c r="B39" s="17">
        <f>B38-B35</f>
        <v>3</v>
      </c>
    </row>
    <row r="41" spans="1:2" x14ac:dyDescent="0.2">
      <c r="A41" s="4" t="s">
        <v>366</v>
      </c>
    </row>
    <row r="42" spans="1:2" x14ac:dyDescent="0.2">
      <c r="A42" s="2" t="s">
        <v>32</v>
      </c>
      <c r="B42" s="17">
        <f>COUNTIF(Q4:Q8,"Out of tolerance")</f>
        <v>2</v>
      </c>
    </row>
    <row r="43" spans="1:2" x14ac:dyDescent="0.2">
      <c r="A43" s="2" t="s">
        <v>367</v>
      </c>
      <c r="B43" s="17">
        <f>COUNTIF(R4:R8,"Error in the deed")</f>
        <v>2</v>
      </c>
    </row>
    <row r="44" spans="1:2" x14ac:dyDescent="0.2">
      <c r="A44" s="2" t="s">
        <v>34</v>
      </c>
      <c r="B44" s="18">
        <f>F6</f>
        <v>597.2</v>
      </c>
    </row>
    <row r="45" spans="1:2" x14ac:dyDescent="0.2">
      <c r="A45" s="2" t="s">
        <v>35</v>
      </c>
      <c r="B45" s="12">
        <f>N6</f>
        <v>592.42</v>
      </c>
    </row>
    <row r="46" spans="1:2" x14ac:dyDescent="0.2">
      <c r="A46" s="2" t="s">
        <v>368</v>
      </c>
      <c r="B46" s="12">
        <f>ROUND(B45-B23,2)</f>
        <v>-0.28</v>
      </c>
    </row>
    <row r="47" spans="1:2" x14ac:dyDescent="0.2">
      <c r="A47" s="2" t="s">
        <v>37</v>
      </c>
      <c r="B47" s="2" t="str">
        <f>K8</f>
        <v>N 32° 19' W</v>
      </c>
    </row>
    <row r="48" spans="1:2" x14ac:dyDescent="0.2">
      <c r="A48" s="2" t="s">
        <v>38</v>
      </c>
      <c r="B48" s="13">
        <f>ROUND(MOD(B26+B37,360),6)</f>
        <v>318.683333</v>
      </c>
    </row>
    <row r="49" spans="1:2" x14ac:dyDescent="0.2">
      <c r="A49" s="2" t="s">
        <v>369</v>
      </c>
      <c r="B49" s="2" t="str">
        <f>IF(OR(B48&lt;=90,B48&gt;270),"N","S")&amp;" "&amp;TEXT(INT(ROUND((IF(B48&lt;=90,B48,IF(B48&lt;=180,180-B48,IF(B48&lt;=270,B48-180,360-B48))))*Parameters!$B$17,0)/Parameters!$B$17),"0")&amp;"° "&amp;TEXT(MOD(ROUND((IF(B48&lt;=90,B48,IF(B48&lt;=180,180-B48,IF(B48&lt;=270,B48-180,360-B48))))*Parameters!$B$17,0),Parameters!$B$17),"00")&amp;"' "&amp;IF(B48&lt;=180,"E","W")</f>
        <v>N 41° 19' W</v>
      </c>
    </row>
    <row r="50" spans="1:2" x14ac:dyDescent="0.2">
      <c r="A50" s="2" t="s">
        <v>370</v>
      </c>
      <c r="B50" s="2" t="str">
        <f>M8</f>
        <v>N 41° 15' 59" W</v>
      </c>
    </row>
    <row r="51" spans="1:2" x14ac:dyDescent="0.2">
      <c r="A51" s="2" t="s">
        <v>40</v>
      </c>
      <c r="B51" s="17">
        <f>ROUND((L8-B48)*Parameters!$B$17,0)</f>
        <v>3</v>
      </c>
    </row>
    <row r="52" spans="1:2" x14ac:dyDescent="0.2">
      <c r="A52" s="2" t="s">
        <v>41</v>
      </c>
      <c r="B52" s="2" t="str">
        <f>IF(AND(B42=2,B43=2),"Two errors in the deed, the 3-4 distance and the 5-1 bearing; the measured courses stand","Review")</f>
        <v>Two errors in the deed, the 3-4 distance and the 5-1 bearing; the measured courses stand</v>
      </c>
    </row>
    <row r="54" spans="1:2" ht="48" customHeight="1" x14ac:dyDescent="0.2">
      <c r="A54" s="11" t="s">
        <v>371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3"/>
  <sheetViews>
    <sheetView workbookViewId="0"/>
  </sheetViews>
  <sheetFormatPr baseColWidth="10" defaultColWidth="8.83203125" defaultRowHeight="15" x14ac:dyDescent="0.2"/>
  <cols>
    <col min="1" max="1" width="10" customWidth="1"/>
    <col min="2" max="2" width="16" customWidth="1"/>
    <col min="3" max="3" width="34" customWidth="1"/>
    <col min="4" max="4" width="44" customWidth="1"/>
    <col min="5" max="5" width="64" customWidth="1"/>
    <col min="6" max="6" width="30" customWidth="1"/>
    <col min="7" max="10" width="13" customWidth="1"/>
    <col min="11" max="11" width="12" customWidth="1"/>
    <col min="12" max="12" width="26" customWidth="1"/>
  </cols>
  <sheetData>
    <row r="1" spans="1:12" ht="17" customHeight="1" x14ac:dyDescent="0.2">
      <c r="A1" s="1" t="s">
        <v>372</v>
      </c>
    </row>
    <row r="3" spans="1:12" ht="48" customHeight="1" x14ac:dyDescent="0.2">
      <c r="A3" s="3" t="s">
        <v>293</v>
      </c>
      <c r="B3" s="3" t="s">
        <v>373</v>
      </c>
      <c r="C3" s="3" t="s">
        <v>374</v>
      </c>
      <c r="D3" s="3" t="s">
        <v>375</v>
      </c>
      <c r="E3" s="3" t="s">
        <v>376</v>
      </c>
      <c r="F3" s="3" t="s">
        <v>377</v>
      </c>
      <c r="G3" s="3" t="s">
        <v>265</v>
      </c>
      <c r="H3" s="3" t="s">
        <v>266</v>
      </c>
      <c r="I3" s="3" t="s">
        <v>378</v>
      </c>
      <c r="J3" s="3" t="s">
        <v>379</v>
      </c>
      <c r="K3" s="3" t="s">
        <v>380</v>
      </c>
      <c r="L3" s="3" t="s">
        <v>381</v>
      </c>
    </row>
    <row r="4" spans="1:12" ht="48" customHeight="1" x14ac:dyDescent="0.2">
      <c r="A4" s="2" t="s">
        <v>195</v>
      </c>
      <c r="B4" s="2" t="s">
        <v>382</v>
      </c>
      <c r="C4" s="11" t="s">
        <v>383</v>
      </c>
      <c r="D4" s="11" t="s">
        <v>384</v>
      </c>
      <c r="E4" s="11" t="s">
        <v>385</v>
      </c>
      <c r="F4" s="11" t="s">
        <v>386</v>
      </c>
      <c r="G4" s="15">
        <f>Ties!$K$4</f>
        <v>4994.8</v>
      </c>
      <c r="H4" s="15">
        <f>Ties!$L$4</f>
        <v>4987.185</v>
      </c>
      <c r="I4" s="15">
        <f>B15</f>
        <v>4994.625</v>
      </c>
      <c r="J4" s="15">
        <f>B16</f>
        <v>4987.627</v>
      </c>
      <c r="K4" s="12">
        <f>ROUND(SQRT((G4-I4)^2+(H4-J4)^2),2)</f>
        <v>0.48</v>
      </c>
      <c r="L4" s="2" t="str">
        <f>IF(K4&lt;=Parameters!$B$15,"Held as the corner","Found, not held")</f>
        <v>Held as the corner</v>
      </c>
    </row>
    <row r="5" spans="1:12" ht="48" customHeight="1" x14ac:dyDescent="0.2">
      <c r="A5" s="2" t="s">
        <v>198</v>
      </c>
      <c r="B5" s="2" t="s">
        <v>387</v>
      </c>
      <c r="C5" s="11" t="s">
        <v>388</v>
      </c>
      <c r="D5" s="11" t="s">
        <v>389</v>
      </c>
      <c r="E5" s="11" t="s">
        <v>390</v>
      </c>
      <c r="F5" s="11" t="s">
        <v>391</v>
      </c>
      <c r="G5" s="15">
        <f>Ties!$K$5</f>
        <v>5607.26</v>
      </c>
      <c r="H5" s="15">
        <f>Ties!$L$5</f>
        <v>5174.149</v>
      </c>
      <c r="L5" s="2" t="s">
        <v>392</v>
      </c>
    </row>
    <row r="6" spans="1:12" ht="48" customHeight="1" x14ac:dyDescent="0.2">
      <c r="A6" s="2" t="s">
        <v>206</v>
      </c>
      <c r="B6" s="2" t="s">
        <v>393</v>
      </c>
      <c r="C6" s="11" t="s">
        <v>394</v>
      </c>
      <c r="D6" s="11" t="s">
        <v>395</v>
      </c>
      <c r="E6" s="11" t="s">
        <v>396</v>
      </c>
      <c r="F6" s="11" t="s">
        <v>386</v>
      </c>
      <c r="G6" s="15">
        <f>Ties!$K$6</f>
        <v>5493.068</v>
      </c>
      <c r="H6" s="15">
        <f>Ties!$L$6</f>
        <v>5751.793</v>
      </c>
      <c r="I6" s="15">
        <f>B25</f>
        <v>5493.9</v>
      </c>
      <c r="J6" s="15">
        <f>B26</f>
        <v>5751.948</v>
      </c>
      <c r="K6" s="12">
        <f>ROUND(SQRT((G6-I6)^2+(H6-J6)^2),2)</f>
        <v>0.85</v>
      </c>
      <c r="L6" s="2" t="str">
        <f>IF(K6&lt;=Parameters!$B$15,"Held as the corner","Found, not held")</f>
        <v>Found, not held</v>
      </c>
    </row>
    <row r="7" spans="1:12" ht="48" customHeight="1" x14ac:dyDescent="0.2">
      <c r="A7" s="2" t="s">
        <v>220</v>
      </c>
      <c r="B7" s="2" t="s">
        <v>397</v>
      </c>
      <c r="C7" s="11" t="s">
        <v>398</v>
      </c>
      <c r="D7" s="11" t="s">
        <v>399</v>
      </c>
      <c r="E7" s="11" t="s">
        <v>400</v>
      </c>
      <c r="F7" s="11" t="s">
        <v>401</v>
      </c>
      <c r="G7" s="15">
        <f>Ties!$K$7</f>
        <v>4912.431</v>
      </c>
      <c r="H7" s="15">
        <f>Ties!$L$7</f>
        <v>5638.568</v>
      </c>
      <c r="L7" s="2" t="s">
        <v>392</v>
      </c>
    </row>
    <row r="8" spans="1:12" ht="48" customHeight="1" x14ac:dyDescent="0.2">
      <c r="A8" s="2" t="s">
        <v>229</v>
      </c>
      <c r="B8" s="2" t="s">
        <v>402</v>
      </c>
      <c r="C8" s="11" t="s">
        <v>403</v>
      </c>
      <c r="D8" s="11" t="s">
        <v>404</v>
      </c>
      <c r="E8" s="11" t="s">
        <v>405</v>
      </c>
      <c r="F8" s="11" t="s">
        <v>401</v>
      </c>
      <c r="G8" s="15">
        <f>Ties!$K$8</f>
        <v>4825.442</v>
      </c>
      <c r="H8" s="15">
        <f>Ties!$L$8</f>
        <v>5135.793</v>
      </c>
      <c r="L8" s="2" t="s">
        <v>392</v>
      </c>
    </row>
    <row r="9" spans="1:12" ht="48" customHeight="1" x14ac:dyDescent="0.2">
      <c r="A9" s="2" t="s">
        <v>216</v>
      </c>
      <c r="B9" s="2" t="s">
        <v>406</v>
      </c>
      <c r="C9" s="11" t="s">
        <v>407</v>
      </c>
      <c r="D9" s="11" t="s">
        <v>408</v>
      </c>
      <c r="E9" s="11" t="s">
        <v>409</v>
      </c>
      <c r="F9" s="11" t="s">
        <v>410</v>
      </c>
      <c r="G9" s="15">
        <f>Ties!$K$9</f>
        <v>5704.362</v>
      </c>
      <c r="H9" s="15">
        <f>Ties!$L$9</f>
        <v>5792.986</v>
      </c>
      <c r="L9" s="2" t="s">
        <v>392</v>
      </c>
    </row>
    <row r="10" spans="1:12" ht="48" customHeight="1" x14ac:dyDescent="0.2">
      <c r="A10" s="2" t="s">
        <v>213</v>
      </c>
      <c r="B10" s="2" t="s">
        <v>411</v>
      </c>
      <c r="C10" s="11" t="s">
        <v>412</v>
      </c>
      <c r="D10" s="11" t="s">
        <v>413</v>
      </c>
      <c r="E10" s="11" t="s">
        <v>414</v>
      </c>
      <c r="F10" s="11" t="s">
        <v>415</v>
      </c>
      <c r="G10" s="15">
        <f>Ties!$K$10</f>
        <v>5493.552</v>
      </c>
      <c r="H10" s="15">
        <f>Ties!$L$10</f>
        <v>5751.635</v>
      </c>
      <c r="I10" s="15">
        <f>B25</f>
        <v>5493.9</v>
      </c>
      <c r="J10" s="15">
        <f>B26</f>
        <v>5751.948</v>
      </c>
      <c r="K10" s="12">
        <f>ROUND(SQRT((G10-I10)^2+(H10-J10)^2),2)</f>
        <v>0.47</v>
      </c>
      <c r="L10" s="2" t="str">
        <f>IF(K10&lt;=0.005,"Stands at the corner","To be reset at the corner")</f>
        <v>To be reset at the corner</v>
      </c>
    </row>
    <row r="12" spans="1:12" x14ac:dyDescent="0.2">
      <c r="A12" s="4" t="s">
        <v>416</v>
      </c>
    </row>
    <row r="13" spans="1:12" x14ac:dyDescent="0.2">
      <c r="A13" s="2" t="s">
        <v>417</v>
      </c>
      <c r="B13" s="13">
        <f>ROUND(MOD(Deed!J4+180,360),6)</f>
        <v>196.933333</v>
      </c>
    </row>
    <row r="14" spans="1:12" x14ac:dyDescent="0.2">
      <c r="A14" s="2" t="s">
        <v>418</v>
      </c>
      <c r="B14" s="18">
        <f>Deed!F4</f>
        <v>640.4</v>
      </c>
    </row>
    <row r="15" spans="1:12" x14ac:dyDescent="0.2">
      <c r="A15" s="2" t="s">
        <v>265</v>
      </c>
      <c r="B15" s="15">
        <f>ROUND(G5+B14*COS(RADIANS(B13)),3)</f>
        <v>4994.625</v>
      </c>
    </row>
    <row r="16" spans="1:12" x14ac:dyDescent="0.2">
      <c r="A16" s="2" t="s">
        <v>266</v>
      </c>
      <c r="B16" s="15">
        <f>ROUND(H5+B14*SIN(RADIANS(B13)),3)</f>
        <v>4987.627</v>
      </c>
    </row>
    <row r="18" spans="1:8" x14ac:dyDescent="0.2">
      <c r="A18" s="4" t="s">
        <v>419</v>
      </c>
    </row>
    <row r="19" spans="1:8" x14ac:dyDescent="0.2">
      <c r="A19" s="2" t="s">
        <v>420</v>
      </c>
      <c r="B19" s="13">
        <f>Deed!J5</f>
        <v>101.1</v>
      </c>
    </row>
    <row r="20" spans="1:8" x14ac:dyDescent="0.2">
      <c r="A20" s="2" t="s">
        <v>421</v>
      </c>
      <c r="B20" s="13">
        <f>ROUND(MOD(DEGREES(ATAN2(G9-G7,H9-H7)),360),6)</f>
        <v>11.033613</v>
      </c>
    </row>
    <row r="21" spans="1:8" x14ac:dyDescent="0.2">
      <c r="A21" s="2" t="s">
        <v>422</v>
      </c>
      <c r="B21" s="15">
        <f>ROUND(((H7-H5)*COS(RADIANS(B20))-(G7-G5)*SIN(RADIANS(B20)))/SIN(RADIANS(B19-B20)),3)</f>
        <v>588.814</v>
      </c>
    </row>
    <row r="22" spans="1:8" x14ac:dyDescent="0.2">
      <c r="A22" s="2" t="s">
        <v>423</v>
      </c>
      <c r="B22" s="18">
        <f>Deed!F5</f>
        <v>588.8</v>
      </c>
    </row>
    <row r="23" spans="1:8" x14ac:dyDescent="0.2">
      <c r="A23" s="2" t="s">
        <v>424</v>
      </c>
      <c r="B23" s="12">
        <f>ROUND(B21-B22,2)</f>
        <v>0.01</v>
      </c>
    </row>
    <row r="24" spans="1:8" x14ac:dyDescent="0.2">
      <c r="A24" s="2" t="s">
        <v>425</v>
      </c>
      <c r="B24" s="15">
        <f>ROUND(G5+B22*COS(RADIANS(B19)),3)</f>
        <v>5493.903</v>
      </c>
    </row>
    <row r="25" spans="1:8" x14ac:dyDescent="0.2">
      <c r="A25" s="2" t="s">
        <v>265</v>
      </c>
      <c r="B25" s="15">
        <f>ROUND(G5+B21*COS(RADIANS(B19)),3)</f>
        <v>5493.9</v>
      </c>
    </row>
    <row r="26" spans="1:8" x14ac:dyDescent="0.2">
      <c r="A26" s="2" t="s">
        <v>266</v>
      </c>
      <c r="B26" s="15">
        <f>ROUND(H5+B21*SIN(RADIANS(B19)),3)</f>
        <v>5751.948</v>
      </c>
    </row>
    <row r="27" spans="1:8" ht="32" customHeight="1" x14ac:dyDescent="0.2">
      <c r="A27" s="3" t="s">
        <v>373</v>
      </c>
      <c r="B27" s="3" t="s">
        <v>426</v>
      </c>
      <c r="C27" s="3" t="s">
        <v>265</v>
      </c>
      <c r="D27" s="3" t="s">
        <v>266</v>
      </c>
      <c r="E27" s="3" t="s">
        <v>427</v>
      </c>
      <c r="F27" s="3" t="s">
        <v>329</v>
      </c>
      <c r="G27" s="3" t="s">
        <v>331</v>
      </c>
      <c r="H27" s="3" t="s">
        <v>330</v>
      </c>
    </row>
    <row r="28" spans="1:8" x14ac:dyDescent="0.2">
      <c r="A28" s="2">
        <v>1</v>
      </c>
      <c r="B28" s="2" t="str">
        <f>IF(L4="Held as the corner","Found, later monument, held","To be set")</f>
        <v>Found, later monument, held</v>
      </c>
      <c r="C28" s="15">
        <f>IF(L4="Held as the corner",G4,I4)</f>
        <v>4994.8</v>
      </c>
      <c r="D28" s="15">
        <f>IF(L4="Held as the corner",H4,J4)</f>
        <v>4987.185</v>
      </c>
      <c r="E28" s="2" t="s">
        <v>336</v>
      </c>
      <c r="F28" s="13">
        <f>ROUND(MOD(DEGREES(ATAN2(C29-C28,D29-D28)),360),6)</f>
        <v>16.975716</v>
      </c>
      <c r="G28" s="12">
        <f>ROUND(SQRT((C29-C28)^2+(D29-D28)^2),2)</f>
        <v>640.36</v>
      </c>
      <c r="H28" s="2" t="str">
        <f>IF(OR(F28&lt;=90,F28&gt;270),"N","S")&amp;" "&amp;TEXT(INT(ROUND((IF(F28&lt;=90,F28,IF(F28&lt;=180,180-F28,IF(F28&lt;=270,F28-180,360-F28))))*Parameters!$B$18,0)/Parameters!$B$18),"0")&amp;"° "&amp;TEXT(INT(MOD(ROUND((IF(F28&lt;=90,F28,IF(F28&lt;=180,180-F28,IF(F28&lt;=270,F28-180,360-F28))))*Parameters!$B$18,0),Parameters!$B$18)/Parameters!$B$17),"00")&amp;"' "&amp;TEXT(MOD(ROUND((IF(F28&lt;=90,F28,IF(F28&lt;=180,180-F28,IF(F28&lt;=270,F28-180,360-F28))))*Parameters!$B$18,0),Parameters!$B$17),"00")&amp;""""&amp;" "&amp;IF(F28&lt;=180,"E","W")</f>
        <v>N 16° 58' 33" E</v>
      </c>
    </row>
    <row r="29" spans="1:8" x14ac:dyDescent="0.2">
      <c r="A29" s="2">
        <v>2</v>
      </c>
      <c r="B29" s="2" t="str">
        <f>"Found, original monument, held"</f>
        <v>Found, original monument, held</v>
      </c>
      <c r="C29" s="15">
        <f>G5</f>
        <v>5607.26</v>
      </c>
      <c r="D29" s="15">
        <f>H5</f>
        <v>5174.149</v>
      </c>
      <c r="E29" s="2" t="s">
        <v>337</v>
      </c>
      <c r="F29" s="13">
        <f>ROUND(MOD(DEGREES(ATAN2(C30-C29,D30-D29)),360),6)</f>
        <v>101.100033</v>
      </c>
      <c r="G29" s="12">
        <f>ROUND(SQRT((C30-C29)^2+(D30-D29)^2),2)</f>
        <v>588.81</v>
      </c>
      <c r="H29" s="2" t="str">
        <f>IF(OR(F29&lt;=90,F29&gt;270),"N","S")&amp;" "&amp;TEXT(INT(ROUND((IF(F29&lt;=90,F29,IF(F29&lt;=180,180-F29,IF(F29&lt;=270,F29-180,360-F29))))*Parameters!$B$18,0)/Parameters!$B$18),"0")&amp;"° "&amp;TEXT(INT(MOD(ROUND((IF(F29&lt;=90,F29,IF(F29&lt;=180,180-F29,IF(F29&lt;=270,F29-180,360-F29))))*Parameters!$B$18,0),Parameters!$B$18)/Parameters!$B$17),"00")&amp;"' "&amp;TEXT(MOD(ROUND((IF(F29&lt;=90,F29,IF(F29&lt;=180,180-F29,IF(F29&lt;=270,F29-180,360-F29))))*Parameters!$B$18,0),Parameters!$B$17),"00")&amp;""""&amp;" "&amp;IF(F29&lt;=180,"E","W")</f>
        <v>S 78° 54' 00" E</v>
      </c>
    </row>
    <row r="30" spans="1:8" x14ac:dyDescent="0.2">
      <c r="A30" s="2">
        <v>3</v>
      </c>
      <c r="B30" s="2" t="str">
        <f>IF(L6="Held as the corner","Found, later monument, held","To be set")</f>
        <v>To be set</v>
      </c>
      <c r="C30" s="15">
        <f>IF(L6="Held as the corner",G6,I6)</f>
        <v>5493.9</v>
      </c>
      <c r="D30" s="15">
        <f>IF(L6="Held as the corner",H6,J6)</f>
        <v>5751.948</v>
      </c>
      <c r="E30" s="2" t="s">
        <v>338</v>
      </c>
      <c r="F30" s="13">
        <f>ROUND(MOD(DEGREES(ATAN2(C31-C30,D31-D30)),360),6)</f>
        <v>191.033596</v>
      </c>
      <c r="G30" s="12">
        <f>ROUND(SQRT((C31-C30)^2+(D31-D30)^2),2)</f>
        <v>592.42</v>
      </c>
      <c r="H30" s="2" t="str">
        <f>IF(OR(F30&lt;=90,F30&gt;270),"N","S")&amp;" "&amp;TEXT(INT(ROUND((IF(F30&lt;=90,F30,IF(F30&lt;=180,180-F30,IF(F30&lt;=270,F30-180,360-F30))))*Parameters!$B$18,0)/Parameters!$B$18),"0")&amp;"° "&amp;TEXT(INT(MOD(ROUND((IF(F30&lt;=90,F30,IF(F30&lt;=180,180-F30,IF(F30&lt;=270,F30-180,360-F30))))*Parameters!$B$18,0),Parameters!$B$18)/Parameters!$B$17),"00")&amp;"' "&amp;TEXT(MOD(ROUND((IF(F30&lt;=90,F30,IF(F30&lt;=180,180-F30,IF(F30&lt;=270,F30-180,360-F30))))*Parameters!$B$18,0),Parameters!$B$17),"00")&amp;""""&amp;" "&amp;IF(F30&lt;=180,"E","W")</f>
        <v>S 11° 02' 01" W</v>
      </c>
    </row>
    <row r="31" spans="1:8" x14ac:dyDescent="0.2">
      <c r="A31" s="2">
        <v>4</v>
      </c>
      <c r="B31" s="2" t="str">
        <f>"Found, original monument, held"</f>
        <v>Found, original monument, held</v>
      </c>
      <c r="C31" s="15">
        <f>G7</f>
        <v>4912.431</v>
      </c>
      <c r="D31" s="15">
        <f>H7</f>
        <v>5638.568</v>
      </c>
      <c r="E31" s="2" t="s">
        <v>339</v>
      </c>
      <c r="F31" s="13">
        <f>ROUND(MOD(DEGREES(ATAN2(C32-C31,D32-D31)),360),6)</f>
        <v>260.183991</v>
      </c>
      <c r="G31" s="12">
        <f>ROUND(SQRT((C32-C31)^2+(D32-D31)^2),2)</f>
        <v>510.24</v>
      </c>
      <c r="H31" s="2" t="str">
        <f>IF(OR(F31&lt;=90,F31&gt;270),"N","S")&amp;" "&amp;TEXT(INT(ROUND((IF(F31&lt;=90,F31,IF(F31&lt;=180,180-F31,IF(F31&lt;=270,F31-180,360-F31))))*Parameters!$B$18,0)/Parameters!$B$18),"0")&amp;"° "&amp;TEXT(INT(MOD(ROUND((IF(F31&lt;=90,F31,IF(F31&lt;=180,180-F31,IF(F31&lt;=270,F31-180,360-F31))))*Parameters!$B$18,0),Parameters!$B$18)/Parameters!$B$17),"00")&amp;"' "&amp;TEXT(MOD(ROUND((IF(F31&lt;=90,F31,IF(F31&lt;=180,180-F31,IF(F31&lt;=270,F31-180,360-F31))))*Parameters!$B$18,0),Parameters!$B$17),"00")&amp;""""&amp;" "&amp;IF(F31&lt;=180,"E","W")</f>
        <v>S 80° 11' 02" W</v>
      </c>
    </row>
    <row r="32" spans="1:8" x14ac:dyDescent="0.2">
      <c r="A32" s="2">
        <v>5</v>
      </c>
      <c r="B32" s="2" t="str">
        <f>"Found, original monument, held"</f>
        <v>Found, original monument, held</v>
      </c>
      <c r="C32" s="15">
        <f>G8</f>
        <v>4825.442</v>
      </c>
      <c r="D32" s="15">
        <f>H8</f>
        <v>5135.793</v>
      </c>
      <c r="E32" s="2" t="s">
        <v>340</v>
      </c>
      <c r="F32" s="13">
        <f>ROUND(MOD(DEGREES(ATAN2(C28-C32,D28-D32)),360),6)</f>
        <v>318.733745</v>
      </c>
      <c r="G32" s="12">
        <f>ROUND(SQRT((C28-C32)^2+(D28-D32)^2),2)</f>
        <v>225.31</v>
      </c>
      <c r="H32" s="2" t="str">
        <f>IF(OR(F32&lt;=90,F32&gt;270),"N","S")&amp;" "&amp;TEXT(INT(ROUND((IF(F32&lt;=90,F32,IF(F32&lt;=180,180-F32,IF(F32&lt;=270,F32-180,360-F32))))*Parameters!$B$18,0)/Parameters!$B$18),"0")&amp;"° "&amp;TEXT(INT(MOD(ROUND((IF(F32&lt;=90,F32,IF(F32&lt;=180,180-F32,IF(F32&lt;=270,F32-180,360-F32))))*Parameters!$B$18,0),Parameters!$B$18)/Parameters!$B$17),"00")&amp;"' "&amp;TEXT(MOD(ROUND((IF(F32&lt;=90,F32,IF(F32&lt;=180,180-F32,IF(F32&lt;=270,F32-180,360-F32))))*Parameters!$B$18,0),Parameters!$B$17),"00")&amp;""""&amp;" "&amp;IF(F32&lt;=180,"E","W")</f>
        <v>N 41° 15' 59" W</v>
      </c>
    </row>
    <row r="34" spans="1:2" x14ac:dyDescent="0.2">
      <c r="A34" s="4" t="s">
        <v>428</v>
      </c>
    </row>
    <row r="35" spans="1:2" x14ac:dyDescent="0.2">
      <c r="A35" s="2" t="s">
        <v>43</v>
      </c>
      <c r="B35" s="17">
        <f>COUNTIF(F4:F8,"Original*")</f>
        <v>3</v>
      </c>
    </row>
    <row r="36" spans="1:2" x14ac:dyDescent="0.2">
      <c r="A36" s="2" t="s">
        <v>45</v>
      </c>
      <c r="B36" s="17">
        <f>COUNTIFS(F4:F8,"Later monument",L4:L8,"Held as the corner")</f>
        <v>1</v>
      </c>
    </row>
    <row r="37" spans="1:2" x14ac:dyDescent="0.2">
      <c r="A37" s="2" t="s">
        <v>47</v>
      </c>
      <c r="B37" s="17">
        <f>COUNTIFS(F4:F8,"Later monument",L4:L8,"Found, not held")</f>
        <v>1</v>
      </c>
    </row>
    <row r="38" spans="1:2" x14ac:dyDescent="0.2">
      <c r="A38" s="2" t="s">
        <v>49</v>
      </c>
      <c r="B38" s="17">
        <f>COUNTIF(B28:B32,"To be set")</f>
        <v>1</v>
      </c>
    </row>
    <row r="39" spans="1:2" x14ac:dyDescent="0.2">
      <c r="A39" s="2" t="s">
        <v>50</v>
      </c>
      <c r="B39" s="17">
        <f>INDEX(A28:A32,MATCH("To be set",B28:B32,0))</f>
        <v>3</v>
      </c>
    </row>
    <row r="40" spans="1:2" x14ac:dyDescent="0.2">
      <c r="A40" s="2" t="s">
        <v>429</v>
      </c>
      <c r="B40" s="12">
        <f>K10</f>
        <v>0.47</v>
      </c>
    </row>
    <row r="41" spans="1:2" x14ac:dyDescent="0.2">
      <c r="A41" s="2" t="s">
        <v>430</v>
      </c>
      <c r="B41" s="12">
        <f>ROUND(SQRT((G6-(G5+B21*COS(RADIANS(Deed!G5+Deed!B38/Parameters!$B$17))))^2+(H6-(H5+B21*SIN(RADIANS(Deed!G5+Deed!B38/Parameters!$B$17))))^2),2)</f>
        <v>0.33</v>
      </c>
    </row>
    <row r="43" spans="1:2" ht="48" customHeight="1" x14ac:dyDescent="0.2">
      <c r="A43" s="11" t="s">
        <v>431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7"/>
  <sheetViews>
    <sheetView workbookViewId="0"/>
  </sheetViews>
  <sheetFormatPr baseColWidth="10" defaultColWidth="8.83203125" defaultRowHeight="15" x14ac:dyDescent="0.2"/>
  <cols>
    <col min="1" max="1" width="40" customWidth="1"/>
    <col min="2" max="3" width="16" customWidth="1"/>
    <col min="4" max="5" width="26" customWidth="1"/>
    <col min="6" max="6" width="34" customWidth="1"/>
  </cols>
  <sheetData>
    <row r="1" spans="1:6" ht="17" customHeight="1" x14ac:dyDescent="0.2">
      <c r="A1" s="1" t="s">
        <v>432</v>
      </c>
    </row>
    <row r="3" spans="1:6" ht="16" customHeight="1" x14ac:dyDescent="0.2">
      <c r="A3" s="3" t="s">
        <v>373</v>
      </c>
      <c r="B3" s="3" t="s">
        <v>265</v>
      </c>
      <c r="C3" s="3" t="s">
        <v>266</v>
      </c>
      <c r="D3" s="3" t="s">
        <v>433</v>
      </c>
      <c r="E3" s="3" t="s">
        <v>434</v>
      </c>
      <c r="F3" s="3" t="s">
        <v>426</v>
      </c>
    </row>
    <row r="4" spans="1:6" x14ac:dyDescent="0.2">
      <c r="A4" s="2">
        <v>1</v>
      </c>
      <c r="B4" s="15">
        <f>Corners!C28</f>
        <v>4994.8</v>
      </c>
      <c r="C4" s="15">
        <f>Corners!D28</f>
        <v>4987.185</v>
      </c>
      <c r="D4" s="19">
        <f>ROUND(B4*C5,3)</f>
        <v>25843839.4</v>
      </c>
      <c r="E4" s="19">
        <f>ROUND(B5*C4,3)</f>
        <v>27964442.963</v>
      </c>
      <c r="F4" s="2" t="str">
        <f>Corners!B28</f>
        <v>Found, later monument, held</v>
      </c>
    </row>
    <row r="5" spans="1:6" x14ac:dyDescent="0.2">
      <c r="A5" s="2">
        <v>2</v>
      </c>
      <c r="B5" s="15">
        <f>Corners!C29</f>
        <v>5607.26</v>
      </c>
      <c r="C5" s="15">
        <f>Corners!D29</f>
        <v>5174.149</v>
      </c>
      <c r="D5" s="19">
        <f>ROUND(B5*C6,3)</f>
        <v>32252667.94</v>
      </c>
      <c r="E5" s="19">
        <f>ROUND(B6*C5,3)</f>
        <v>28426257.191</v>
      </c>
      <c r="F5" s="2" t="str">
        <f>Corners!B29</f>
        <v>Found, original monument, held</v>
      </c>
    </row>
    <row r="6" spans="1:6" x14ac:dyDescent="0.2">
      <c r="A6" s="2">
        <v>3</v>
      </c>
      <c r="B6" s="15">
        <f>Corners!C30</f>
        <v>5493.9</v>
      </c>
      <c r="C6" s="15">
        <f>Corners!D30</f>
        <v>5751.948</v>
      </c>
      <c r="D6" s="19">
        <f>ROUND(B6*C7,3)</f>
        <v>30977728.73</v>
      </c>
      <c r="E6" s="19">
        <f>ROUND(B7*C6,3)</f>
        <v>28256047.67</v>
      </c>
      <c r="F6" s="2" t="str">
        <f>Corners!B30</f>
        <v>To be set</v>
      </c>
    </row>
    <row r="7" spans="1:6" x14ac:dyDescent="0.2">
      <c r="A7" s="2">
        <v>4</v>
      </c>
      <c r="B7" s="15">
        <f>Corners!C31</f>
        <v>4912.431</v>
      </c>
      <c r="C7" s="15">
        <f>Corners!D31</f>
        <v>5638.568</v>
      </c>
      <c r="D7" s="19">
        <f>ROUND(B7*C8,3)</f>
        <v>25229228.74</v>
      </c>
      <c r="E7" s="19">
        <f>ROUND(B8*C7,3)</f>
        <v>27208582.85</v>
      </c>
      <c r="F7" s="2" t="str">
        <f>Corners!B31</f>
        <v>Found, original monument, held</v>
      </c>
    </row>
    <row r="8" spans="1:6" x14ac:dyDescent="0.2">
      <c r="A8" s="2">
        <v>5</v>
      </c>
      <c r="B8" s="15">
        <f>Corners!C32</f>
        <v>4825.442</v>
      </c>
      <c r="C8" s="15">
        <f>Corners!D32</f>
        <v>5135.793</v>
      </c>
      <c r="D8" s="19">
        <f>ROUND(B8*C4,3)</f>
        <v>24065371.96</v>
      </c>
      <c r="E8" s="19">
        <f>ROUND(B4*C8,3)</f>
        <v>25652258.9</v>
      </c>
      <c r="F8" s="2" t="str">
        <f>Corners!B32</f>
        <v>Found, original monument, held</v>
      </c>
    </row>
    <row r="9" spans="1:6" x14ac:dyDescent="0.2">
      <c r="A9" s="4" t="s">
        <v>260</v>
      </c>
      <c r="D9" s="19">
        <f>ROUND(SUM(D4:D8),3)</f>
        <v>138368836.8</v>
      </c>
      <c r="E9" s="19">
        <f>ROUND(SUM(E4:E8),3)</f>
        <v>137507589.54300001</v>
      </c>
    </row>
    <row r="11" spans="1:6" x14ac:dyDescent="0.2">
      <c r="A11" s="2" t="s">
        <v>435</v>
      </c>
      <c r="B11" s="16">
        <f>ROUND(ABS(D9-E9)/2,0)</f>
        <v>430624</v>
      </c>
    </row>
    <row r="12" spans="1:6" x14ac:dyDescent="0.2">
      <c r="A12" s="2" t="s">
        <v>67</v>
      </c>
      <c r="B12" s="15">
        <f>ROUND(B11/Parameters!$B$9,3)</f>
        <v>9.886</v>
      </c>
    </row>
    <row r="13" spans="1:6" x14ac:dyDescent="0.2">
      <c r="A13" s="2" t="s">
        <v>68</v>
      </c>
      <c r="B13" s="12">
        <f>Parameters!B10</f>
        <v>9.89</v>
      </c>
    </row>
    <row r="14" spans="1:6" x14ac:dyDescent="0.2">
      <c r="A14" s="2" t="s">
        <v>69</v>
      </c>
      <c r="B14" s="15">
        <f>ROUND(B12-B13,3)</f>
        <v>-0.004</v>
      </c>
    </row>
    <row r="15" spans="1:6" x14ac:dyDescent="0.2">
      <c r="A15" s="2" t="s">
        <v>436</v>
      </c>
      <c r="B15" s="17">
        <f>ROUND(B11-B13*Parameters!$B$9,0)</f>
        <v>-184</v>
      </c>
    </row>
    <row r="17" spans="1:1" ht="32" customHeight="1" x14ac:dyDescent="0.2">
      <c r="A17" s="11" t="s">
        <v>437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2"/>
  <sheetViews>
    <sheetView workbookViewId="0"/>
  </sheetViews>
  <sheetFormatPr baseColWidth="10" defaultColWidth="8.83203125" defaultRowHeight="15" x14ac:dyDescent="0.2"/>
  <cols>
    <col min="1" max="1" width="10" customWidth="1"/>
    <col min="2" max="2" width="16" customWidth="1"/>
    <col min="3" max="3" width="10" customWidth="1"/>
    <col min="4" max="5" width="13" customWidth="1"/>
    <col min="6" max="6" width="14" customWidth="1"/>
    <col min="7" max="11" width="13" customWidth="1"/>
    <col min="12" max="12" width="22" customWidth="1"/>
  </cols>
  <sheetData>
    <row r="1" spans="1:12" ht="17" customHeight="1" x14ac:dyDescent="0.2">
      <c r="A1" s="1" t="s">
        <v>438</v>
      </c>
    </row>
    <row r="3" spans="1:12" ht="48" customHeight="1" x14ac:dyDescent="0.2">
      <c r="A3" s="3" t="s">
        <v>293</v>
      </c>
      <c r="B3" s="3" t="s">
        <v>439</v>
      </c>
      <c r="C3" s="3" t="s">
        <v>440</v>
      </c>
      <c r="D3" s="3" t="s">
        <v>441</v>
      </c>
      <c r="E3" s="3" t="s">
        <v>442</v>
      </c>
      <c r="F3" s="3" t="s">
        <v>443</v>
      </c>
      <c r="G3" s="3" t="s">
        <v>444</v>
      </c>
      <c r="H3" s="3" t="s">
        <v>445</v>
      </c>
      <c r="I3" s="3" t="s">
        <v>446</v>
      </c>
      <c r="J3" s="3" t="s">
        <v>447</v>
      </c>
      <c r="K3" s="3" t="s">
        <v>448</v>
      </c>
      <c r="L3" s="3" t="s">
        <v>449</v>
      </c>
    </row>
    <row r="4" spans="1:12" x14ac:dyDescent="0.2">
      <c r="A4" s="2" t="s">
        <v>200</v>
      </c>
      <c r="B4" s="2" t="s">
        <v>450</v>
      </c>
      <c r="C4" s="2" t="s">
        <v>337</v>
      </c>
      <c r="D4" s="15">
        <f>Corners!$C$29</f>
        <v>5607.26</v>
      </c>
      <c r="E4" s="15">
        <f>Corners!$D$29</f>
        <v>5174.149</v>
      </c>
      <c r="F4" s="13">
        <f>Corners!$F$29</f>
        <v>101.100033</v>
      </c>
      <c r="G4" s="12">
        <f>Corners!$G$29</f>
        <v>588.81</v>
      </c>
      <c r="H4" s="15">
        <f>Ties!$K$11</f>
        <v>5601.247</v>
      </c>
      <c r="I4" s="15">
        <f>Ties!$L$11</f>
        <v>5205.575</v>
      </c>
      <c r="J4" s="12">
        <f t="shared" ref="J4:J12" si="0">ROUND((H4-D4)*COS(RADIANS(F4))+(I4-E4)*SIN(RADIANS(F4)),2)</f>
        <v>32</v>
      </c>
      <c r="K4" s="12">
        <f t="shared" ref="K4:K12" si="1">ROUND((I4-E4)*COS(RADIANS(F4))-(H4-D4)*SIN(RADIANS(F4)),2)</f>
        <v>-0.15</v>
      </c>
      <c r="L4" s="2" t="str">
        <f t="shared" ref="L4:L12" si="2">IF(K4&gt;0,"Inside the tract",IF(K4&lt;0,"Outside the tract","On the line"))</f>
        <v>Outside the tract</v>
      </c>
    </row>
    <row r="5" spans="1:12" x14ac:dyDescent="0.2">
      <c r="A5" s="2" t="s">
        <v>203</v>
      </c>
      <c r="B5" s="2" t="s">
        <v>450</v>
      </c>
      <c r="C5" s="2" t="s">
        <v>337</v>
      </c>
      <c r="D5" s="15">
        <f>Corners!$C$29</f>
        <v>5607.26</v>
      </c>
      <c r="E5" s="15">
        <f>Corners!$D$29</f>
        <v>5174.149</v>
      </c>
      <c r="F5" s="13">
        <f>Corners!$F$29</f>
        <v>101.100033</v>
      </c>
      <c r="G5" s="12">
        <f>Corners!$G$29</f>
        <v>588.81</v>
      </c>
      <c r="H5" s="15">
        <f>Ties!$K$12</f>
        <v>5549.622</v>
      </c>
      <c r="I5" s="15">
        <f>Ties!$L$12</f>
        <v>5464.494</v>
      </c>
      <c r="J5" s="12">
        <f t="shared" si="0"/>
        <v>296.01</v>
      </c>
      <c r="K5" s="12">
        <f t="shared" si="1"/>
        <v>0.66</v>
      </c>
      <c r="L5" s="2" t="str">
        <f t="shared" si="2"/>
        <v>Inside the tract</v>
      </c>
    </row>
    <row r="6" spans="1:12" x14ac:dyDescent="0.2">
      <c r="A6" s="2" t="s">
        <v>207</v>
      </c>
      <c r="B6" s="2" t="s">
        <v>450</v>
      </c>
      <c r="C6" s="2" t="s">
        <v>337</v>
      </c>
      <c r="D6" s="15">
        <f>Corners!$C$29</f>
        <v>5607.26</v>
      </c>
      <c r="E6" s="15">
        <f>Corners!$D$29</f>
        <v>5174.149</v>
      </c>
      <c r="F6" s="13">
        <f>Corners!$F$29</f>
        <v>101.100033</v>
      </c>
      <c r="G6" s="12">
        <f>Corners!$G$29</f>
        <v>588.81</v>
      </c>
      <c r="H6" s="15">
        <f>Ties!$K$13</f>
        <v>5494.301</v>
      </c>
      <c r="I6" s="15">
        <f>Ties!$L$13</f>
        <v>5752.135</v>
      </c>
      <c r="J6" s="12">
        <f t="shared" si="0"/>
        <v>588.92</v>
      </c>
      <c r="K6" s="12">
        <f t="shared" si="1"/>
        <v>-0.43</v>
      </c>
      <c r="L6" s="2" t="str">
        <f t="shared" si="2"/>
        <v>Outside the tract</v>
      </c>
    </row>
    <row r="7" spans="1:12" x14ac:dyDescent="0.2">
      <c r="A7" s="2" t="s">
        <v>218</v>
      </c>
      <c r="B7" s="2" t="s">
        <v>451</v>
      </c>
      <c r="C7" s="2" t="s">
        <v>338</v>
      </c>
      <c r="D7" s="15">
        <f>Corners!$C$30</f>
        <v>5493.9</v>
      </c>
      <c r="E7" s="15">
        <f>Corners!$D$30</f>
        <v>5751.948</v>
      </c>
      <c r="F7" s="13">
        <f>Corners!$F$30</f>
        <v>191.033596</v>
      </c>
      <c r="G7" s="12">
        <f>Corners!$G$30</f>
        <v>592.42</v>
      </c>
      <c r="H7" s="15">
        <f>Ties!$K$14</f>
        <v>5442.92</v>
      </c>
      <c r="I7" s="15">
        <f>Ties!$L$14</f>
        <v>5742.132</v>
      </c>
      <c r="J7" s="12">
        <f t="shared" si="0"/>
        <v>51.92</v>
      </c>
      <c r="K7" s="12">
        <f t="shared" si="1"/>
        <v>-0.12</v>
      </c>
      <c r="L7" s="2" t="str">
        <f t="shared" si="2"/>
        <v>Outside the tract</v>
      </c>
    </row>
    <row r="8" spans="1:12" x14ac:dyDescent="0.2">
      <c r="A8" s="2" t="s">
        <v>225</v>
      </c>
      <c r="B8" s="2" t="s">
        <v>451</v>
      </c>
      <c r="C8" s="2" t="s">
        <v>338</v>
      </c>
      <c r="D8" s="15">
        <f>Corners!$C$30</f>
        <v>5493.9</v>
      </c>
      <c r="E8" s="15">
        <f>Corners!$D$30</f>
        <v>5751.948</v>
      </c>
      <c r="F8" s="13">
        <f>Corners!$F$30</f>
        <v>191.033596</v>
      </c>
      <c r="G8" s="12">
        <f>Corners!$G$30</f>
        <v>592.42</v>
      </c>
      <c r="H8" s="15">
        <f>Ties!$K$15</f>
        <v>5120.8</v>
      </c>
      <c r="I8" s="15">
        <f>Ties!$L$15</f>
        <v>5679.553</v>
      </c>
      <c r="J8" s="12">
        <f t="shared" si="0"/>
        <v>380.06</v>
      </c>
      <c r="K8" s="12">
        <f t="shared" si="1"/>
        <v>-0.35</v>
      </c>
      <c r="L8" s="2" t="str">
        <f t="shared" si="2"/>
        <v>Outside the tract</v>
      </c>
    </row>
    <row r="9" spans="1:12" x14ac:dyDescent="0.2">
      <c r="A9" s="2" t="s">
        <v>223</v>
      </c>
      <c r="B9" s="2" t="s">
        <v>451</v>
      </c>
      <c r="C9" s="2" t="s">
        <v>338</v>
      </c>
      <c r="D9" s="15">
        <f>Corners!$C$30</f>
        <v>5493.9</v>
      </c>
      <c r="E9" s="15">
        <f>Corners!$D$30</f>
        <v>5751.948</v>
      </c>
      <c r="F9" s="13">
        <f>Corners!$F$30</f>
        <v>191.033596</v>
      </c>
      <c r="G9" s="12">
        <f>Corners!$G$30</f>
        <v>592.42</v>
      </c>
      <c r="H9" s="15">
        <f>Ties!$K$16</f>
        <v>4944.148</v>
      </c>
      <c r="I9" s="15">
        <f>Ties!$L$16</f>
        <v>5644.954</v>
      </c>
      <c r="J9" s="12">
        <f t="shared" si="0"/>
        <v>560.07</v>
      </c>
      <c r="K9" s="12">
        <f t="shared" si="1"/>
        <v>-0.2</v>
      </c>
      <c r="L9" s="2" t="str">
        <f t="shared" si="2"/>
        <v>Outside the tract</v>
      </c>
    </row>
    <row r="10" spans="1:12" x14ac:dyDescent="0.2">
      <c r="A10" s="2" t="s">
        <v>227</v>
      </c>
      <c r="B10" s="2" t="s">
        <v>452</v>
      </c>
      <c r="C10" s="2" t="s">
        <v>339</v>
      </c>
      <c r="D10" s="15">
        <f>Corners!$C$31</f>
        <v>4912.431</v>
      </c>
      <c r="E10" s="15">
        <f>Corners!$D$31</f>
        <v>5638.568</v>
      </c>
      <c r="F10" s="13">
        <f>Corners!$F$31</f>
        <v>260.183991</v>
      </c>
      <c r="G10" s="12">
        <f>Corners!$G$31</f>
        <v>510.24</v>
      </c>
      <c r="H10" s="15">
        <f>Ties!$K$17</f>
        <v>4903.217</v>
      </c>
      <c r="I10" s="15">
        <f>Ties!$L$17</f>
        <v>5584.342</v>
      </c>
      <c r="J10" s="12">
        <f t="shared" si="0"/>
        <v>55</v>
      </c>
      <c r="K10" s="12">
        <f t="shared" si="1"/>
        <v>0.17</v>
      </c>
      <c r="L10" s="2" t="str">
        <f t="shared" si="2"/>
        <v>Inside the tract</v>
      </c>
    </row>
    <row r="11" spans="1:12" x14ac:dyDescent="0.2">
      <c r="A11" s="2" t="s">
        <v>234</v>
      </c>
      <c r="B11" s="2" t="s">
        <v>452</v>
      </c>
      <c r="C11" s="2" t="s">
        <v>339</v>
      </c>
      <c r="D11" s="15">
        <f>Corners!$C$31</f>
        <v>4912.431</v>
      </c>
      <c r="E11" s="15">
        <f>Corners!$D$31</f>
        <v>5638.568</v>
      </c>
      <c r="F11" s="13">
        <f>Corners!$F$31</f>
        <v>260.183991</v>
      </c>
      <c r="G11" s="12">
        <f>Corners!$G$31</f>
        <v>510.24</v>
      </c>
      <c r="H11" s="15">
        <f>Ties!$K$18</f>
        <v>4868.001</v>
      </c>
      <c r="I11" s="15">
        <f>Ties!$L$18</f>
        <v>5380.371</v>
      </c>
      <c r="J11" s="12">
        <f t="shared" si="0"/>
        <v>261.99</v>
      </c>
      <c r="K11" s="12">
        <f t="shared" si="1"/>
        <v>0.24</v>
      </c>
      <c r="L11" s="2" t="str">
        <f t="shared" si="2"/>
        <v>Inside the tract</v>
      </c>
    </row>
    <row r="12" spans="1:12" x14ac:dyDescent="0.2">
      <c r="A12" s="2" t="s">
        <v>232</v>
      </c>
      <c r="B12" s="2" t="s">
        <v>452</v>
      </c>
      <c r="C12" s="2" t="s">
        <v>339</v>
      </c>
      <c r="D12" s="15">
        <f>Corners!$C$31</f>
        <v>4912.431</v>
      </c>
      <c r="E12" s="15">
        <f>Corners!$D$31</f>
        <v>5638.568</v>
      </c>
      <c r="F12" s="13">
        <f>Corners!$F$31</f>
        <v>260.183991</v>
      </c>
      <c r="G12" s="12">
        <f>Corners!$G$31</f>
        <v>510.24</v>
      </c>
      <c r="H12" s="15">
        <f>Ties!$K$19</f>
        <v>4830.69</v>
      </c>
      <c r="I12" s="15">
        <f>Ties!$L$19</f>
        <v>5165.583</v>
      </c>
      <c r="J12" s="12">
        <f t="shared" si="0"/>
        <v>480</v>
      </c>
      <c r="K12" s="12">
        <f t="shared" si="1"/>
        <v>0.09</v>
      </c>
      <c r="L12" s="2" t="str">
        <f t="shared" si="2"/>
        <v>Inside the tract</v>
      </c>
    </row>
    <row r="15" spans="1:12" ht="48" customHeight="1" x14ac:dyDescent="0.2">
      <c r="A15" s="3" t="s">
        <v>439</v>
      </c>
      <c r="B15" s="3" t="s">
        <v>453</v>
      </c>
      <c r="C15" s="3" t="s">
        <v>440</v>
      </c>
      <c r="D15" s="3" t="s">
        <v>454</v>
      </c>
      <c r="E15" s="3" t="s">
        <v>455</v>
      </c>
      <c r="F15" s="3" t="s">
        <v>456</v>
      </c>
      <c r="G15" s="3" t="s">
        <v>457</v>
      </c>
    </row>
    <row r="16" spans="1:12" x14ac:dyDescent="0.2">
      <c r="A16" s="2" t="s">
        <v>458</v>
      </c>
      <c r="B16" s="2" t="s">
        <v>450</v>
      </c>
      <c r="C16" s="2" t="s">
        <v>337</v>
      </c>
      <c r="D16" s="17">
        <f>COUNTIF($B$4:$B$12,B16)</f>
        <v>3</v>
      </c>
      <c r="E16" s="12">
        <f>MAX(0,MAX(K4:K6))</f>
        <v>0.66</v>
      </c>
      <c r="F16" s="12">
        <f>MAX(0,-MIN(K4:K6))</f>
        <v>0.43</v>
      </c>
      <c r="G16" s="2" t="str">
        <f>IF(E16&gt;Parameters!$B$16,"Encroachment","Occupation note only")</f>
        <v>Encroachment</v>
      </c>
    </row>
    <row r="17" spans="1:7" x14ac:dyDescent="0.2">
      <c r="A17" s="2" t="s">
        <v>459</v>
      </c>
      <c r="B17" s="2" t="s">
        <v>451</v>
      </c>
      <c r="C17" s="2" t="s">
        <v>338</v>
      </c>
      <c r="D17" s="17">
        <f>COUNTIF($B$4:$B$12,B17)</f>
        <v>3</v>
      </c>
      <c r="E17" s="12">
        <f>MAX(0,MAX(K7:K9))</f>
        <v>0</v>
      </c>
      <c r="F17" s="12">
        <f>MAX(0,-MIN(K7:K9))</f>
        <v>0.35</v>
      </c>
      <c r="G17" s="2" t="str">
        <f>IF(E17&gt;Parameters!$B$16,"Encroachment","Occupation note only")</f>
        <v>Occupation note only</v>
      </c>
    </row>
    <row r="18" spans="1:7" x14ac:dyDescent="0.2">
      <c r="A18" s="2" t="s">
        <v>460</v>
      </c>
      <c r="B18" s="2" t="s">
        <v>452</v>
      </c>
      <c r="C18" s="2" t="s">
        <v>339</v>
      </c>
      <c r="D18" s="17">
        <f>COUNTIF($B$4:$B$12,B18)</f>
        <v>3</v>
      </c>
      <c r="E18" s="12">
        <f>MAX(0,MAX(K10:K12))</f>
        <v>0.24</v>
      </c>
      <c r="F18" s="12">
        <f>MAX(0,-MIN(K10:K12))</f>
        <v>0</v>
      </c>
      <c r="G18" s="2" t="str">
        <f>IF(E18&gt;Parameters!$B$16,"Encroachment","Occupation note only")</f>
        <v>Occupation note only</v>
      </c>
    </row>
    <row r="20" spans="1:7" x14ac:dyDescent="0.2">
      <c r="A20" s="2" t="s">
        <v>461</v>
      </c>
      <c r="B20" s="17">
        <f>COUNTIF(G16:G18,"Encroachment")</f>
        <v>1</v>
      </c>
    </row>
    <row r="22" spans="1:7" ht="32" customHeight="1" x14ac:dyDescent="0.2">
      <c r="A22" s="11" t="s">
        <v>462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5"/>
  <sheetViews>
    <sheetView workbookViewId="0"/>
  </sheetViews>
  <sheetFormatPr baseColWidth="10" defaultColWidth="8.83203125" defaultRowHeight="15" x14ac:dyDescent="0.2"/>
  <cols>
    <col min="1" max="1" width="125" customWidth="1"/>
  </cols>
  <sheetData>
    <row r="1" spans="1:1" ht="17" customHeight="1" x14ac:dyDescent="0.2">
      <c r="A1" s="1" t="s">
        <v>463</v>
      </c>
    </row>
    <row r="3" spans="1:1" ht="60" customHeight="1" x14ac:dyDescent="0.2">
      <c r="A3" s="11" t="s">
        <v>464</v>
      </c>
    </row>
    <row r="4" spans="1:1" ht="135" customHeight="1" x14ac:dyDescent="0.2">
      <c r="A4" s="11" t="s">
        <v>465</v>
      </c>
    </row>
    <row r="5" spans="1:1" ht="75" customHeight="1" x14ac:dyDescent="0.2">
      <c r="A5" s="11" t="s">
        <v>466</v>
      </c>
    </row>
    <row r="6" spans="1:1" ht="75" customHeight="1" x14ac:dyDescent="0.2">
      <c r="A6" s="11" t="s">
        <v>467</v>
      </c>
    </row>
    <row r="7" spans="1:1" ht="105" customHeight="1" x14ac:dyDescent="0.2">
      <c r="A7" s="11" t="s">
        <v>468</v>
      </c>
    </row>
    <row r="8" spans="1:1" ht="90" customHeight="1" x14ac:dyDescent="0.2">
      <c r="A8" s="11" t="s">
        <v>469</v>
      </c>
    </row>
    <row r="9" spans="1:1" ht="135" customHeight="1" x14ac:dyDescent="0.2">
      <c r="A9" s="11" t="s">
        <v>470</v>
      </c>
    </row>
    <row r="10" spans="1:1" ht="105" customHeight="1" x14ac:dyDescent="0.2">
      <c r="A10" s="11" t="s">
        <v>471</v>
      </c>
    </row>
    <row r="11" spans="1:1" ht="105" customHeight="1" x14ac:dyDescent="0.2">
      <c r="A11" s="11" t="s">
        <v>472</v>
      </c>
    </row>
    <row r="12" spans="1:1" ht="120" customHeight="1" x14ac:dyDescent="0.2">
      <c r="A12" s="11" t="s">
        <v>473</v>
      </c>
    </row>
    <row r="13" spans="1:1" ht="45" customHeight="1" x14ac:dyDescent="0.2">
      <c r="A13" s="11" t="s">
        <v>474</v>
      </c>
    </row>
    <row r="14" spans="1:1" ht="75" customHeight="1" x14ac:dyDescent="0.2">
      <c r="A14" s="11" t="s">
        <v>475</v>
      </c>
    </row>
    <row r="15" spans="1:1" ht="120" customHeight="1" x14ac:dyDescent="0.2">
      <c r="A15" s="11" t="s">
        <v>476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Findings</vt:lpstr>
      <vt:lpstr>Parameters</vt:lpstr>
      <vt:lpstr>Field Notes</vt:lpstr>
      <vt:lpstr>Traverse</vt:lpstr>
      <vt:lpstr>Ties</vt:lpstr>
      <vt:lpstr>Deed</vt:lpstr>
      <vt:lpstr>Corners</vt:lpstr>
      <vt:lpstr>Area</vt:lpstr>
      <vt:lpstr>Fences</vt:lpstr>
      <vt:lpstr>Note to Ellen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Hollins &amp; Vance Surveying</dc:creator>
  <dc:title xmlns:dc="http://purl.org/dc/elements/1.1/">Tract 7 boundary analysis, job 26-2214</dc:title>
  <dcterms:created xmlns:dcterms="http://purl.org/dc/terms/" xmlns:xsi="http://www.w3.org/2001/XMLSchema-instance" xsi:type="dcterms:W3CDTF">2026-10-26T08:10:24Z</dcterms:created>
  <dcterms:modified xmlns:dcterms="http://purl.org/dc/terms/" xmlns:xsi="http://www.w3.org/2001/XMLSchema-instance" xsi:type="dcterms:W3CDTF">2026-10-29T09:52:18Z</dcterms:modified>
  <cp:lastModifiedBy>Hollins &amp; Vance Surveying</cp:lastModifiedBy>
</cp:coreProperties>
</file>