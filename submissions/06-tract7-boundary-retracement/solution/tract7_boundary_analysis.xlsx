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6CEFF3D2-D24E-2944-B320-5C2DF84EF747}" xr6:coauthVersionLast="47" xr6:coauthVersionMax="47" xr10:uidLastSave="{00000000-0000-0000-0000-000000000000}"/>
  <bookViews>
    <workbookView xWindow="0" yWindow="0" windowWidth="21600" windowHeight="38400" xr2:uid="{00000000-000D-0000-FFFF-FFFF00000000}"/>
  </bookViews>
  <sheets>
    <sheet name="Findings" sheetId="1" r:id="rId1"/>
    <sheet name="Parameters" sheetId="2" r:id="rId2"/>
    <sheet name="Field Notes" sheetId="3" r:id="rId3"/>
    <sheet name="Traverse" sheetId="4" r:id="rId4"/>
    <sheet name="Ties" sheetId="5" r:id="rId5"/>
    <sheet name="Deed" sheetId="6" r:id="rId6"/>
    <sheet name="Corners" sheetId="7" r:id="rId7"/>
    <sheet name="Area" sheetId="8" r:id="rId8"/>
    <sheet name="Fences" sheetId="9" r:id="rId9"/>
    <sheet name="Note to Ellen"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9" l="1"/>
  <c r="D17" i="9"/>
  <c r="D16" i="9"/>
  <c r="B13" i="8"/>
  <c r="B37" i="7"/>
  <c r="B33" i="1" s="1"/>
  <c r="B33" i="7"/>
  <c r="F7" i="8" s="1"/>
  <c r="B31" i="7"/>
  <c r="F5" i="8" s="1"/>
  <c r="B19" i="7"/>
  <c r="B14" i="7"/>
  <c r="B41" i="6"/>
  <c r="F9" i="6"/>
  <c r="B12" i="6" s="1"/>
  <c r="G8" i="6"/>
  <c r="G7" i="6"/>
  <c r="G6" i="6"/>
  <c r="G5" i="6"/>
  <c r="I4" i="6"/>
  <c r="H4" i="6"/>
  <c r="G4" i="6"/>
  <c r="D24" i="5"/>
  <c r="D22" i="5"/>
  <c r="E18" i="5"/>
  <c r="D18" i="5"/>
  <c r="C18" i="5"/>
  <c r="E17" i="5"/>
  <c r="D17" i="5"/>
  <c r="C17" i="5"/>
  <c r="E16" i="5"/>
  <c r="D16" i="5"/>
  <c r="C16" i="5"/>
  <c r="E15" i="5"/>
  <c r="D15" i="5"/>
  <c r="C15" i="5"/>
  <c r="E14" i="5"/>
  <c r="D14" i="5"/>
  <c r="C14" i="5"/>
  <c r="E13" i="5"/>
  <c r="D13" i="5"/>
  <c r="C13" i="5"/>
  <c r="E12" i="5"/>
  <c r="D12" i="5"/>
  <c r="C12" i="5"/>
  <c r="E11" i="5"/>
  <c r="D11" i="5"/>
  <c r="C11" i="5"/>
  <c r="D10" i="5"/>
  <c r="C10" i="5"/>
  <c r="D9" i="5"/>
  <c r="C9" i="5"/>
  <c r="E8" i="5"/>
  <c r="D8" i="5"/>
  <c r="C8" i="5"/>
  <c r="E7" i="5"/>
  <c r="D7" i="5"/>
  <c r="C7" i="5"/>
  <c r="E6" i="5"/>
  <c r="D6" i="5"/>
  <c r="C6" i="5"/>
  <c r="E5" i="5"/>
  <c r="D5" i="5"/>
  <c r="C5" i="5"/>
  <c r="E4" i="5"/>
  <c r="D4" i="5"/>
  <c r="C4" i="5"/>
  <c r="C40" i="4"/>
  <c r="C39" i="4"/>
  <c r="C35" i="4"/>
  <c r="B35" i="4"/>
  <c r="D35" i="4" s="1"/>
  <c r="C34" i="4"/>
  <c r="C24" i="4"/>
  <c r="B24" i="4"/>
  <c r="B18" i="4"/>
  <c r="B19" i="4" s="1"/>
  <c r="B14" i="1" s="1"/>
  <c r="U34" i="3"/>
  <c r="W34" i="3" s="1"/>
  <c r="F17" i="5" s="1"/>
  <c r="O34" i="3"/>
  <c r="U33" i="3"/>
  <c r="W33" i="3" s="1"/>
  <c r="F18" i="5" s="1"/>
  <c r="O33" i="3"/>
  <c r="V32" i="3"/>
  <c r="U32" i="3"/>
  <c r="W32" i="3" s="1"/>
  <c r="F8" i="5" s="1"/>
  <c r="O32" i="3"/>
  <c r="U31" i="3"/>
  <c r="W31" i="3" s="1"/>
  <c r="F16" i="5" s="1"/>
  <c r="O31" i="3"/>
  <c r="U30" i="3"/>
  <c r="W30" i="3" s="1"/>
  <c r="F14" i="5" s="1"/>
  <c r="O30" i="3"/>
  <c r="U29" i="3"/>
  <c r="W29" i="3" s="1"/>
  <c r="F15" i="5" s="1"/>
  <c r="O29" i="3"/>
  <c r="U28" i="3"/>
  <c r="W28" i="3" s="1"/>
  <c r="F7" i="5" s="1"/>
  <c r="O28" i="3"/>
  <c r="U27" i="3"/>
  <c r="W27" i="3" s="1"/>
  <c r="F13" i="5" s="1"/>
  <c r="O27" i="3"/>
  <c r="U26" i="3"/>
  <c r="W26" i="3" s="1"/>
  <c r="F9" i="5" s="1"/>
  <c r="O26" i="3"/>
  <c r="E9" i="5" s="1"/>
  <c r="U25" i="3"/>
  <c r="W25" i="3" s="1"/>
  <c r="F12" i="5" s="1"/>
  <c r="O25" i="3"/>
  <c r="U24" i="3"/>
  <c r="W24" i="3" s="1"/>
  <c r="F6" i="5" s="1"/>
  <c r="O24" i="3"/>
  <c r="U23" i="3"/>
  <c r="W23" i="3" s="1"/>
  <c r="F11" i="5" s="1"/>
  <c r="O23" i="3"/>
  <c r="U22" i="3"/>
  <c r="W22" i="3" s="1"/>
  <c r="F10" i="5" s="1"/>
  <c r="O22" i="3"/>
  <c r="E10" i="5" s="1"/>
  <c r="U21" i="3"/>
  <c r="W21" i="3" s="1"/>
  <c r="F5" i="5" s="1"/>
  <c r="O21" i="3"/>
  <c r="U20" i="3"/>
  <c r="W20" i="3" s="1"/>
  <c r="F4" i="5" s="1"/>
  <c r="O20" i="3"/>
  <c r="W19" i="3"/>
  <c r="P19" i="3"/>
  <c r="Q19" i="3" s="1"/>
  <c r="R19" i="3" s="1"/>
  <c r="O19" i="3"/>
  <c r="W18" i="3"/>
  <c r="P18" i="3"/>
  <c r="Q18" i="3" s="1"/>
  <c r="R18" i="3" s="1"/>
  <c r="O18" i="3"/>
  <c r="W17" i="3"/>
  <c r="P17" i="3"/>
  <c r="Q17" i="3" s="1"/>
  <c r="R17" i="3" s="1"/>
  <c r="O17" i="3"/>
  <c r="W16" i="3"/>
  <c r="P16" i="3"/>
  <c r="Q16" i="3" s="1"/>
  <c r="R16" i="3" s="1"/>
  <c r="F35" i="4" s="1"/>
  <c r="O16" i="3"/>
  <c r="W15" i="3"/>
  <c r="P15" i="3"/>
  <c r="Q15" i="3" s="1"/>
  <c r="R15" i="3" s="1"/>
  <c r="O15" i="3"/>
  <c r="W14" i="3"/>
  <c r="P14" i="3"/>
  <c r="O14" i="3"/>
  <c r="W13" i="3"/>
  <c r="P13" i="3"/>
  <c r="Q13" i="3" s="1"/>
  <c r="R13" i="3" s="1"/>
  <c r="O13" i="3"/>
  <c r="W12" i="3"/>
  <c r="P12" i="3"/>
  <c r="Q12" i="3" s="1"/>
  <c r="R12" i="3" s="1"/>
  <c r="F7" i="4" s="1"/>
  <c r="G7" i="4" s="1"/>
  <c r="O12" i="3"/>
  <c r="W11" i="3"/>
  <c r="P11" i="3"/>
  <c r="Q11" i="3" s="1"/>
  <c r="R11" i="3" s="1"/>
  <c r="O11" i="3"/>
  <c r="W10" i="3"/>
  <c r="P10" i="3"/>
  <c r="Q10" i="3" s="1"/>
  <c r="R10" i="3" s="1"/>
  <c r="F6" i="4" s="1"/>
  <c r="G6" i="4" s="1"/>
  <c r="O10" i="3"/>
  <c r="W9" i="3"/>
  <c r="P9" i="3"/>
  <c r="Q9" i="3" s="1"/>
  <c r="R9" i="3" s="1"/>
  <c r="O9" i="3"/>
  <c r="W8" i="3"/>
  <c r="P8" i="3"/>
  <c r="Q8" i="3" s="1"/>
  <c r="R8" i="3" s="1"/>
  <c r="O8" i="3"/>
  <c r="W7" i="3"/>
  <c r="P7" i="3"/>
  <c r="Q7" i="3" s="1"/>
  <c r="R7" i="3" s="1"/>
  <c r="F34" i="4" s="1"/>
  <c r="O7" i="3"/>
  <c r="W6" i="3"/>
  <c r="P6" i="3"/>
  <c r="Q6" i="3" s="1"/>
  <c r="R6" i="3" s="1"/>
  <c r="O6" i="3"/>
  <c r="W5" i="3"/>
  <c r="P5" i="3"/>
  <c r="Q5" i="3" s="1"/>
  <c r="R5" i="3" s="1"/>
  <c r="O5" i="3"/>
  <c r="W4" i="3"/>
  <c r="P4" i="3"/>
  <c r="Q4" i="3" s="1"/>
  <c r="R4" i="3" s="1"/>
  <c r="F4" i="4" s="1"/>
  <c r="G4" i="4" s="1"/>
  <c r="O4" i="3"/>
  <c r="B24" i="2"/>
  <c r="B48" i="1"/>
  <c r="B30" i="1"/>
  <c r="B24" i="1"/>
  <c r="B19" i="1"/>
  <c r="B18" i="1"/>
  <c r="B17" i="1"/>
  <c r="B13" i="1"/>
  <c r="I8" i="6" l="1"/>
  <c r="H8" i="6"/>
  <c r="H7" i="6"/>
  <c r="B26" i="6" s="1"/>
  <c r="I7" i="6"/>
  <c r="B27" i="6" s="1"/>
  <c r="I6" i="6"/>
  <c r="H6" i="6"/>
  <c r="H5" i="6"/>
  <c r="H9" i="6" s="1"/>
  <c r="I5" i="6"/>
  <c r="I9" i="6" s="1"/>
  <c r="B14" i="6" s="1"/>
  <c r="B13" i="6"/>
  <c r="B43" i="6"/>
  <c r="H4" i="5"/>
  <c r="G4" i="5"/>
  <c r="I17" i="5"/>
  <c r="J17" i="5"/>
  <c r="I18" i="5"/>
  <c r="J18" i="5"/>
  <c r="I8" i="5"/>
  <c r="J8" i="5"/>
  <c r="I16" i="5"/>
  <c r="J16" i="5"/>
  <c r="I14" i="5"/>
  <c r="J14" i="5"/>
  <c r="I15" i="5"/>
  <c r="J15" i="5"/>
  <c r="I7" i="5"/>
  <c r="J7" i="5"/>
  <c r="I13" i="5"/>
  <c r="J13" i="5"/>
  <c r="I9" i="5"/>
  <c r="J9" i="5"/>
  <c r="I12" i="5"/>
  <c r="J12" i="5"/>
  <c r="I6" i="5"/>
  <c r="J6" i="5"/>
  <c r="I11" i="5"/>
  <c r="J11" i="5"/>
  <c r="I10" i="5"/>
  <c r="J10" i="5"/>
  <c r="I5" i="5"/>
  <c r="J5" i="5"/>
  <c r="I4" i="5"/>
  <c r="J4" i="5"/>
  <c r="H5" i="4"/>
  <c r="F9" i="4"/>
  <c r="G9" i="4" s="1"/>
  <c r="E4" i="4"/>
  <c r="H4" i="4"/>
  <c r="D5" i="4"/>
  <c r="E5" i="4"/>
  <c r="D6" i="4"/>
  <c r="E6" i="4"/>
  <c r="H6" i="4"/>
  <c r="D7" i="4"/>
  <c r="E7" i="4"/>
  <c r="H7" i="4"/>
  <c r="D8" i="4"/>
  <c r="E8" i="4"/>
  <c r="H8" i="4"/>
  <c r="D9" i="4"/>
  <c r="E9" i="4"/>
  <c r="Q14" i="3"/>
  <c r="R14" i="3" s="1"/>
  <c r="F8" i="4"/>
  <c r="G8" i="4" s="1"/>
  <c r="B34" i="4"/>
  <c r="D34" i="4" s="1"/>
  <c r="H9" i="4"/>
  <c r="D4" i="4"/>
  <c r="D10" i="4" s="1"/>
  <c r="F5" i="4"/>
  <c r="G5" i="4" s="1"/>
  <c r="E34" i="4"/>
  <c r="G34" i="4" s="1"/>
  <c r="B19" i="6" l="1"/>
  <c r="B20" i="6" s="1"/>
  <c r="B15" i="6"/>
  <c r="I5" i="4"/>
  <c r="J5" i="4"/>
  <c r="I4" i="4"/>
  <c r="J4" i="4"/>
  <c r="H10" i="4"/>
  <c r="I6" i="4"/>
  <c r="J6" i="4"/>
  <c r="I7" i="4"/>
  <c r="J7" i="4"/>
  <c r="I8" i="4"/>
  <c r="J8" i="4"/>
  <c r="E35" i="4"/>
  <c r="G35" i="4" s="1"/>
  <c r="H35" i="4" s="1"/>
  <c r="B39" i="4"/>
  <c r="B40" i="4"/>
  <c r="I9" i="4"/>
  <c r="J9" i="4"/>
  <c r="L4" i="5"/>
  <c r="H4" i="7" s="1"/>
  <c r="K4" i="5"/>
  <c r="G4" i="7" s="1"/>
  <c r="E10" i="4"/>
  <c r="B12" i="1" s="1"/>
  <c r="H34" i="4"/>
  <c r="B28" i="6"/>
  <c r="B17" i="6" l="1"/>
  <c r="B16" i="6"/>
  <c r="B21" i="1"/>
  <c r="I10" i="4"/>
  <c r="J10" i="4"/>
  <c r="B13" i="4"/>
  <c r="D39" i="4"/>
  <c r="E39" i="4"/>
  <c r="D40" i="4"/>
  <c r="E40" i="4"/>
  <c r="B18" i="6" l="1"/>
  <c r="B23" i="1" s="1"/>
  <c r="B22" i="1"/>
  <c r="B14" i="4"/>
  <c r="F39" i="4"/>
  <c r="F40" i="4"/>
  <c r="K4" i="4"/>
  <c r="K5" i="4"/>
  <c r="M5" i="4" s="1"/>
  <c r="K6" i="4"/>
  <c r="M6" i="4" s="1"/>
  <c r="K7" i="4"/>
  <c r="M7" i="4" s="1"/>
  <c r="K8" i="4"/>
  <c r="M8" i="4" s="1"/>
  <c r="K9" i="4"/>
  <c r="M9" i="4" s="1"/>
  <c r="B15" i="4"/>
  <c r="B9" i="1" s="1"/>
  <c r="G39" i="4"/>
  <c r="G40" i="4"/>
  <c r="L4" i="4"/>
  <c r="L5" i="4"/>
  <c r="N5" i="4" s="1"/>
  <c r="L6" i="4"/>
  <c r="N6" i="4" s="1"/>
  <c r="L7" i="4"/>
  <c r="N7" i="4" s="1"/>
  <c r="L8" i="4"/>
  <c r="N8" i="4" s="1"/>
  <c r="L9" i="4"/>
  <c r="N9" i="4" s="1"/>
  <c r="B7" i="1"/>
  <c r="B16" i="4" l="1"/>
  <c r="B8" i="1"/>
  <c r="M4" i="4"/>
  <c r="K10" i="4"/>
  <c r="N4" i="4"/>
  <c r="L10" i="4"/>
  <c r="H39" i="4"/>
  <c r="I39" i="4" s="1"/>
  <c r="H40" i="4"/>
  <c r="I40" i="4" s="1"/>
  <c r="B17" i="4" l="1"/>
  <c r="B10" i="1"/>
  <c r="M10" i="4"/>
  <c r="O4" i="4"/>
  <c r="N10" i="4"/>
  <c r="P4" i="4"/>
  <c r="B11" i="1" l="1"/>
  <c r="B20" i="4"/>
  <c r="B15" i="1" s="1"/>
  <c r="O5" i="4"/>
  <c r="B25" i="4"/>
  <c r="P5" i="4"/>
  <c r="C25" i="4"/>
  <c r="O6" i="4" l="1"/>
  <c r="B26" i="4"/>
  <c r="G11" i="5" s="1"/>
  <c r="K11" i="5" s="1"/>
  <c r="H5" i="9" s="1"/>
  <c r="G5" i="5"/>
  <c r="K5" i="5" s="1"/>
  <c r="G5" i="7" s="1"/>
  <c r="G10" i="5"/>
  <c r="K10" i="5" s="1"/>
  <c r="H4" i="9" s="1"/>
  <c r="P6" i="4"/>
  <c r="C26" i="4"/>
  <c r="H11" i="5" s="1"/>
  <c r="L11" i="5" s="1"/>
  <c r="I5" i="9" s="1"/>
  <c r="H5" i="5"/>
  <c r="L5" i="5" s="1"/>
  <c r="H5" i="7" s="1"/>
  <c r="H10" i="5"/>
  <c r="L10" i="5" s="1"/>
  <c r="I4" i="9" s="1"/>
  <c r="O7" i="4" l="1"/>
  <c r="B27" i="4"/>
  <c r="C31" i="7"/>
  <c r="P7" i="4"/>
  <c r="C27" i="4"/>
  <c r="D31" i="7"/>
  <c r="O8" i="4" l="1"/>
  <c r="B28" i="4"/>
  <c r="G13" i="5"/>
  <c r="K13" i="5" s="1"/>
  <c r="H7" i="9" s="1"/>
  <c r="G6" i="5"/>
  <c r="K6" i="5" s="1"/>
  <c r="G9" i="5"/>
  <c r="K9" i="5" s="1"/>
  <c r="G12" i="5"/>
  <c r="K12" i="5" s="1"/>
  <c r="D5" i="9"/>
  <c r="D6" i="9"/>
  <c r="B5" i="8"/>
  <c r="D4" i="9"/>
  <c r="P8" i="4"/>
  <c r="C28" i="4"/>
  <c r="H13" i="5"/>
  <c r="L13" i="5" s="1"/>
  <c r="I7" i="9" s="1"/>
  <c r="H6" i="5"/>
  <c r="L6" i="5" s="1"/>
  <c r="H6" i="7" s="1"/>
  <c r="H9" i="5"/>
  <c r="L9" i="5" s="1"/>
  <c r="H9" i="7" s="1"/>
  <c r="H12" i="5"/>
  <c r="L12" i="5" s="1"/>
  <c r="I6" i="9" s="1"/>
  <c r="C5" i="8"/>
  <c r="E4" i="9"/>
  <c r="E5" i="9"/>
  <c r="E6" i="9"/>
  <c r="O9" i="4" l="1"/>
  <c r="B30" i="4" s="1"/>
  <c r="B29" i="4"/>
  <c r="G14" i="5"/>
  <c r="K14" i="5" s="1"/>
  <c r="H8" i="9" s="1"/>
  <c r="G15" i="5"/>
  <c r="K15" i="5" s="1"/>
  <c r="H9" i="9" s="1"/>
  <c r="G16" i="5"/>
  <c r="K16" i="5" s="1"/>
  <c r="H10" i="9" s="1"/>
  <c r="G7" i="5"/>
  <c r="K7" i="5" s="1"/>
  <c r="G7" i="7" s="1"/>
  <c r="G6" i="7"/>
  <c r="C22" i="5"/>
  <c r="E22" i="5" s="1"/>
  <c r="G9" i="7"/>
  <c r="H6" i="9"/>
  <c r="C23" i="5"/>
  <c r="P9" i="4"/>
  <c r="C30" i="4" s="1"/>
  <c r="C29" i="4"/>
  <c r="H14" i="5"/>
  <c r="L14" i="5" s="1"/>
  <c r="I8" i="9" s="1"/>
  <c r="H15" i="5"/>
  <c r="L15" i="5" s="1"/>
  <c r="I9" i="9" s="1"/>
  <c r="H16" i="5"/>
  <c r="L16" i="5" s="1"/>
  <c r="I10" i="9" s="1"/>
  <c r="H7" i="5"/>
  <c r="L7" i="5" s="1"/>
  <c r="G17" i="5" l="1"/>
  <c r="K17" i="5" s="1"/>
  <c r="H11" i="9" s="1"/>
  <c r="G18" i="5"/>
  <c r="K18" i="5" s="1"/>
  <c r="H12" i="9" s="1"/>
  <c r="G8" i="5"/>
  <c r="K8" i="5" s="1"/>
  <c r="G8" i="7" s="1"/>
  <c r="B29" i="6"/>
  <c r="C33" i="7"/>
  <c r="H17" i="5"/>
  <c r="L17" i="5" s="1"/>
  <c r="I11" i="9" s="1"/>
  <c r="H18" i="5"/>
  <c r="L18" i="5" s="1"/>
  <c r="I12" i="9" s="1"/>
  <c r="H8" i="5"/>
  <c r="L8" i="5" s="1"/>
  <c r="H8" i="7" s="1"/>
  <c r="H7" i="7"/>
  <c r="C24" i="5"/>
  <c r="E24" i="5" s="1"/>
  <c r="B30" i="6" l="1"/>
  <c r="B33" i="6"/>
  <c r="D10" i="9"/>
  <c r="D11" i="9"/>
  <c r="D12" i="9"/>
  <c r="B7" i="8"/>
  <c r="B25" i="7"/>
  <c r="D33" i="7"/>
  <c r="B32" i="6" l="1"/>
  <c r="B31" i="6"/>
  <c r="B25" i="1" s="1"/>
  <c r="E10" i="9"/>
  <c r="E12" i="9"/>
  <c r="C7" i="8"/>
  <c r="E11" i="9"/>
  <c r="J5" i="6" l="1"/>
  <c r="J6" i="6"/>
  <c r="K6" i="6" s="1"/>
  <c r="J7" i="6"/>
  <c r="J8" i="6"/>
  <c r="K8" i="6" s="1"/>
  <c r="J4" i="6"/>
  <c r="K5" i="6" l="1"/>
  <c r="B24" i="7"/>
  <c r="B26" i="7" s="1"/>
  <c r="B18" i="7"/>
  <c r="K7" i="6"/>
  <c r="K4" i="6"/>
  <c r="B13" i="7"/>
  <c r="B27" i="7" l="1"/>
  <c r="I6" i="7" s="1"/>
  <c r="B28" i="7"/>
  <c r="J6" i="7" s="1"/>
  <c r="B21" i="7"/>
  <c r="J8" i="7" s="1"/>
  <c r="B20" i="7"/>
  <c r="I8" i="7" s="1"/>
  <c r="K8" i="7" s="1"/>
  <c r="B16" i="7"/>
  <c r="J4" i="7" s="1"/>
  <c r="B15" i="7"/>
  <c r="I4" i="7" s="1"/>
  <c r="K4" i="7" s="1"/>
  <c r="B36" i="1" l="1"/>
  <c r="L8" i="7"/>
  <c r="B35" i="1"/>
  <c r="L4" i="7"/>
  <c r="K6" i="7"/>
  <c r="C34" i="7" l="1"/>
  <c r="D34" i="7"/>
  <c r="C8" i="8" s="1"/>
  <c r="D7" i="8" s="1"/>
  <c r="B34" i="7"/>
  <c r="F8" i="8" s="1"/>
  <c r="D30" i="7"/>
  <c r="C4" i="8" s="1"/>
  <c r="E4" i="8" s="1"/>
  <c r="C30" i="7"/>
  <c r="B30" i="7"/>
  <c r="B38" i="1"/>
  <c r="L6" i="7"/>
  <c r="G33" i="7" l="1"/>
  <c r="B8" i="8"/>
  <c r="F33" i="7"/>
  <c r="F30" i="7"/>
  <c r="G30" i="7"/>
  <c r="N4" i="6" s="1"/>
  <c r="P4" i="6" s="1"/>
  <c r="B4" i="8"/>
  <c r="F34" i="7"/>
  <c r="G34" i="7"/>
  <c r="N8" i="6" s="1"/>
  <c r="P8" i="6" s="1"/>
  <c r="B40" i="7"/>
  <c r="B39" i="1" s="1"/>
  <c r="B41" i="7"/>
  <c r="B40" i="1" s="1"/>
  <c r="F4" i="8"/>
  <c r="D32" i="7"/>
  <c r="C32" i="7"/>
  <c r="B32" i="7"/>
  <c r="F6" i="8" s="1"/>
  <c r="B38" i="7"/>
  <c r="B34" i="1" s="1"/>
  <c r="B39" i="7"/>
  <c r="B37" i="1" s="1"/>
  <c r="G10" i="9" l="1"/>
  <c r="G11" i="9"/>
  <c r="G12" i="9"/>
  <c r="N7" i="6"/>
  <c r="P7" i="6" s="1"/>
  <c r="D8" i="8"/>
  <c r="E7" i="8"/>
  <c r="H33" i="7"/>
  <c r="F10" i="9"/>
  <c r="F12" i="9"/>
  <c r="F11" i="9"/>
  <c r="L7" i="6"/>
  <c r="L4" i="6"/>
  <c r="H30" i="7"/>
  <c r="D4" i="8"/>
  <c r="E8" i="8"/>
  <c r="H34" i="7"/>
  <c r="L8" i="6"/>
  <c r="E9" i="9"/>
  <c r="C6" i="8"/>
  <c r="E7" i="9"/>
  <c r="E8" i="9"/>
  <c r="B42" i="1"/>
  <c r="F32" i="7"/>
  <c r="G32" i="7"/>
  <c r="D8" i="9"/>
  <c r="B6" i="8"/>
  <c r="G31" i="7"/>
  <c r="D7" i="9"/>
  <c r="D9" i="9"/>
  <c r="B41" i="1"/>
  <c r="F31" i="7"/>
  <c r="K10" i="9" l="1"/>
  <c r="J10" i="9"/>
  <c r="K12" i="9"/>
  <c r="L12" i="9" s="1"/>
  <c r="J12" i="9"/>
  <c r="K11" i="9"/>
  <c r="L11" i="9" s="1"/>
  <c r="J11" i="9"/>
  <c r="O7" i="6"/>
  <c r="Q7" i="6" s="1"/>
  <c r="M7" i="6"/>
  <c r="M4" i="6"/>
  <c r="O4" i="6"/>
  <c r="Q4" i="6" s="1"/>
  <c r="M8" i="6"/>
  <c r="O8" i="6"/>
  <c r="Q8" i="6" s="1"/>
  <c r="E6" i="8"/>
  <c r="D5" i="8"/>
  <c r="F8" i="9"/>
  <c r="L6" i="6"/>
  <c r="F9" i="9"/>
  <c r="F7" i="9"/>
  <c r="H32" i="7"/>
  <c r="N6" i="6"/>
  <c r="P6" i="6" s="1"/>
  <c r="B44" i="1"/>
  <c r="G8" i="9"/>
  <c r="G7" i="9"/>
  <c r="G9" i="9"/>
  <c r="D6" i="8"/>
  <c r="E5" i="8"/>
  <c r="E9" i="8" s="1"/>
  <c r="G4" i="9"/>
  <c r="B43" i="1"/>
  <c r="G5" i="9"/>
  <c r="G6" i="9"/>
  <c r="N5" i="6"/>
  <c r="P5" i="6" s="1"/>
  <c r="H31" i="7"/>
  <c r="F4" i="9"/>
  <c r="F5" i="9"/>
  <c r="F6" i="9"/>
  <c r="L5" i="6"/>
  <c r="F18" i="9" l="1"/>
  <c r="L10" i="9"/>
  <c r="E18" i="9"/>
  <c r="J8" i="9"/>
  <c r="K8" i="9"/>
  <c r="L8" i="9" s="1"/>
  <c r="M6" i="6"/>
  <c r="O6" i="6"/>
  <c r="Q6" i="6" s="1"/>
  <c r="K9" i="9"/>
  <c r="L9" i="9" s="1"/>
  <c r="J9" i="9"/>
  <c r="J7" i="9"/>
  <c r="K7" i="9"/>
  <c r="K4" i="9"/>
  <c r="J4" i="9"/>
  <c r="K5" i="9"/>
  <c r="L5" i="9" s="1"/>
  <c r="J5" i="9"/>
  <c r="K6" i="9"/>
  <c r="L6" i="9" s="1"/>
  <c r="J6" i="9"/>
  <c r="M5" i="6"/>
  <c r="O5" i="6"/>
  <c r="Q5" i="6" s="1"/>
  <c r="D9" i="8"/>
  <c r="B11" i="8" s="1"/>
  <c r="G18" i="9" l="1"/>
  <c r="B56" i="1" s="1"/>
  <c r="B55" i="1"/>
  <c r="E17" i="9"/>
  <c r="F17" i="9"/>
  <c r="L7" i="9"/>
  <c r="E16" i="9"/>
  <c r="G16" i="9" s="1"/>
  <c r="F16" i="9"/>
  <c r="B51" i="1" s="1"/>
  <c r="L4" i="9"/>
  <c r="B12" i="8"/>
  <c r="B15" i="8"/>
  <c r="B46" i="1"/>
  <c r="B37" i="6"/>
  <c r="B36" i="6"/>
  <c r="B53" i="1" l="1"/>
  <c r="G17" i="9"/>
  <c r="B52" i="1"/>
  <c r="B14" i="8"/>
  <c r="B49" i="1" s="1"/>
  <c r="B47" i="1"/>
  <c r="B27" i="1"/>
  <c r="B39" i="6"/>
  <c r="B38" i="6"/>
  <c r="B28" i="1" s="1"/>
  <c r="B26" i="1"/>
  <c r="B44" i="6"/>
  <c r="B31" i="1" s="1"/>
  <c r="B40" i="6" l="1"/>
  <c r="B42" i="6"/>
  <c r="B29" i="1"/>
  <c r="B54" i="1"/>
  <c r="B20" i="9"/>
</calcChain>
</file>

<file path=xl/sharedStrings.xml><?xml version="1.0" encoding="utf-8"?>
<sst xmlns="http://schemas.openxmlformats.org/spreadsheetml/2006/main" count="866" uniqueCount="425">
  <si>
    <t>Tract 7 boundary analysis, job 26-2214, Estate of Wendell R. Cope</t>
  </si>
  <si>
    <t>Prepared for Ellen Vance, who seals the plat, by the office; report prepared October 29, 2026</t>
  </si>
  <si>
    <t>Deed Book 412, Page 233, Putnam County, Tennessee; field work September 29 and 30, 2026</t>
  </si>
  <si>
    <t>Finding</t>
  </si>
  <si>
    <t>Value</t>
  </si>
  <si>
    <t>Read from</t>
  </si>
  <si>
    <t>Traverse closure</t>
  </si>
  <si>
    <t>Perimeter of the traverse (ft)</t>
  </si>
  <si>
    <t>Traverse</t>
  </si>
  <si>
    <t>Latitude misclosure (ft)</t>
  </si>
  <si>
    <t>Departure misclosure (ft)</t>
  </si>
  <si>
    <t>Linear error of closure (ft)</t>
  </si>
  <si>
    <t>Precision of closure, one part in</t>
  </si>
  <si>
    <t>Traverse shots set aside</t>
  </si>
  <si>
    <t>Tract classification on the field dates</t>
  </si>
  <si>
    <t>Parameters</t>
  </si>
  <si>
    <t>Firm standard for that class, one part in</t>
  </si>
  <si>
    <t>Closure test</t>
  </si>
  <si>
    <t>Notes file and ties</t>
  </si>
  <si>
    <t>Prism correction on every tie (ft)</t>
  </si>
  <si>
    <t>Offset added to the tie on point 105 (ft)</t>
  </si>
  <si>
    <t>Changes made to the notes file</t>
  </si>
  <si>
    <t>Field Notes</t>
  </si>
  <si>
    <t>Deed comparison</t>
  </si>
  <si>
    <t>Deed linear misclosure on its own calls (ft)</t>
  </si>
  <si>
    <t>Deed</t>
  </si>
  <si>
    <t>Deed misclosure per 1,000 ft of perimeter</t>
  </si>
  <si>
    <t>Deed description test</t>
  </si>
  <si>
    <t>Rotation line</t>
  </si>
  <si>
    <t>Rotation, deed magnetic bearings to the grid</t>
  </si>
  <si>
    <t>Calls out of tolerance</t>
  </si>
  <si>
    <t>Call in error</t>
  </si>
  <si>
    <t>Deed distance of that call as transcribed (ft)</t>
  </si>
  <si>
    <t>Measured distance of that course (ft)</t>
  </si>
  <si>
    <t>Distance of that call in the 1978 deed of trust (ft)</t>
  </si>
  <si>
    <t>Finding on the call in error</t>
  </si>
  <si>
    <t>Monuments and corners</t>
  </si>
  <si>
    <t>Original monuments of the tract found and held</t>
  </si>
  <si>
    <t>Corners</t>
  </si>
  <si>
    <t>Later monuments held as the corner</t>
  </si>
  <si>
    <t>Offset of the corner 1 pin from its test position (ft)</t>
  </si>
  <si>
    <t>Offset of the corner 5 stone from its test position (ft)</t>
  </si>
  <si>
    <t>Later monuments found and not held</t>
  </si>
  <si>
    <t>Offset of the corner 3 rebar from its test position (ft)</t>
  </si>
  <si>
    <t>Corners to be set</t>
  </si>
  <si>
    <t>Corner to be set</t>
  </si>
  <si>
    <t>Corner 3 northing (ft)</t>
  </si>
  <si>
    <t>Corner 3 easting (ft)</t>
  </si>
  <si>
    <t>Distance from corner 2 to corner 3 (ft)</t>
  </si>
  <si>
    <t>Distance from corner 3 to the stone at corner 4 (ft)</t>
  </si>
  <si>
    <t>Area</t>
  </si>
  <si>
    <t>Area by coordinates (sq ft)</t>
  </si>
  <si>
    <t>Area (acres)</t>
  </si>
  <si>
    <t>Deed acreage recited</t>
  </si>
  <si>
    <t>Difference, computed less deed (acres)</t>
  </si>
  <si>
    <t>Fences</t>
  </si>
  <si>
    <t>Hutchins fence, greatest offset outside the tract (ft)</t>
  </si>
  <si>
    <t>Hutchins fence finding</t>
  </si>
  <si>
    <t>Ballinger fence, greatest offset inside the tract (ft)</t>
  </si>
  <si>
    <t>Ballinger fence finding</t>
  </si>
  <si>
    <t>Farley fence, greatest offset inside the tract (ft)</t>
  </si>
  <si>
    <t>Farley fence finding</t>
  </si>
  <si>
    <t>Every value on this page reads from the tab named beside it. The tabs behind read from the Field Notes tab, which copies the crew's file shot for shot, and from the deed calls typed on the Deed tab.</t>
  </si>
  <si>
    <t>Parameters and office readings for the tract 7 analysis</t>
  </si>
  <si>
    <t>Parameter</t>
  </si>
  <si>
    <t>Source</t>
  </si>
  <si>
    <t>First station northing (ft)</t>
  </si>
  <si>
    <t>Firm standards 1.4</t>
  </si>
  <si>
    <t>First station easting (ft)</t>
  </si>
  <si>
    <t>Closure standard, urban, one part in</t>
  </si>
  <si>
    <t>Firm standards 1.3</t>
  </si>
  <si>
    <t>Closure standard, rural, one part in</t>
  </si>
  <si>
    <t>Rural</t>
  </si>
  <si>
    <t>Firm standards 1.3; record research: Parcel 041.00 comes inside the corporate limits under Ordinance O26-07, effective November 1, 2026, after the field work of September 29 and 30, 2026</t>
  </si>
  <si>
    <t>Square feet per acre</t>
  </si>
  <si>
    <t>Firm standards 2.1</t>
  </si>
  <si>
    <t>Deed Book 412, Page 233</t>
  </si>
  <si>
    <t>Deed misclosure threshold (ft per 1,000 ft of perimeter)</t>
  </si>
  <si>
    <t>Firm standards 3.1</t>
  </si>
  <si>
    <t>Perimeter unit for the deed misclosure rate (ft)</t>
  </si>
  <si>
    <t>Tolerance of the original survey, distance (ft)</t>
  </si>
  <si>
    <t>Firm standards 3.3</t>
  </si>
  <si>
    <t>Tolerance of the original survey, bearing (minutes)</t>
  </si>
  <si>
    <t>Later monument held within (ft)</t>
  </si>
  <si>
    <t>Firm standards 3.6</t>
  </si>
  <si>
    <t>Occupation reported as encroachment beyond (ft)</t>
  </si>
  <si>
    <t>Firm standards 3.8</t>
  </si>
  <si>
    <t>Minutes in a degree</t>
  </si>
  <si>
    <t>Sexagesimal angle</t>
  </si>
  <si>
    <t>Seconds in a degree</t>
  </si>
  <si>
    <t>Pairs on one course meaned together within (ft)</t>
  </si>
  <si>
    <t>Firm standards 1.1</t>
  </si>
  <si>
    <t>Pairs on one course meaned together within (seconds)</t>
  </si>
  <si>
    <t>Prism constant set in the instrument (mm)</t>
  </si>
  <si>
    <t>Field book, instrument</t>
  </si>
  <si>
    <t>Prism constant of the mini prism used on the ties (mm)</t>
  </si>
  <si>
    <t>Field book, prisms</t>
  </si>
  <si>
    <t>Meters in a U.S. survey foot</t>
  </si>
  <si>
    <t>Firm standards 1.5</t>
  </si>
  <si>
    <t>Firm standards 1.5: the constant of the prism used less the constant set</t>
  </si>
  <si>
    <t>Field book, point 105: the pole was held 0.60 foot short of the drill hole on the line of sight</t>
  </si>
  <si>
    <t>Distance of the 3-4 call in the 1978 deed of trust (ft)</t>
  </si>
  <si>
    <t>Record research: Trust Book 88, Page 140</t>
  </si>
  <si>
    <t>Distance of the rebar from the Hutchins southwest corner on the 2008 plat (ft)</t>
  </si>
  <si>
    <t>Record research: Plat Cabinet D, Slide 57</t>
  </si>
  <si>
    <t>Length of the Ballinger west line in the Ballinger deed (ft)</t>
  </si>
  <si>
    <t>Record research: Deed Book 377, Page 102</t>
  </si>
  <si>
    <t>Millimeters in a meter</t>
  </si>
  <si>
    <t>Metric conversion, for the prism constants</t>
  </si>
  <si>
    <t>Field notes, field_notes_traverse_tract7.csv, every shot as recorded, with the office columns beside them</t>
  </si>
  <si>
    <t>SHOT</t>
  </si>
  <si>
    <t>DATE</t>
  </si>
  <si>
    <t>TIME</t>
  </si>
  <si>
    <t>AT</t>
  </si>
  <si>
    <t>TO</t>
  </si>
  <si>
    <t>NS</t>
  </si>
  <si>
    <t>DEG</t>
  </si>
  <si>
    <t>MIN</t>
  </si>
  <si>
    <t>SEC</t>
  </si>
  <si>
    <t>EW</t>
  </si>
  <si>
    <t>HORIZ_DIST_FT</t>
  </si>
  <si>
    <t>CODE</t>
  </si>
  <si>
    <t>STATION USED</t>
  </si>
  <si>
    <t>POINT USED</t>
  </si>
  <si>
    <t>AZIMUTH</t>
  </si>
  <si>
    <t>LEG</t>
  </si>
  <si>
    <t>DIRECTION</t>
  </si>
  <si>
    <t>AZIMUTH ALONG THE LEG</t>
  </si>
  <si>
    <t>PAIR</t>
  </si>
  <si>
    <t>USED</t>
  </si>
  <si>
    <t>PRISM CORRECTION (FT)</t>
  </si>
  <si>
    <t>OFFSET (FT)</t>
  </si>
  <si>
    <t>DISTANCE USED (FT)</t>
  </si>
  <si>
    <t>OFFICE NOTE</t>
  </si>
  <si>
    <t>09/29/2026</t>
  </si>
  <si>
    <t>08:42</t>
  </si>
  <si>
    <t>T1</t>
  </si>
  <si>
    <t>T2</t>
  </si>
  <si>
    <t>N</t>
  </si>
  <si>
    <t>E</t>
  </si>
  <si>
    <t>TRAV</t>
  </si>
  <si>
    <t>Yes</t>
  </si>
  <si>
    <t>09:26</t>
  </si>
  <si>
    <t>S</t>
  </si>
  <si>
    <t>W</t>
  </si>
  <si>
    <t>09:33</t>
  </si>
  <si>
    <t>T3</t>
  </si>
  <si>
    <t>09:44</t>
  </si>
  <si>
    <t>10:21</t>
  </si>
  <si>
    <t>10:27</t>
  </si>
  <si>
    <t>10:35</t>
  </si>
  <si>
    <t>T4</t>
  </si>
  <si>
    <t>11:12</t>
  </si>
  <si>
    <t>11:20</t>
  </si>
  <si>
    <t>T5</t>
  </si>
  <si>
    <t>13:31</t>
  </si>
  <si>
    <t>13:40</t>
  </si>
  <si>
    <t>T6</t>
  </si>
  <si>
    <t>No</t>
  </si>
  <si>
    <t>Set aside: first pair on T5-T6, 0.28 foot short of the second pair, the distance of the county PK nail from the hub at T6</t>
  </si>
  <si>
    <t>14:24</t>
  </si>
  <si>
    <t>Set aside: first pair on T5-T6, taken to the PK nail and not to the hub</t>
  </si>
  <si>
    <t>15:06</t>
  </si>
  <si>
    <t>15:41</t>
  </si>
  <si>
    <t>16:18</t>
  </si>
  <si>
    <t>16:52</t>
  </si>
  <si>
    <t>09/30/2026</t>
  </si>
  <si>
    <t>08:10</t>
  </si>
  <si>
    <t>101</t>
  </si>
  <si>
    <t>IPF</t>
  </si>
  <si>
    <t>08:49</t>
  </si>
  <si>
    <t>102</t>
  </si>
  <si>
    <t>08:53</t>
  </si>
  <si>
    <t>201</t>
  </si>
  <si>
    <t>FNC</t>
  </si>
  <si>
    <t>09:31</t>
  </si>
  <si>
    <t>202</t>
  </si>
  <si>
    <t>Station changed from T2 to T3: the field book ties point 202 from T3, the shot falls between the T2 and T4 set-ups, and from T3 the post stands on the fence line</t>
  </si>
  <si>
    <t>10:12</t>
  </si>
  <si>
    <t>203</t>
  </si>
  <si>
    <t>IRF</t>
  </si>
  <si>
    <t>103</t>
  </si>
  <si>
    <t>Point changed from 203 to 103: the code is IRF, and the mark stands 588.80 feet from the pin at corner 2, the distance on the 2008 plat</t>
  </si>
  <si>
    <t>10:15</t>
  </si>
  <si>
    <t>Point changed from 103 to 203: the code is FNC, and this is the fence corner post</t>
  </si>
  <si>
    <t>10:24</t>
  </si>
  <si>
    <t>106</t>
  </si>
  <si>
    <t>IP</t>
  </si>
  <si>
    <t>10:31</t>
  </si>
  <si>
    <t>204</t>
  </si>
  <si>
    <t>11:17</t>
  </si>
  <si>
    <t>104</t>
  </si>
  <si>
    <t>STN</t>
  </si>
  <si>
    <t>206</t>
  </si>
  <si>
    <t>11:26</t>
  </si>
  <si>
    <t>205</t>
  </si>
  <si>
    <t>11:33</t>
  </si>
  <si>
    <t>207</t>
  </si>
  <si>
    <t>13:22</t>
  </si>
  <si>
    <t>105</t>
  </si>
  <si>
    <t>Pole held 0.60 foot short of the drill hole on the line of sight; the taped 0.60 foot is added</t>
  </si>
  <si>
    <t>13:27</t>
  </si>
  <si>
    <t>209</t>
  </si>
  <si>
    <t>13:35</t>
  </si>
  <si>
    <t>208</t>
  </si>
  <si>
    <t>Columns A to L are the notes file as recorded. STATION USED and POINT USED carry the three changes the office made on reading the file against the field book, each with its reason in the note beside it. USED marks the traverse shots that enter the mean under firm standards 1.1.</t>
  </si>
  <si>
    <t>Traverse reduction: mean of the pairs used, latitudes and departures, closure, compass rule, station coordinates</t>
  </si>
  <si>
    <t>Leg</t>
  </si>
  <si>
    <t>From</t>
  </si>
  <si>
    <t>To</t>
  </si>
  <si>
    <t>Shots used</t>
  </si>
  <si>
    <t>Shots set aside</t>
  </si>
  <si>
    <t>Mean azimuth</t>
  </si>
  <si>
    <t>Mean bearing</t>
  </si>
  <si>
    <t>Mean distance (ft)</t>
  </si>
  <si>
    <t>Latitude (ft)</t>
  </si>
  <si>
    <t>Departure (ft)</t>
  </si>
  <si>
    <t>Latitude correction</t>
  </si>
  <si>
    <t>Departure correction</t>
  </si>
  <si>
    <t>Adjusted latitude</t>
  </si>
  <si>
    <t>Adjusted departure</t>
  </si>
  <si>
    <t>Northing of To (ft)</t>
  </si>
  <si>
    <t>Easting of To (ft)</t>
  </si>
  <si>
    <t>T1-T2</t>
  </si>
  <si>
    <t>T2-T3</t>
  </si>
  <si>
    <t>T3-T4</t>
  </si>
  <si>
    <t>T4-T5</t>
  </si>
  <si>
    <t>T5-T6</t>
  </si>
  <si>
    <t>T6-T1</t>
  </si>
  <si>
    <t>Totals</t>
  </si>
  <si>
    <t>Closure, unadjusted</t>
  </si>
  <si>
    <t>Perimeter (ft)</t>
  </si>
  <si>
    <t>Station coordinates, adjusted</t>
  </si>
  <si>
    <t>Station</t>
  </si>
  <si>
    <t>Northing (ft)</t>
  </si>
  <si>
    <t>Easting (ft)</t>
  </si>
  <si>
    <t>T1 on return</t>
  </si>
  <si>
    <t>Legs shot twice, the pairs compared under firm standards 1.1</t>
  </si>
  <si>
    <t>First pair, mean distance (ft)</t>
  </si>
  <si>
    <t>Second pair, mean distance (ft)</t>
  </si>
  <si>
    <t>Difference in distance (ft)</t>
  </si>
  <si>
    <t>First pair, mean azimuth</t>
  </si>
  <si>
    <t>Second pair, mean azimuth</t>
  </si>
  <si>
    <t>Difference in bearing (seconds)</t>
  </si>
  <si>
    <t>Test</t>
  </si>
  <si>
    <t>Closure with the other readings of the T5-T6 leg, the other five legs as above</t>
  </si>
  <si>
    <t>Reading of the T5-T6 leg</t>
  </si>
  <si>
    <t>Linear error (ft)</t>
  </si>
  <si>
    <t>Precision, one part in</t>
  </si>
  <si>
    <t>First pair alone</t>
  </si>
  <si>
    <t>Both pairs meaned together</t>
  </si>
  <si>
    <t>Each leg is the mean of every shot marked used on the Field Notes tab, the reverse shots turned through 180 degrees, under firm standards 1.1. The precision divides the perimeter by the linear error as reported to the hundredth, rounded down to the hundred, under firm standards 1.2. The closure is unadjusted, and the compass rule is applied afterwards for the station coordinates, under firm standards 1.4.</t>
  </si>
  <si>
    <t>Monument and fence ties, reduced from the adjusted station coordinates</t>
  </si>
  <si>
    <t>Point</t>
  </si>
  <si>
    <t>What was tied</t>
  </si>
  <si>
    <t>Shot</t>
  </si>
  <si>
    <t>Azimuth</t>
  </si>
  <si>
    <t>Distance used (ft)</t>
  </si>
  <si>
    <t>Station northing</t>
  </si>
  <si>
    <t>Station easting</t>
  </si>
  <si>
    <t>Iron pin, cap PLS 1188, southwest corner at Stanhope Road</t>
  </si>
  <si>
    <t>Iron pin, cap PLS 2207, northwest corner at the Hutchins line</t>
  </si>
  <si>
    <t>Rebar, cap PLS 2207, at the northeast corner</t>
  </si>
  <si>
    <t>Stone with chiseled cross, southeast corner</t>
  </si>
  <si>
    <t>Stone with drill hole in a concrete collar, angle point in the Farley line</t>
  </si>
  <si>
    <t>Iron pipe, northwest corner of the Ballinger tract</t>
  </si>
  <si>
    <t>Hutchins fence post</t>
  </si>
  <si>
    <t>Hutchins fence corner post, meeting the Ballinger fence</t>
  </si>
  <si>
    <t>Ballinger fence post</t>
  </si>
  <si>
    <t>Farley fence post</t>
  </si>
  <si>
    <t>Checks of the ties against the record</t>
  </si>
  <si>
    <t>Check</t>
  </si>
  <si>
    <t>What is compared</t>
  </si>
  <si>
    <t>Measured (ft)</t>
  </si>
  <si>
    <t>Record (ft)</t>
  </si>
  <si>
    <t>Difference (ft)</t>
  </si>
  <si>
    <t>A</t>
  </si>
  <si>
    <t>Pin at corner 2 to the rebar, against the 2008 plat</t>
  </si>
  <si>
    <t>B</t>
  </si>
  <si>
    <t>Pin at corner 2 to the fence corner post</t>
  </si>
  <si>
    <t>C</t>
  </si>
  <si>
    <t>Stone at corner 4 to the iron pipe, against the Ballinger deed</t>
  </si>
  <si>
    <t>Each tie is one shot from the station used, reduced from that station's adjusted coordinates under firm standards 1.5. Every tie distance carries the prism correction of 0.04 foot, and the tie to point 105 carries the 0.60 foot the field book records as well.</t>
  </si>
  <si>
    <t>Deed Book 412, Page 233, reduced on its own calls and compared with the field</t>
  </si>
  <si>
    <t>Call</t>
  </si>
  <si>
    <t>Degrees</t>
  </si>
  <si>
    <t>Minutes</t>
  </si>
  <si>
    <t>Deed distance (ft)</t>
  </si>
  <si>
    <t>Deed azimuth, magnetic 1962</t>
  </si>
  <si>
    <t>Rotated azimuth, grid</t>
  </si>
  <si>
    <t>Rotated bearing</t>
  </si>
  <si>
    <t>Measured azimuth</t>
  </si>
  <si>
    <t>Measured bearing</t>
  </si>
  <si>
    <t>Measured distance (ft)</t>
  </si>
  <si>
    <t>Bearing difference (minutes)</t>
  </si>
  <si>
    <t>Distance difference (ft)</t>
  </si>
  <si>
    <t>Test against the tolerance</t>
  </si>
  <si>
    <t>1-2</t>
  </si>
  <si>
    <t>2-3</t>
  </si>
  <si>
    <t>3-4</t>
  </si>
  <si>
    <t>4-5</t>
  </si>
  <si>
    <t>5-1</t>
  </si>
  <si>
    <t>Deed closure on its own calls</t>
  </si>
  <si>
    <t>Deed perimeter (ft)</t>
  </si>
  <si>
    <t>Deed latitude misclosure (ft)</t>
  </si>
  <si>
    <t>Deed departure misclosure (ft)</t>
  </si>
  <si>
    <t>Deed linear misclosure (ft)</t>
  </si>
  <si>
    <t>Deed precision, one part in</t>
  </si>
  <si>
    <t>Azimuth of the deed misclosure</t>
  </si>
  <si>
    <t>Bearing of the deed misclosure</t>
  </si>
  <si>
    <t>Call whose bearing the misclosure follows</t>
  </si>
  <si>
    <t>Rotation line, between the two found original monuments of the tract</t>
  </si>
  <si>
    <t>Stone at corner 4 to pin at corner 2</t>
  </si>
  <si>
    <t>Deed calls that join them, the 3-4 call left out</t>
  </si>
  <si>
    <t>4-5, 5-1, and 1-2</t>
  </si>
  <si>
    <t>Sum of the deed latitudes of those calls (ft)</t>
  </si>
  <si>
    <t>Sum of the deed departures of those calls (ft)</t>
  </si>
  <si>
    <t>Deed azimuth of the line</t>
  </si>
  <si>
    <t>Measured azimuth of the line</t>
  </si>
  <si>
    <t>Rotation (minutes of arc, to the nearest minute)</t>
  </si>
  <si>
    <t>Rotation, degrees and minutes</t>
  </si>
  <si>
    <t>Rotation applied (decimal degrees)</t>
  </si>
  <si>
    <t>Rotation the same line would give through the 2-3 and 3-4 calls as written (minutes of arc)</t>
  </si>
  <si>
    <t>Comparison</t>
  </si>
  <si>
    <t>Distance the plat carries for that course (ft)</t>
  </si>
  <si>
    <t>Measured distance less the 1978 figure (ft)</t>
  </si>
  <si>
    <t>Deed misclosure with 592.7 feet in that call (ft)</t>
  </si>
  <si>
    <t>The deed is reduced on its magnetic bearings unrotated, under firm standards 3.1. The rotation comes from the line between the stone at corner 4 and the pin at corner 2, under firm standards 3.2, and it is applied to every call before the comparison in columns J to Q, under firm standards 3.3. The 2-3 course ends at the corner to be set, which lies on the rotated deed bearing by construction.</t>
  </si>
  <si>
    <t>Monuments found, the test of each later mark, and the corners as held or set</t>
  </si>
  <si>
    <t>Corner</t>
  </si>
  <si>
    <t>Deed call for the monument</t>
  </si>
  <si>
    <t>Found in the field</t>
  </si>
  <si>
    <t>Record of the mark</t>
  </si>
  <si>
    <t>Class under firm standards 3.5 and 3.6</t>
  </si>
  <si>
    <t>Test position northing</t>
  </si>
  <si>
    <t>Test position easting</t>
  </si>
  <si>
    <t>Offset from the test position (ft)</t>
  </si>
  <si>
    <t>Disposition</t>
  </si>
  <si>
    <t>1</t>
  </si>
  <si>
    <t>Iron pin on the east margin of Stanhope Road</t>
  </si>
  <si>
    <t>5/8-inch iron pin, plastic cap PLS 1188</t>
  </si>
  <si>
    <t>Plat Cabinet B, Slide 212 (1994): no monument found, pin set at the deed distance from the stone at the angle point</t>
  </si>
  <si>
    <t>Later monument</t>
  </si>
  <si>
    <t>2</t>
  </si>
  <si>
    <t>Iron pin, southwest corner of Hutchins</t>
  </si>
  <si>
    <t>1/2-inch iron pin, aluminum cap PLS 2207, old bend</t>
  </si>
  <si>
    <t>Plat Cabinet D, Slide 57 (2008): pin of the Tolliver survey found in place, straightened and capped where it stood</t>
  </si>
  <si>
    <t>Original, capped in place</t>
  </si>
  <si>
    <t>Held</t>
  </si>
  <si>
    <t>3</t>
  </si>
  <si>
    <t>Iron pin in the west line of Ballinger</t>
  </si>
  <si>
    <t>1/2-inch rebar, aluminum cap PLS 2207</t>
  </si>
  <si>
    <t>Plat Cabinet D, Slide 57 (2008): no monument found, rebar set 588.8 feet from the southwest corner of Hutchins</t>
  </si>
  <si>
    <t>4</t>
  </si>
  <si>
    <t>Stone, southeast corner</t>
  </si>
  <si>
    <t>Stone, 8 by 10 inches, chiseled cross</t>
  </si>
  <si>
    <t>Plat Cabinet B, Slide 212 (1994): found upright; called for in the Cope and the Ballinger deeds</t>
  </si>
  <si>
    <t>Original</t>
  </si>
  <si>
    <t>5</t>
  </si>
  <si>
    <t>Stone in the Farley line</t>
  </si>
  <si>
    <t>Stone, 6 by 8 inches, drill hole, concrete collar</t>
  </si>
  <si>
    <t>Plat Cabinet B, Slide 212 (1994): found out of the ground, reset in concrete at the deed bearing and distance from the stone at corner 4</t>
  </si>
  <si>
    <t>Ballinger NW</t>
  </si>
  <si>
    <t>Iron pipe, Deed Book 377, Page 102</t>
  </si>
  <si>
    <t>1-inch iron pipe, open top</t>
  </si>
  <si>
    <t>Called for in the Ballinger deed; no survey of the Ballinger tract is of record</t>
  </si>
  <si>
    <t>Original of the adjoiner's deed</t>
  </si>
  <si>
    <t>Test position of corner 1, firm standards 3.7: the 1-2 call reversed and rotated, at the deed distance, from the pin at corner 2, the nearest original monument of the tract that is held</t>
  </si>
  <si>
    <t>Rotated azimuth of the 1-2 call, reversed</t>
  </si>
  <si>
    <t>Deed distance of the 1-2 call (ft)</t>
  </si>
  <si>
    <t>Test position of corner 5, firm standards 3.7: the rotated 4-5 call, at the deed distance, from the stone at corner 4</t>
  </si>
  <si>
    <t>Rotated azimuth of the 4-5 call</t>
  </si>
  <si>
    <t>Deed distance of the 4-5 call (ft)</t>
  </si>
  <si>
    <t>Test position of corner 3, firm standards 3.7: the rotated 2-3 course from corner 2, met with the Ballinger west line run from the stone at corner 4 to the iron pipe</t>
  </si>
  <si>
    <t>Rotated azimuth of the 2-3 call</t>
  </si>
  <si>
    <t>Azimuth of the Ballinger west line, stone to pipe</t>
  </si>
  <si>
    <t>Distance from corner 2 to the meeting point (ft)</t>
  </si>
  <si>
    <t>Status</t>
  </si>
  <si>
    <t>Course from this corner</t>
  </si>
  <si>
    <t>Counts</t>
  </si>
  <si>
    <t>A later monument is held where it lies within 0.50 foot of its test position, under firm standards 3.6. The corner to be set takes its test position. The measured courses run between the corners as held or set.</t>
  </si>
  <si>
    <t>Area by the coordinate method on the corners as held or set</t>
  </si>
  <si>
    <t>Cross product N(i) x E(i+1)</t>
  </si>
  <si>
    <t>Cross product N(i+1) x E(i)</t>
  </si>
  <si>
    <t>Area (sq ft)</t>
  </si>
  <si>
    <t>Difference (sq ft)</t>
  </si>
  <si>
    <t>The corners are the five corners as held or set on the Corners tab, under firm standards 2.1. The deed recites its acreage more or less, and area is the last of the calls under firm standards 3.4.</t>
  </si>
  <si>
    <t>Fence ties against the boundary as computed</t>
  </si>
  <si>
    <t>Fence</t>
  </si>
  <si>
    <t>Boundary course</t>
  </si>
  <si>
    <t>From corner northing</t>
  </si>
  <si>
    <t>From corner easting</t>
  </si>
  <si>
    <t>Course azimuth</t>
  </si>
  <si>
    <t>Course length (ft)</t>
  </si>
  <si>
    <t>Post northing</t>
  </si>
  <si>
    <t>Post easting</t>
  </si>
  <si>
    <t>Distance along the course (ft)</t>
  </si>
  <si>
    <t>Offset, inside the tract positive (ft)</t>
  </si>
  <si>
    <t>Side</t>
  </si>
  <si>
    <t>Hutchins</t>
  </si>
  <si>
    <t>Ballinger</t>
  </si>
  <si>
    <t>Farley</t>
  </si>
  <si>
    <t>Adjoining owner</t>
  </si>
  <si>
    <t>Posts tied</t>
  </si>
  <si>
    <t>Greatest offset inside the tract (ft)</t>
  </si>
  <si>
    <t>Greatest offset outside the tract (ft)</t>
  </si>
  <si>
    <t>Finding under firm standards 3.8</t>
  </si>
  <si>
    <t>Hutchins fence</t>
  </si>
  <si>
    <t>Ballinger fence</t>
  </si>
  <si>
    <t>Farley fence</t>
  </si>
  <si>
    <t>Fences reported as encroachments</t>
  </si>
  <si>
    <t>The tract lies to the right of each course in the order 1, 2, 3, 4, 5, so a post to the right of its course stands inside the tract. Offsets are at right angles to the boundary as computed, under firm standards 3.8.</t>
  </si>
  <si>
    <t>Note to Ellen Vance on the tract 7 analysis</t>
  </si>
  <si>
    <t>Ellen, this is the office analysis on tract 7 for the Cope estate, job 26-2214, from Dwight's traverse of September 29, the ties of September 30, and Colleen's record research of October 1 and 2. The findings page carries every figure the plat will rest on, and each one reads from the tab named beside it.</t>
  </si>
  <si>
    <t>The traverse closes inside the rural standard. The T5 to T6 leg was shot twice, and the two pairs differ by 0.28 foot, so they are not meaned together under firm standards 1.1. The first pair is set aside: the field book puts the county's PK nail 0.28 foot from the hub at T6 on the side toward T5, the first pair is short by that distance, and the loop closes to one part in 5,700 on the first pair against one part in 12,400 on the second. The two pairs on the T2 to T3 leg agree within 0.02 foot and are meaned together. On the shots used the six legs run 2,485.81 feet and miss T1 by 0.186 foot in latitude and 0.078 foot in departure, a linear error of 0.20 foot and a precision of one part in 12,400.</t>
  </si>
  <si>
    <t>The tract is rural on the field dates under firm standards 1.3, as the crew ran it. Parcel 041.00 comes inside the corporate limits of Cookeville under Ordinance O26-07, which takes effect on November 1, 2026, after the field work. The standard is one part in 10,000, and the traverse meets it. The same closure would not meet the urban standard of one part in 15,000.</t>
  </si>
  <si>
    <t>Three entries in the notes file are changed on the field book and the record. The shot to point 202 is reduced from T3 and not from T2, because the field book ties that post from T3 and the shot was taken between the T2 and T4 set-ups. The numbers of points 103 and 203 are exchanged, because the shot coded IRF is the rebar, and it stands 588.80 feet from the pin at corner 2, the distance on the 2008 plat. Every tie distance carries a prism correction of 0.04 foot under firm standards 1.5, since the mini prism of -17.5 mm was shot with the instrument set at -30 mm, and the tie to the stone at corner 5 carries the 0.60 foot the crew taped as well.</t>
  </si>
  <si>
    <t>The deed does not close on its own calls. Reduced on its magnetic bearings, the description runs 2,562.0 feet and misses the point of beginning by 4.69 feet, which is 1.83 feet per 1,000 feet of perimeter. That is a defect in the description under firm standards 3.1. The misclosure bears S 7° 48' W, within one degree of the bearing of the 3-4 call, so the fault lies in the distance of that call.</t>
  </si>
  <si>
    <t>Two original monuments of the tract are found and held, the pin at corner 2 and the stone at corner 4, and no deed course has both. The rotation comes from the line between them under firm standards 3.2. Its deed bearing is computed from the 4-5, 5-1, and 1-2 calls, the 3-4 call being left out as the call in error, and it stands at N 35° 59' W against a measured N 33° 43' W. The rotation is 2° 16' east of the deed bearings, taken to the nearest minute, and every call is rotated by that amount. The same line through the 2-3 and 3-4 calls as written would give 2° 03'.</t>
  </si>
  <si>
    <t>The pin at corner 2 is an original monument, because the 2008 Hutchins survey found the Tolliver pin in place and capped it where it stood. The stone at corner 4 is an original monument, found upright in 1994. The stone at corner 5 is a later monument under firm standards 3.6, because the 1994 survey found it out of the ground and reset it by deed bearing and distance. It lies 0.39 foot from the position the rotated 4-5 call gives from the stone at corner 4, inside the 0.50 foot, and it is held as the corner. The capped pin at corner 1 is a later monument as well. It lies 0.32 foot from the position the rotated 1-2 call gives from the pin at corner 2, and it is held as the corner.</t>
  </si>
  <si>
    <t>The rebar at corner 3 is not held. The 2008 survey set it at the deed distance from corner 2 with no monument found, and it lies 1.11 feet from the position the corner takes under firm standards 3.7. The deed places corner 3 in the west line of Ballinger, and that line runs between the stone at corner 4 and the iron pipe at the Ballinger northwest corner, both called for in Deed Book 377, Page 102. Corner 3 is to be set where the rotated 2-3 course from corner 2 meets that line, at northing 5,492.896 and easting 5,752.444, which is 589.46 feet from corner 2 and 592.58 feet from the stone at corner 4. The stone and the pipe measure 806.70 feet apart against 806.9 feet in the Ballinger deed.</t>
  </si>
  <si>
    <t>The 3-4 call is the one in error, and the field is right. Our transcription of the deed reads 597.2 feet, the measured course is 592.58 feet, and every other call agrees with the field within ten minutes and one foot. The 1978 deed of trust repeats the description and reads 592.7 feet for that call, which is 597.2 with its last two digits exchanged, and with 592.7 feet the deed closes within 0.21 foot. The 597.2 feet is a scrivener's or transcription error under firm standards 3.3, and the plat carries the measured 592.58 feet for that course.</t>
  </si>
  <si>
    <t>The area by coordinates on the five corners as held or set is 430,761 square feet, which is 9.889 acres. The deed recites 9.89 acres more or less, so the computed area is under the deed by 0.001 acre, which is 47 square feet.</t>
  </si>
  <si>
    <t>The Ballinger board fence stands inside the tract along the 3-4 course, by 0.41 foot at its north post, 0.33 foot at the middle post, and 0.12 foot at the post by the stone. That is an encroachment by Ballinger under firm standards 3.8, because the greatest offset is over 0.25 foot. The crew saw that fence east of the line because they sighted from the rebar, which is not the corner. The Hutchins fence stands outside the tract by 0.21 to 0.46 foot, and the Farley fence stands inside it by 0.22 foot at most, so both are occupation notes only.</t>
  </si>
  <si>
    <t>Five things the field evidence leaves open. First, corner 3 has to be set, so the crew goes back before the plat is final. Second, the corner 1 pin and the corner 5 stone are held on the 1994 survey's measurements and not on original marks, so an original mark recovered at either corner would control over them. Third, the register's image of Deed Book 412, Page 233, should be read again at the 3-4 call, because the 1978 deed of trust reads 592.7 feet and the slip may be in our transcription and not in the deed. Fourth, the tract comes inside the city on November 1, 2026, before the closing, and this traverse would not meet the urban standard that applies to field work from that date. Fifth, the Ballinger fence encroachment is for you to show on the plat and to raise with the buyer.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</si>
</sst>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000"/>
    <numFmt numFmtId="167" formatCode="#,##0.000"/>
  </numFmts>
  <fonts count="4" x14ac:knownFonts="1">
    <font>
      <sz val="11"/>
      <color theme="1"/>
      <name val="Calibri"/>
      <family val="2"/>
      <scheme val="minor"/>
    </font>
    <font>
      <b/>
      <sz val="13"/>
      <name val="Calibri"/>
      <family val="2"/>
    </font>
    <font>
      <b/>
      <sz val="11"/>
      <name val="Calibri"/>
      <family val="2"/>
    </font>
    <font>
      <sz val="11"/>
      <name val="Calibri"/>
      <family val="2"/>
    </font>
  </fonts>
  <fills count="3">
    <fill>
      <patternFill patternType="none"/>
    </fill>
    <fill>
      <patternFill patternType="gray125"/>
    </fill>
    <fill>
      <patternFill patternType="solid">
        <fgColor rgb="FFE3E8D9"/>
      </patternFill>
    </fill>
  </fills>
  <borders count="1">
    <border>
      <left/>
      <right/>
      <top/>
      <bottom/>
      <diagonal/>
    </border>
  </borders>
  <cellStyleXfs count="1">
    <xf numFmtId="0" fontId="0" fillId="0" borderId="0"/>
  </cellStyleXfs>
  <cellXfs count="19">
    <xf numFmtId="0" fontId="0" fillId="0" borderId="0" xfId="0"/>
    <xf numFmtId="0" fontId="1" fillId="0" borderId="0" xfId="0" applyFont="1"/>
    <xf numFmtId="0" fontId="3" fillId="0" borderId="0" xfId="0" applyFont="1"/>
    <xf numFmtId="0" fontId="2" fillId="2" borderId="0" xfId="0" applyFont="1" applyFill="1" applyAlignment="1">
      <alignment vertical="top" wrapText="1"/>
    </xf>
    <xf numFmtId="0" fontId="2" fillId="0" borderId="0" xfId="0" applyFont="1"/>
    <xf numFmtId="2" fontId="3" fillId="0" borderId="0" xfId="0" applyNumberFormat="1" applyFont="1" applyAlignment="1">
      <alignment horizontal="left"/>
    </xf>
    <xf numFmtId="164" fontId="3" fillId="0" borderId="0" xfId="0" applyNumberFormat="1" applyFont="1" applyAlignment="1">
      <alignment horizontal="left"/>
    </xf>
    <xf numFmtId="3" fontId="3" fillId="0" borderId="0" xfId="0" applyNumberFormat="1" applyFont="1" applyAlignment="1">
      <alignment horizontal="left"/>
    </xf>
    <xf numFmtId="1" fontId="3" fillId="0" borderId="0" xfId="0" applyNumberFormat="1" applyFont="1" applyAlignment="1">
      <alignment horizontal="left"/>
    </xf>
    <xf numFmtId="0" fontId="3" fillId="0" borderId="0" xfId="0" applyFont="1" applyAlignment="1">
      <alignment horizontal="left"/>
    </xf>
    <xf numFmtId="165" fontId="3" fillId="0" borderId="0" xfId="0" applyNumberFormat="1" applyFont="1" applyAlignment="1">
      <alignment horizontal="left"/>
    </xf>
    <xf numFmtId="0" fontId="3" fillId="0" borderId="0" xfId="0" applyFont="1" applyAlignment="1">
      <alignment vertical="top" wrapText="1"/>
    </xf>
    <xf numFmtId="2" fontId="3" fillId="0" borderId="0" xfId="0" applyNumberFormat="1" applyFont="1"/>
    <xf numFmtId="166" fontId="3" fillId="0" borderId="0" xfId="0" applyNumberFormat="1" applyFont="1"/>
    <xf numFmtId="164" fontId="3" fillId="0" borderId="0" xfId="0" applyNumberFormat="1" applyFont="1"/>
    <xf numFmtId="3" fontId="3" fillId="0" borderId="0" xfId="0" applyNumberFormat="1" applyFont="1"/>
    <xf numFmtId="1" fontId="3" fillId="0" borderId="0" xfId="0" applyNumberFormat="1" applyFont="1"/>
    <xf numFmtId="165" fontId="3" fillId="0" borderId="0" xfId="0" applyNumberFormat="1" applyFont="1"/>
    <xf numFmtId="167" fontId="3"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8"/>
  <sheetViews>
    <sheetView tabSelected="1" workbookViewId="0"/>
  </sheetViews>
  <sheetFormatPr baseColWidth="10" defaultColWidth="8.83203125" defaultRowHeight="15" x14ac:dyDescent="0.2"/>
  <cols>
    <col min="1" max="1" width="60" customWidth="1"/>
    <col min="2" max="2" width="36" customWidth="1"/>
    <col min="3" max="3" width="16" customWidth="1"/>
  </cols>
  <sheetData>
    <row r="1" spans="1:3" ht="17" x14ac:dyDescent="0.2">
      <c r="A1" s="1" t="s">
        <v>0</v>
      </c>
    </row>
    <row r="2" spans="1:3" x14ac:dyDescent="0.2">
      <c r="A2" s="2" t="s">
        <v>1</v>
      </c>
    </row>
    <row r="3" spans="1:3" x14ac:dyDescent="0.2">
      <c r="A3" s="2" t="s">
        <v>2</v>
      </c>
    </row>
    <row r="5" spans="1:3" ht="16" x14ac:dyDescent="0.2">
      <c r="A5" s="3" t="s">
        <v>3</v>
      </c>
      <c r="B5" s="3" t="s">
        <v>4</v>
      </c>
      <c r="C5" s="3" t="s">
        <v>5</v>
      </c>
    </row>
    <row r="6" spans="1:3" x14ac:dyDescent="0.2">
      <c r="A6" s="4" t="s">
        <v>6</v>
      </c>
    </row>
    <row r="7" spans="1:3" x14ac:dyDescent="0.2">
      <c r="A7" s="2" t="s">
        <v>7</v>
      </c>
      <c r="B7" s="5">
        <f>Traverse!B13</f>
        <v>2485.81</v>
      </c>
      <c r="C7" s="2" t="s">
        <v>8</v>
      </c>
    </row>
    <row r="8" spans="1:3" x14ac:dyDescent="0.2">
      <c r="A8" s="2" t="s">
        <v>9</v>
      </c>
      <c r="B8" s="6">
        <f>Traverse!B14</f>
        <v>0.186</v>
      </c>
      <c r="C8" s="2" t="s">
        <v>8</v>
      </c>
    </row>
    <row r="9" spans="1:3" x14ac:dyDescent="0.2">
      <c r="A9" s="2" t="s">
        <v>10</v>
      </c>
      <c r="B9" s="6">
        <f>Traverse!B15</f>
        <v>0.078</v>
      </c>
      <c r="C9" s="2" t="s">
        <v>8</v>
      </c>
    </row>
    <row r="10" spans="1:3" x14ac:dyDescent="0.2">
      <c r="A10" s="2" t="s">
        <v>11</v>
      </c>
      <c r="B10" s="5">
        <f>Traverse!B16</f>
        <v>0.2</v>
      </c>
      <c r="C10" s="2" t="s">
        <v>8</v>
      </c>
    </row>
    <row r="11" spans="1:3" x14ac:dyDescent="0.2">
      <c r="A11" s="2" t="s">
        <v>12</v>
      </c>
      <c r="B11" s="7">
        <f>Traverse!B17</f>
        <v>12400</v>
      </c>
      <c r="C11" s="2" t="s">
        <v>8</v>
      </c>
    </row>
    <row r="12" spans="1:3" x14ac:dyDescent="0.2">
      <c r="A12" s="2" t="s">
        <v>13</v>
      </c>
      <c r="B12" s="8">
        <f>Traverse!E10</f>
        <v>2</v>
      </c>
      <c r="C12" s="2" t="s">
        <v>8</v>
      </c>
    </row>
    <row r="13" spans="1:3" x14ac:dyDescent="0.2">
      <c r="A13" s="2" t="s">
        <v>14</v>
      </c>
      <c r="B13" s="9" t="str">
        <f>Traverse!B18</f>
        <v>Rural</v>
      </c>
      <c r="C13" s="2" t="s">
        <v>15</v>
      </c>
    </row>
    <row r="14" spans="1:3" x14ac:dyDescent="0.2">
      <c r="A14" s="2" t="s">
        <v>16</v>
      </c>
      <c r="B14" s="7">
        <f>Traverse!B19</f>
        <v>10000</v>
      </c>
      <c r="C14" s="2" t="s">
        <v>15</v>
      </c>
    </row>
    <row r="15" spans="1:3" x14ac:dyDescent="0.2">
      <c r="A15" s="2" t="s">
        <v>17</v>
      </c>
      <c r="B15" s="9" t="str">
        <f>Traverse!B20</f>
        <v>Meets the standard</v>
      </c>
      <c r="C15" s="2" t="s">
        <v>8</v>
      </c>
    </row>
    <row r="16" spans="1:3" x14ac:dyDescent="0.2">
      <c r="A16" s="4" t="s">
        <v>18</v>
      </c>
    </row>
    <row r="17" spans="1:3" x14ac:dyDescent="0.2">
      <c r="A17" s="2" t="s">
        <v>19</v>
      </c>
      <c r="B17" s="5">
        <f>Parameters!B24</f>
        <v>0.04</v>
      </c>
      <c r="C17" s="2" t="s">
        <v>15</v>
      </c>
    </row>
    <row r="18" spans="1:3" x14ac:dyDescent="0.2">
      <c r="A18" s="2" t="s">
        <v>20</v>
      </c>
      <c r="B18" s="5">
        <f>Parameters!B25</f>
        <v>0.6</v>
      </c>
      <c r="C18" s="2" t="s">
        <v>15</v>
      </c>
    </row>
    <row r="19" spans="1:3" x14ac:dyDescent="0.2">
      <c r="A19" s="2" t="s">
        <v>21</v>
      </c>
      <c r="B19" s="8">
        <f>COUNTA('Field Notes'!X23:X25)</f>
        <v>3</v>
      </c>
      <c r="C19" s="2" t="s">
        <v>22</v>
      </c>
    </row>
    <row r="20" spans="1:3" x14ac:dyDescent="0.2">
      <c r="A20" s="4" t="s">
        <v>23</v>
      </c>
    </row>
    <row r="21" spans="1:3" x14ac:dyDescent="0.2">
      <c r="A21" s="2" t="s">
        <v>24</v>
      </c>
      <c r="B21" s="5">
        <f>Deed!B15</f>
        <v>4.69</v>
      </c>
      <c r="C21" s="2" t="s">
        <v>25</v>
      </c>
    </row>
    <row r="22" spans="1:3" x14ac:dyDescent="0.2">
      <c r="A22" s="2" t="s">
        <v>26</v>
      </c>
      <c r="B22" s="5">
        <f>Deed!B16</f>
        <v>1.83</v>
      </c>
      <c r="C22" s="2" t="s">
        <v>25</v>
      </c>
    </row>
    <row r="23" spans="1:3" x14ac:dyDescent="0.2">
      <c r="A23" s="2" t="s">
        <v>27</v>
      </c>
      <c r="B23" s="9" t="str">
        <f>Deed!B18</f>
        <v>Defect in the description</v>
      </c>
      <c r="C23" s="2" t="s">
        <v>25</v>
      </c>
    </row>
    <row r="24" spans="1:3" x14ac:dyDescent="0.2">
      <c r="A24" s="2" t="s">
        <v>28</v>
      </c>
      <c r="B24" s="9" t="str">
        <f>Deed!B24</f>
        <v>Stone at corner 4 to pin at corner 2</v>
      </c>
      <c r="C24" s="2" t="s">
        <v>25</v>
      </c>
    </row>
    <row r="25" spans="1:3" x14ac:dyDescent="0.2">
      <c r="A25" s="2" t="s">
        <v>29</v>
      </c>
      <c r="B25" s="9" t="str">
        <f>Deed!B31</f>
        <v>2° 16' east of the deed bearings</v>
      </c>
      <c r="C25" s="2" t="s">
        <v>25</v>
      </c>
    </row>
    <row r="26" spans="1:3" x14ac:dyDescent="0.2">
      <c r="A26" s="2" t="s">
        <v>30</v>
      </c>
      <c r="B26" s="8">
        <f>Deed!B36</f>
        <v>1</v>
      </c>
      <c r="C26" s="2" t="s">
        <v>25</v>
      </c>
    </row>
    <row r="27" spans="1:3" x14ac:dyDescent="0.2">
      <c r="A27" s="2" t="s">
        <v>31</v>
      </c>
      <c r="B27" s="9" t="str">
        <f>Deed!B37</f>
        <v>3-4</v>
      </c>
      <c r="C27" s="2" t="s">
        <v>25</v>
      </c>
    </row>
    <row r="28" spans="1:3" x14ac:dyDescent="0.2">
      <c r="A28" s="2" t="s">
        <v>32</v>
      </c>
      <c r="B28" s="10">
        <f>Deed!B38</f>
        <v>597.2</v>
      </c>
      <c r="C28" s="2" t="s">
        <v>25</v>
      </c>
    </row>
    <row r="29" spans="1:3" x14ac:dyDescent="0.2">
      <c r="A29" s="2" t="s">
        <v>33</v>
      </c>
      <c r="B29" s="5">
        <f>Deed!B39</f>
        <v>592.58</v>
      </c>
      <c r="C29" s="2" t="s">
        <v>25</v>
      </c>
    </row>
    <row r="30" spans="1:3" x14ac:dyDescent="0.2">
      <c r="A30" s="2" t="s">
        <v>34</v>
      </c>
      <c r="B30" s="10">
        <f>Deed!B41</f>
        <v>592.7</v>
      </c>
      <c r="C30" s="2" t="s">
        <v>25</v>
      </c>
    </row>
    <row r="31" spans="1:3" x14ac:dyDescent="0.2">
      <c r="A31" s="2" t="s">
        <v>35</v>
      </c>
      <c r="B31" s="9" t="str">
        <f>Deed!B44</f>
        <v>Scrivener's or transcription error in the 597.2 feet; the measured course stands</v>
      </c>
      <c r="C31" s="2" t="s">
        <v>25</v>
      </c>
    </row>
    <row r="32" spans="1:3" x14ac:dyDescent="0.2">
      <c r="A32" s="4" t="s">
        <v>36</v>
      </c>
    </row>
    <row r="33" spans="1:3" x14ac:dyDescent="0.2">
      <c r="A33" s="2" t="s">
        <v>37</v>
      </c>
      <c r="B33" s="8">
        <f>Corners!B37</f>
        <v>2</v>
      </c>
      <c r="C33" s="2" t="s">
        <v>38</v>
      </c>
    </row>
    <row r="34" spans="1:3" x14ac:dyDescent="0.2">
      <c r="A34" s="2" t="s">
        <v>39</v>
      </c>
      <c r="B34" s="8">
        <f>Corners!B38</f>
        <v>2</v>
      </c>
      <c r="C34" s="2" t="s">
        <v>38</v>
      </c>
    </row>
    <row r="35" spans="1:3" x14ac:dyDescent="0.2">
      <c r="A35" s="2" t="s">
        <v>40</v>
      </c>
      <c r="B35" s="5">
        <f>Corners!K4</f>
        <v>0.32</v>
      </c>
      <c r="C35" s="2" t="s">
        <v>38</v>
      </c>
    </row>
    <row r="36" spans="1:3" x14ac:dyDescent="0.2">
      <c r="A36" s="2" t="s">
        <v>41</v>
      </c>
      <c r="B36" s="5">
        <f>Corners!K8</f>
        <v>0.39</v>
      </c>
      <c r="C36" s="2" t="s">
        <v>38</v>
      </c>
    </row>
    <row r="37" spans="1:3" x14ac:dyDescent="0.2">
      <c r="A37" s="2" t="s">
        <v>42</v>
      </c>
      <c r="B37" s="8">
        <f>Corners!B39</f>
        <v>1</v>
      </c>
      <c r="C37" s="2" t="s">
        <v>38</v>
      </c>
    </row>
    <row r="38" spans="1:3" x14ac:dyDescent="0.2">
      <c r="A38" s="2" t="s">
        <v>43</v>
      </c>
      <c r="B38" s="5">
        <f>Corners!K6</f>
        <v>1.11</v>
      </c>
      <c r="C38" s="2" t="s">
        <v>38</v>
      </c>
    </row>
    <row r="39" spans="1:3" x14ac:dyDescent="0.2">
      <c r="A39" s="2" t="s">
        <v>44</v>
      </c>
      <c r="B39" s="8">
        <f>Corners!B40</f>
        <v>1</v>
      </c>
      <c r="C39" s="2" t="s">
        <v>38</v>
      </c>
    </row>
    <row r="40" spans="1:3" x14ac:dyDescent="0.2">
      <c r="A40" s="2" t="s">
        <v>45</v>
      </c>
      <c r="B40" s="8">
        <f>Corners!B41</f>
        <v>3</v>
      </c>
      <c r="C40" s="2" t="s">
        <v>38</v>
      </c>
    </row>
    <row r="41" spans="1:3" x14ac:dyDescent="0.2">
      <c r="A41" s="2" t="s">
        <v>46</v>
      </c>
      <c r="B41" s="6">
        <f>Corners!C32</f>
        <v>5492.896</v>
      </c>
      <c r="C41" s="2" t="s">
        <v>38</v>
      </c>
    </row>
    <row r="42" spans="1:3" x14ac:dyDescent="0.2">
      <c r="A42" s="2" t="s">
        <v>47</v>
      </c>
      <c r="B42" s="6">
        <f>Corners!D32</f>
        <v>5752.444</v>
      </c>
      <c r="C42" s="2" t="s">
        <v>38</v>
      </c>
    </row>
    <row r="43" spans="1:3" x14ac:dyDescent="0.2">
      <c r="A43" s="2" t="s">
        <v>48</v>
      </c>
      <c r="B43" s="5">
        <f>Corners!G31</f>
        <v>589.46</v>
      </c>
      <c r="C43" s="2" t="s">
        <v>38</v>
      </c>
    </row>
    <row r="44" spans="1:3" x14ac:dyDescent="0.2">
      <c r="A44" s="2" t="s">
        <v>49</v>
      </c>
      <c r="B44" s="5">
        <f>Corners!G32</f>
        <v>592.58</v>
      </c>
      <c r="C44" s="2" t="s">
        <v>38</v>
      </c>
    </row>
    <row r="45" spans="1:3" x14ac:dyDescent="0.2">
      <c r="A45" s="4" t="s">
        <v>50</v>
      </c>
    </row>
    <row r="46" spans="1:3" x14ac:dyDescent="0.2">
      <c r="A46" s="2" t="s">
        <v>51</v>
      </c>
      <c r="B46" s="7">
        <f>Area!B11</f>
        <v>430761</v>
      </c>
      <c r="C46" s="2" t="s">
        <v>50</v>
      </c>
    </row>
    <row r="47" spans="1:3" x14ac:dyDescent="0.2">
      <c r="A47" s="2" t="s">
        <v>52</v>
      </c>
      <c r="B47" s="6">
        <f>Area!B12</f>
        <v>9.889</v>
      </c>
      <c r="C47" s="2" t="s">
        <v>50</v>
      </c>
    </row>
    <row r="48" spans="1:3" x14ac:dyDescent="0.2">
      <c r="A48" s="2" t="s">
        <v>53</v>
      </c>
      <c r="B48" s="5">
        <f>Area!B13</f>
        <v>9.89</v>
      </c>
      <c r="C48" s="2" t="s">
        <v>50</v>
      </c>
    </row>
    <row r="49" spans="1:3" x14ac:dyDescent="0.2">
      <c r="A49" s="2" t="s">
        <v>54</v>
      </c>
      <c r="B49" s="6">
        <f>Area!B14</f>
        <v>-1E-3</v>
      </c>
      <c r="C49" s="2" t="s">
        <v>50</v>
      </c>
    </row>
    <row r="50" spans="1:3" x14ac:dyDescent="0.2">
      <c r="A50" s="4" t="s">
        <v>55</v>
      </c>
    </row>
    <row r="51" spans="1:3" x14ac:dyDescent="0.2">
      <c r="A51" s="2" t="s">
        <v>56</v>
      </c>
      <c r="B51" s="5">
        <f>Fences!F16</f>
        <v>0.46</v>
      </c>
      <c r="C51" s="2" t="s">
        <v>55</v>
      </c>
    </row>
    <row r="52" spans="1:3" x14ac:dyDescent="0.2">
      <c r="A52" s="2" t="s">
        <v>57</v>
      </c>
      <c r="B52" s="9" t="str">
        <f>Fences!G16</f>
        <v>Occupation note only</v>
      </c>
      <c r="C52" s="2" t="s">
        <v>55</v>
      </c>
    </row>
    <row r="53" spans="1:3" x14ac:dyDescent="0.2">
      <c r="A53" s="2" t="s">
        <v>58</v>
      </c>
      <c r="B53" s="5">
        <f>Fences!E17</f>
        <v>0.41</v>
      </c>
      <c r="C53" s="2" t="s">
        <v>55</v>
      </c>
    </row>
    <row r="54" spans="1:3" x14ac:dyDescent="0.2">
      <c r="A54" s="2" t="s">
        <v>59</v>
      </c>
      <c r="B54" s="9" t="str">
        <f>Fences!G17</f>
        <v>Encroachment</v>
      </c>
      <c r="C54" s="2" t="s">
        <v>55</v>
      </c>
    </row>
    <row r="55" spans="1:3" x14ac:dyDescent="0.2">
      <c r="A55" s="2" t="s">
        <v>60</v>
      </c>
      <c r="B55" s="5">
        <f>Fences!E18</f>
        <v>0.22</v>
      </c>
      <c r="C55" s="2" t="s">
        <v>55</v>
      </c>
    </row>
    <row r="56" spans="1:3" x14ac:dyDescent="0.2">
      <c r="A56" s="2" t="s">
        <v>61</v>
      </c>
      <c r="B56" s="9" t="str">
        <f>Fences!G18</f>
        <v>Occupation note only</v>
      </c>
      <c r="C56" s="2" t="s">
        <v>55</v>
      </c>
    </row>
    <row r="58" spans="1:3" x14ac:dyDescent="0.2">
      <c r="A58" s="2" t="s">
        <v>62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9"/>
  <sheetViews>
    <sheetView workbookViewId="0"/>
  </sheetViews>
  <sheetFormatPr baseColWidth="10" defaultColWidth="8.83203125" defaultRowHeight="15" x14ac:dyDescent="0.2"/>
  <cols>
    <col min="1" max="1" width="54" customWidth="1"/>
    <col min="2" max="2" width="14" customWidth="1"/>
    <col min="3" max="3" width="100" customWidth="1"/>
  </cols>
  <sheetData>
    <row r="1" spans="1:3" ht="17" x14ac:dyDescent="0.2">
      <c r="A1" s="1" t="s">
        <v>63</v>
      </c>
    </row>
    <row r="3" spans="1:3" ht="16" x14ac:dyDescent="0.2">
      <c r="A3" s="3" t="s">
        <v>64</v>
      </c>
      <c r="B3" s="3" t="s">
        <v>4</v>
      </c>
      <c r="C3" s="3" t="s">
        <v>65</v>
      </c>
    </row>
    <row r="4" spans="1:3" ht="16" x14ac:dyDescent="0.2">
      <c r="A4" s="2" t="s">
        <v>66</v>
      </c>
      <c r="B4" s="2">
        <v>5000</v>
      </c>
      <c r="C4" s="11" t="s">
        <v>67</v>
      </c>
    </row>
    <row r="5" spans="1:3" ht="16" x14ac:dyDescent="0.2">
      <c r="A5" s="2" t="s">
        <v>68</v>
      </c>
      <c r="B5" s="2">
        <v>5000</v>
      </c>
      <c r="C5" s="11" t="s">
        <v>67</v>
      </c>
    </row>
    <row r="6" spans="1:3" ht="16" x14ac:dyDescent="0.2">
      <c r="A6" s="2" t="s">
        <v>69</v>
      </c>
      <c r="B6" s="2">
        <v>15000</v>
      </c>
      <c r="C6" s="11" t="s">
        <v>70</v>
      </c>
    </row>
    <row r="7" spans="1:3" ht="16" x14ac:dyDescent="0.2">
      <c r="A7" s="2" t="s">
        <v>71</v>
      </c>
      <c r="B7" s="2">
        <v>10000</v>
      </c>
      <c r="C7" s="11" t="s">
        <v>70</v>
      </c>
    </row>
    <row r="8" spans="1:3" ht="32" x14ac:dyDescent="0.2">
      <c r="A8" s="2" t="s">
        <v>14</v>
      </c>
      <c r="B8" s="2" t="s">
        <v>72</v>
      </c>
      <c r="C8" s="11" t="s">
        <v>73</v>
      </c>
    </row>
    <row r="9" spans="1:3" ht="16" x14ac:dyDescent="0.2">
      <c r="A9" s="2" t="s">
        <v>74</v>
      </c>
      <c r="B9" s="2">
        <v>43560</v>
      </c>
      <c r="C9" s="11" t="s">
        <v>75</v>
      </c>
    </row>
    <row r="10" spans="1:3" ht="16" x14ac:dyDescent="0.2">
      <c r="A10" s="2" t="s">
        <v>53</v>
      </c>
      <c r="B10" s="2">
        <v>9.89</v>
      </c>
      <c r="C10" s="11" t="s">
        <v>76</v>
      </c>
    </row>
    <row r="11" spans="1:3" ht="16" x14ac:dyDescent="0.2">
      <c r="A11" s="2" t="s">
        <v>77</v>
      </c>
      <c r="B11" s="2">
        <v>1</v>
      </c>
      <c r="C11" s="11" t="s">
        <v>78</v>
      </c>
    </row>
    <row r="12" spans="1:3" ht="16" x14ac:dyDescent="0.2">
      <c r="A12" s="2" t="s">
        <v>79</v>
      </c>
      <c r="B12" s="2">
        <v>1000</v>
      </c>
      <c r="C12" s="11" t="s">
        <v>78</v>
      </c>
    </row>
    <row r="13" spans="1:3" ht="16" x14ac:dyDescent="0.2">
      <c r="A13" s="2" t="s">
        <v>80</v>
      </c>
      <c r="B13" s="2">
        <v>1</v>
      </c>
      <c r="C13" s="11" t="s">
        <v>81</v>
      </c>
    </row>
    <row r="14" spans="1:3" ht="16" x14ac:dyDescent="0.2">
      <c r="A14" s="2" t="s">
        <v>82</v>
      </c>
      <c r="B14" s="2">
        <v>10</v>
      </c>
      <c r="C14" s="11" t="s">
        <v>81</v>
      </c>
    </row>
    <row r="15" spans="1:3" ht="16" x14ac:dyDescent="0.2">
      <c r="A15" s="2" t="s">
        <v>83</v>
      </c>
      <c r="B15" s="2">
        <v>0.5</v>
      </c>
      <c r="C15" s="11" t="s">
        <v>84</v>
      </c>
    </row>
    <row r="16" spans="1:3" ht="16" x14ac:dyDescent="0.2">
      <c r="A16" s="2" t="s">
        <v>85</v>
      </c>
      <c r="B16" s="2">
        <v>0.25</v>
      </c>
      <c r="C16" s="11" t="s">
        <v>86</v>
      </c>
    </row>
    <row r="17" spans="1:3" ht="16" x14ac:dyDescent="0.2">
      <c r="A17" s="2" t="s">
        <v>87</v>
      </c>
      <c r="B17" s="2">
        <v>60</v>
      </c>
      <c r="C17" s="11" t="s">
        <v>88</v>
      </c>
    </row>
    <row r="18" spans="1:3" ht="16" x14ac:dyDescent="0.2">
      <c r="A18" s="2" t="s">
        <v>89</v>
      </c>
      <c r="B18" s="2">
        <v>3600</v>
      </c>
      <c r="C18" s="11" t="s">
        <v>88</v>
      </c>
    </row>
    <row r="19" spans="1:3" ht="16" x14ac:dyDescent="0.2">
      <c r="A19" s="2" t="s">
        <v>90</v>
      </c>
      <c r="B19" s="2">
        <v>0.05</v>
      </c>
      <c r="C19" s="11" t="s">
        <v>91</v>
      </c>
    </row>
    <row r="20" spans="1:3" ht="16" x14ac:dyDescent="0.2">
      <c r="A20" s="2" t="s">
        <v>92</v>
      </c>
      <c r="B20" s="2">
        <v>20</v>
      </c>
      <c r="C20" s="11" t="s">
        <v>91</v>
      </c>
    </row>
    <row r="21" spans="1:3" ht="16" x14ac:dyDescent="0.2">
      <c r="A21" s="2" t="s">
        <v>93</v>
      </c>
      <c r="B21" s="2">
        <v>-30</v>
      </c>
      <c r="C21" s="11" t="s">
        <v>94</v>
      </c>
    </row>
    <row r="22" spans="1:3" ht="16" x14ac:dyDescent="0.2">
      <c r="A22" s="2" t="s">
        <v>95</v>
      </c>
      <c r="B22" s="2">
        <v>-17.5</v>
      </c>
      <c r="C22" s="11" t="s">
        <v>96</v>
      </c>
    </row>
    <row r="23" spans="1:3" ht="16" x14ac:dyDescent="0.2">
      <c r="A23" s="2" t="s">
        <v>97</v>
      </c>
      <c r="B23" s="2">
        <v>0.3048006</v>
      </c>
      <c r="C23" s="11" t="s">
        <v>98</v>
      </c>
    </row>
    <row r="24" spans="1:3" ht="16" x14ac:dyDescent="0.2">
      <c r="A24" s="2" t="s">
        <v>19</v>
      </c>
      <c r="B24" s="12">
        <f>ROUND((B22-B21)/B29/B23,2)</f>
        <v>0.04</v>
      </c>
      <c r="C24" s="11" t="s">
        <v>99</v>
      </c>
    </row>
    <row r="25" spans="1:3" ht="16" x14ac:dyDescent="0.2">
      <c r="A25" s="2" t="s">
        <v>20</v>
      </c>
      <c r="B25" s="2">
        <v>0.6</v>
      </c>
      <c r="C25" s="11" t="s">
        <v>100</v>
      </c>
    </row>
    <row r="26" spans="1:3" ht="16" x14ac:dyDescent="0.2">
      <c r="A26" s="2" t="s">
        <v>101</v>
      </c>
      <c r="B26" s="2">
        <v>592.7</v>
      </c>
      <c r="C26" s="11" t="s">
        <v>102</v>
      </c>
    </row>
    <row r="27" spans="1:3" ht="16" x14ac:dyDescent="0.2">
      <c r="A27" s="2" t="s">
        <v>103</v>
      </c>
      <c r="B27" s="2">
        <v>588.8</v>
      </c>
      <c r="C27" s="11" t="s">
        <v>104</v>
      </c>
    </row>
    <row r="28" spans="1:3" ht="16" x14ac:dyDescent="0.2">
      <c r="A28" s="2" t="s">
        <v>105</v>
      </c>
      <c r="B28" s="2">
        <v>806.9</v>
      </c>
      <c r="C28" s="11" t="s">
        <v>106</v>
      </c>
    </row>
    <row r="29" spans="1:3" ht="16" x14ac:dyDescent="0.2">
      <c r="A29" s="2" t="s">
        <v>107</v>
      </c>
      <c r="B29" s="2">
        <v>1000</v>
      </c>
      <c r="C29" s="11" t="s">
        <v>108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36"/>
  <sheetViews>
    <sheetView workbookViewId="0"/>
  </sheetViews>
  <sheetFormatPr baseColWidth="10" defaultColWidth="8.83203125" defaultRowHeight="15" x14ac:dyDescent="0.2"/>
  <cols>
    <col min="1" max="1" width="6" customWidth="1"/>
    <col min="2" max="2" width="12" customWidth="1"/>
    <col min="3" max="3" width="7" customWidth="1"/>
    <col min="4" max="5" width="6" customWidth="1"/>
    <col min="6" max="6" width="4" customWidth="1"/>
    <col min="7" max="9" width="5" customWidth="1"/>
    <col min="10" max="10" width="4" customWidth="1"/>
    <col min="11" max="11" width="14" customWidth="1"/>
    <col min="12" max="12" width="7" customWidth="1"/>
    <col min="13" max="13" width="9" customWidth="1"/>
    <col min="14" max="14" width="8" customWidth="1"/>
    <col min="15" max="15" width="12" customWidth="1"/>
    <col min="16" max="16" width="9" customWidth="1"/>
    <col min="17" max="17" width="10" customWidth="1"/>
    <col min="18" max="18" width="13" customWidth="1"/>
    <col min="19" max="19" width="6" customWidth="1"/>
    <col min="20" max="20" width="7" customWidth="1"/>
    <col min="21" max="21" width="11" customWidth="1"/>
    <col min="22" max="22" width="9" customWidth="1"/>
    <col min="23" max="23" width="12" customWidth="1"/>
    <col min="24" max="24" width="84" customWidth="1"/>
  </cols>
  <sheetData>
    <row r="1" spans="1:24" ht="17" x14ac:dyDescent="0.2">
      <c r="A1" s="1" t="s">
        <v>109</v>
      </c>
    </row>
    <row r="3" spans="1:24" ht="48" x14ac:dyDescent="0.2">
      <c r="A3" s="3" t="s">
        <v>110</v>
      </c>
      <c r="B3" s="3" t="s">
        <v>111</v>
      </c>
      <c r="C3" s="3" t="s">
        <v>112</v>
      </c>
      <c r="D3" s="3" t="s">
        <v>113</v>
      </c>
      <c r="E3" s="3" t="s">
        <v>114</v>
      </c>
      <c r="F3" s="3" t="s">
        <v>115</v>
      </c>
      <c r="G3" s="3" t="s">
        <v>116</v>
      </c>
      <c r="H3" s="3" t="s">
        <v>117</v>
      </c>
      <c r="I3" s="3" t="s">
        <v>118</v>
      </c>
      <c r="J3" s="3" t="s">
        <v>119</v>
      </c>
      <c r="K3" s="3" t="s">
        <v>120</v>
      </c>
      <c r="L3" s="3" t="s">
        <v>121</v>
      </c>
      <c r="M3" s="3" t="s">
        <v>122</v>
      </c>
      <c r="N3" s="3" t="s">
        <v>123</v>
      </c>
      <c r="O3" s="3" t="s">
        <v>124</v>
      </c>
      <c r="P3" s="3" t="s">
        <v>125</v>
      </c>
      <c r="Q3" s="3" t="s">
        <v>126</v>
      </c>
      <c r="R3" s="3" t="s">
        <v>127</v>
      </c>
      <c r="S3" s="3" t="s">
        <v>128</v>
      </c>
      <c r="T3" s="3" t="s">
        <v>129</v>
      </c>
      <c r="U3" s="3" t="s">
        <v>130</v>
      </c>
      <c r="V3" s="3" t="s">
        <v>131</v>
      </c>
      <c r="W3" s="3" t="s">
        <v>132</v>
      </c>
      <c r="X3" s="3" t="s">
        <v>133</v>
      </c>
    </row>
    <row r="4" spans="1:24" x14ac:dyDescent="0.2">
      <c r="A4" s="2">
        <v>1</v>
      </c>
      <c r="B4" s="2" t="s">
        <v>134</v>
      </c>
      <c r="C4" s="2" t="s">
        <v>135</v>
      </c>
      <c r="D4" s="2" t="s">
        <v>136</v>
      </c>
      <c r="E4" s="2" t="s">
        <v>137</v>
      </c>
      <c r="F4" s="2" t="s">
        <v>138</v>
      </c>
      <c r="G4" s="2">
        <v>16</v>
      </c>
      <c r="H4" s="2">
        <v>44</v>
      </c>
      <c r="I4" s="2">
        <v>11</v>
      </c>
      <c r="J4" s="2" t="s">
        <v>139</v>
      </c>
      <c r="K4" s="12">
        <v>623.71</v>
      </c>
      <c r="L4" s="2" t="s">
        <v>140</v>
      </c>
      <c r="M4" s="2" t="s">
        <v>136</v>
      </c>
      <c r="N4" s="2" t="s">
        <v>137</v>
      </c>
      <c r="O4" s="13">
        <f>ROUND(IF(AND(F4="N",J4="E"),(G4+H4/Parameters!$B$17+I4/Parameters!$B$18),IF(AND(F4="S",J4="E"),180-(G4+H4/Parameters!$B$17+I4/Parameters!$B$18),IF(AND(F4="S",J4="W"),180+(G4+H4/Parameters!$B$17+I4/Parameters!$B$18),360-(G4+H4/Parameters!$B$17+I4/Parameters!$B$18)))),6)</f>
        <v>16.736389</v>
      </c>
      <c r="P4" s="2" t="str">
        <f>IF(ISNUMBER(MATCH(M4&amp;"-"&amp;N4,Traverse!$A$4:$A$9,0)),M4&amp;"-"&amp;N4,N4&amp;"-"&amp;M4)</f>
        <v>T1-T2</v>
      </c>
      <c r="Q4" s="2" t="str">
        <f t="shared" ref="Q4:Q19" si="0">IF(P4=M4&amp;"-"&amp;N4,"Forward","Reverse")</f>
        <v>Forward</v>
      </c>
      <c r="R4" s="13">
        <f t="shared" ref="R4:R19" si="1">IF(Q4="Forward",O4,ROUND(MOD(O4+180,360),6))</f>
        <v>16.736389</v>
      </c>
      <c r="S4" s="2">
        <v>1</v>
      </c>
      <c r="T4" s="2" t="s">
        <v>141</v>
      </c>
      <c r="W4" s="12">
        <f t="shared" ref="W4:W19" si="2">K4</f>
        <v>623.71</v>
      </c>
    </row>
    <row r="5" spans="1:24" x14ac:dyDescent="0.2">
      <c r="A5" s="2">
        <v>2</v>
      </c>
      <c r="B5" s="2" t="s">
        <v>134</v>
      </c>
      <c r="C5" s="2" t="s">
        <v>142</v>
      </c>
      <c r="D5" s="2" t="s">
        <v>137</v>
      </c>
      <c r="E5" s="2" t="s">
        <v>136</v>
      </c>
      <c r="F5" s="2" t="s">
        <v>143</v>
      </c>
      <c r="G5" s="2">
        <v>16</v>
      </c>
      <c r="H5" s="2">
        <v>44</v>
      </c>
      <c r="I5" s="2">
        <v>7</v>
      </c>
      <c r="J5" s="2" t="s">
        <v>144</v>
      </c>
      <c r="K5" s="12">
        <v>623.67</v>
      </c>
      <c r="L5" s="2" t="s">
        <v>140</v>
      </c>
      <c r="M5" s="2" t="s">
        <v>137</v>
      </c>
      <c r="N5" s="2" t="s">
        <v>136</v>
      </c>
      <c r="O5" s="13">
        <f>ROUND(IF(AND(F5="N",J5="E"),(G5+H5/Parameters!$B$17+I5/Parameters!$B$18),IF(AND(F5="S",J5="E"),180-(G5+H5/Parameters!$B$17+I5/Parameters!$B$18),IF(AND(F5="S",J5="W"),180+(G5+H5/Parameters!$B$17+I5/Parameters!$B$18),360-(G5+H5/Parameters!$B$17+I5/Parameters!$B$18)))),6)</f>
        <v>196.735278</v>
      </c>
      <c r="P5" s="2" t="str">
        <f>IF(ISNUMBER(MATCH(M5&amp;"-"&amp;N5,Traverse!$A$4:$A$9,0)),M5&amp;"-"&amp;N5,N5&amp;"-"&amp;M5)</f>
        <v>T1-T2</v>
      </c>
      <c r="Q5" s="2" t="str">
        <f t="shared" si="0"/>
        <v>Reverse</v>
      </c>
      <c r="R5" s="13">
        <f t="shared" si="1"/>
        <v>16.735278</v>
      </c>
      <c r="S5" s="2">
        <v>1</v>
      </c>
      <c r="T5" s="2" t="s">
        <v>141</v>
      </c>
      <c r="W5" s="12">
        <f t="shared" si="2"/>
        <v>623.67</v>
      </c>
    </row>
    <row r="6" spans="1:24" x14ac:dyDescent="0.2">
      <c r="A6" s="2">
        <v>3</v>
      </c>
      <c r="B6" s="2" t="s">
        <v>134</v>
      </c>
      <c r="C6" s="2" t="s">
        <v>145</v>
      </c>
      <c r="D6" s="2" t="s">
        <v>137</v>
      </c>
      <c r="E6" s="2" t="s">
        <v>146</v>
      </c>
      <c r="F6" s="2" t="s">
        <v>143</v>
      </c>
      <c r="G6" s="2">
        <v>79</v>
      </c>
      <c r="H6" s="2">
        <v>8</v>
      </c>
      <c r="I6" s="2">
        <v>32</v>
      </c>
      <c r="J6" s="2" t="s">
        <v>139</v>
      </c>
      <c r="K6" s="12">
        <v>281.46</v>
      </c>
      <c r="L6" s="2" t="s">
        <v>140</v>
      </c>
      <c r="M6" s="2" t="s">
        <v>137</v>
      </c>
      <c r="N6" s="2" t="s">
        <v>146</v>
      </c>
      <c r="O6" s="13">
        <f>ROUND(IF(AND(F6="N",J6="E"),(G6+H6/Parameters!$B$17+I6/Parameters!$B$18),IF(AND(F6="S",J6="E"),180-(G6+H6/Parameters!$B$17+I6/Parameters!$B$18),IF(AND(F6="S",J6="W"),180+(G6+H6/Parameters!$B$17+I6/Parameters!$B$18),360-(G6+H6/Parameters!$B$17+I6/Parameters!$B$18)))),6)</f>
        <v>100.857778</v>
      </c>
      <c r="P6" s="2" t="str">
        <f>IF(ISNUMBER(MATCH(M6&amp;"-"&amp;N6,Traverse!$A$4:$A$9,0)),M6&amp;"-"&amp;N6,N6&amp;"-"&amp;M6)</f>
        <v>T2-T3</v>
      </c>
      <c r="Q6" s="2" t="str">
        <f t="shared" si="0"/>
        <v>Forward</v>
      </c>
      <c r="R6" s="13">
        <f t="shared" si="1"/>
        <v>100.857778</v>
      </c>
      <c r="S6" s="2">
        <v>1</v>
      </c>
      <c r="T6" s="2" t="s">
        <v>141</v>
      </c>
      <c r="W6" s="12">
        <f t="shared" si="2"/>
        <v>281.46</v>
      </c>
    </row>
    <row r="7" spans="1:24" x14ac:dyDescent="0.2">
      <c r="A7" s="2">
        <v>4</v>
      </c>
      <c r="B7" s="2" t="s">
        <v>134</v>
      </c>
      <c r="C7" s="2" t="s">
        <v>147</v>
      </c>
      <c r="D7" s="2" t="s">
        <v>137</v>
      </c>
      <c r="E7" s="2" t="s">
        <v>146</v>
      </c>
      <c r="F7" s="2" t="s">
        <v>143</v>
      </c>
      <c r="G7" s="2">
        <v>79</v>
      </c>
      <c r="H7" s="2">
        <v>8</v>
      </c>
      <c r="I7" s="2">
        <v>36</v>
      </c>
      <c r="J7" s="2" t="s">
        <v>139</v>
      </c>
      <c r="K7" s="12">
        <v>281.44</v>
      </c>
      <c r="L7" s="2" t="s">
        <v>140</v>
      </c>
      <c r="M7" s="2" t="s">
        <v>137</v>
      </c>
      <c r="N7" s="2" t="s">
        <v>146</v>
      </c>
      <c r="O7" s="13">
        <f>ROUND(IF(AND(F7="N",J7="E"),(G7+H7/Parameters!$B$17+I7/Parameters!$B$18),IF(AND(F7="S",J7="E"),180-(G7+H7/Parameters!$B$17+I7/Parameters!$B$18),IF(AND(F7="S",J7="W"),180+(G7+H7/Parameters!$B$17+I7/Parameters!$B$18),360-(G7+H7/Parameters!$B$17+I7/Parameters!$B$18)))),6)</f>
        <v>100.856667</v>
      </c>
      <c r="P7" s="2" t="str">
        <f>IF(ISNUMBER(MATCH(M7&amp;"-"&amp;N7,Traverse!$A$4:$A$9,0)),M7&amp;"-"&amp;N7,N7&amp;"-"&amp;M7)</f>
        <v>T2-T3</v>
      </c>
      <c r="Q7" s="2" t="str">
        <f t="shared" si="0"/>
        <v>Forward</v>
      </c>
      <c r="R7" s="13">
        <f t="shared" si="1"/>
        <v>100.856667</v>
      </c>
      <c r="S7" s="2">
        <v>2</v>
      </c>
      <c r="T7" s="2" t="s">
        <v>141</v>
      </c>
      <c r="W7" s="12">
        <f t="shared" si="2"/>
        <v>281.44</v>
      </c>
    </row>
    <row r="8" spans="1:24" x14ac:dyDescent="0.2">
      <c r="A8" s="2">
        <v>5</v>
      </c>
      <c r="B8" s="2" t="s">
        <v>134</v>
      </c>
      <c r="C8" s="2" t="s">
        <v>148</v>
      </c>
      <c r="D8" s="2" t="s">
        <v>146</v>
      </c>
      <c r="E8" s="2" t="s">
        <v>137</v>
      </c>
      <c r="F8" s="2" t="s">
        <v>138</v>
      </c>
      <c r="G8" s="2">
        <v>79</v>
      </c>
      <c r="H8" s="2">
        <v>8</v>
      </c>
      <c r="I8" s="2">
        <v>39</v>
      </c>
      <c r="J8" s="2" t="s">
        <v>144</v>
      </c>
      <c r="K8" s="12">
        <v>281.44</v>
      </c>
      <c r="L8" s="2" t="s">
        <v>140</v>
      </c>
      <c r="M8" s="2" t="s">
        <v>146</v>
      </c>
      <c r="N8" s="2" t="s">
        <v>137</v>
      </c>
      <c r="O8" s="13">
        <f>ROUND(IF(AND(F8="N",J8="E"),(G8+H8/Parameters!$B$17+I8/Parameters!$B$18),IF(AND(F8="S",J8="E"),180-(G8+H8/Parameters!$B$17+I8/Parameters!$B$18),IF(AND(F8="S",J8="W"),180+(G8+H8/Parameters!$B$17+I8/Parameters!$B$18),360-(G8+H8/Parameters!$B$17+I8/Parameters!$B$18)))),6)</f>
        <v>280.855833</v>
      </c>
      <c r="P8" s="2" t="str">
        <f>IF(ISNUMBER(MATCH(M8&amp;"-"&amp;N8,Traverse!$A$4:$A$9,0)),M8&amp;"-"&amp;N8,N8&amp;"-"&amp;M8)</f>
        <v>T2-T3</v>
      </c>
      <c r="Q8" s="2" t="str">
        <f t="shared" si="0"/>
        <v>Reverse</v>
      </c>
      <c r="R8" s="13">
        <f t="shared" si="1"/>
        <v>100.855833</v>
      </c>
      <c r="S8" s="2">
        <v>1</v>
      </c>
      <c r="T8" s="2" t="s">
        <v>141</v>
      </c>
      <c r="W8" s="12">
        <f t="shared" si="2"/>
        <v>281.44</v>
      </c>
    </row>
    <row r="9" spans="1:24" x14ac:dyDescent="0.2">
      <c r="A9" s="2">
        <v>6</v>
      </c>
      <c r="B9" s="2" t="s">
        <v>134</v>
      </c>
      <c r="C9" s="2" t="s">
        <v>149</v>
      </c>
      <c r="D9" s="2" t="s">
        <v>146</v>
      </c>
      <c r="E9" s="2" t="s">
        <v>137</v>
      </c>
      <c r="F9" s="2" t="s">
        <v>138</v>
      </c>
      <c r="G9" s="2">
        <v>79</v>
      </c>
      <c r="H9" s="2">
        <v>8</v>
      </c>
      <c r="I9" s="2">
        <v>41</v>
      </c>
      <c r="J9" s="2" t="s">
        <v>144</v>
      </c>
      <c r="K9" s="12">
        <v>281.42</v>
      </c>
      <c r="L9" s="2" t="s">
        <v>140</v>
      </c>
      <c r="M9" s="2" t="s">
        <v>146</v>
      </c>
      <c r="N9" s="2" t="s">
        <v>137</v>
      </c>
      <c r="O9" s="13">
        <f>ROUND(IF(AND(F9="N",J9="E"),(G9+H9/Parameters!$B$17+I9/Parameters!$B$18),IF(AND(F9="S",J9="E"),180-(G9+H9/Parameters!$B$17+I9/Parameters!$B$18),IF(AND(F9="S",J9="W"),180+(G9+H9/Parameters!$B$17+I9/Parameters!$B$18),360-(G9+H9/Parameters!$B$17+I9/Parameters!$B$18)))),6)</f>
        <v>280.855278</v>
      </c>
      <c r="P9" s="2" t="str">
        <f>IF(ISNUMBER(MATCH(M9&amp;"-"&amp;N9,Traverse!$A$4:$A$9,0)),M9&amp;"-"&amp;N9,N9&amp;"-"&amp;M9)</f>
        <v>T2-T3</v>
      </c>
      <c r="Q9" s="2" t="str">
        <f t="shared" si="0"/>
        <v>Reverse</v>
      </c>
      <c r="R9" s="13">
        <f t="shared" si="1"/>
        <v>100.855278</v>
      </c>
      <c r="S9" s="2">
        <v>2</v>
      </c>
      <c r="T9" s="2" t="s">
        <v>141</v>
      </c>
      <c r="W9" s="12">
        <f t="shared" si="2"/>
        <v>281.42</v>
      </c>
    </row>
    <row r="10" spans="1:24" x14ac:dyDescent="0.2">
      <c r="A10" s="2">
        <v>7</v>
      </c>
      <c r="B10" s="2" t="s">
        <v>134</v>
      </c>
      <c r="C10" s="2" t="s">
        <v>150</v>
      </c>
      <c r="D10" s="2" t="s">
        <v>146</v>
      </c>
      <c r="E10" s="2" t="s">
        <v>151</v>
      </c>
      <c r="F10" s="2" t="s">
        <v>143</v>
      </c>
      <c r="G10" s="2">
        <v>78</v>
      </c>
      <c r="H10" s="2">
        <v>11</v>
      </c>
      <c r="I10" s="2">
        <v>47</v>
      </c>
      <c r="J10" s="2" t="s">
        <v>139</v>
      </c>
      <c r="K10" s="12">
        <v>290.5</v>
      </c>
      <c r="L10" s="2" t="s">
        <v>140</v>
      </c>
      <c r="M10" s="2" t="s">
        <v>146</v>
      </c>
      <c r="N10" s="2" t="s">
        <v>151</v>
      </c>
      <c r="O10" s="13">
        <f>ROUND(IF(AND(F10="N",J10="E"),(G10+H10/Parameters!$B$17+I10/Parameters!$B$18),IF(AND(F10="S",J10="E"),180-(G10+H10/Parameters!$B$17+I10/Parameters!$B$18),IF(AND(F10="S",J10="W"),180+(G10+H10/Parameters!$B$17+I10/Parameters!$B$18),360-(G10+H10/Parameters!$B$17+I10/Parameters!$B$18)))),6)</f>
        <v>101.803611</v>
      </c>
      <c r="P10" s="2" t="str">
        <f>IF(ISNUMBER(MATCH(M10&amp;"-"&amp;N10,Traverse!$A$4:$A$9,0)),M10&amp;"-"&amp;N10,N10&amp;"-"&amp;M10)</f>
        <v>T3-T4</v>
      </c>
      <c r="Q10" s="2" t="str">
        <f t="shared" si="0"/>
        <v>Forward</v>
      </c>
      <c r="R10" s="13">
        <f t="shared" si="1"/>
        <v>101.803611</v>
      </c>
      <c r="S10" s="2">
        <v>1</v>
      </c>
      <c r="T10" s="2" t="s">
        <v>141</v>
      </c>
      <c r="W10" s="12">
        <f t="shared" si="2"/>
        <v>290.5</v>
      </c>
    </row>
    <row r="11" spans="1:24" x14ac:dyDescent="0.2">
      <c r="A11" s="2">
        <v>8</v>
      </c>
      <c r="B11" s="2" t="s">
        <v>134</v>
      </c>
      <c r="C11" s="2" t="s">
        <v>152</v>
      </c>
      <c r="D11" s="2" t="s">
        <v>151</v>
      </c>
      <c r="E11" s="2" t="s">
        <v>146</v>
      </c>
      <c r="F11" s="2" t="s">
        <v>138</v>
      </c>
      <c r="G11" s="2">
        <v>78</v>
      </c>
      <c r="H11" s="2">
        <v>11</v>
      </c>
      <c r="I11" s="2">
        <v>51</v>
      </c>
      <c r="J11" s="2" t="s">
        <v>144</v>
      </c>
      <c r="K11" s="12">
        <v>290.52</v>
      </c>
      <c r="L11" s="2" t="s">
        <v>140</v>
      </c>
      <c r="M11" s="2" t="s">
        <v>151</v>
      </c>
      <c r="N11" s="2" t="s">
        <v>146</v>
      </c>
      <c r="O11" s="13">
        <f>ROUND(IF(AND(F11="N",J11="E"),(G11+H11/Parameters!$B$17+I11/Parameters!$B$18),IF(AND(F11="S",J11="E"),180-(G11+H11/Parameters!$B$17+I11/Parameters!$B$18),IF(AND(F11="S",J11="W"),180+(G11+H11/Parameters!$B$17+I11/Parameters!$B$18),360-(G11+H11/Parameters!$B$17+I11/Parameters!$B$18)))),6)</f>
        <v>281.8025</v>
      </c>
      <c r="P11" s="2" t="str">
        <f>IF(ISNUMBER(MATCH(M11&amp;"-"&amp;N11,Traverse!$A$4:$A$9,0)),M11&amp;"-"&amp;N11,N11&amp;"-"&amp;M11)</f>
        <v>T3-T4</v>
      </c>
      <c r="Q11" s="2" t="str">
        <f t="shared" si="0"/>
        <v>Reverse</v>
      </c>
      <c r="R11" s="13">
        <f t="shared" si="1"/>
        <v>101.8025</v>
      </c>
      <c r="S11" s="2">
        <v>1</v>
      </c>
      <c r="T11" s="2" t="s">
        <v>141</v>
      </c>
      <c r="W11" s="12">
        <f t="shared" si="2"/>
        <v>290.52</v>
      </c>
    </row>
    <row r="12" spans="1:24" x14ac:dyDescent="0.2">
      <c r="A12" s="2">
        <v>9</v>
      </c>
      <c r="B12" s="2" t="s">
        <v>134</v>
      </c>
      <c r="C12" s="2" t="s">
        <v>153</v>
      </c>
      <c r="D12" s="2" t="s">
        <v>151</v>
      </c>
      <c r="E12" s="2" t="s">
        <v>154</v>
      </c>
      <c r="F12" s="2" t="s">
        <v>143</v>
      </c>
      <c r="G12" s="2">
        <v>11</v>
      </c>
      <c r="H12" s="2">
        <v>1</v>
      </c>
      <c r="I12" s="2">
        <v>50</v>
      </c>
      <c r="J12" s="2" t="s">
        <v>144</v>
      </c>
      <c r="K12" s="12">
        <v>574.64</v>
      </c>
      <c r="L12" s="2" t="s">
        <v>140</v>
      </c>
      <c r="M12" s="2" t="s">
        <v>151</v>
      </c>
      <c r="N12" s="2" t="s">
        <v>154</v>
      </c>
      <c r="O12" s="13">
        <f>ROUND(IF(AND(F12="N",J12="E"),(G12+H12/Parameters!$B$17+I12/Parameters!$B$18),IF(AND(F12="S",J12="E"),180-(G12+H12/Parameters!$B$17+I12/Parameters!$B$18),IF(AND(F12="S",J12="W"),180+(G12+H12/Parameters!$B$17+I12/Parameters!$B$18),360-(G12+H12/Parameters!$B$17+I12/Parameters!$B$18)))),6)</f>
        <v>191.030556</v>
      </c>
      <c r="P12" s="2" t="str">
        <f>IF(ISNUMBER(MATCH(M12&amp;"-"&amp;N12,Traverse!$A$4:$A$9,0)),M12&amp;"-"&amp;N12,N12&amp;"-"&amp;M12)</f>
        <v>T4-T5</v>
      </c>
      <c r="Q12" s="2" t="str">
        <f t="shared" si="0"/>
        <v>Forward</v>
      </c>
      <c r="R12" s="13">
        <f t="shared" si="1"/>
        <v>191.030556</v>
      </c>
      <c r="S12" s="2">
        <v>1</v>
      </c>
      <c r="T12" s="2" t="s">
        <v>141</v>
      </c>
      <c r="W12" s="12">
        <f t="shared" si="2"/>
        <v>574.64</v>
      </c>
    </row>
    <row r="13" spans="1:24" x14ac:dyDescent="0.2">
      <c r="A13" s="2">
        <v>10</v>
      </c>
      <c r="B13" s="2" t="s">
        <v>134</v>
      </c>
      <c r="C13" s="2" t="s">
        <v>155</v>
      </c>
      <c r="D13" s="2" t="s">
        <v>154</v>
      </c>
      <c r="E13" s="2" t="s">
        <v>151</v>
      </c>
      <c r="F13" s="2" t="s">
        <v>138</v>
      </c>
      <c r="G13" s="2">
        <v>11</v>
      </c>
      <c r="H13" s="2">
        <v>1</v>
      </c>
      <c r="I13" s="2">
        <v>56</v>
      </c>
      <c r="J13" s="2" t="s">
        <v>139</v>
      </c>
      <c r="K13" s="12">
        <v>574.6</v>
      </c>
      <c r="L13" s="2" t="s">
        <v>140</v>
      </c>
      <c r="M13" s="2" t="s">
        <v>154</v>
      </c>
      <c r="N13" s="2" t="s">
        <v>151</v>
      </c>
      <c r="O13" s="13">
        <f>ROUND(IF(AND(F13="N",J13="E"),(G13+H13/Parameters!$B$17+I13/Parameters!$B$18),IF(AND(F13="S",J13="E"),180-(G13+H13/Parameters!$B$17+I13/Parameters!$B$18),IF(AND(F13="S",J13="W"),180+(G13+H13/Parameters!$B$17+I13/Parameters!$B$18),360-(G13+H13/Parameters!$B$17+I13/Parameters!$B$18)))),6)</f>
        <v>11.032222</v>
      </c>
      <c r="P13" s="2" t="str">
        <f>IF(ISNUMBER(MATCH(M13&amp;"-"&amp;N13,Traverse!$A$4:$A$9,0)),M13&amp;"-"&amp;N13,N13&amp;"-"&amp;M13)</f>
        <v>T4-T5</v>
      </c>
      <c r="Q13" s="2" t="str">
        <f t="shared" si="0"/>
        <v>Reverse</v>
      </c>
      <c r="R13" s="13">
        <f t="shared" si="1"/>
        <v>191.032222</v>
      </c>
      <c r="S13" s="2">
        <v>1</v>
      </c>
      <c r="T13" s="2" t="s">
        <v>141</v>
      </c>
      <c r="W13" s="12">
        <f t="shared" si="2"/>
        <v>574.6</v>
      </c>
    </row>
    <row r="14" spans="1:24" x14ac:dyDescent="0.2">
      <c r="A14" s="2">
        <v>11</v>
      </c>
      <c r="B14" s="2" t="s">
        <v>134</v>
      </c>
      <c r="C14" s="2" t="s">
        <v>156</v>
      </c>
      <c r="D14" s="2" t="s">
        <v>154</v>
      </c>
      <c r="E14" s="2" t="s">
        <v>157</v>
      </c>
      <c r="F14" s="2" t="s">
        <v>143</v>
      </c>
      <c r="G14" s="2">
        <v>80</v>
      </c>
      <c r="H14" s="2">
        <v>8</v>
      </c>
      <c r="I14" s="2">
        <v>36</v>
      </c>
      <c r="J14" s="2" t="s">
        <v>144</v>
      </c>
      <c r="K14" s="12">
        <v>501.01</v>
      </c>
      <c r="L14" s="2" t="s">
        <v>140</v>
      </c>
      <c r="M14" s="2" t="s">
        <v>154</v>
      </c>
      <c r="N14" s="2" t="s">
        <v>157</v>
      </c>
      <c r="O14" s="13">
        <f>ROUND(IF(AND(F14="N",J14="E"),(G14+H14/Parameters!$B$17+I14/Parameters!$B$18),IF(AND(F14="S",J14="E"),180-(G14+H14/Parameters!$B$17+I14/Parameters!$B$18),IF(AND(F14="S",J14="W"),180+(G14+H14/Parameters!$B$17+I14/Parameters!$B$18),360-(G14+H14/Parameters!$B$17+I14/Parameters!$B$18)))),6)</f>
        <v>260.143333</v>
      </c>
      <c r="P14" s="2" t="str">
        <f>IF(ISNUMBER(MATCH(M14&amp;"-"&amp;N14,Traverse!$A$4:$A$9,0)),M14&amp;"-"&amp;N14,N14&amp;"-"&amp;M14)</f>
        <v>T5-T6</v>
      </c>
      <c r="Q14" s="2" t="str">
        <f t="shared" si="0"/>
        <v>Forward</v>
      </c>
      <c r="R14" s="13">
        <f t="shared" si="1"/>
        <v>260.143333</v>
      </c>
      <c r="S14" s="2">
        <v>1</v>
      </c>
      <c r="T14" s="2" t="s">
        <v>158</v>
      </c>
      <c r="W14" s="12">
        <f t="shared" si="2"/>
        <v>501.01</v>
      </c>
      <c r="X14" s="2" t="s">
        <v>159</v>
      </c>
    </row>
    <row r="15" spans="1:24" x14ac:dyDescent="0.2">
      <c r="A15" s="2">
        <v>12</v>
      </c>
      <c r="B15" s="2" t="s">
        <v>134</v>
      </c>
      <c r="C15" s="2" t="s">
        <v>160</v>
      </c>
      <c r="D15" s="2" t="s">
        <v>157</v>
      </c>
      <c r="E15" s="2" t="s">
        <v>154</v>
      </c>
      <c r="F15" s="2" t="s">
        <v>138</v>
      </c>
      <c r="G15" s="2">
        <v>80</v>
      </c>
      <c r="H15" s="2">
        <v>8</v>
      </c>
      <c r="I15" s="2">
        <v>32</v>
      </c>
      <c r="J15" s="2" t="s">
        <v>139</v>
      </c>
      <c r="K15" s="12">
        <v>501.03</v>
      </c>
      <c r="L15" s="2" t="s">
        <v>140</v>
      </c>
      <c r="M15" s="2" t="s">
        <v>157</v>
      </c>
      <c r="N15" s="2" t="s">
        <v>154</v>
      </c>
      <c r="O15" s="13">
        <f>ROUND(IF(AND(F15="N",J15="E"),(G15+H15/Parameters!$B$17+I15/Parameters!$B$18),IF(AND(F15="S",J15="E"),180-(G15+H15/Parameters!$B$17+I15/Parameters!$B$18),IF(AND(F15="S",J15="W"),180+(G15+H15/Parameters!$B$17+I15/Parameters!$B$18),360-(G15+H15/Parameters!$B$17+I15/Parameters!$B$18)))),6)</f>
        <v>80.142222</v>
      </c>
      <c r="P15" s="2" t="str">
        <f>IF(ISNUMBER(MATCH(M15&amp;"-"&amp;N15,Traverse!$A$4:$A$9,0)),M15&amp;"-"&amp;N15,N15&amp;"-"&amp;M15)</f>
        <v>T5-T6</v>
      </c>
      <c r="Q15" s="2" t="str">
        <f t="shared" si="0"/>
        <v>Reverse</v>
      </c>
      <c r="R15" s="13">
        <f t="shared" si="1"/>
        <v>260.142222</v>
      </c>
      <c r="S15" s="2">
        <v>1</v>
      </c>
      <c r="T15" s="2" t="s">
        <v>158</v>
      </c>
      <c r="W15" s="12">
        <f t="shared" si="2"/>
        <v>501.03</v>
      </c>
      <c r="X15" s="2" t="s">
        <v>161</v>
      </c>
    </row>
    <row r="16" spans="1:24" x14ac:dyDescent="0.2">
      <c r="A16" s="2">
        <v>13</v>
      </c>
      <c r="B16" s="2" t="s">
        <v>134</v>
      </c>
      <c r="C16" s="2" t="s">
        <v>162</v>
      </c>
      <c r="D16" s="2" t="s">
        <v>157</v>
      </c>
      <c r="E16" s="2" t="s">
        <v>154</v>
      </c>
      <c r="F16" s="2" t="s">
        <v>138</v>
      </c>
      <c r="G16" s="2">
        <v>80</v>
      </c>
      <c r="H16" s="2">
        <v>8</v>
      </c>
      <c r="I16" s="2">
        <v>24</v>
      </c>
      <c r="J16" s="2" t="s">
        <v>139</v>
      </c>
      <c r="K16" s="12">
        <v>501.31</v>
      </c>
      <c r="L16" s="2" t="s">
        <v>140</v>
      </c>
      <c r="M16" s="2" t="s">
        <v>157</v>
      </c>
      <c r="N16" s="2" t="s">
        <v>154</v>
      </c>
      <c r="O16" s="13">
        <f>ROUND(IF(AND(F16="N",J16="E"),(G16+H16/Parameters!$B$17+I16/Parameters!$B$18),IF(AND(F16="S",J16="E"),180-(G16+H16/Parameters!$B$17+I16/Parameters!$B$18),IF(AND(F16="S",J16="W"),180+(G16+H16/Parameters!$B$17+I16/Parameters!$B$18),360-(G16+H16/Parameters!$B$17+I16/Parameters!$B$18)))),6)</f>
        <v>80.14</v>
      </c>
      <c r="P16" s="2" t="str">
        <f>IF(ISNUMBER(MATCH(M16&amp;"-"&amp;N16,Traverse!$A$4:$A$9,0)),M16&amp;"-"&amp;N16,N16&amp;"-"&amp;M16)</f>
        <v>T5-T6</v>
      </c>
      <c r="Q16" s="2" t="str">
        <f t="shared" si="0"/>
        <v>Reverse</v>
      </c>
      <c r="R16" s="13">
        <f t="shared" si="1"/>
        <v>260.14</v>
      </c>
      <c r="S16" s="2">
        <v>2</v>
      </c>
      <c r="T16" s="2" t="s">
        <v>141</v>
      </c>
      <c r="W16" s="12">
        <f t="shared" si="2"/>
        <v>501.31</v>
      </c>
    </row>
    <row r="17" spans="1:24" x14ac:dyDescent="0.2">
      <c r="A17" s="2">
        <v>14</v>
      </c>
      <c r="B17" s="2" t="s">
        <v>134</v>
      </c>
      <c r="C17" s="2" t="s">
        <v>163</v>
      </c>
      <c r="D17" s="2" t="s">
        <v>154</v>
      </c>
      <c r="E17" s="2" t="s">
        <v>157</v>
      </c>
      <c r="F17" s="2" t="s">
        <v>143</v>
      </c>
      <c r="G17" s="2">
        <v>80</v>
      </c>
      <c r="H17" s="2">
        <v>8</v>
      </c>
      <c r="I17" s="2">
        <v>28</v>
      </c>
      <c r="J17" s="2" t="s">
        <v>144</v>
      </c>
      <c r="K17" s="12">
        <v>501.29</v>
      </c>
      <c r="L17" s="2" t="s">
        <v>140</v>
      </c>
      <c r="M17" s="2" t="s">
        <v>154</v>
      </c>
      <c r="N17" s="2" t="s">
        <v>157</v>
      </c>
      <c r="O17" s="13">
        <f>ROUND(IF(AND(F17="N",J17="E"),(G17+H17/Parameters!$B$17+I17/Parameters!$B$18),IF(AND(F17="S",J17="E"),180-(G17+H17/Parameters!$B$17+I17/Parameters!$B$18),IF(AND(F17="S",J17="W"),180+(G17+H17/Parameters!$B$17+I17/Parameters!$B$18),360-(G17+H17/Parameters!$B$17+I17/Parameters!$B$18)))),6)</f>
        <v>260.141111</v>
      </c>
      <c r="P17" s="2" t="str">
        <f>IF(ISNUMBER(MATCH(M17&amp;"-"&amp;N17,Traverse!$A$4:$A$9,0)),M17&amp;"-"&amp;N17,N17&amp;"-"&amp;M17)</f>
        <v>T5-T6</v>
      </c>
      <c r="Q17" s="2" t="str">
        <f t="shared" si="0"/>
        <v>Forward</v>
      </c>
      <c r="R17" s="13">
        <f t="shared" si="1"/>
        <v>260.141111</v>
      </c>
      <c r="S17" s="2">
        <v>2</v>
      </c>
      <c r="T17" s="2" t="s">
        <v>141</v>
      </c>
      <c r="W17" s="12">
        <f t="shared" si="2"/>
        <v>501.29</v>
      </c>
    </row>
    <row r="18" spans="1:24" x14ac:dyDescent="0.2">
      <c r="A18" s="2">
        <v>15</v>
      </c>
      <c r="B18" s="2" t="s">
        <v>134</v>
      </c>
      <c r="C18" s="2" t="s">
        <v>164</v>
      </c>
      <c r="D18" s="2" t="s">
        <v>157</v>
      </c>
      <c r="E18" s="2" t="s">
        <v>136</v>
      </c>
      <c r="F18" s="2" t="s">
        <v>138</v>
      </c>
      <c r="G18" s="2">
        <v>39</v>
      </c>
      <c r="H18" s="2">
        <v>33</v>
      </c>
      <c r="I18" s="2">
        <v>22</v>
      </c>
      <c r="J18" s="2" t="s">
        <v>144</v>
      </c>
      <c r="K18" s="12">
        <v>214.26</v>
      </c>
      <c r="L18" s="2" t="s">
        <v>140</v>
      </c>
      <c r="M18" s="2" t="s">
        <v>157</v>
      </c>
      <c r="N18" s="2" t="s">
        <v>136</v>
      </c>
      <c r="O18" s="13">
        <f>ROUND(IF(AND(F18="N",J18="E"),(G18+H18/Parameters!$B$17+I18/Parameters!$B$18),IF(AND(F18="S",J18="E"),180-(G18+H18/Parameters!$B$17+I18/Parameters!$B$18),IF(AND(F18="S",J18="W"),180+(G18+H18/Parameters!$B$17+I18/Parameters!$B$18),360-(G18+H18/Parameters!$B$17+I18/Parameters!$B$18)))),6)</f>
        <v>320.443889</v>
      </c>
      <c r="P18" s="2" t="str">
        <f>IF(ISNUMBER(MATCH(M18&amp;"-"&amp;N18,Traverse!$A$4:$A$9,0)),M18&amp;"-"&amp;N18,N18&amp;"-"&amp;M18)</f>
        <v>T6-T1</v>
      </c>
      <c r="Q18" s="2" t="str">
        <f t="shared" si="0"/>
        <v>Forward</v>
      </c>
      <c r="R18" s="13">
        <f t="shared" si="1"/>
        <v>320.443889</v>
      </c>
      <c r="S18" s="2">
        <v>1</v>
      </c>
      <c r="T18" s="2" t="s">
        <v>141</v>
      </c>
      <c r="W18" s="12">
        <f t="shared" si="2"/>
        <v>214.26</v>
      </c>
    </row>
    <row r="19" spans="1:24" x14ac:dyDescent="0.2">
      <c r="A19" s="2">
        <v>16</v>
      </c>
      <c r="B19" s="2" t="s">
        <v>134</v>
      </c>
      <c r="C19" s="2" t="s">
        <v>165</v>
      </c>
      <c r="D19" s="2" t="s">
        <v>136</v>
      </c>
      <c r="E19" s="2" t="s">
        <v>157</v>
      </c>
      <c r="F19" s="2" t="s">
        <v>143</v>
      </c>
      <c r="G19" s="2">
        <v>39</v>
      </c>
      <c r="H19" s="2">
        <v>33</v>
      </c>
      <c r="I19" s="2">
        <v>24</v>
      </c>
      <c r="J19" s="2" t="s">
        <v>139</v>
      </c>
      <c r="K19" s="12">
        <v>214.24</v>
      </c>
      <c r="L19" s="2" t="s">
        <v>140</v>
      </c>
      <c r="M19" s="2" t="s">
        <v>136</v>
      </c>
      <c r="N19" s="2" t="s">
        <v>157</v>
      </c>
      <c r="O19" s="13">
        <f>ROUND(IF(AND(F19="N",J19="E"),(G19+H19/Parameters!$B$17+I19/Parameters!$B$18),IF(AND(F19="S",J19="E"),180-(G19+H19/Parameters!$B$17+I19/Parameters!$B$18),IF(AND(F19="S",J19="W"),180+(G19+H19/Parameters!$B$17+I19/Parameters!$B$18),360-(G19+H19/Parameters!$B$17+I19/Parameters!$B$18)))),6)</f>
        <v>140.443333</v>
      </c>
      <c r="P19" s="2" t="str">
        <f>IF(ISNUMBER(MATCH(M19&amp;"-"&amp;N19,Traverse!$A$4:$A$9,0)),M19&amp;"-"&amp;N19,N19&amp;"-"&amp;M19)</f>
        <v>T6-T1</v>
      </c>
      <c r="Q19" s="2" t="str">
        <f t="shared" si="0"/>
        <v>Reverse</v>
      </c>
      <c r="R19" s="13">
        <f t="shared" si="1"/>
        <v>320.443333</v>
      </c>
      <c r="S19" s="2">
        <v>1</v>
      </c>
      <c r="T19" s="2" t="s">
        <v>141</v>
      </c>
      <c r="W19" s="12">
        <f t="shared" si="2"/>
        <v>214.24</v>
      </c>
    </row>
    <row r="20" spans="1:24" x14ac:dyDescent="0.2">
      <c r="A20" s="2">
        <v>17</v>
      </c>
      <c r="B20" s="2" t="s">
        <v>166</v>
      </c>
      <c r="C20" s="2" t="s">
        <v>167</v>
      </c>
      <c r="D20" s="2" t="s">
        <v>136</v>
      </c>
      <c r="E20" s="2" t="s">
        <v>168</v>
      </c>
      <c r="F20" s="2" t="s">
        <v>143</v>
      </c>
      <c r="G20" s="2">
        <v>67</v>
      </c>
      <c r="H20" s="2">
        <v>54</v>
      </c>
      <c r="I20" s="2">
        <v>47</v>
      </c>
      <c r="J20" s="2" t="s">
        <v>144</v>
      </c>
      <c r="K20" s="12">
        <v>13.79</v>
      </c>
      <c r="L20" s="2" t="s">
        <v>169</v>
      </c>
      <c r="M20" s="2" t="s">
        <v>136</v>
      </c>
      <c r="N20" s="2" t="s">
        <v>168</v>
      </c>
      <c r="O20" s="13">
        <f>ROUND(IF(AND(F20="N",J20="E"),(G20+H20/Parameters!$B$17+I20/Parameters!$B$18),IF(AND(F20="S",J20="E"),180-(G20+H20/Parameters!$B$17+I20/Parameters!$B$18),IF(AND(F20="S",J20="W"),180+(G20+H20/Parameters!$B$17+I20/Parameters!$B$18),360-(G20+H20/Parameters!$B$17+I20/Parameters!$B$18)))),6)</f>
        <v>247.913056</v>
      </c>
      <c r="U20" s="12">
        <f>Parameters!$B$24</f>
        <v>0.04</v>
      </c>
      <c r="V20" s="12">
        <v>0</v>
      </c>
      <c r="W20" s="12">
        <f t="shared" ref="W20:W34" si="3">ROUND(K20+U20+V20,2)</f>
        <v>13.83</v>
      </c>
    </row>
    <row r="21" spans="1:24" x14ac:dyDescent="0.2">
      <c r="A21" s="2">
        <v>18</v>
      </c>
      <c r="B21" s="2" t="s">
        <v>166</v>
      </c>
      <c r="C21" s="2" t="s">
        <v>170</v>
      </c>
      <c r="D21" s="2" t="s">
        <v>137</v>
      </c>
      <c r="E21" s="2" t="s">
        <v>171</v>
      </c>
      <c r="F21" s="2" t="s">
        <v>138</v>
      </c>
      <c r="G21" s="2">
        <v>28</v>
      </c>
      <c r="H21" s="2">
        <v>56</v>
      </c>
      <c r="I21" s="2">
        <v>6</v>
      </c>
      <c r="J21" s="2" t="s">
        <v>144</v>
      </c>
      <c r="K21" s="12">
        <v>11.19</v>
      </c>
      <c r="L21" s="2" t="s">
        <v>169</v>
      </c>
      <c r="M21" s="2" t="s">
        <v>137</v>
      </c>
      <c r="N21" s="2" t="s">
        <v>171</v>
      </c>
      <c r="O21" s="13">
        <f>ROUND(IF(AND(F21="N",J21="E"),(G21+H21/Parameters!$B$17+I21/Parameters!$B$18),IF(AND(F21="S",J21="E"),180-(G21+H21/Parameters!$B$17+I21/Parameters!$B$18),IF(AND(F21="S",J21="W"),180+(G21+H21/Parameters!$B$17+I21/Parameters!$B$18),360-(G21+H21/Parameters!$B$17+I21/Parameters!$B$18)))),6)</f>
        <v>331.065</v>
      </c>
      <c r="U21" s="12">
        <f>Parameters!$B$24</f>
        <v>0.04</v>
      </c>
      <c r="V21" s="12">
        <v>0</v>
      </c>
      <c r="W21" s="12">
        <f t="shared" si="3"/>
        <v>11.23</v>
      </c>
    </row>
    <row r="22" spans="1:24" x14ac:dyDescent="0.2">
      <c r="A22" s="2">
        <v>19</v>
      </c>
      <c r="B22" s="2" t="s">
        <v>166</v>
      </c>
      <c r="C22" s="2" t="s">
        <v>172</v>
      </c>
      <c r="D22" s="2" t="s">
        <v>137</v>
      </c>
      <c r="E22" s="2" t="s">
        <v>173</v>
      </c>
      <c r="F22" s="2" t="s">
        <v>138</v>
      </c>
      <c r="G22" s="2">
        <v>85</v>
      </c>
      <c r="H22" s="2">
        <v>23</v>
      </c>
      <c r="I22" s="2">
        <v>33</v>
      </c>
      <c r="J22" s="2" t="s">
        <v>139</v>
      </c>
      <c r="K22" s="12">
        <v>32.34</v>
      </c>
      <c r="L22" s="2" t="s">
        <v>174</v>
      </c>
      <c r="M22" s="2" t="s">
        <v>137</v>
      </c>
      <c r="N22" s="2" t="s">
        <v>173</v>
      </c>
      <c r="O22" s="13">
        <f>ROUND(IF(AND(F22="N",J22="E"),(G22+H22/Parameters!$B$17+I22/Parameters!$B$18),IF(AND(F22="S",J22="E"),180-(G22+H22/Parameters!$B$17+I22/Parameters!$B$18),IF(AND(F22="S",J22="W"),180+(G22+H22/Parameters!$B$17+I22/Parameters!$B$18),360-(G22+H22/Parameters!$B$17+I22/Parameters!$B$18)))),6)</f>
        <v>85.3925</v>
      </c>
      <c r="U22" s="12">
        <f>Parameters!$B$24</f>
        <v>0.04</v>
      </c>
      <c r="V22" s="12">
        <v>0</v>
      </c>
      <c r="W22" s="12">
        <f t="shared" si="3"/>
        <v>32.38</v>
      </c>
    </row>
    <row r="23" spans="1:24" x14ac:dyDescent="0.2">
      <c r="A23" s="2">
        <v>20</v>
      </c>
      <c r="B23" s="2" t="s">
        <v>166</v>
      </c>
      <c r="C23" s="2" t="s">
        <v>175</v>
      </c>
      <c r="D23" s="2" t="s">
        <v>137</v>
      </c>
      <c r="E23" s="2" t="s">
        <v>176</v>
      </c>
      <c r="F23" s="2" t="s">
        <v>138</v>
      </c>
      <c r="G23" s="2">
        <v>71</v>
      </c>
      <c r="H23" s="2">
        <v>4</v>
      </c>
      <c r="I23" s="2">
        <v>33</v>
      </c>
      <c r="J23" s="2" t="s">
        <v>139</v>
      </c>
      <c r="K23" s="12">
        <v>15.02</v>
      </c>
      <c r="L23" s="2" t="s">
        <v>174</v>
      </c>
      <c r="M23" s="2" t="s">
        <v>146</v>
      </c>
      <c r="N23" s="2" t="s">
        <v>176</v>
      </c>
      <c r="O23" s="13">
        <f>ROUND(IF(AND(F23="N",J23="E"),(G23+H23/Parameters!$B$17+I23/Parameters!$B$18),IF(AND(F23="S",J23="E"),180-(G23+H23/Parameters!$B$17+I23/Parameters!$B$18),IF(AND(F23="S",J23="W"),180+(G23+H23/Parameters!$B$17+I23/Parameters!$B$18),360-(G23+H23/Parameters!$B$17+I23/Parameters!$B$18)))),6)</f>
        <v>71.075833</v>
      </c>
      <c r="U23" s="12">
        <f>Parameters!$B$24</f>
        <v>0.04</v>
      </c>
      <c r="V23" s="12">
        <v>0</v>
      </c>
      <c r="W23" s="12">
        <f t="shared" si="3"/>
        <v>15.06</v>
      </c>
      <c r="X23" s="2" t="s">
        <v>177</v>
      </c>
    </row>
    <row r="24" spans="1:24" x14ac:dyDescent="0.2">
      <c r="A24" s="2">
        <v>21</v>
      </c>
      <c r="B24" s="2" t="s">
        <v>166</v>
      </c>
      <c r="C24" s="2" t="s">
        <v>178</v>
      </c>
      <c r="D24" s="2" t="s">
        <v>151</v>
      </c>
      <c r="E24" s="2" t="s">
        <v>179</v>
      </c>
      <c r="F24" s="2" t="s">
        <v>138</v>
      </c>
      <c r="G24" s="2">
        <v>56</v>
      </c>
      <c r="H24" s="2">
        <v>46</v>
      </c>
      <c r="I24" s="2">
        <v>26</v>
      </c>
      <c r="J24" s="2" t="s">
        <v>139</v>
      </c>
      <c r="K24" s="12">
        <v>13.46</v>
      </c>
      <c r="L24" s="2" t="s">
        <v>180</v>
      </c>
      <c r="M24" s="2" t="s">
        <v>151</v>
      </c>
      <c r="N24" s="2" t="s">
        <v>181</v>
      </c>
      <c r="O24" s="13">
        <f>ROUND(IF(AND(F24="N",J24="E"),(G24+H24/Parameters!$B$17+I24/Parameters!$B$18),IF(AND(F24="S",J24="E"),180-(G24+H24/Parameters!$B$17+I24/Parameters!$B$18),IF(AND(F24="S",J24="W"),180+(G24+H24/Parameters!$B$17+I24/Parameters!$B$18),360-(G24+H24/Parameters!$B$17+I24/Parameters!$B$18)))),6)</f>
        <v>56.773889</v>
      </c>
      <c r="U24" s="12">
        <f>Parameters!$B$24</f>
        <v>0.04</v>
      </c>
      <c r="V24" s="12">
        <v>0</v>
      </c>
      <c r="W24" s="12">
        <f t="shared" si="3"/>
        <v>13.5</v>
      </c>
      <c r="X24" s="2" t="s">
        <v>182</v>
      </c>
    </row>
    <row r="25" spans="1:24" x14ac:dyDescent="0.2">
      <c r="A25" s="2">
        <v>22</v>
      </c>
      <c r="B25" s="2" t="s">
        <v>166</v>
      </c>
      <c r="C25" s="2" t="s">
        <v>183</v>
      </c>
      <c r="D25" s="2" t="s">
        <v>151</v>
      </c>
      <c r="E25" s="2" t="s">
        <v>181</v>
      </c>
      <c r="F25" s="2" t="s">
        <v>138</v>
      </c>
      <c r="G25" s="2">
        <v>54</v>
      </c>
      <c r="H25" s="2">
        <v>25</v>
      </c>
      <c r="I25" s="2">
        <v>24</v>
      </c>
      <c r="J25" s="2" t="s">
        <v>139</v>
      </c>
      <c r="K25" s="12">
        <v>14.55</v>
      </c>
      <c r="L25" s="2" t="s">
        <v>174</v>
      </c>
      <c r="M25" s="2" t="s">
        <v>151</v>
      </c>
      <c r="N25" s="2" t="s">
        <v>179</v>
      </c>
      <c r="O25" s="13">
        <f>ROUND(IF(AND(F25="N",J25="E"),(G25+H25/Parameters!$B$17+I25/Parameters!$B$18),IF(AND(F25="S",J25="E"),180-(G25+H25/Parameters!$B$17+I25/Parameters!$B$18),IF(AND(F25="S",J25="W"),180+(G25+H25/Parameters!$B$17+I25/Parameters!$B$18),360-(G25+H25/Parameters!$B$17+I25/Parameters!$B$18)))),6)</f>
        <v>54.423333</v>
      </c>
      <c r="U25" s="12">
        <f>Parameters!$B$24</f>
        <v>0.04</v>
      </c>
      <c r="V25" s="12">
        <v>0</v>
      </c>
      <c r="W25" s="12">
        <f t="shared" si="3"/>
        <v>14.59</v>
      </c>
      <c r="X25" s="2" t="s">
        <v>184</v>
      </c>
    </row>
    <row r="26" spans="1:24" x14ac:dyDescent="0.2">
      <c r="A26" s="2">
        <v>23</v>
      </c>
      <c r="B26" s="2" t="s">
        <v>166</v>
      </c>
      <c r="C26" s="2" t="s">
        <v>185</v>
      </c>
      <c r="D26" s="2" t="s">
        <v>151</v>
      </c>
      <c r="E26" s="2" t="s">
        <v>186</v>
      </c>
      <c r="F26" s="2" t="s">
        <v>138</v>
      </c>
      <c r="G26" s="2">
        <v>13</v>
      </c>
      <c r="H26" s="2">
        <v>43</v>
      </c>
      <c r="I26" s="2">
        <v>53</v>
      </c>
      <c r="J26" s="2" t="s">
        <v>139</v>
      </c>
      <c r="K26" s="12">
        <v>224.64</v>
      </c>
      <c r="L26" s="2" t="s">
        <v>187</v>
      </c>
      <c r="M26" s="2" t="s">
        <v>151</v>
      </c>
      <c r="N26" s="2" t="s">
        <v>186</v>
      </c>
      <c r="O26" s="13">
        <f>ROUND(IF(AND(F26="N",J26="E"),(G26+H26/Parameters!$B$17+I26/Parameters!$B$18),IF(AND(F26="S",J26="E"),180-(G26+H26/Parameters!$B$17+I26/Parameters!$B$18),IF(AND(F26="S",J26="W"),180+(G26+H26/Parameters!$B$17+I26/Parameters!$B$18),360-(G26+H26/Parameters!$B$17+I26/Parameters!$B$18)))),6)</f>
        <v>13.731389</v>
      </c>
      <c r="U26" s="12">
        <f>Parameters!$B$24</f>
        <v>0.04</v>
      </c>
      <c r="V26" s="12">
        <v>0</v>
      </c>
      <c r="W26" s="12">
        <f t="shared" si="3"/>
        <v>224.68</v>
      </c>
    </row>
    <row r="27" spans="1:24" x14ac:dyDescent="0.2">
      <c r="A27" s="2">
        <v>24</v>
      </c>
      <c r="B27" s="2" t="s">
        <v>166</v>
      </c>
      <c r="C27" s="2" t="s">
        <v>188</v>
      </c>
      <c r="D27" s="2" t="s">
        <v>151</v>
      </c>
      <c r="E27" s="2" t="s">
        <v>189</v>
      </c>
      <c r="F27" s="2" t="s">
        <v>143</v>
      </c>
      <c r="G27" s="2">
        <v>0</v>
      </c>
      <c r="H27" s="2">
        <v>5</v>
      </c>
      <c r="I27" s="2">
        <v>46</v>
      </c>
      <c r="J27" s="2" t="s">
        <v>144</v>
      </c>
      <c r="K27" s="12">
        <v>51.89</v>
      </c>
      <c r="L27" s="2" t="s">
        <v>174</v>
      </c>
      <c r="M27" s="2" t="s">
        <v>151</v>
      </c>
      <c r="N27" s="2" t="s">
        <v>189</v>
      </c>
      <c r="O27" s="13">
        <f>ROUND(IF(AND(F27="N",J27="E"),(G27+H27/Parameters!$B$17+I27/Parameters!$B$18),IF(AND(F27="S",J27="E"),180-(G27+H27/Parameters!$B$17+I27/Parameters!$B$18),IF(AND(F27="S",J27="W"),180+(G27+H27/Parameters!$B$17+I27/Parameters!$B$18),360-(G27+H27/Parameters!$B$17+I27/Parameters!$B$18)))),6)</f>
        <v>180.096111</v>
      </c>
      <c r="U27" s="12">
        <f>Parameters!$B$24</f>
        <v>0.04</v>
      </c>
      <c r="V27" s="12">
        <v>0</v>
      </c>
      <c r="W27" s="12">
        <f t="shared" si="3"/>
        <v>51.93</v>
      </c>
    </row>
    <row r="28" spans="1:24" x14ac:dyDescent="0.2">
      <c r="A28" s="2">
        <v>25</v>
      </c>
      <c r="B28" s="2" t="s">
        <v>166</v>
      </c>
      <c r="C28" s="2" t="s">
        <v>190</v>
      </c>
      <c r="D28" s="2" t="s">
        <v>154</v>
      </c>
      <c r="E28" s="2" t="s">
        <v>191</v>
      </c>
      <c r="F28" s="2" t="s">
        <v>143</v>
      </c>
      <c r="G28" s="2">
        <v>40</v>
      </c>
      <c r="H28" s="2">
        <v>43</v>
      </c>
      <c r="I28" s="2">
        <v>49</v>
      </c>
      <c r="J28" s="2" t="s">
        <v>139</v>
      </c>
      <c r="K28" s="12">
        <v>12.24</v>
      </c>
      <c r="L28" s="2" t="s">
        <v>192</v>
      </c>
      <c r="M28" s="2" t="s">
        <v>154</v>
      </c>
      <c r="N28" s="2" t="s">
        <v>191</v>
      </c>
      <c r="O28" s="13">
        <f>ROUND(IF(AND(F28="N",J28="E"),(G28+H28/Parameters!$B$17+I28/Parameters!$B$18),IF(AND(F28="S",J28="E"),180-(G28+H28/Parameters!$B$17+I28/Parameters!$B$18),IF(AND(F28="S",J28="W"),180+(G28+H28/Parameters!$B$17+I28/Parameters!$B$18),360-(G28+H28/Parameters!$B$17+I28/Parameters!$B$18)))),6)</f>
        <v>139.269722</v>
      </c>
      <c r="U28" s="12">
        <f>Parameters!$B$24</f>
        <v>0.04</v>
      </c>
      <c r="V28" s="12">
        <v>0</v>
      </c>
      <c r="W28" s="12">
        <f t="shared" si="3"/>
        <v>12.28</v>
      </c>
    </row>
    <row r="29" spans="1:24" x14ac:dyDescent="0.2">
      <c r="A29" s="2">
        <v>26</v>
      </c>
      <c r="B29" s="2" t="s">
        <v>166</v>
      </c>
      <c r="C29" s="2" t="s">
        <v>153</v>
      </c>
      <c r="D29" s="2" t="s">
        <v>154</v>
      </c>
      <c r="E29" s="2" t="s">
        <v>193</v>
      </c>
      <c r="F29" s="2" t="s">
        <v>138</v>
      </c>
      <c r="G29" s="2">
        <v>27</v>
      </c>
      <c r="H29" s="2">
        <v>2</v>
      </c>
      <c r="I29" s="2">
        <v>3</v>
      </c>
      <c r="J29" s="2" t="s">
        <v>139</v>
      </c>
      <c r="K29" s="12">
        <v>34.69</v>
      </c>
      <c r="L29" s="2" t="s">
        <v>174</v>
      </c>
      <c r="M29" s="2" t="s">
        <v>154</v>
      </c>
      <c r="N29" s="2" t="s">
        <v>193</v>
      </c>
      <c r="O29" s="13">
        <f>ROUND(IF(AND(F29="N",J29="E"),(G29+H29/Parameters!$B$17+I29/Parameters!$B$18),IF(AND(F29="S",J29="E"),180-(G29+H29/Parameters!$B$17+I29/Parameters!$B$18),IF(AND(F29="S",J29="W"),180+(G29+H29/Parameters!$B$17+I29/Parameters!$B$18),360-(G29+H29/Parameters!$B$17+I29/Parameters!$B$18)))),6)</f>
        <v>27.034167</v>
      </c>
      <c r="U29" s="12">
        <f>Parameters!$B$24</f>
        <v>0.04</v>
      </c>
      <c r="V29" s="12">
        <v>0</v>
      </c>
      <c r="W29" s="12">
        <f t="shared" si="3"/>
        <v>34.73</v>
      </c>
    </row>
    <row r="30" spans="1:24" x14ac:dyDescent="0.2">
      <c r="A30" s="2">
        <v>27</v>
      </c>
      <c r="B30" s="2" t="s">
        <v>166</v>
      </c>
      <c r="C30" s="2" t="s">
        <v>194</v>
      </c>
      <c r="D30" s="2" t="s">
        <v>154</v>
      </c>
      <c r="E30" s="2" t="s">
        <v>195</v>
      </c>
      <c r="F30" s="2" t="s">
        <v>138</v>
      </c>
      <c r="G30" s="2">
        <v>13</v>
      </c>
      <c r="H30" s="2">
        <v>48</v>
      </c>
      <c r="I30" s="2">
        <v>42</v>
      </c>
      <c r="J30" s="2" t="s">
        <v>139</v>
      </c>
      <c r="K30" s="12">
        <v>196.97</v>
      </c>
      <c r="L30" s="2" t="s">
        <v>174</v>
      </c>
      <c r="M30" s="2" t="s">
        <v>154</v>
      </c>
      <c r="N30" s="2" t="s">
        <v>195</v>
      </c>
      <c r="O30" s="13">
        <f>ROUND(IF(AND(F30="N",J30="E"),(G30+H30/Parameters!$B$17+I30/Parameters!$B$18),IF(AND(F30="S",J30="E"),180-(G30+H30/Parameters!$B$17+I30/Parameters!$B$18),IF(AND(F30="S",J30="W"),180+(G30+H30/Parameters!$B$17+I30/Parameters!$B$18),360-(G30+H30/Parameters!$B$17+I30/Parameters!$B$18)))),6)</f>
        <v>13.811667</v>
      </c>
      <c r="U30" s="12">
        <f>Parameters!$B$24</f>
        <v>0.04</v>
      </c>
      <c r="V30" s="12">
        <v>0</v>
      </c>
      <c r="W30" s="12">
        <f t="shared" si="3"/>
        <v>197.01</v>
      </c>
    </row>
    <row r="31" spans="1:24" x14ac:dyDescent="0.2">
      <c r="A31" s="2">
        <v>28</v>
      </c>
      <c r="B31" s="2" t="s">
        <v>166</v>
      </c>
      <c r="C31" s="2" t="s">
        <v>196</v>
      </c>
      <c r="D31" s="2" t="s">
        <v>154</v>
      </c>
      <c r="E31" s="2" t="s">
        <v>197</v>
      </c>
      <c r="F31" s="2" t="s">
        <v>143</v>
      </c>
      <c r="G31" s="2">
        <v>69</v>
      </c>
      <c r="H31" s="2">
        <v>9</v>
      </c>
      <c r="I31" s="2">
        <v>7</v>
      </c>
      <c r="J31" s="2" t="s">
        <v>144</v>
      </c>
      <c r="K31" s="12">
        <v>53.54</v>
      </c>
      <c r="L31" s="2" t="s">
        <v>174</v>
      </c>
      <c r="M31" s="2" t="s">
        <v>154</v>
      </c>
      <c r="N31" s="2" t="s">
        <v>197</v>
      </c>
      <c r="O31" s="13">
        <f>ROUND(IF(AND(F31="N",J31="E"),(G31+H31/Parameters!$B$17+I31/Parameters!$B$18),IF(AND(F31="S",J31="E"),180-(G31+H31/Parameters!$B$17+I31/Parameters!$B$18),IF(AND(F31="S",J31="W"),180+(G31+H31/Parameters!$B$17+I31/Parameters!$B$18),360-(G31+H31/Parameters!$B$17+I31/Parameters!$B$18)))),6)</f>
        <v>249.151944</v>
      </c>
      <c r="U31" s="12">
        <f>Parameters!$B$24</f>
        <v>0.04</v>
      </c>
      <c r="V31" s="12">
        <v>0</v>
      </c>
      <c r="W31" s="12">
        <f t="shared" si="3"/>
        <v>53.58</v>
      </c>
    </row>
    <row r="32" spans="1:24" x14ac:dyDescent="0.2">
      <c r="A32" s="2">
        <v>29</v>
      </c>
      <c r="B32" s="2" t="s">
        <v>166</v>
      </c>
      <c r="C32" s="2" t="s">
        <v>198</v>
      </c>
      <c r="D32" s="2" t="s">
        <v>157</v>
      </c>
      <c r="E32" s="2" t="s">
        <v>199</v>
      </c>
      <c r="F32" s="2" t="s">
        <v>143</v>
      </c>
      <c r="G32" s="2">
        <v>5</v>
      </c>
      <c r="H32" s="2">
        <v>18</v>
      </c>
      <c r="I32" s="2">
        <v>5</v>
      </c>
      <c r="J32" s="2" t="s">
        <v>144</v>
      </c>
      <c r="K32" s="12">
        <v>8.83</v>
      </c>
      <c r="L32" s="2" t="s">
        <v>192</v>
      </c>
      <c r="M32" s="2" t="s">
        <v>157</v>
      </c>
      <c r="N32" s="2" t="s">
        <v>199</v>
      </c>
      <c r="O32" s="13">
        <f>ROUND(IF(AND(F32="N",J32="E"),(G32+H32/Parameters!$B$17+I32/Parameters!$B$18),IF(AND(F32="S",J32="E"),180-(G32+H32/Parameters!$B$17+I32/Parameters!$B$18),IF(AND(F32="S",J32="W"),180+(G32+H32/Parameters!$B$17+I32/Parameters!$B$18),360-(G32+H32/Parameters!$B$17+I32/Parameters!$B$18)))),6)</f>
        <v>185.301389</v>
      </c>
      <c r="U32" s="12">
        <f>Parameters!$B$24</f>
        <v>0.04</v>
      </c>
      <c r="V32" s="12">
        <f>Parameters!$B$25</f>
        <v>0.6</v>
      </c>
      <c r="W32" s="12">
        <f t="shared" si="3"/>
        <v>9.47</v>
      </c>
      <c r="X32" s="2" t="s">
        <v>200</v>
      </c>
    </row>
    <row r="33" spans="1:23" x14ac:dyDescent="0.2">
      <c r="A33" s="2">
        <v>30</v>
      </c>
      <c r="B33" s="2" t="s">
        <v>166</v>
      </c>
      <c r="C33" s="2" t="s">
        <v>201</v>
      </c>
      <c r="D33" s="2" t="s">
        <v>157</v>
      </c>
      <c r="E33" s="2" t="s">
        <v>202</v>
      </c>
      <c r="F33" s="2" t="s">
        <v>143</v>
      </c>
      <c r="G33" s="2">
        <v>83</v>
      </c>
      <c r="H33" s="2">
        <v>20</v>
      </c>
      <c r="I33" s="2">
        <v>42</v>
      </c>
      <c r="J33" s="2" t="s">
        <v>139</v>
      </c>
      <c r="K33" s="12">
        <v>32.11</v>
      </c>
      <c r="L33" s="2" t="s">
        <v>174</v>
      </c>
      <c r="M33" s="2" t="s">
        <v>157</v>
      </c>
      <c r="N33" s="2" t="s">
        <v>202</v>
      </c>
      <c r="O33" s="13">
        <f>ROUND(IF(AND(F33="N",J33="E"),(G33+H33/Parameters!$B$17+I33/Parameters!$B$18),IF(AND(F33="S",J33="E"),180-(G33+H33/Parameters!$B$17+I33/Parameters!$B$18),IF(AND(F33="S",J33="W"),180+(G33+H33/Parameters!$B$17+I33/Parameters!$B$18),360-(G33+H33/Parameters!$B$17+I33/Parameters!$B$18)))),6)</f>
        <v>96.655</v>
      </c>
      <c r="U33" s="12">
        <f>Parameters!$B$24</f>
        <v>0.04</v>
      </c>
      <c r="V33" s="12">
        <v>0</v>
      </c>
      <c r="W33" s="12">
        <f t="shared" si="3"/>
        <v>32.15</v>
      </c>
    </row>
    <row r="34" spans="1:23" x14ac:dyDescent="0.2">
      <c r="A34" s="2">
        <v>31</v>
      </c>
      <c r="B34" s="2" t="s">
        <v>166</v>
      </c>
      <c r="C34" s="2" t="s">
        <v>203</v>
      </c>
      <c r="D34" s="2" t="s">
        <v>157</v>
      </c>
      <c r="E34" s="2" t="s">
        <v>204</v>
      </c>
      <c r="F34" s="2" t="s">
        <v>138</v>
      </c>
      <c r="G34" s="2">
        <v>82</v>
      </c>
      <c r="H34" s="2">
        <v>22</v>
      </c>
      <c r="I34" s="2">
        <v>43</v>
      </c>
      <c r="J34" s="2" t="s">
        <v>139</v>
      </c>
      <c r="K34" s="12">
        <v>245.37</v>
      </c>
      <c r="L34" s="2" t="s">
        <v>174</v>
      </c>
      <c r="M34" s="2" t="s">
        <v>157</v>
      </c>
      <c r="N34" s="2" t="s">
        <v>204</v>
      </c>
      <c r="O34" s="13">
        <f>ROUND(IF(AND(F34="N",J34="E"),(G34+H34/Parameters!$B$17+I34/Parameters!$B$18),IF(AND(F34="S",J34="E"),180-(G34+H34/Parameters!$B$17+I34/Parameters!$B$18),IF(AND(F34="S",J34="W"),180+(G34+H34/Parameters!$B$17+I34/Parameters!$B$18),360-(G34+H34/Parameters!$B$17+I34/Parameters!$B$18)))),6)</f>
        <v>82.378611</v>
      </c>
      <c r="U34" s="12">
        <f>Parameters!$B$24</f>
        <v>0.04</v>
      </c>
      <c r="V34" s="12">
        <v>0</v>
      </c>
      <c r="W34" s="12">
        <f t="shared" si="3"/>
        <v>245.41</v>
      </c>
    </row>
    <row r="36" spans="1:23" x14ac:dyDescent="0.2">
      <c r="A36" s="2" t="s">
        <v>205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2"/>
  <sheetViews>
    <sheetView workbookViewId="0"/>
  </sheetViews>
  <sheetFormatPr baseColWidth="10" defaultColWidth="8.83203125" defaultRowHeight="15" x14ac:dyDescent="0.2"/>
  <cols>
    <col min="1" max="1" width="58" customWidth="1"/>
    <col min="2" max="3" width="12" customWidth="1"/>
    <col min="4" max="6" width="13" customWidth="1"/>
    <col min="7" max="7" width="18" customWidth="1"/>
    <col min="8" max="8" width="13" customWidth="1"/>
    <col min="9" max="10" width="12" customWidth="1"/>
    <col min="11" max="12" width="11" customWidth="1"/>
    <col min="13" max="14" width="12" customWidth="1"/>
    <col min="15" max="16" width="13" customWidth="1"/>
  </cols>
  <sheetData>
    <row r="1" spans="1:16" ht="17" x14ac:dyDescent="0.2">
      <c r="A1" s="1" t="s">
        <v>206</v>
      </c>
    </row>
    <row r="3" spans="1:16" ht="32" x14ac:dyDescent="0.2">
      <c r="A3" s="3" t="s">
        <v>207</v>
      </c>
      <c r="B3" s="3" t="s">
        <v>208</v>
      </c>
      <c r="C3" s="3" t="s">
        <v>209</v>
      </c>
      <c r="D3" s="3" t="s">
        <v>210</v>
      </c>
      <c r="E3" s="3" t="s">
        <v>211</v>
      </c>
      <c r="F3" s="3" t="s">
        <v>212</v>
      </c>
      <c r="G3" s="3" t="s">
        <v>213</v>
      </c>
      <c r="H3" s="3" t="s">
        <v>214</v>
      </c>
      <c r="I3" s="3" t="s">
        <v>215</v>
      </c>
      <c r="J3" s="3" t="s">
        <v>216</v>
      </c>
      <c r="K3" s="3" t="s">
        <v>217</v>
      </c>
      <c r="L3" s="3" t="s">
        <v>218</v>
      </c>
      <c r="M3" s="3" t="s">
        <v>219</v>
      </c>
      <c r="N3" s="3" t="s">
        <v>220</v>
      </c>
      <c r="O3" s="3" t="s">
        <v>221</v>
      </c>
      <c r="P3" s="3" t="s">
        <v>222</v>
      </c>
    </row>
    <row r="4" spans="1:16" x14ac:dyDescent="0.2">
      <c r="A4" s="2" t="s">
        <v>223</v>
      </c>
      <c r="B4" s="2" t="s">
        <v>136</v>
      </c>
      <c r="C4" s="2" t="s">
        <v>137</v>
      </c>
      <c r="D4" s="2">
        <f>COUNTIFS('Field Notes'!$P$4:$P$34,A4,'Field Notes'!$T$4:$T$34,"Yes")</f>
        <v>2</v>
      </c>
      <c r="E4" s="2">
        <f>COUNTIFS('Field Notes'!$P$4:$P$34,A4,'Field Notes'!$T$4:$T$34,"No")</f>
        <v>0</v>
      </c>
      <c r="F4" s="13">
        <f>ROUND(AVERAGEIFS('Field Notes'!$R$4:$R$34,'Field Notes'!$P$4:$P$34,A4,'Field Notes'!$T$4:$T$34,"Yes"),6)</f>
        <v>16.735834</v>
      </c>
      <c r="G4" s="2" t="str">
        <f>IF(OR(F4&lt;=90,F4&gt;270),"N","S")&amp;" "&amp;TEXT(INT(ROUND((IF(F4&lt;=90,F4,IF(F4&lt;=180,180-F4,IF(F4&lt;=270,F4-180,360-F4))))*Parameters!$B$18,0)/Parameters!$B$18),"0")&amp;"° "&amp;TEXT(INT(MOD(ROUND((IF(F4&lt;=90,F4,IF(F4&lt;=180,180-F4,IF(F4&lt;=270,F4-180,360-F4))))*Parameters!$B$18,0),3600)/60),"00")&amp;"' "&amp;TEXT(MOD(ROUND((IF(F4&lt;=90,F4,IF(F4&lt;=180,180-F4,IF(F4&lt;=270,F4-180,360-F4))))*Parameters!$B$18,0),60),"00")&amp;""""&amp;" "&amp;IF(F4&lt;=180,"E","W")</f>
        <v>N 16° 44' 09" E</v>
      </c>
      <c r="H4" s="14">
        <f>ROUND(AVERAGEIFS('Field Notes'!$K$4:$K$34,'Field Notes'!$P$4:$P$34,A4,'Field Notes'!$T$4:$T$34,"Yes"),3)</f>
        <v>623.69</v>
      </c>
      <c r="I4" s="14">
        <f t="shared" ref="I4:I9" si="0">ROUND(H4*COS(RADIANS(F4)),3)</f>
        <v>597.272</v>
      </c>
      <c r="J4" s="14">
        <f t="shared" ref="J4:J9" si="1">ROUND(H4*SIN(RADIANS(F4)),3)</f>
        <v>179.597</v>
      </c>
      <c r="K4" s="14">
        <f t="shared" ref="K4:K9" si="2">ROUND(-$I$10*H4/$H$10,3)</f>
        <v>-0.047</v>
      </c>
      <c r="L4" s="14">
        <f t="shared" ref="L4:L9" si="3">ROUND(-$J$10*H4/$H$10,3)</f>
        <v>-0.02</v>
      </c>
      <c r="M4" s="14">
        <f t="shared" ref="M4:N9" si="4">ROUND(I4+K4,3)</f>
        <v>597.225</v>
      </c>
      <c r="N4" s="14">
        <f t="shared" si="4"/>
        <v>179.577</v>
      </c>
      <c r="O4" s="14">
        <f>ROUND(Parameters!$B$4+M4,3)</f>
        <v>5597.225</v>
      </c>
      <c r="P4" s="14">
        <f>ROUND(Parameters!$B$5+N4,3)</f>
        <v>5179.577</v>
      </c>
    </row>
    <row r="5" spans="1:16" x14ac:dyDescent="0.2">
      <c r="A5" s="2" t="s">
        <v>224</v>
      </c>
      <c r="B5" s="2" t="s">
        <v>137</v>
      </c>
      <c r="C5" s="2" t="s">
        <v>146</v>
      </c>
      <c r="D5" s="2">
        <f>COUNTIFS('Field Notes'!$P$4:$P$34,A5,'Field Notes'!$T$4:$T$34,"Yes")</f>
        <v>4</v>
      </c>
      <c r="E5" s="2">
        <f>COUNTIFS('Field Notes'!$P$4:$P$34,A5,'Field Notes'!$T$4:$T$34,"No")</f>
        <v>0</v>
      </c>
      <c r="F5" s="13">
        <f>ROUND(AVERAGEIFS('Field Notes'!$R$4:$R$34,'Field Notes'!$P$4:$P$34,A5,'Field Notes'!$T$4:$T$34,"Yes"),6)</f>
        <v>100.856389</v>
      </c>
      <c r="G5" s="2" t="str">
        <f>IF(OR(F5&lt;=90,F5&gt;270),"N","S")&amp;" "&amp;TEXT(INT(ROUND((IF(F5&lt;=90,F5,IF(F5&lt;=180,180-F5,IF(F5&lt;=270,F5-180,360-F5))))*Parameters!$B$18,0)/Parameters!$B$18),"0")&amp;"° "&amp;TEXT(INT(MOD(ROUND((IF(F5&lt;=90,F5,IF(F5&lt;=180,180-F5,IF(F5&lt;=270,F5-180,360-F5))))*Parameters!$B$18,0),3600)/60),"00")&amp;"' "&amp;TEXT(MOD(ROUND((IF(F5&lt;=90,F5,IF(F5&lt;=180,180-F5,IF(F5&lt;=270,F5-180,360-F5))))*Parameters!$B$18,0),60),"00")&amp;""""&amp;" "&amp;IF(F5&lt;=180,"E","W")</f>
        <v>S 79° 08' 37" E</v>
      </c>
      <c r="H5" s="14">
        <f>ROUND(AVERAGEIFS('Field Notes'!$K$4:$K$34,'Field Notes'!$P$4:$P$34,A5,'Field Notes'!$T$4:$T$34,"Yes"),3)</f>
        <v>281.44</v>
      </c>
      <c r="I5" s="14">
        <f t="shared" si="0"/>
        <v>-53.009</v>
      </c>
      <c r="J5" s="14">
        <f t="shared" si="1"/>
        <v>276.403</v>
      </c>
      <c r="K5" s="14">
        <f t="shared" si="2"/>
        <v>-0.021</v>
      </c>
      <c r="L5" s="14">
        <f t="shared" si="3"/>
        <v>-0.009</v>
      </c>
      <c r="M5" s="14">
        <f t="shared" si="4"/>
        <v>-53.03</v>
      </c>
      <c r="N5" s="14">
        <f t="shared" si="4"/>
        <v>276.394</v>
      </c>
      <c r="O5" s="14">
        <f t="shared" ref="O5:P9" si="5">ROUND(O4+M5,3)</f>
        <v>5544.195</v>
      </c>
      <c r="P5" s="14">
        <f t="shared" si="5"/>
        <v>5455.971</v>
      </c>
    </row>
    <row r="6" spans="1:16" x14ac:dyDescent="0.2">
      <c r="A6" s="2" t="s">
        <v>225</v>
      </c>
      <c r="B6" s="2" t="s">
        <v>146</v>
      </c>
      <c r="C6" s="2" t="s">
        <v>151</v>
      </c>
      <c r="D6" s="2">
        <f>COUNTIFS('Field Notes'!$P$4:$P$34,A6,'Field Notes'!$T$4:$T$34,"Yes")</f>
        <v>2</v>
      </c>
      <c r="E6" s="2">
        <f>COUNTIFS('Field Notes'!$P$4:$P$34,A6,'Field Notes'!$T$4:$T$34,"No")</f>
        <v>0</v>
      </c>
      <c r="F6" s="13">
        <f>ROUND(AVERAGEIFS('Field Notes'!$R$4:$R$34,'Field Notes'!$P$4:$P$34,A6,'Field Notes'!$T$4:$T$34,"Yes"),6)</f>
        <v>101.803056</v>
      </c>
      <c r="G6" s="2" t="str">
        <f>IF(OR(F6&lt;=90,F6&gt;270),"N","S")&amp;" "&amp;TEXT(INT(ROUND((IF(F6&lt;=90,F6,IF(F6&lt;=180,180-F6,IF(F6&lt;=270,F6-180,360-F6))))*Parameters!$B$18,0)/Parameters!$B$18),"0")&amp;"° "&amp;TEXT(INT(MOD(ROUND((IF(F6&lt;=90,F6,IF(F6&lt;=180,180-F6,IF(F6&lt;=270,F6-180,360-F6))))*Parameters!$B$18,0),3600)/60),"00")&amp;"' "&amp;TEXT(MOD(ROUND((IF(F6&lt;=90,F6,IF(F6&lt;=180,180-F6,IF(F6&lt;=270,F6-180,360-F6))))*Parameters!$B$18,0),60),"00")&amp;""""&amp;" "&amp;IF(F6&lt;=180,"E","W")</f>
        <v>S 78° 11' 49" E</v>
      </c>
      <c r="H6" s="14">
        <f>ROUND(AVERAGEIFS('Field Notes'!$K$4:$K$34,'Field Notes'!$P$4:$P$34,A6,'Field Notes'!$T$4:$T$34,"Yes"),3)</f>
        <v>290.51</v>
      </c>
      <c r="I6" s="14">
        <f t="shared" si="0"/>
        <v>-59.423</v>
      </c>
      <c r="J6" s="14">
        <f t="shared" si="1"/>
        <v>284.368</v>
      </c>
      <c r="K6" s="14">
        <f t="shared" si="2"/>
        <v>-0.022</v>
      </c>
      <c r="L6" s="14">
        <f t="shared" si="3"/>
        <v>-0.009</v>
      </c>
      <c r="M6" s="14">
        <f t="shared" si="4"/>
        <v>-59.445</v>
      </c>
      <c r="N6" s="14">
        <f t="shared" si="4"/>
        <v>284.359</v>
      </c>
      <c r="O6" s="14">
        <f t="shared" si="5"/>
        <v>5484.75</v>
      </c>
      <c r="P6" s="14">
        <f t="shared" si="5"/>
        <v>5740.33</v>
      </c>
    </row>
    <row r="7" spans="1:16" x14ac:dyDescent="0.2">
      <c r="A7" s="2" t="s">
        <v>226</v>
      </c>
      <c r="B7" s="2" t="s">
        <v>151</v>
      </c>
      <c r="C7" s="2" t="s">
        <v>154</v>
      </c>
      <c r="D7" s="2">
        <f>COUNTIFS('Field Notes'!$P$4:$P$34,A7,'Field Notes'!$T$4:$T$34,"Yes")</f>
        <v>2</v>
      </c>
      <c r="E7" s="2">
        <f>COUNTIFS('Field Notes'!$P$4:$P$34,A7,'Field Notes'!$T$4:$T$34,"No")</f>
        <v>0</v>
      </c>
      <c r="F7" s="13">
        <f>ROUND(AVERAGEIFS('Field Notes'!$R$4:$R$34,'Field Notes'!$P$4:$P$34,A7,'Field Notes'!$T$4:$T$34,"Yes"),6)</f>
        <v>191.031389</v>
      </c>
      <c r="G7" s="2" t="str">
        <f>IF(OR(F7&lt;=90,F7&gt;270),"N","S")&amp;" "&amp;TEXT(INT(ROUND((IF(F7&lt;=90,F7,IF(F7&lt;=180,180-F7,IF(F7&lt;=270,F7-180,360-F7))))*Parameters!$B$18,0)/Parameters!$B$18),"0")&amp;"° "&amp;TEXT(INT(MOD(ROUND((IF(F7&lt;=90,F7,IF(F7&lt;=180,180-F7,IF(F7&lt;=270,F7-180,360-F7))))*Parameters!$B$18,0),3600)/60),"00")&amp;"' "&amp;TEXT(MOD(ROUND((IF(F7&lt;=90,F7,IF(F7&lt;=180,180-F7,IF(F7&lt;=270,F7-180,360-F7))))*Parameters!$B$18,0),60),"00")&amp;""""&amp;" "&amp;IF(F7&lt;=180,"E","W")</f>
        <v>S 11° 01' 53" W</v>
      </c>
      <c r="H7" s="14">
        <f>ROUND(AVERAGEIFS('Field Notes'!$K$4:$K$34,'Field Notes'!$P$4:$P$34,A7,'Field Notes'!$T$4:$T$34,"Yes"),3)</f>
        <v>574.62</v>
      </c>
      <c r="I7" s="14">
        <f t="shared" si="0"/>
        <v>-564.002</v>
      </c>
      <c r="J7" s="14">
        <f t="shared" si="1"/>
        <v>-109.952</v>
      </c>
      <c r="K7" s="14">
        <f t="shared" si="2"/>
        <v>-0.043</v>
      </c>
      <c r="L7" s="14">
        <f t="shared" si="3"/>
        <v>-0.018</v>
      </c>
      <c r="M7" s="14">
        <f t="shared" si="4"/>
        <v>-564.045</v>
      </c>
      <c r="N7" s="14">
        <f t="shared" si="4"/>
        <v>-109.97</v>
      </c>
      <c r="O7" s="14">
        <f t="shared" si="5"/>
        <v>4920.705</v>
      </c>
      <c r="P7" s="14">
        <f t="shared" si="5"/>
        <v>5630.36</v>
      </c>
    </row>
    <row r="8" spans="1:16" x14ac:dyDescent="0.2">
      <c r="A8" s="2" t="s">
        <v>227</v>
      </c>
      <c r="B8" s="2" t="s">
        <v>154</v>
      </c>
      <c r="C8" s="2" t="s">
        <v>157</v>
      </c>
      <c r="D8" s="2">
        <f>COUNTIFS('Field Notes'!$P$4:$P$34,A8,'Field Notes'!$T$4:$T$34,"Yes")</f>
        <v>2</v>
      </c>
      <c r="E8" s="2">
        <f>COUNTIFS('Field Notes'!$P$4:$P$34,A8,'Field Notes'!$T$4:$T$34,"No")</f>
        <v>2</v>
      </c>
      <c r="F8" s="13">
        <f>ROUND(AVERAGEIFS('Field Notes'!$R$4:$R$34,'Field Notes'!$P$4:$P$34,A8,'Field Notes'!$T$4:$T$34,"Yes"),6)</f>
        <v>260.140556</v>
      </c>
      <c r="G8" s="2" t="str">
        <f>IF(OR(F8&lt;=90,F8&gt;270),"N","S")&amp;" "&amp;TEXT(INT(ROUND((IF(F8&lt;=90,F8,IF(F8&lt;=180,180-F8,IF(F8&lt;=270,F8-180,360-F8))))*Parameters!$B$18,0)/Parameters!$B$18),"0")&amp;"° "&amp;TEXT(INT(MOD(ROUND((IF(F8&lt;=90,F8,IF(F8&lt;=180,180-F8,IF(F8&lt;=270,F8-180,360-F8))))*Parameters!$B$18,0),3600)/60),"00")&amp;"' "&amp;TEXT(MOD(ROUND((IF(F8&lt;=90,F8,IF(F8&lt;=180,180-F8,IF(F8&lt;=270,F8-180,360-F8))))*Parameters!$B$18,0),60),"00")&amp;""""&amp;" "&amp;IF(F8&lt;=180,"E","W")</f>
        <v>S 80° 08' 26" W</v>
      </c>
      <c r="H8" s="14">
        <f>ROUND(AVERAGEIFS('Field Notes'!$K$4:$K$34,'Field Notes'!$P$4:$P$34,A8,'Field Notes'!$T$4:$T$34,"Yes"),3)</f>
        <v>501.3</v>
      </c>
      <c r="I8" s="14">
        <f t="shared" si="0"/>
        <v>-85.838</v>
      </c>
      <c r="J8" s="14">
        <f t="shared" si="1"/>
        <v>-493.896</v>
      </c>
      <c r="K8" s="14">
        <f t="shared" si="2"/>
        <v>-0.038</v>
      </c>
      <c r="L8" s="14">
        <f t="shared" si="3"/>
        <v>-0.016</v>
      </c>
      <c r="M8" s="14">
        <f t="shared" si="4"/>
        <v>-85.876</v>
      </c>
      <c r="N8" s="14">
        <f t="shared" si="4"/>
        <v>-493.912</v>
      </c>
      <c r="O8" s="14">
        <f t="shared" si="5"/>
        <v>4834.829</v>
      </c>
      <c r="P8" s="14">
        <f t="shared" si="5"/>
        <v>5136.448</v>
      </c>
    </row>
    <row r="9" spans="1:16" x14ac:dyDescent="0.2">
      <c r="A9" s="2" t="s">
        <v>228</v>
      </c>
      <c r="B9" s="2" t="s">
        <v>157</v>
      </c>
      <c r="C9" s="2" t="s">
        <v>136</v>
      </c>
      <c r="D9" s="2">
        <f>COUNTIFS('Field Notes'!$P$4:$P$34,A9,'Field Notes'!$T$4:$T$34,"Yes")</f>
        <v>2</v>
      </c>
      <c r="E9" s="2">
        <f>COUNTIFS('Field Notes'!$P$4:$P$34,A9,'Field Notes'!$T$4:$T$34,"No")</f>
        <v>0</v>
      </c>
      <c r="F9" s="13">
        <f>ROUND(AVERAGEIFS('Field Notes'!$R$4:$R$34,'Field Notes'!$P$4:$P$34,A9,'Field Notes'!$T$4:$T$34,"Yes"),6)</f>
        <v>320.443611</v>
      </c>
      <c r="G9" s="2" t="str">
        <f>IF(OR(F9&lt;=90,F9&gt;270),"N","S")&amp;" "&amp;TEXT(INT(ROUND((IF(F9&lt;=90,F9,IF(F9&lt;=180,180-F9,IF(F9&lt;=270,F9-180,360-F9))))*Parameters!$B$18,0)/Parameters!$B$18),"0")&amp;"° "&amp;TEXT(INT(MOD(ROUND((IF(F9&lt;=90,F9,IF(F9&lt;=180,180-F9,IF(F9&lt;=270,F9-180,360-F9))))*Parameters!$B$18,0),3600)/60),"00")&amp;"' "&amp;TEXT(MOD(ROUND((IF(F9&lt;=90,F9,IF(F9&lt;=180,180-F9,IF(F9&lt;=270,F9-180,360-F9))))*Parameters!$B$18,0),60),"00")&amp;""""&amp;" "&amp;IF(F9&lt;=180,"E","W")</f>
        <v>N 39° 33' 23" W</v>
      </c>
      <c r="H9" s="14">
        <f>ROUND(AVERAGEIFS('Field Notes'!$K$4:$K$34,'Field Notes'!$P$4:$P$34,A9,'Field Notes'!$T$4:$T$34,"Yes"),3)</f>
        <v>214.25</v>
      </c>
      <c r="I9" s="14">
        <f t="shared" si="0"/>
        <v>165.186</v>
      </c>
      <c r="J9" s="14">
        <f t="shared" si="1"/>
        <v>-136.442</v>
      </c>
      <c r="K9" s="14">
        <f t="shared" si="2"/>
        <v>-0.016</v>
      </c>
      <c r="L9" s="14">
        <f t="shared" si="3"/>
        <v>-0.007</v>
      </c>
      <c r="M9" s="14">
        <f t="shared" si="4"/>
        <v>165.17</v>
      </c>
      <c r="N9" s="14">
        <f t="shared" si="4"/>
        <v>-136.449</v>
      </c>
      <c r="O9" s="14">
        <f t="shared" si="5"/>
        <v>4999.999</v>
      </c>
      <c r="P9" s="14">
        <f t="shared" si="5"/>
        <v>4999.999</v>
      </c>
    </row>
    <row r="10" spans="1:16" x14ac:dyDescent="0.2">
      <c r="A10" s="4" t="s">
        <v>229</v>
      </c>
      <c r="D10" s="2">
        <f>SUM(D4:D9)</f>
        <v>14</v>
      </c>
      <c r="E10" s="2">
        <f>SUM(E4:E9)</f>
        <v>2</v>
      </c>
      <c r="H10" s="14">
        <f t="shared" ref="H10:N10" si="6">ROUND(SUM(H4:H9),3)</f>
        <v>2485.81</v>
      </c>
      <c r="I10" s="14">
        <f t="shared" si="6"/>
        <v>0.186</v>
      </c>
      <c r="J10" s="14">
        <f t="shared" si="6"/>
        <v>0.078</v>
      </c>
      <c r="K10" s="14">
        <f t="shared" si="6"/>
        <v>-0.187</v>
      </c>
      <c r="L10" s="14">
        <f t="shared" si="6"/>
        <v>-0.079</v>
      </c>
      <c r="M10" s="14">
        <f t="shared" si="6"/>
        <v>-1E-3</v>
      </c>
      <c r="N10" s="14">
        <f t="shared" si="6"/>
        <v>-1E-3</v>
      </c>
    </row>
    <row r="12" spans="1:16" x14ac:dyDescent="0.2">
      <c r="A12" s="4" t="s">
        <v>230</v>
      </c>
    </row>
    <row r="13" spans="1:16" x14ac:dyDescent="0.2">
      <c r="A13" s="2" t="s">
        <v>231</v>
      </c>
      <c r="B13" s="14">
        <f>H10</f>
        <v>2485.81</v>
      </c>
    </row>
    <row r="14" spans="1:16" x14ac:dyDescent="0.2">
      <c r="A14" s="2" t="s">
        <v>9</v>
      </c>
      <c r="B14" s="14">
        <f>I10</f>
        <v>0.186</v>
      </c>
    </row>
    <row r="15" spans="1:16" x14ac:dyDescent="0.2">
      <c r="A15" s="2" t="s">
        <v>10</v>
      </c>
      <c r="B15" s="14">
        <f>J10</f>
        <v>0.078</v>
      </c>
    </row>
    <row r="16" spans="1:16" x14ac:dyDescent="0.2">
      <c r="A16" s="2" t="s">
        <v>11</v>
      </c>
      <c r="B16" s="12">
        <f>ROUND(SQRT(B14^2+B15^2),2)</f>
        <v>0.2</v>
      </c>
    </row>
    <row r="17" spans="1:3" x14ac:dyDescent="0.2">
      <c r="A17" s="2" t="s">
        <v>12</v>
      </c>
      <c r="B17" s="15">
        <f>ROUNDDOWN(B13/B16,-2)</f>
        <v>12400</v>
      </c>
    </row>
    <row r="18" spans="1:3" x14ac:dyDescent="0.2">
      <c r="A18" s="2" t="s">
        <v>14</v>
      </c>
      <c r="B18" s="2" t="str">
        <f>Parameters!B8</f>
        <v>Rural</v>
      </c>
    </row>
    <row r="19" spans="1:3" x14ac:dyDescent="0.2">
      <c r="A19" s="2" t="s">
        <v>16</v>
      </c>
      <c r="B19" s="15">
        <f>IF(B18="Urban",Parameters!B6,Parameters!B7)</f>
        <v>10000</v>
      </c>
    </row>
    <row r="20" spans="1:3" x14ac:dyDescent="0.2">
      <c r="A20" s="2" t="s">
        <v>17</v>
      </c>
      <c r="B20" s="2" t="str">
        <f>IF(B17&gt;=B19,"Meets the standard","Does not meet the standard")</f>
        <v>Meets the standard</v>
      </c>
    </row>
    <row r="22" spans="1:3" x14ac:dyDescent="0.2">
      <c r="A22" s="4" t="s">
        <v>232</v>
      </c>
    </row>
    <row r="23" spans="1:3" ht="16" x14ac:dyDescent="0.2">
      <c r="A23" s="3" t="s">
        <v>233</v>
      </c>
      <c r="B23" s="3" t="s">
        <v>234</v>
      </c>
      <c r="C23" s="3" t="s">
        <v>235</v>
      </c>
    </row>
    <row r="24" spans="1:3" x14ac:dyDescent="0.2">
      <c r="A24" s="2" t="s">
        <v>136</v>
      </c>
      <c r="B24" s="14">
        <f>Parameters!B4</f>
        <v>5000</v>
      </c>
      <c r="C24" s="14">
        <f>Parameters!B5</f>
        <v>5000</v>
      </c>
    </row>
    <row r="25" spans="1:3" x14ac:dyDescent="0.2">
      <c r="A25" s="2" t="s">
        <v>137</v>
      </c>
      <c r="B25" s="14">
        <f t="shared" ref="B25:C30" si="7">O4</f>
        <v>5597.225</v>
      </c>
      <c r="C25" s="14">
        <f t="shared" si="7"/>
        <v>5179.577</v>
      </c>
    </row>
    <row r="26" spans="1:3" x14ac:dyDescent="0.2">
      <c r="A26" s="2" t="s">
        <v>146</v>
      </c>
      <c r="B26" s="14">
        <f t="shared" si="7"/>
        <v>5544.195</v>
      </c>
      <c r="C26" s="14">
        <f t="shared" si="7"/>
        <v>5455.971</v>
      </c>
    </row>
    <row r="27" spans="1:3" x14ac:dyDescent="0.2">
      <c r="A27" s="2" t="s">
        <v>151</v>
      </c>
      <c r="B27" s="14">
        <f t="shared" si="7"/>
        <v>5484.75</v>
      </c>
      <c r="C27" s="14">
        <f t="shared" si="7"/>
        <v>5740.33</v>
      </c>
    </row>
    <row r="28" spans="1:3" x14ac:dyDescent="0.2">
      <c r="A28" s="2" t="s">
        <v>154</v>
      </c>
      <c r="B28" s="14">
        <f t="shared" si="7"/>
        <v>4920.705</v>
      </c>
      <c r="C28" s="14">
        <f t="shared" si="7"/>
        <v>5630.36</v>
      </c>
    </row>
    <row r="29" spans="1:3" x14ac:dyDescent="0.2">
      <c r="A29" s="2" t="s">
        <v>157</v>
      </c>
      <c r="B29" s="14">
        <f t="shared" si="7"/>
        <v>4834.829</v>
      </c>
      <c r="C29" s="14">
        <f t="shared" si="7"/>
        <v>5136.448</v>
      </c>
    </row>
    <row r="30" spans="1:3" x14ac:dyDescent="0.2">
      <c r="A30" s="2" t="s">
        <v>236</v>
      </c>
      <c r="B30" s="14">
        <f t="shared" si="7"/>
        <v>4999.999</v>
      </c>
      <c r="C30" s="14">
        <f t="shared" si="7"/>
        <v>4999.999</v>
      </c>
    </row>
    <row r="32" spans="1:3" x14ac:dyDescent="0.2">
      <c r="A32" s="4" t="s">
        <v>237</v>
      </c>
    </row>
    <row r="33" spans="1:9" ht="48" x14ac:dyDescent="0.2">
      <c r="A33" s="3" t="s">
        <v>207</v>
      </c>
      <c r="B33" s="3" t="s">
        <v>238</v>
      </c>
      <c r="C33" s="3" t="s">
        <v>239</v>
      </c>
      <c r="D33" s="3" t="s">
        <v>240</v>
      </c>
      <c r="E33" s="3" t="s">
        <v>241</v>
      </c>
      <c r="F33" s="3" t="s">
        <v>242</v>
      </c>
      <c r="G33" s="3" t="s">
        <v>243</v>
      </c>
      <c r="H33" s="3" t="s">
        <v>244</v>
      </c>
    </row>
    <row r="34" spans="1:9" x14ac:dyDescent="0.2">
      <c r="A34" s="2" t="s">
        <v>224</v>
      </c>
      <c r="B34" s="14">
        <f>ROUND(AVERAGEIFS('Field Notes'!$K$4:$K$34,'Field Notes'!$P$4:$P$34,A34,'Field Notes'!$S$4:$S$34,1),3)</f>
        <v>281.45</v>
      </c>
      <c r="C34" s="14">
        <f>ROUND(AVERAGEIFS('Field Notes'!$K$4:$K$34,'Field Notes'!$P$4:$P$34,A34,'Field Notes'!$S$4:$S$34,2),3)</f>
        <v>281.43</v>
      </c>
      <c r="D34" s="14">
        <f>ROUND(ABS(B34-C34),3)</f>
        <v>0.02</v>
      </c>
      <c r="E34" s="13">
        <f>ROUND(AVERAGEIFS('Field Notes'!$R$4:$R$34,'Field Notes'!$P$4:$P$34,A34,'Field Notes'!$S$4:$S$34,1),6)</f>
        <v>100.856806</v>
      </c>
      <c r="F34" s="13">
        <f>ROUND(AVERAGEIFS('Field Notes'!$R$4:$R$34,'Field Notes'!$P$4:$P$34,A34,'Field Notes'!$S$4:$S$34,2),6)</f>
        <v>100.855973</v>
      </c>
      <c r="G34" s="16">
        <f>ROUND(ABS(E34-F34)*Parameters!$B$18,0)</f>
        <v>3</v>
      </c>
      <c r="H34" s="2" t="str">
        <f>IF(AND(D34&lt;=Parameters!$B$19,G34&lt;=Parameters!$B$20),"Agree, meaned together","Do not agree")</f>
        <v>Agree, meaned together</v>
      </c>
    </row>
    <row r="35" spans="1:9" x14ac:dyDescent="0.2">
      <c r="A35" s="2" t="s">
        <v>227</v>
      </c>
      <c r="B35" s="14">
        <f>ROUND(AVERAGEIFS('Field Notes'!$K$4:$K$34,'Field Notes'!$P$4:$P$34,A35,'Field Notes'!$S$4:$S$34,1),3)</f>
        <v>501.02</v>
      </c>
      <c r="C35" s="14">
        <f>ROUND(AVERAGEIFS('Field Notes'!$K$4:$K$34,'Field Notes'!$P$4:$P$34,A35,'Field Notes'!$S$4:$S$34,2),3)</f>
        <v>501.3</v>
      </c>
      <c r="D35" s="14">
        <f>ROUND(ABS(B35-C35),3)</f>
        <v>0.28</v>
      </c>
      <c r="E35" s="13">
        <f>ROUND(AVERAGEIFS('Field Notes'!$R$4:$R$34,'Field Notes'!$P$4:$P$34,A35,'Field Notes'!$S$4:$S$34,1),6)</f>
        <v>260.142778</v>
      </c>
      <c r="F35" s="13">
        <f>ROUND(AVERAGEIFS('Field Notes'!$R$4:$R$34,'Field Notes'!$P$4:$P$34,A35,'Field Notes'!$S$4:$S$34,2),6)</f>
        <v>260.140556</v>
      </c>
      <c r="G35" s="16">
        <f>ROUND(ABS(E35-F35)*Parameters!$B$18,0)</f>
        <v>8</v>
      </c>
      <c r="H35" s="2" t="str">
        <f>IF(AND(D35&lt;=Parameters!$B$19,G35&lt;=Parameters!$B$20),"Agree, meaned together","Do not agree")</f>
        <v>Do not agree</v>
      </c>
    </row>
    <row r="37" spans="1:9" x14ac:dyDescent="0.2">
      <c r="A37" s="4" t="s">
        <v>245</v>
      </c>
    </row>
    <row r="38" spans="1:9" ht="32" x14ac:dyDescent="0.2">
      <c r="A38" s="3" t="s">
        <v>246</v>
      </c>
      <c r="B38" s="3" t="s">
        <v>212</v>
      </c>
      <c r="C38" s="3" t="s">
        <v>214</v>
      </c>
      <c r="D38" s="3" t="s">
        <v>215</v>
      </c>
      <c r="E38" s="3" t="s">
        <v>216</v>
      </c>
      <c r="F38" s="3" t="s">
        <v>9</v>
      </c>
      <c r="G38" s="3" t="s">
        <v>10</v>
      </c>
      <c r="H38" s="3" t="s">
        <v>247</v>
      </c>
      <c r="I38" s="3" t="s">
        <v>248</v>
      </c>
    </row>
    <row r="39" spans="1:9" x14ac:dyDescent="0.2">
      <c r="A39" s="2" t="s">
        <v>249</v>
      </c>
      <c r="B39" s="13">
        <f>ROUND(AVERAGEIFS('Field Notes'!$R$4:$R$34,'Field Notes'!$P$4:$P$34,"T5-T6",'Field Notes'!$S$4:$S$34,1),6)</f>
        <v>260.142778</v>
      </c>
      <c r="C39" s="14">
        <f>ROUND(AVERAGEIFS('Field Notes'!$K$4:$K$34,'Field Notes'!$P$4:$P$34,"T5-T6",'Field Notes'!$S$4:$S$34,1),3)</f>
        <v>501.02</v>
      </c>
      <c r="D39" s="14">
        <f>ROUND(C39*COS(RADIANS(B39)),3)</f>
        <v>-85.771</v>
      </c>
      <c r="E39" s="14">
        <f>ROUND(C39*SIN(RADIANS(B39)),3)</f>
        <v>-493.624</v>
      </c>
      <c r="F39" s="14">
        <f>ROUND($I$10-$I$8+D39,3)</f>
        <v>0.253</v>
      </c>
      <c r="G39" s="14">
        <f>ROUND($J$10-$J$8+E39,3)</f>
        <v>0.35</v>
      </c>
      <c r="H39" s="12">
        <f>ROUND(SQRT(F39^2+G39^2),2)</f>
        <v>0.43</v>
      </c>
      <c r="I39" s="15">
        <f>ROUNDDOWN(($H$10-$H$8+C39)/H39,-2)</f>
        <v>5700</v>
      </c>
    </row>
    <row r="40" spans="1:9" x14ac:dyDescent="0.2">
      <c r="A40" s="2" t="s">
        <v>250</v>
      </c>
      <c r="B40" s="13">
        <f>ROUND(AVERAGEIFS('Field Notes'!$R$4:$R$34,'Field Notes'!$P$4:$P$34,"T5-T6"),6)</f>
        <v>260.141667</v>
      </c>
      <c r="C40" s="14">
        <f>ROUND(AVERAGEIFS('Field Notes'!$K$4:$K$34,'Field Notes'!$P$4:$P$34,"T5-T6"),3)</f>
        <v>501.16</v>
      </c>
      <c r="D40" s="14">
        <f>ROUND(C40*COS(RADIANS(B40)),3)</f>
        <v>-85.805</v>
      </c>
      <c r="E40" s="14">
        <f>ROUND(C40*SIN(RADIANS(B40)),3)</f>
        <v>-493.76</v>
      </c>
      <c r="F40" s="14">
        <f>ROUND($I$10-$I$8+D40,3)</f>
        <v>0.219</v>
      </c>
      <c r="G40" s="14">
        <f>ROUND($J$10-$J$8+E40,3)</f>
        <v>0.214</v>
      </c>
      <c r="H40" s="12">
        <f>ROUND(SQRT(F40^2+G40^2),2)</f>
        <v>0.31</v>
      </c>
      <c r="I40" s="15">
        <f>ROUNDDOWN(($H$10-$H$8+C40)/H40,-2)</f>
        <v>8000</v>
      </c>
    </row>
    <row r="42" spans="1:9" x14ac:dyDescent="0.2">
      <c r="A42" s="2" t="s">
        <v>251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6"/>
  <sheetViews>
    <sheetView workbookViewId="0"/>
  </sheetViews>
  <sheetFormatPr baseColWidth="10" defaultColWidth="8.83203125" defaultRowHeight="15" x14ac:dyDescent="0.2"/>
  <cols>
    <col min="1" max="1" width="8" customWidth="1"/>
    <col min="2" max="2" width="56" customWidth="1"/>
    <col min="3" max="3" width="9" customWidth="1"/>
    <col min="4" max="4" width="7" customWidth="1"/>
    <col min="5" max="5" width="13" customWidth="1"/>
    <col min="6" max="6" width="12" customWidth="1"/>
    <col min="7" max="8" width="14" customWidth="1"/>
    <col min="9" max="10" width="11" customWidth="1"/>
    <col min="11" max="12" width="13" customWidth="1"/>
  </cols>
  <sheetData>
    <row r="1" spans="1:12" ht="17" x14ac:dyDescent="0.2">
      <c r="A1" s="1" t="s">
        <v>252</v>
      </c>
    </row>
    <row r="3" spans="1:12" ht="32" x14ac:dyDescent="0.2">
      <c r="A3" s="3" t="s">
        <v>253</v>
      </c>
      <c r="B3" s="3" t="s">
        <v>254</v>
      </c>
      <c r="C3" s="3" t="s">
        <v>233</v>
      </c>
      <c r="D3" s="3" t="s">
        <v>255</v>
      </c>
      <c r="E3" s="3" t="s">
        <v>256</v>
      </c>
      <c r="F3" s="3" t="s">
        <v>257</v>
      </c>
      <c r="G3" s="3" t="s">
        <v>258</v>
      </c>
      <c r="H3" s="3" t="s">
        <v>259</v>
      </c>
      <c r="I3" s="3" t="s">
        <v>215</v>
      </c>
      <c r="J3" s="3" t="s">
        <v>216</v>
      </c>
      <c r="K3" s="3" t="s">
        <v>234</v>
      </c>
      <c r="L3" s="3" t="s">
        <v>235</v>
      </c>
    </row>
    <row r="4" spans="1:12" x14ac:dyDescent="0.2">
      <c r="A4" s="2" t="s">
        <v>168</v>
      </c>
      <c r="B4" s="2" t="s">
        <v>260</v>
      </c>
      <c r="C4" s="2" t="str">
        <f>INDEX('Field Notes'!$M$4:$M$34,MATCH(A4,'Field Notes'!$N$4:$N$34,0))</f>
        <v>T1</v>
      </c>
      <c r="D4" s="2">
        <f>INDEX('Field Notes'!$A$4:$A$34,MATCH(A4,'Field Notes'!$N$4:$N$34,0))</f>
        <v>17</v>
      </c>
      <c r="E4" s="13">
        <f>INDEX('Field Notes'!$O$4:$O$34,MATCH(A4,'Field Notes'!$N$4:$N$34,0))</f>
        <v>247.913056</v>
      </c>
      <c r="F4" s="12">
        <f>INDEX('Field Notes'!$W$4:$W$34,MATCH(A4,'Field Notes'!$N$4:$N$34,0))</f>
        <v>13.83</v>
      </c>
      <c r="G4" s="14">
        <f>INDEX(Traverse!$B$24:$B$29,MATCH(C4,Traverse!$A$24:$A$29,0))</f>
        <v>5000</v>
      </c>
      <c r="H4" s="14">
        <f>INDEX(Traverse!$C$24:$C$29,MATCH(C4,Traverse!$A$24:$A$29,0))</f>
        <v>5000</v>
      </c>
      <c r="I4" s="14">
        <f t="shared" ref="I4:I18" si="0">ROUND(F4*COS(RADIANS(E4)),3)</f>
        <v>-5.2</v>
      </c>
      <c r="J4" s="14">
        <f t="shared" ref="J4:J18" si="1">ROUND(F4*SIN(RADIANS(E4)),3)</f>
        <v>-12.815</v>
      </c>
      <c r="K4" s="14">
        <f t="shared" ref="K4:K18" si="2">ROUND(G4+I4,3)</f>
        <v>4994.8</v>
      </c>
      <c r="L4" s="14">
        <f t="shared" ref="L4:L18" si="3">ROUND(H4+J4,3)</f>
        <v>4987.185</v>
      </c>
    </row>
    <row r="5" spans="1:12" x14ac:dyDescent="0.2">
      <c r="A5" s="2" t="s">
        <v>171</v>
      </c>
      <c r="B5" s="2" t="s">
        <v>261</v>
      </c>
      <c r="C5" s="2" t="str">
        <f>INDEX('Field Notes'!$M$4:$M$34,MATCH(A5,'Field Notes'!$N$4:$N$34,0))</f>
        <v>T2</v>
      </c>
      <c r="D5" s="2">
        <f>INDEX('Field Notes'!$A$4:$A$34,MATCH(A5,'Field Notes'!$N$4:$N$34,0))</f>
        <v>18</v>
      </c>
      <c r="E5" s="13">
        <f>INDEX('Field Notes'!$O$4:$O$34,MATCH(A5,'Field Notes'!$N$4:$N$34,0))</f>
        <v>331.065</v>
      </c>
      <c r="F5" s="12">
        <f>INDEX('Field Notes'!$W$4:$W$34,MATCH(A5,'Field Notes'!$N$4:$N$34,0))</f>
        <v>11.23</v>
      </c>
      <c r="G5" s="14">
        <f>INDEX(Traverse!$B$24:$B$29,MATCH(C5,Traverse!$A$24:$A$29,0))</f>
        <v>5597.225</v>
      </c>
      <c r="H5" s="14">
        <f>INDEX(Traverse!$C$24:$C$29,MATCH(C5,Traverse!$A$24:$A$29,0))</f>
        <v>5179.577</v>
      </c>
      <c r="I5" s="14">
        <f t="shared" si="0"/>
        <v>9.828</v>
      </c>
      <c r="J5" s="14">
        <f t="shared" si="1"/>
        <v>-5.433</v>
      </c>
      <c r="K5" s="14">
        <f t="shared" si="2"/>
        <v>5607.053</v>
      </c>
      <c r="L5" s="14">
        <f t="shared" si="3"/>
        <v>5174.144</v>
      </c>
    </row>
    <row r="6" spans="1:12" x14ac:dyDescent="0.2">
      <c r="A6" s="2" t="s">
        <v>181</v>
      </c>
      <c r="B6" s="2" t="s">
        <v>262</v>
      </c>
      <c r="C6" s="2" t="str">
        <f>INDEX('Field Notes'!$M$4:$M$34,MATCH(A6,'Field Notes'!$N$4:$N$34,0))</f>
        <v>T4</v>
      </c>
      <c r="D6" s="2">
        <f>INDEX('Field Notes'!$A$4:$A$34,MATCH(A6,'Field Notes'!$N$4:$N$34,0))</f>
        <v>21</v>
      </c>
      <c r="E6" s="13">
        <f>INDEX('Field Notes'!$O$4:$O$34,MATCH(A6,'Field Notes'!$N$4:$N$34,0))</f>
        <v>56.773889</v>
      </c>
      <c r="F6" s="12">
        <f>INDEX('Field Notes'!$W$4:$W$34,MATCH(A6,'Field Notes'!$N$4:$N$34,0))</f>
        <v>13.5</v>
      </c>
      <c r="G6" s="14">
        <f>INDEX(Traverse!$B$24:$B$29,MATCH(C6,Traverse!$A$24:$A$29,0))</f>
        <v>5484.75</v>
      </c>
      <c r="H6" s="14">
        <f>INDEX(Traverse!$C$24:$C$29,MATCH(C6,Traverse!$A$24:$A$29,0))</f>
        <v>5740.33</v>
      </c>
      <c r="I6" s="14">
        <f t="shared" si="0"/>
        <v>7.397</v>
      </c>
      <c r="J6" s="14">
        <f t="shared" si="1"/>
        <v>11.293</v>
      </c>
      <c r="K6" s="14">
        <f t="shared" si="2"/>
        <v>5492.147</v>
      </c>
      <c r="L6" s="14">
        <f t="shared" si="3"/>
        <v>5751.623</v>
      </c>
    </row>
    <row r="7" spans="1:12" x14ac:dyDescent="0.2">
      <c r="A7" s="2" t="s">
        <v>191</v>
      </c>
      <c r="B7" s="2" t="s">
        <v>263</v>
      </c>
      <c r="C7" s="2" t="str">
        <f>INDEX('Field Notes'!$M$4:$M$34,MATCH(A7,'Field Notes'!$N$4:$N$34,0))</f>
        <v>T5</v>
      </c>
      <c r="D7" s="2">
        <f>INDEX('Field Notes'!$A$4:$A$34,MATCH(A7,'Field Notes'!$N$4:$N$34,0))</f>
        <v>25</v>
      </c>
      <c r="E7" s="13">
        <f>INDEX('Field Notes'!$O$4:$O$34,MATCH(A7,'Field Notes'!$N$4:$N$34,0))</f>
        <v>139.269722</v>
      </c>
      <c r="F7" s="12">
        <f>INDEX('Field Notes'!$W$4:$W$34,MATCH(A7,'Field Notes'!$N$4:$N$34,0))</f>
        <v>12.28</v>
      </c>
      <c r="G7" s="14">
        <f>INDEX(Traverse!$B$24:$B$29,MATCH(C7,Traverse!$A$24:$A$29,0))</f>
        <v>4920.705</v>
      </c>
      <c r="H7" s="14">
        <f>INDEX(Traverse!$C$24:$C$29,MATCH(C7,Traverse!$A$24:$A$29,0))</f>
        <v>5630.36</v>
      </c>
      <c r="I7" s="14">
        <f t="shared" si="0"/>
        <v>-9.306</v>
      </c>
      <c r="J7" s="14">
        <f t="shared" si="1"/>
        <v>8.013</v>
      </c>
      <c r="K7" s="14">
        <f t="shared" si="2"/>
        <v>4911.399</v>
      </c>
      <c r="L7" s="14">
        <f t="shared" si="3"/>
        <v>5638.373</v>
      </c>
    </row>
    <row r="8" spans="1:12" x14ac:dyDescent="0.2">
      <c r="A8" s="2" t="s">
        <v>199</v>
      </c>
      <c r="B8" s="2" t="s">
        <v>264</v>
      </c>
      <c r="C8" s="2" t="str">
        <f>INDEX('Field Notes'!$M$4:$M$34,MATCH(A8,'Field Notes'!$N$4:$N$34,0))</f>
        <v>T6</v>
      </c>
      <c r="D8" s="2">
        <f>INDEX('Field Notes'!$A$4:$A$34,MATCH(A8,'Field Notes'!$N$4:$N$34,0))</f>
        <v>29</v>
      </c>
      <c r="E8" s="13">
        <f>INDEX('Field Notes'!$O$4:$O$34,MATCH(A8,'Field Notes'!$N$4:$N$34,0))</f>
        <v>185.301389</v>
      </c>
      <c r="F8" s="12">
        <f>INDEX('Field Notes'!$W$4:$W$34,MATCH(A8,'Field Notes'!$N$4:$N$34,0))</f>
        <v>9.47</v>
      </c>
      <c r="G8" s="14">
        <f>INDEX(Traverse!$B$24:$B$29,MATCH(C8,Traverse!$A$24:$A$29,0))</f>
        <v>4834.829</v>
      </c>
      <c r="H8" s="14">
        <f>INDEX(Traverse!$C$24:$C$29,MATCH(C8,Traverse!$A$24:$A$29,0))</f>
        <v>5136.448</v>
      </c>
      <c r="I8" s="14">
        <f t="shared" si="0"/>
        <v>-9.429</v>
      </c>
      <c r="J8" s="14">
        <f t="shared" si="1"/>
        <v>-0.875</v>
      </c>
      <c r="K8" s="14">
        <f t="shared" si="2"/>
        <v>4825.4</v>
      </c>
      <c r="L8" s="14">
        <f t="shared" si="3"/>
        <v>5135.573</v>
      </c>
    </row>
    <row r="9" spans="1:12" x14ac:dyDescent="0.2">
      <c r="A9" s="2" t="s">
        <v>186</v>
      </c>
      <c r="B9" s="2" t="s">
        <v>265</v>
      </c>
      <c r="C9" s="2" t="str">
        <f>INDEX('Field Notes'!$M$4:$M$34,MATCH(A9,'Field Notes'!$N$4:$N$34,0))</f>
        <v>T4</v>
      </c>
      <c r="D9" s="2">
        <f>INDEX('Field Notes'!$A$4:$A$34,MATCH(A9,'Field Notes'!$N$4:$N$34,0))</f>
        <v>23</v>
      </c>
      <c r="E9" s="13">
        <f>INDEX('Field Notes'!$O$4:$O$34,MATCH(A9,'Field Notes'!$N$4:$N$34,0))</f>
        <v>13.731389</v>
      </c>
      <c r="F9" s="12">
        <f>INDEX('Field Notes'!$W$4:$W$34,MATCH(A9,'Field Notes'!$N$4:$N$34,0))</f>
        <v>224.68</v>
      </c>
      <c r="G9" s="14">
        <f>INDEX(Traverse!$B$24:$B$29,MATCH(C9,Traverse!$A$24:$A$29,0))</f>
        <v>5484.75</v>
      </c>
      <c r="H9" s="14">
        <f>INDEX(Traverse!$C$24:$C$29,MATCH(C9,Traverse!$A$24:$A$29,0))</f>
        <v>5740.33</v>
      </c>
      <c r="I9" s="14">
        <f t="shared" si="0"/>
        <v>218.258</v>
      </c>
      <c r="J9" s="14">
        <f t="shared" si="1"/>
        <v>53.332</v>
      </c>
      <c r="K9" s="14">
        <f t="shared" si="2"/>
        <v>5703.008</v>
      </c>
      <c r="L9" s="14">
        <f t="shared" si="3"/>
        <v>5793.662</v>
      </c>
    </row>
    <row r="10" spans="1:12" x14ac:dyDescent="0.2">
      <c r="A10" s="2" t="s">
        <v>173</v>
      </c>
      <c r="B10" s="2" t="s">
        <v>266</v>
      </c>
      <c r="C10" s="2" t="str">
        <f>INDEX('Field Notes'!$M$4:$M$34,MATCH(A10,'Field Notes'!$N$4:$N$34,0))</f>
        <v>T2</v>
      </c>
      <c r="D10" s="2">
        <f>INDEX('Field Notes'!$A$4:$A$34,MATCH(A10,'Field Notes'!$N$4:$N$34,0))</f>
        <v>19</v>
      </c>
      <c r="E10" s="13">
        <f>INDEX('Field Notes'!$O$4:$O$34,MATCH(A10,'Field Notes'!$N$4:$N$34,0))</f>
        <v>85.3925</v>
      </c>
      <c r="F10" s="12">
        <f>INDEX('Field Notes'!$W$4:$W$34,MATCH(A10,'Field Notes'!$N$4:$N$34,0))</f>
        <v>32.38</v>
      </c>
      <c r="G10" s="14">
        <f>INDEX(Traverse!$B$24:$B$29,MATCH(C10,Traverse!$A$24:$A$29,0))</f>
        <v>5597.225</v>
      </c>
      <c r="H10" s="14">
        <f>INDEX(Traverse!$C$24:$C$29,MATCH(C10,Traverse!$A$24:$A$29,0))</f>
        <v>5179.577</v>
      </c>
      <c r="I10" s="14">
        <f t="shared" si="0"/>
        <v>2.601</v>
      </c>
      <c r="J10" s="14">
        <f t="shared" si="1"/>
        <v>32.275</v>
      </c>
      <c r="K10" s="14">
        <f t="shared" si="2"/>
        <v>5599.826</v>
      </c>
      <c r="L10" s="14">
        <f t="shared" si="3"/>
        <v>5211.852</v>
      </c>
    </row>
    <row r="11" spans="1:12" x14ac:dyDescent="0.2">
      <c r="A11" s="2" t="s">
        <v>176</v>
      </c>
      <c r="B11" s="2" t="s">
        <v>266</v>
      </c>
      <c r="C11" s="2" t="str">
        <f>INDEX('Field Notes'!$M$4:$M$34,MATCH(A11,'Field Notes'!$N$4:$N$34,0))</f>
        <v>T3</v>
      </c>
      <c r="D11" s="2">
        <f>INDEX('Field Notes'!$A$4:$A$34,MATCH(A11,'Field Notes'!$N$4:$N$34,0))</f>
        <v>20</v>
      </c>
      <c r="E11" s="13">
        <f>INDEX('Field Notes'!$O$4:$O$34,MATCH(A11,'Field Notes'!$N$4:$N$34,0))</f>
        <v>71.075833</v>
      </c>
      <c r="F11" s="12">
        <f>INDEX('Field Notes'!$W$4:$W$34,MATCH(A11,'Field Notes'!$N$4:$N$34,0))</f>
        <v>15.06</v>
      </c>
      <c r="G11" s="14">
        <f>INDEX(Traverse!$B$24:$B$29,MATCH(C11,Traverse!$A$24:$A$29,0))</f>
        <v>5544.195</v>
      </c>
      <c r="H11" s="14">
        <f>INDEX(Traverse!$C$24:$C$29,MATCH(C11,Traverse!$A$24:$A$29,0))</f>
        <v>5455.971</v>
      </c>
      <c r="I11" s="14">
        <f t="shared" si="0"/>
        <v>4.884</v>
      </c>
      <c r="J11" s="14">
        <f t="shared" si="1"/>
        <v>14.246</v>
      </c>
      <c r="K11" s="14">
        <f t="shared" si="2"/>
        <v>5549.079</v>
      </c>
      <c r="L11" s="14">
        <f t="shared" si="3"/>
        <v>5470.217</v>
      </c>
    </row>
    <row r="12" spans="1:12" x14ac:dyDescent="0.2">
      <c r="A12" s="2" t="s">
        <v>179</v>
      </c>
      <c r="B12" s="2" t="s">
        <v>267</v>
      </c>
      <c r="C12" s="2" t="str">
        <f>INDEX('Field Notes'!$M$4:$M$34,MATCH(A12,'Field Notes'!$N$4:$N$34,0))</f>
        <v>T4</v>
      </c>
      <c r="D12" s="2">
        <f>INDEX('Field Notes'!$A$4:$A$34,MATCH(A12,'Field Notes'!$N$4:$N$34,0))</f>
        <v>22</v>
      </c>
      <c r="E12" s="13">
        <f>INDEX('Field Notes'!$O$4:$O$34,MATCH(A12,'Field Notes'!$N$4:$N$34,0))</f>
        <v>54.423333</v>
      </c>
      <c r="F12" s="12">
        <f>INDEX('Field Notes'!$W$4:$W$34,MATCH(A12,'Field Notes'!$N$4:$N$34,0))</f>
        <v>14.59</v>
      </c>
      <c r="G12" s="14">
        <f>INDEX(Traverse!$B$24:$B$29,MATCH(C12,Traverse!$A$24:$A$29,0))</f>
        <v>5484.75</v>
      </c>
      <c r="H12" s="14">
        <f>INDEX(Traverse!$C$24:$C$29,MATCH(C12,Traverse!$A$24:$A$29,0))</f>
        <v>5740.33</v>
      </c>
      <c r="I12" s="14">
        <f t="shared" si="0"/>
        <v>8.488</v>
      </c>
      <c r="J12" s="14">
        <f t="shared" si="1"/>
        <v>11.867</v>
      </c>
      <c r="K12" s="14">
        <f t="shared" si="2"/>
        <v>5493.238</v>
      </c>
      <c r="L12" s="14">
        <f t="shared" si="3"/>
        <v>5752.197</v>
      </c>
    </row>
    <row r="13" spans="1:12" x14ac:dyDescent="0.2">
      <c r="A13" s="2" t="s">
        <v>189</v>
      </c>
      <c r="B13" s="2" t="s">
        <v>268</v>
      </c>
      <c r="C13" s="2" t="str">
        <f>INDEX('Field Notes'!$M$4:$M$34,MATCH(A13,'Field Notes'!$N$4:$N$34,0))</f>
        <v>T4</v>
      </c>
      <c r="D13" s="2">
        <f>INDEX('Field Notes'!$A$4:$A$34,MATCH(A13,'Field Notes'!$N$4:$N$34,0))</f>
        <v>24</v>
      </c>
      <c r="E13" s="13">
        <f>INDEX('Field Notes'!$O$4:$O$34,MATCH(A13,'Field Notes'!$N$4:$N$34,0))</f>
        <v>180.096111</v>
      </c>
      <c r="F13" s="12">
        <f>INDEX('Field Notes'!$W$4:$W$34,MATCH(A13,'Field Notes'!$N$4:$N$34,0))</f>
        <v>51.93</v>
      </c>
      <c r="G13" s="14">
        <f>INDEX(Traverse!$B$24:$B$29,MATCH(C13,Traverse!$A$24:$A$29,0))</f>
        <v>5484.75</v>
      </c>
      <c r="H13" s="14">
        <f>INDEX(Traverse!$C$24:$C$29,MATCH(C13,Traverse!$A$24:$A$29,0))</f>
        <v>5740.33</v>
      </c>
      <c r="I13" s="14">
        <f t="shared" si="0"/>
        <v>-51.93</v>
      </c>
      <c r="J13" s="14">
        <f t="shared" si="1"/>
        <v>-0.087</v>
      </c>
      <c r="K13" s="14">
        <f t="shared" si="2"/>
        <v>5432.82</v>
      </c>
      <c r="L13" s="14">
        <f t="shared" si="3"/>
        <v>5740.243</v>
      </c>
    </row>
    <row r="14" spans="1:12" x14ac:dyDescent="0.2">
      <c r="A14" s="2" t="s">
        <v>195</v>
      </c>
      <c r="B14" s="2" t="s">
        <v>268</v>
      </c>
      <c r="C14" s="2" t="str">
        <f>INDEX('Field Notes'!$M$4:$M$34,MATCH(A14,'Field Notes'!$N$4:$N$34,0))</f>
        <v>T5</v>
      </c>
      <c r="D14" s="2">
        <f>INDEX('Field Notes'!$A$4:$A$34,MATCH(A14,'Field Notes'!$N$4:$N$34,0))</f>
        <v>27</v>
      </c>
      <c r="E14" s="13">
        <f>INDEX('Field Notes'!$O$4:$O$34,MATCH(A14,'Field Notes'!$N$4:$N$34,0))</f>
        <v>13.811667</v>
      </c>
      <c r="F14" s="12">
        <f>INDEX('Field Notes'!$W$4:$W$34,MATCH(A14,'Field Notes'!$N$4:$N$34,0))</f>
        <v>197.01</v>
      </c>
      <c r="G14" s="14">
        <f>INDEX(Traverse!$B$24:$B$29,MATCH(C14,Traverse!$A$24:$A$29,0))</f>
        <v>4920.705</v>
      </c>
      <c r="H14" s="14">
        <f>INDEX(Traverse!$C$24:$C$29,MATCH(C14,Traverse!$A$24:$A$29,0))</f>
        <v>5630.36</v>
      </c>
      <c r="I14" s="14">
        <f t="shared" si="0"/>
        <v>191.314</v>
      </c>
      <c r="J14" s="14">
        <f t="shared" si="1"/>
        <v>47.032</v>
      </c>
      <c r="K14" s="14">
        <f t="shared" si="2"/>
        <v>5112.019</v>
      </c>
      <c r="L14" s="14">
        <f t="shared" si="3"/>
        <v>5677.392</v>
      </c>
    </row>
    <row r="15" spans="1:12" x14ac:dyDescent="0.2">
      <c r="A15" s="2" t="s">
        <v>193</v>
      </c>
      <c r="B15" s="2" t="s">
        <v>268</v>
      </c>
      <c r="C15" s="2" t="str">
        <f>INDEX('Field Notes'!$M$4:$M$34,MATCH(A15,'Field Notes'!$N$4:$N$34,0))</f>
        <v>T5</v>
      </c>
      <c r="D15" s="2">
        <f>INDEX('Field Notes'!$A$4:$A$34,MATCH(A15,'Field Notes'!$N$4:$N$34,0))</f>
        <v>26</v>
      </c>
      <c r="E15" s="13">
        <f>INDEX('Field Notes'!$O$4:$O$34,MATCH(A15,'Field Notes'!$N$4:$N$34,0))</f>
        <v>27.034167</v>
      </c>
      <c r="F15" s="12">
        <f>INDEX('Field Notes'!$W$4:$W$34,MATCH(A15,'Field Notes'!$N$4:$N$34,0))</f>
        <v>34.73</v>
      </c>
      <c r="G15" s="14">
        <f>INDEX(Traverse!$B$24:$B$29,MATCH(C15,Traverse!$A$24:$A$29,0))</f>
        <v>4920.705</v>
      </c>
      <c r="H15" s="14">
        <f>INDEX(Traverse!$C$24:$C$29,MATCH(C15,Traverse!$A$24:$A$29,0))</f>
        <v>5630.36</v>
      </c>
      <c r="I15" s="14">
        <f t="shared" si="0"/>
        <v>30.935</v>
      </c>
      <c r="J15" s="14">
        <f t="shared" si="1"/>
        <v>15.786</v>
      </c>
      <c r="K15" s="14">
        <f t="shared" si="2"/>
        <v>4951.64</v>
      </c>
      <c r="L15" s="14">
        <f t="shared" si="3"/>
        <v>5646.146</v>
      </c>
    </row>
    <row r="16" spans="1:12" x14ac:dyDescent="0.2">
      <c r="A16" s="2" t="s">
        <v>197</v>
      </c>
      <c r="B16" s="2" t="s">
        <v>269</v>
      </c>
      <c r="C16" s="2" t="str">
        <f>INDEX('Field Notes'!$M$4:$M$34,MATCH(A16,'Field Notes'!$N$4:$N$34,0))</f>
        <v>T5</v>
      </c>
      <c r="D16" s="2">
        <f>INDEX('Field Notes'!$A$4:$A$34,MATCH(A16,'Field Notes'!$N$4:$N$34,0))</f>
        <v>28</v>
      </c>
      <c r="E16" s="13">
        <f>INDEX('Field Notes'!$O$4:$O$34,MATCH(A16,'Field Notes'!$N$4:$N$34,0))</f>
        <v>249.151944</v>
      </c>
      <c r="F16" s="12">
        <f>INDEX('Field Notes'!$W$4:$W$34,MATCH(A16,'Field Notes'!$N$4:$N$34,0))</f>
        <v>53.58</v>
      </c>
      <c r="G16" s="14">
        <f>INDEX(Traverse!$B$24:$B$29,MATCH(C16,Traverse!$A$24:$A$29,0))</f>
        <v>4920.705</v>
      </c>
      <c r="H16" s="14">
        <f>INDEX(Traverse!$C$24:$C$29,MATCH(C16,Traverse!$A$24:$A$29,0))</f>
        <v>5630.36</v>
      </c>
      <c r="I16" s="14">
        <f t="shared" si="0"/>
        <v>-19.069</v>
      </c>
      <c r="J16" s="14">
        <f t="shared" si="1"/>
        <v>-50.072</v>
      </c>
      <c r="K16" s="14">
        <f t="shared" si="2"/>
        <v>4901.636</v>
      </c>
      <c r="L16" s="14">
        <f t="shared" si="3"/>
        <v>5580.288</v>
      </c>
    </row>
    <row r="17" spans="1:12" x14ac:dyDescent="0.2">
      <c r="A17" s="2" t="s">
        <v>204</v>
      </c>
      <c r="B17" s="2" t="s">
        <v>269</v>
      </c>
      <c r="C17" s="2" t="str">
        <f>INDEX('Field Notes'!$M$4:$M$34,MATCH(A17,'Field Notes'!$N$4:$N$34,0))</f>
        <v>T6</v>
      </c>
      <c r="D17" s="2">
        <f>INDEX('Field Notes'!$A$4:$A$34,MATCH(A17,'Field Notes'!$N$4:$N$34,0))</f>
        <v>31</v>
      </c>
      <c r="E17" s="13">
        <f>INDEX('Field Notes'!$O$4:$O$34,MATCH(A17,'Field Notes'!$N$4:$N$34,0))</f>
        <v>82.378611</v>
      </c>
      <c r="F17" s="12">
        <f>INDEX('Field Notes'!$W$4:$W$34,MATCH(A17,'Field Notes'!$N$4:$N$34,0))</f>
        <v>245.41</v>
      </c>
      <c r="G17" s="14">
        <f>INDEX(Traverse!$B$24:$B$29,MATCH(C17,Traverse!$A$24:$A$29,0))</f>
        <v>4834.829</v>
      </c>
      <c r="H17" s="14">
        <f>INDEX(Traverse!$C$24:$C$29,MATCH(C17,Traverse!$A$24:$A$29,0))</f>
        <v>5136.448</v>
      </c>
      <c r="I17" s="14">
        <f t="shared" si="0"/>
        <v>32.548</v>
      </c>
      <c r="J17" s="14">
        <f t="shared" si="1"/>
        <v>243.242</v>
      </c>
      <c r="K17" s="14">
        <f t="shared" si="2"/>
        <v>4867.377</v>
      </c>
      <c r="L17" s="14">
        <f t="shared" si="3"/>
        <v>5379.69</v>
      </c>
    </row>
    <row r="18" spans="1:12" x14ac:dyDescent="0.2">
      <c r="A18" s="2" t="s">
        <v>202</v>
      </c>
      <c r="B18" s="2" t="s">
        <v>269</v>
      </c>
      <c r="C18" s="2" t="str">
        <f>INDEX('Field Notes'!$M$4:$M$34,MATCH(A18,'Field Notes'!$N$4:$N$34,0))</f>
        <v>T6</v>
      </c>
      <c r="D18" s="2">
        <f>INDEX('Field Notes'!$A$4:$A$34,MATCH(A18,'Field Notes'!$N$4:$N$34,0))</f>
        <v>30</v>
      </c>
      <c r="E18" s="13">
        <f>INDEX('Field Notes'!$O$4:$O$34,MATCH(A18,'Field Notes'!$N$4:$N$34,0))</f>
        <v>96.655</v>
      </c>
      <c r="F18" s="12">
        <f>INDEX('Field Notes'!$W$4:$W$34,MATCH(A18,'Field Notes'!$N$4:$N$34,0))</f>
        <v>32.15</v>
      </c>
      <c r="G18" s="14">
        <f>INDEX(Traverse!$B$24:$B$29,MATCH(C18,Traverse!$A$24:$A$29,0))</f>
        <v>4834.829</v>
      </c>
      <c r="H18" s="14">
        <f>INDEX(Traverse!$C$24:$C$29,MATCH(C18,Traverse!$A$24:$A$29,0))</f>
        <v>5136.448</v>
      </c>
      <c r="I18" s="14">
        <f t="shared" si="0"/>
        <v>-3.726</v>
      </c>
      <c r="J18" s="14">
        <f t="shared" si="1"/>
        <v>31.933</v>
      </c>
      <c r="K18" s="14">
        <f t="shared" si="2"/>
        <v>4831.103</v>
      </c>
      <c r="L18" s="14">
        <f t="shared" si="3"/>
        <v>5168.381</v>
      </c>
    </row>
    <row r="20" spans="1:12" x14ac:dyDescent="0.2">
      <c r="A20" s="4" t="s">
        <v>270</v>
      </c>
    </row>
    <row r="21" spans="1:12" ht="32" x14ac:dyDescent="0.2">
      <c r="A21" s="3" t="s">
        <v>271</v>
      </c>
      <c r="B21" s="3" t="s">
        <v>272</v>
      </c>
      <c r="C21" s="3" t="s">
        <v>273</v>
      </c>
      <c r="D21" s="3" t="s">
        <v>274</v>
      </c>
      <c r="E21" s="3" t="s">
        <v>275</v>
      </c>
    </row>
    <row r="22" spans="1:12" x14ac:dyDescent="0.2">
      <c r="A22" s="2" t="s">
        <v>276</v>
      </c>
      <c r="B22" s="2" t="s">
        <v>277</v>
      </c>
      <c r="C22" s="12">
        <f>ROUND(SQRT((K6-K5)^2+(L6-L5)^2),2)</f>
        <v>588.8</v>
      </c>
      <c r="D22" s="17">
        <f>Parameters!B27</f>
        <v>588.8</v>
      </c>
      <c r="E22" s="12">
        <f>ROUND(C22-D22,2)</f>
        <v>0</v>
      </c>
    </row>
    <row r="23" spans="1:12" x14ac:dyDescent="0.2">
      <c r="A23" s="2" t="s">
        <v>278</v>
      </c>
      <c r="B23" s="2" t="s">
        <v>279</v>
      </c>
      <c r="C23" s="12">
        <f>ROUND(SQRT((K12-K5)^2+(L12-L5)^2),2)</f>
        <v>589.15</v>
      </c>
    </row>
    <row r="24" spans="1:12" x14ac:dyDescent="0.2">
      <c r="A24" s="2" t="s">
        <v>280</v>
      </c>
      <c r="B24" s="2" t="s">
        <v>281</v>
      </c>
      <c r="C24" s="12">
        <f>ROUND(SQRT((K9-K7)^2+(L9-L7)^2),2)</f>
        <v>806.7</v>
      </c>
      <c r="D24" s="17">
        <f>Parameters!B28</f>
        <v>806.9</v>
      </c>
      <c r="E24" s="12">
        <f>ROUND(C24-D24,2)</f>
        <v>-0.2</v>
      </c>
    </row>
    <row r="26" spans="1:12" x14ac:dyDescent="0.2">
      <c r="A26" s="2" t="s">
        <v>282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46"/>
  <sheetViews>
    <sheetView workbookViewId="0"/>
  </sheetViews>
  <sheetFormatPr baseColWidth="10" defaultColWidth="8.83203125" defaultRowHeight="15" x14ac:dyDescent="0.2"/>
  <cols>
    <col min="1" max="1" width="64" customWidth="1"/>
    <col min="2" max="2" width="14" customWidth="1"/>
    <col min="3" max="4" width="9" customWidth="1"/>
    <col min="5" max="5" width="5" customWidth="1"/>
    <col min="6" max="6" width="12" customWidth="1"/>
    <col min="7" max="7" width="13" customWidth="1"/>
    <col min="8" max="9" width="12" customWidth="1"/>
    <col min="10" max="10" width="13" customWidth="1"/>
    <col min="11" max="11" width="16" customWidth="1"/>
    <col min="12" max="12" width="13" customWidth="1"/>
    <col min="13" max="13" width="20" customWidth="1"/>
    <col min="14" max="15" width="13" customWidth="1"/>
    <col min="16" max="16" width="12" customWidth="1"/>
    <col min="17" max="17" width="20" customWidth="1"/>
  </cols>
  <sheetData>
    <row r="1" spans="1:17" ht="17" x14ac:dyDescent="0.2">
      <c r="A1" s="1" t="s">
        <v>283</v>
      </c>
    </row>
    <row r="3" spans="1:17" ht="48" x14ac:dyDescent="0.2">
      <c r="A3" s="3" t="s">
        <v>284</v>
      </c>
      <c r="B3" s="3" t="s">
        <v>115</v>
      </c>
      <c r="C3" s="3" t="s">
        <v>285</v>
      </c>
      <c r="D3" s="3" t="s">
        <v>286</v>
      </c>
      <c r="E3" s="3" t="s">
        <v>119</v>
      </c>
      <c r="F3" s="3" t="s">
        <v>287</v>
      </c>
      <c r="G3" s="3" t="s">
        <v>288</v>
      </c>
      <c r="H3" s="3" t="s">
        <v>215</v>
      </c>
      <c r="I3" s="3" t="s">
        <v>216</v>
      </c>
      <c r="J3" s="3" t="s">
        <v>289</v>
      </c>
      <c r="K3" s="3" t="s">
        <v>290</v>
      </c>
      <c r="L3" s="3" t="s">
        <v>291</v>
      </c>
      <c r="M3" s="3" t="s">
        <v>292</v>
      </c>
      <c r="N3" s="3" t="s">
        <v>293</v>
      </c>
      <c r="O3" s="3" t="s">
        <v>294</v>
      </c>
      <c r="P3" s="3" t="s">
        <v>295</v>
      </c>
      <c r="Q3" s="3" t="s">
        <v>296</v>
      </c>
    </row>
    <row r="4" spans="1:17" x14ac:dyDescent="0.2">
      <c r="A4" s="2" t="s">
        <v>297</v>
      </c>
      <c r="B4" s="2" t="s">
        <v>138</v>
      </c>
      <c r="C4" s="2">
        <v>14</v>
      </c>
      <c r="D4" s="2">
        <v>44</v>
      </c>
      <c r="E4" s="2" t="s">
        <v>139</v>
      </c>
      <c r="F4" s="17">
        <v>640.4</v>
      </c>
      <c r="G4" s="13">
        <f>ROUND(IF(AND(B4="N",E4="E"),(C4+D4/Parameters!$B$17),IF(AND(B4="S",E4="E"),180-(C4+D4/Parameters!$B$17),IF(AND(B4="S",E4="W"),180+(C4+D4/Parameters!$B$17),360-(C4+D4/Parameters!$B$17)))),6)</f>
        <v>14.733333</v>
      </c>
      <c r="H4" s="14">
        <f>ROUND(F4*COS(RADIANS(G4)),3)</f>
        <v>619.344</v>
      </c>
      <c r="I4" s="14">
        <f>ROUND(F4*SIN(RADIANS(G4)),3)</f>
        <v>162.867</v>
      </c>
      <c r="J4" s="13">
        <f>ROUND(MOD(G4+$B$32,360),6)</f>
        <v>17</v>
      </c>
      <c r="K4" s="2" t="str">
        <f>IF(OR(J4&lt;=90,J4&gt;270),"N","S")&amp;" "&amp;TEXT(INT(ROUND((IF(J4&lt;=90,J4,IF(J4&lt;=180,180-J4,IF(J4&lt;=270,J4-180,360-J4))))*Parameters!$B$17,0)/60),"0")&amp;"° "&amp;TEXT(MOD(ROUND((IF(J4&lt;=90,J4,IF(J4&lt;=180,180-J4,IF(J4&lt;=270,J4-180,360-J4))))*Parameters!$B$17,0),60),"00")&amp;"' "&amp;IF(J4&lt;=180,"E","W")</f>
        <v>N 17° 00' E</v>
      </c>
      <c r="L4" s="13">
        <f>Corners!F30</f>
        <v>16.980697</v>
      </c>
      <c r="M4" s="2" t="str">
        <f>IF(OR(L4&lt;=90,L4&gt;270),"N","S")&amp;" "&amp;TEXT(INT(ROUND((IF(L4&lt;=90,L4,IF(L4&lt;=180,180-L4,IF(L4&lt;=270,L4-180,360-L4))))*Parameters!$B$18,0)/Parameters!$B$18),"0")&amp;"° "&amp;TEXT(INT(MOD(ROUND((IF(L4&lt;=90,L4,IF(L4&lt;=180,180-L4,IF(L4&lt;=270,L4-180,360-L4))))*Parameters!$B$18,0),3600)/60),"00")&amp;"' "&amp;TEXT(MOD(ROUND((IF(L4&lt;=90,L4,IF(L4&lt;=180,180-L4,IF(L4&lt;=270,L4-180,360-L4))))*Parameters!$B$18,0),60),"00")&amp;""""&amp;" "&amp;IF(L4&lt;=180,"E","W")</f>
        <v>N 16° 58' 51" E</v>
      </c>
      <c r="N4" s="12">
        <f>Corners!G30</f>
        <v>640.16</v>
      </c>
      <c r="O4" s="16">
        <f>ROUND((L4-J4)*Parameters!$B$17,0)</f>
        <v>-1</v>
      </c>
      <c r="P4" s="12">
        <f>ROUND(N4-F4,2)</f>
        <v>-0.24</v>
      </c>
      <c r="Q4" s="2" t="str">
        <f>IF(OR(ABS(P4)&gt;Parameters!$B$13,ABS(O4)&gt;Parameters!$B$14),"Out of tolerance","Within tolerance")</f>
        <v>Within tolerance</v>
      </c>
    </row>
    <row r="5" spans="1:17" x14ac:dyDescent="0.2">
      <c r="A5" s="2" t="s">
        <v>298</v>
      </c>
      <c r="B5" s="2" t="s">
        <v>143</v>
      </c>
      <c r="C5" s="2">
        <v>81</v>
      </c>
      <c r="D5" s="2">
        <v>6</v>
      </c>
      <c r="E5" s="2" t="s">
        <v>139</v>
      </c>
      <c r="F5" s="17">
        <v>588.8</v>
      </c>
      <c r="G5" s="13">
        <f>ROUND(IF(AND(B5="N",E5="E"),(C5+D5/Parameters!$B$17),IF(AND(B5="S",E5="E"),180-(C5+D5/Parameters!$B$17),IF(AND(B5="S",E5="W"),180+(C5+D5/Parameters!$B$17),360-(C5+D5/Parameters!$B$17)))),6)</f>
        <v>98.9</v>
      </c>
      <c r="H5" s="14">
        <f>ROUND(F5*COS(RADIANS(G5)),3)</f>
        <v>-91.093</v>
      </c>
      <c r="I5" s="14">
        <f>ROUND(F5*SIN(RADIANS(G5)),3)</f>
        <v>581.711</v>
      </c>
      <c r="J5" s="13">
        <f>ROUND(MOD(G5+$B$32,360),6)</f>
        <v>101.166667</v>
      </c>
      <c r="K5" s="2" t="str">
        <f>IF(OR(J5&lt;=90,J5&gt;270),"N","S")&amp;" "&amp;TEXT(INT(ROUND((IF(J5&lt;=90,J5,IF(J5&lt;=180,180-J5,IF(J5&lt;=270,J5-180,360-J5))))*Parameters!$B$17,0)/60),"0")&amp;"° "&amp;TEXT(MOD(ROUND((IF(J5&lt;=90,J5,IF(J5&lt;=180,180-J5,IF(J5&lt;=270,J5-180,360-J5))))*Parameters!$B$17,0),60),"00")&amp;"' "&amp;IF(J5&lt;=180,"E","W")</f>
        <v>S 78° 50' E</v>
      </c>
      <c r="L5" s="13">
        <f>Corners!F31</f>
        <v>101.166677</v>
      </c>
      <c r="M5" s="2" t="str">
        <f>IF(OR(L5&lt;=90,L5&gt;270),"N","S")&amp;" "&amp;TEXT(INT(ROUND((IF(L5&lt;=90,L5,IF(L5&lt;=180,180-L5,IF(L5&lt;=270,L5-180,360-L5))))*Parameters!$B$18,0)/Parameters!$B$18),"0")&amp;"° "&amp;TEXT(INT(MOD(ROUND((IF(L5&lt;=90,L5,IF(L5&lt;=180,180-L5,IF(L5&lt;=270,L5-180,360-L5))))*Parameters!$B$18,0),3600)/60),"00")&amp;"' "&amp;TEXT(MOD(ROUND((IF(L5&lt;=90,L5,IF(L5&lt;=180,180-L5,IF(L5&lt;=270,L5-180,360-L5))))*Parameters!$B$18,0),60),"00")&amp;""""&amp;" "&amp;IF(L5&lt;=180,"E","W")</f>
        <v>S 78° 50' 00" E</v>
      </c>
      <c r="N5" s="12">
        <f>Corners!G31</f>
        <v>589.46</v>
      </c>
      <c r="O5" s="16">
        <f>ROUND((L5-J5)*Parameters!$B$17,0)</f>
        <v>0</v>
      </c>
      <c r="P5" s="12">
        <f>ROUND(N5-F5,2)</f>
        <v>0.66</v>
      </c>
      <c r="Q5" s="2" t="str">
        <f>IF(OR(ABS(P5)&gt;Parameters!$B$13,ABS(O5)&gt;Parameters!$B$14),"Out of tolerance","Within tolerance")</f>
        <v>Within tolerance</v>
      </c>
    </row>
    <row r="6" spans="1:17" x14ac:dyDescent="0.2">
      <c r="A6" s="2" t="s">
        <v>299</v>
      </c>
      <c r="B6" s="2" t="s">
        <v>143</v>
      </c>
      <c r="C6" s="2">
        <v>8</v>
      </c>
      <c r="D6" s="2">
        <v>46</v>
      </c>
      <c r="E6" s="2" t="s">
        <v>144</v>
      </c>
      <c r="F6" s="17">
        <v>597.2</v>
      </c>
      <c r="G6" s="13">
        <f>ROUND(IF(AND(B6="N",E6="E"),(C6+D6/Parameters!$B$17),IF(AND(B6="S",E6="E"),180-(C6+D6/Parameters!$B$17),IF(AND(B6="S",E6="W"),180+(C6+D6/Parameters!$B$17),360-(C6+D6/Parameters!$B$17)))),6)</f>
        <v>188.766667</v>
      </c>
      <c r="H6" s="14">
        <f>ROUND(F6*COS(RADIANS(G6)),3)</f>
        <v>-590.223</v>
      </c>
      <c r="I6" s="14">
        <f>ROUND(F6*SIN(RADIANS(G6)),3)</f>
        <v>-91.02</v>
      </c>
      <c r="J6" s="13">
        <f>ROUND(MOD(G6+$B$32,360),6)</f>
        <v>191.033334</v>
      </c>
      <c r="K6" s="2" t="str">
        <f>IF(OR(J6&lt;=90,J6&gt;270),"N","S")&amp;" "&amp;TEXT(INT(ROUND((IF(J6&lt;=90,J6,IF(J6&lt;=180,180-J6,IF(J6&lt;=270,J6-180,360-J6))))*Parameters!$B$17,0)/60),"0")&amp;"° "&amp;TEXT(MOD(ROUND((IF(J6&lt;=90,J6,IF(J6&lt;=180,180-J6,IF(J6&lt;=270,J6-180,360-J6))))*Parameters!$B$17,0),60),"00")&amp;"' "&amp;IF(J6&lt;=180,"E","W")</f>
        <v>S 11° 02' W</v>
      </c>
      <c r="L6" s="13">
        <f>Corners!F32</f>
        <v>191.098655</v>
      </c>
      <c r="M6" s="2" t="str">
        <f>IF(OR(L6&lt;=90,L6&gt;270),"N","S")&amp;" "&amp;TEXT(INT(ROUND((IF(L6&lt;=90,L6,IF(L6&lt;=180,180-L6,IF(L6&lt;=270,L6-180,360-L6))))*Parameters!$B$18,0)/Parameters!$B$18),"0")&amp;"° "&amp;TEXT(INT(MOD(ROUND((IF(L6&lt;=90,L6,IF(L6&lt;=180,180-L6,IF(L6&lt;=270,L6-180,360-L6))))*Parameters!$B$18,0),3600)/60),"00")&amp;"' "&amp;TEXT(MOD(ROUND((IF(L6&lt;=90,L6,IF(L6&lt;=180,180-L6,IF(L6&lt;=270,L6-180,360-L6))))*Parameters!$B$18,0),60),"00")&amp;""""&amp;" "&amp;IF(L6&lt;=180,"E","W")</f>
        <v>S 11° 05' 55" W</v>
      </c>
      <c r="N6" s="12">
        <f>Corners!G32</f>
        <v>592.58</v>
      </c>
      <c r="O6" s="16">
        <f>ROUND((L6-J6)*Parameters!$B$17,0)</f>
        <v>4</v>
      </c>
      <c r="P6" s="12">
        <f>ROUND(N6-F6,2)</f>
        <v>-4.62</v>
      </c>
      <c r="Q6" s="2" t="str">
        <f>IF(OR(ABS(P6)&gt;Parameters!$B$13,ABS(O6)&gt;Parameters!$B$14),"Out of tolerance","Within tolerance")</f>
        <v>Out of tolerance</v>
      </c>
    </row>
    <row r="7" spans="1:17" x14ac:dyDescent="0.2">
      <c r="A7" s="2" t="s">
        <v>300</v>
      </c>
      <c r="B7" s="2" t="s">
        <v>143</v>
      </c>
      <c r="C7" s="2">
        <v>77</v>
      </c>
      <c r="D7" s="2">
        <v>59</v>
      </c>
      <c r="E7" s="2" t="s">
        <v>144</v>
      </c>
      <c r="F7" s="17">
        <v>510.1</v>
      </c>
      <c r="G7" s="13">
        <f>ROUND(IF(AND(B7="N",E7="E"),(C7+D7/Parameters!$B$17),IF(AND(B7="S",E7="E"),180-(C7+D7/Parameters!$B$17),IF(AND(B7="S",E7="W"),180+(C7+D7/Parameters!$B$17),360-(C7+D7/Parameters!$B$17)))),6)</f>
        <v>257.983333</v>
      </c>
      <c r="H7" s="14">
        <f>ROUND(F7*COS(RADIANS(G7)),3)</f>
        <v>-106.201</v>
      </c>
      <c r="I7" s="14">
        <f>ROUND(F7*SIN(RADIANS(G7)),3)</f>
        <v>-498.922</v>
      </c>
      <c r="J7" s="13">
        <f>ROUND(MOD(G7+$B$32,360),6)</f>
        <v>260.25</v>
      </c>
      <c r="K7" s="2" t="str">
        <f>IF(OR(J7&lt;=90,J7&gt;270),"N","S")&amp;" "&amp;TEXT(INT(ROUND((IF(J7&lt;=90,J7,IF(J7&lt;=180,180-J7,IF(J7&lt;=270,J7-180,360-J7))))*Parameters!$B$17,0)/60),"0")&amp;"° "&amp;TEXT(MOD(ROUND((IF(J7&lt;=90,J7,IF(J7&lt;=180,180-J7,IF(J7&lt;=270,J7-180,360-J7))))*Parameters!$B$17,0),60),"00")&amp;"' "&amp;IF(J7&lt;=180,"E","W")</f>
        <v>S 80° 15' W</v>
      </c>
      <c r="L7" s="13">
        <f>Corners!F33</f>
        <v>260.294041</v>
      </c>
      <c r="M7" s="2" t="str">
        <f>IF(OR(L7&lt;=90,L7&gt;270),"N","S")&amp;" "&amp;TEXT(INT(ROUND((IF(L7&lt;=90,L7,IF(L7&lt;=180,180-L7,IF(L7&lt;=270,L7-180,360-L7))))*Parameters!$B$18,0)/Parameters!$B$18),"0")&amp;"° "&amp;TEXT(INT(MOD(ROUND((IF(L7&lt;=90,L7,IF(L7&lt;=180,180-L7,IF(L7&lt;=270,L7-180,360-L7))))*Parameters!$B$18,0),3600)/60),"00")&amp;"' "&amp;TEXT(MOD(ROUND((IF(L7&lt;=90,L7,IF(L7&lt;=180,180-L7,IF(L7&lt;=270,L7-180,360-L7))))*Parameters!$B$18,0),60),"00")&amp;""""&amp;" "&amp;IF(L7&lt;=180,"E","W")</f>
        <v>S 80° 17' 39" W</v>
      </c>
      <c r="N7" s="12">
        <f>Corners!G33</f>
        <v>510.1</v>
      </c>
      <c r="O7" s="16">
        <f>ROUND((L7-J7)*Parameters!$B$17,0)</f>
        <v>3</v>
      </c>
      <c r="P7" s="12">
        <f>ROUND(N7-F7,2)</f>
        <v>0</v>
      </c>
      <c r="Q7" s="2" t="str">
        <f>IF(OR(ABS(P7)&gt;Parameters!$B$13,ABS(O7)&gt;Parameters!$B$14),"Out of tolerance","Within tolerance")</f>
        <v>Within tolerance</v>
      </c>
    </row>
    <row r="8" spans="1:17" x14ac:dyDescent="0.2">
      <c r="A8" s="2" t="s">
        <v>301</v>
      </c>
      <c r="B8" s="2" t="s">
        <v>138</v>
      </c>
      <c r="C8" s="2">
        <v>43</v>
      </c>
      <c r="D8" s="2">
        <v>31</v>
      </c>
      <c r="E8" s="2" t="s">
        <v>144</v>
      </c>
      <c r="F8" s="17">
        <v>225.5</v>
      </c>
      <c r="G8" s="13">
        <f>ROUND(IF(AND(B8="N",E8="E"),(C8+D8/Parameters!$B$17),IF(AND(B8="S",E8="E"),180-(C8+D8/Parameters!$B$17),IF(AND(B8="S",E8="W"),180+(C8+D8/Parameters!$B$17),360-(C8+D8/Parameters!$B$17)))),6)</f>
        <v>316.483333</v>
      </c>
      <c r="H8" s="14">
        <f>ROUND(F8*COS(RADIANS(G8)),3)</f>
        <v>163.527</v>
      </c>
      <c r="I8" s="14">
        <f>ROUND(F8*SIN(RADIANS(G8)),3)</f>
        <v>-155.272</v>
      </c>
      <c r="J8" s="13">
        <f>ROUND(MOD(G8+$B$32,360),6)</f>
        <v>318.75</v>
      </c>
      <c r="K8" s="2" t="str">
        <f>IF(OR(J8&lt;=90,J8&gt;270),"N","S")&amp;" "&amp;TEXT(INT(ROUND((IF(J8&lt;=90,J8,IF(J8&lt;=180,180-J8,IF(J8&lt;=270,J8-180,360-J8))))*Parameters!$B$17,0)/60),"0")&amp;"° "&amp;TEXT(MOD(ROUND((IF(J8&lt;=90,J8,IF(J8&lt;=180,180-J8,IF(J8&lt;=270,J8-180,360-J8))))*Parameters!$B$17,0),60),"00")&amp;"' "&amp;IF(J8&lt;=180,"E","W")</f>
        <v>N 41° 15' W</v>
      </c>
      <c r="L8" s="13">
        <f>Corners!F34</f>
        <v>318.782865</v>
      </c>
      <c r="M8" s="2" t="str">
        <f>IF(OR(L8&lt;=90,L8&gt;270),"N","S")&amp;" "&amp;TEXT(INT(ROUND((IF(L8&lt;=90,L8,IF(L8&lt;=180,180-L8,IF(L8&lt;=270,L8-180,360-L8))))*Parameters!$B$18,0)/Parameters!$B$18),"0")&amp;"° "&amp;TEXT(INT(MOD(ROUND((IF(L8&lt;=90,L8,IF(L8&lt;=180,180-L8,IF(L8&lt;=270,L8-180,360-L8))))*Parameters!$B$18,0),3600)/60),"00")&amp;"' "&amp;TEXT(MOD(ROUND((IF(L8&lt;=90,L8,IF(L8&lt;=180,180-L8,IF(L8&lt;=270,L8-180,360-L8))))*Parameters!$B$18,0),60),"00")&amp;""""&amp;" "&amp;IF(L8&lt;=180,"E","W")</f>
        <v>N 41° 13' 02" W</v>
      </c>
      <c r="N8" s="12">
        <f>Corners!G34</f>
        <v>225.2</v>
      </c>
      <c r="O8" s="16">
        <f>ROUND((L8-J8)*Parameters!$B$17,0)</f>
        <v>2</v>
      </c>
      <c r="P8" s="12">
        <f>ROUND(N8-F8,2)</f>
        <v>-0.3</v>
      </c>
      <c r="Q8" s="2" t="str">
        <f>IF(OR(ABS(P8)&gt;Parameters!$B$13,ABS(O8)&gt;Parameters!$B$14),"Out of tolerance","Within tolerance")</f>
        <v>Within tolerance</v>
      </c>
    </row>
    <row r="9" spans="1:17" x14ac:dyDescent="0.2">
      <c r="A9" s="4" t="s">
        <v>229</v>
      </c>
      <c r="F9" s="17">
        <f>ROUND(SUM(F4:F8),1)</f>
        <v>2562</v>
      </c>
      <c r="H9" s="14">
        <f>ROUND(SUM(H4:H8),3)</f>
        <v>-4.646</v>
      </c>
      <c r="I9" s="14">
        <f>ROUND(SUM(I4:I8),3)</f>
        <v>-0.636</v>
      </c>
    </row>
    <row r="11" spans="1:17" x14ac:dyDescent="0.2">
      <c r="A11" s="4" t="s">
        <v>302</v>
      </c>
    </row>
    <row r="12" spans="1:17" x14ac:dyDescent="0.2">
      <c r="A12" s="2" t="s">
        <v>303</v>
      </c>
      <c r="B12" s="17">
        <f>F9</f>
        <v>2562</v>
      </c>
    </row>
    <row r="13" spans="1:17" x14ac:dyDescent="0.2">
      <c r="A13" s="2" t="s">
        <v>304</v>
      </c>
      <c r="B13" s="14">
        <f>H9</f>
        <v>-4.646</v>
      </c>
    </row>
    <row r="14" spans="1:17" x14ac:dyDescent="0.2">
      <c r="A14" s="2" t="s">
        <v>305</v>
      </c>
      <c r="B14" s="14">
        <f>I9</f>
        <v>-0.636</v>
      </c>
    </row>
    <row r="15" spans="1:17" x14ac:dyDescent="0.2">
      <c r="A15" s="2" t="s">
        <v>306</v>
      </c>
      <c r="B15" s="12">
        <f>ROUND(SQRT(B13^2+B14^2),2)</f>
        <v>4.69</v>
      </c>
    </row>
    <row r="16" spans="1:17" x14ac:dyDescent="0.2">
      <c r="A16" s="2" t="s">
        <v>26</v>
      </c>
      <c r="B16" s="12">
        <f>ROUND(B15/B12*Parameters!$B$12,2)</f>
        <v>1.83</v>
      </c>
    </row>
    <row r="17" spans="1:2" x14ac:dyDescent="0.2">
      <c r="A17" s="2" t="s">
        <v>307</v>
      </c>
      <c r="B17" s="15">
        <f>ROUND(B12/B15,0)</f>
        <v>546</v>
      </c>
    </row>
    <row r="18" spans="1:2" x14ac:dyDescent="0.2">
      <c r="A18" s="2" t="s">
        <v>27</v>
      </c>
      <c r="B18" s="2" t="str">
        <f>IF(B16&gt;Parameters!$B$11,"Defect in the description","Within the tolerance of the original survey")</f>
        <v>Defect in the description</v>
      </c>
    </row>
    <row r="19" spans="1:2" x14ac:dyDescent="0.2">
      <c r="A19" s="2" t="s">
        <v>308</v>
      </c>
      <c r="B19" s="13">
        <f>ROUND(MOD(DEGREES(ATAN2(B13,B14)),360),6)</f>
        <v>187.794881</v>
      </c>
    </row>
    <row r="20" spans="1:2" x14ac:dyDescent="0.2">
      <c r="A20" s="2" t="s">
        <v>309</v>
      </c>
      <c r="B20" s="2" t="str">
        <f>IF(OR(B19&lt;=90,B19&gt;270),"N","S")&amp;" "&amp;TEXT(INT(ROUND((IF(B19&lt;=90,B19,IF(B19&lt;=180,180-B19,IF(B19&lt;=270,B19-180,360-B19))))*Parameters!$B$17,0)/60),"0")&amp;"° "&amp;TEXT(MOD(ROUND((IF(B19&lt;=90,B19,IF(B19&lt;=180,180-B19,IF(B19&lt;=270,B19-180,360-B19))))*Parameters!$B$17,0),60),"00")&amp;"' "&amp;IF(B19&lt;=180,"E","W")</f>
        <v>S 7° 48' W</v>
      </c>
    </row>
    <row r="21" spans="1:2" x14ac:dyDescent="0.2">
      <c r="A21" s="2" t="s">
        <v>310</v>
      </c>
      <c r="B21" s="2" t="s">
        <v>299</v>
      </c>
    </row>
    <row r="23" spans="1:2" x14ac:dyDescent="0.2">
      <c r="A23" s="4" t="s">
        <v>29</v>
      </c>
    </row>
    <row r="24" spans="1:2" x14ac:dyDescent="0.2">
      <c r="A24" s="2" t="s">
        <v>311</v>
      </c>
      <c r="B24" s="2" t="s">
        <v>312</v>
      </c>
    </row>
    <row r="25" spans="1:2" x14ac:dyDescent="0.2">
      <c r="A25" s="2" t="s">
        <v>313</v>
      </c>
      <c r="B25" s="2" t="s">
        <v>314</v>
      </c>
    </row>
    <row r="26" spans="1:2" x14ac:dyDescent="0.2">
      <c r="A26" s="2" t="s">
        <v>315</v>
      </c>
      <c r="B26" s="14">
        <f>ROUND(H7+H8+H4,3)</f>
        <v>676.67</v>
      </c>
    </row>
    <row r="27" spans="1:2" x14ac:dyDescent="0.2">
      <c r="A27" s="2" t="s">
        <v>316</v>
      </c>
      <c r="B27" s="14">
        <f>ROUND(I7+I8+I4,3)</f>
        <v>-491.327</v>
      </c>
    </row>
    <row r="28" spans="1:2" x14ac:dyDescent="0.2">
      <c r="A28" s="2" t="s">
        <v>317</v>
      </c>
      <c r="B28" s="13">
        <f>ROUND(MOD(DEGREES(ATAN2(B26,B27)),360),6)</f>
        <v>324.01677</v>
      </c>
    </row>
    <row r="29" spans="1:2" x14ac:dyDescent="0.2">
      <c r="A29" s="2" t="s">
        <v>318</v>
      </c>
      <c r="B29" s="13">
        <f>ROUND(MOD(DEGREES(ATAN2(Corners!G5-Corners!G7,Corners!H5-Corners!H7)),360),6)</f>
        <v>326.28373</v>
      </c>
    </row>
    <row r="30" spans="1:2" x14ac:dyDescent="0.2">
      <c r="A30" s="2" t="s">
        <v>319</v>
      </c>
      <c r="B30" s="16">
        <f>ROUND((B29-B28)*Parameters!$B$17,0)</f>
        <v>136</v>
      </c>
    </row>
    <row r="31" spans="1:2" x14ac:dyDescent="0.2">
      <c r="A31" s="2" t="s">
        <v>320</v>
      </c>
      <c r="B31" s="2" t="str">
        <f>TEXT(INT(B30/Parameters!$B$17),"0")&amp;"° "&amp;TEXT(MOD(B30,Parameters!$B$17),"00")&amp;"' east of the deed bearings"</f>
        <v>2° 16' east of the deed bearings</v>
      </c>
    </row>
    <row r="32" spans="1:2" x14ac:dyDescent="0.2">
      <c r="A32" s="2" t="s">
        <v>321</v>
      </c>
      <c r="B32" s="13">
        <f>ROUND(B30/Parameters!$B$17,6)</f>
        <v>2.266667</v>
      </c>
    </row>
    <row r="33" spans="1:2" x14ac:dyDescent="0.2">
      <c r="A33" s="2" t="s">
        <v>322</v>
      </c>
      <c r="B33" s="16">
        <f>ROUND((MOD(B29+180,360)-ROUND(MOD(DEGREES(ATAN2(H5+H6,I5+I6)),360),6))*Parameters!$B$17,0)</f>
        <v>123</v>
      </c>
    </row>
    <row r="35" spans="1:2" x14ac:dyDescent="0.2">
      <c r="A35" s="4" t="s">
        <v>323</v>
      </c>
    </row>
    <row r="36" spans="1:2" x14ac:dyDescent="0.2">
      <c r="A36" s="2" t="s">
        <v>30</v>
      </c>
      <c r="B36" s="16">
        <f>COUNTIF(Q4:Q8,"Out of tolerance")</f>
        <v>1</v>
      </c>
    </row>
    <row r="37" spans="1:2" x14ac:dyDescent="0.2">
      <c r="A37" s="2" t="s">
        <v>31</v>
      </c>
      <c r="B37" s="2" t="str">
        <f>INDEX(A4:A8,MATCH("Out of tolerance",Q4:Q8,0))</f>
        <v>3-4</v>
      </c>
    </row>
    <row r="38" spans="1:2" x14ac:dyDescent="0.2">
      <c r="A38" s="2" t="s">
        <v>32</v>
      </c>
      <c r="B38" s="17">
        <f>INDEX(F4:F8,MATCH(B37,A4:A8,0))</f>
        <v>597.2</v>
      </c>
    </row>
    <row r="39" spans="1:2" x14ac:dyDescent="0.2">
      <c r="A39" s="2" t="s">
        <v>33</v>
      </c>
      <c r="B39" s="12">
        <f>INDEX(N4:N8,MATCH(B37,A4:A8,0))</f>
        <v>592.58</v>
      </c>
    </row>
    <row r="40" spans="1:2" x14ac:dyDescent="0.2">
      <c r="A40" s="2" t="s">
        <v>324</v>
      </c>
      <c r="B40" s="12">
        <f>B39</f>
        <v>592.58</v>
      </c>
    </row>
    <row r="41" spans="1:2" x14ac:dyDescent="0.2">
      <c r="A41" s="2" t="s">
        <v>34</v>
      </c>
      <c r="B41" s="17">
        <f>Parameters!B26</f>
        <v>592.7</v>
      </c>
    </row>
    <row r="42" spans="1:2" x14ac:dyDescent="0.2">
      <c r="A42" s="2" t="s">
        <v>325</v>
      </c>
      <c r="B42" s="12">
        <f>ROUND(B39-B41,2)</f>
        <v>-0.12</v>
      </c>
    </row>
    <row r="43" spans="1:2" x14ac:dyDescent="0.2">
      <c r="A43" s="2" t="s">
        <v>326</v>
      </c>
      <c r="B43" s="12">
        <f>ROUND(SQRT((H9-H6+ROUND(B41*COS(RADIANS(G6)),3))^2+(I9-I6+ROUND(B41*SIN(RADIANS(G6)),3))^2),2)</f>
        <v>0.21</v>
      </c>
    </row>
    <row r="44" spans="1:2" x14ac:dyDescent="0.2">
      <c r="A44" s="2" t="s">
        <v>35</v>
      </c>
      <c r="B44" s="2" t="str">
        <f>IF(B36=1,"Scrivener's or transcription error in the 597.2 feet; the measured course stands","Review")</f>
        <v>Scrivener's or transcription error in the 597.2 feet; the measured course stands</v>
      </c>
    </row>
    <row r="46" spans="1:2" x14ac:dyDescent="0.2">
      <c r="A46" s="2" t="s">
        <v>327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3"/>
  <sheetViews>
    <sheetView workbookViewId="0"/>
  </sheetViews>
  <sheetFormatPr baseColWidth="10" defaultColWidth="8.83203125" defaultRowHeight="15" x14ac:dyDescent="0.2"/>
  <cols>
    <col min="1" max="1" width="10" customWidth="1"/>
    <col min="2" max="2" width="16" customWidth="1"/>
    <col min="3" max="3" width="34" customWidth="1"/>
    <col min="4" max="4" width="44" customWidth="1"/>
    <col min="5" max="5" width="62" customWidth="1"/>
    <col min="6" max="6" width="24" customWidth="1"/>
    <col min="7" max="10" width="13" customWidth="1"/>
    <col min="11" max="11" width="12" customWidth="1"/>
    <col min="12" max="12" width="22" customWidth="1"/>
  </cols>
  <sheetData>
    <row r="1" spans="1:12" ht="17" x14ac:dyDescent="0.2">
      <c r="A1" s="1" t="s">
        <v>328</v>
      </c>
    </row>
    <row r="3" spans="1:12" ht="48" x14ac:dyDescent="0.2">
      <c r="A3" s="3" t="s">
        <v>253</v>
      </c>
      <c r="B3" s="3" t="s">
        <v>329</v>
      </c>
      <c r="C3" s="3" t="s">
        <v>330</v>
      </c>
      <c r="D3" s="3" t="s">
        <v>331</v>
      </c>
      <c r="E3" s="3" t="s">
        <v>332</v>
      </c>
      <c r="F3" s="3" t="s">
        <v>333</v>
      </c>
      <c r="G3" s="3" t="s">
        <v>234</v>
      </c>
      <c r="H3" s="3" t="s">
        <v>235</v>
      </c>
      <c r="I3" s="3" t="s">
        <v>334</v>
      </c>
      <c r="J3" s="3" t="s">
        <v>335</v>
      </c>
      <c r="K3" s="3" t="s">
        <v>336</v>
      </c>
      <c r="L3" s="3" t="s">
        <v>337</v>
      </c>
    </row>
    <row r="4" spans="1:12" ht="48" customHeight="1" x14ac:dyDescent="0.2">
      <c r="A4" s="2" t="s">
        <v>168</v>
      </c>
      <c r="B4" s="2" t="s">
        <v>338</v>
      </c>
      <c r="C4" s="11" t="s">
        <v>339</v>
      </c>
      <c r="D4" s="11" t="s">
        <v>340</v>
      </c>
      <c r="E4" s="11" t="s">
        <v>341</v>
      </c>
      <c r="F4" s="11" t="s">
        <v>342</v>
      </c>
      <c r="G4" s="14">
        <f>Ties!$K$4</f>
        <v>4994.8</v>
      </c>
      <c r="H4" s="14">
        <f>Ties!$L$4</f>
        <v>4987.185</v>
      </c>
      <c r="I4" s="14">
        <f>B15</f>
        <v>4994.635</v>
      </c>
      <c r="J4" s="14">
        <f>B16</f>
        <v>4986.909</v>
      </c>
      <c r="K4" s="12">
        <f>ROUND(SQRT((G4-I4)^2+(H4-J4)^2),2)</f>
        <v>0.32</v>
      </c>
      <c r="L4" s="2" t="str">
        <f>IF(K4&lt;=Parameters!$B$15,"Held as the corner","Found, not held")</f>
        <v>Held as the corner</v>
      </c>
    </row>
    <row r="5" spans="1:12" ht="48" customHeight="1" x14ac:dyDescent="0.2">
      <c r="A5" s="2" t="s">
        <v>171</v>
      </c>
      <c r="B5" s="2" t="s">
        <v>343</v>
      </c>
      <c r="C5" s="11" t="s">
        <v>344</v>
      </c>
      <c r="D5" s="11" t="s">
        <v>345</v>
      </c>
      <c r="E5" s="11" t="s">
        <v>346</v>
      </c>
      <c r="F5" s="11" t="s">
        <v>347</v>
      </c>
      <c r="G5" s="14">
        <f>Ties!$K$5</f>
        <v>5607.053</v>
      </c>
      <c r="H5" s="14">
        <f>Ties!$L$5</f>
        <v>5174.144</v>
      </c>
      <c r="L5" s="2" t="s">
        <v>348</v>
      </c>
    </row>
    <row r="6" spans="1:12" ht="48" customHeight="1" x14ac:dyDescent="0.2">
      <c r="A6" s="2" t="s">
        <v>181</v>
      </c>
      <c r="B6" s="2" t="s">
        <v>349</v>
      </c>
      <c r="C6" s="11" t="s">
        <v>350</v>
      </c>
      <c r="D6" s="11" t="s">
        <v>351</v>
      </c>
      <c r="E6" s="11" t="s">
        <v>352</v>
      </c>
      <c r="F6" s="11" t="s">
        <v>342</v>
      </c>
      <c r="G6" s="14">
        <f>Ties!$K$6</f>
        <v>5492.147</v>
      </c>
      <c r="H6" s="14">
        <f>Ties!$L$6</f>
        <v>5751.623</v>
      </c>
      <c r="I6" s="14">
        <f>B27</f>
        <v>5492.896</v>
      </c>
      <c r="J6" s="14">
        <f>B28</f>
        <v>5752.444</v>
      </c>
      <c r="K6" s="12">
        <f>ROUND(SQRT((G6-I6)^2+(H6-J6)^2),2)</f>
        <v>1.11</v>
      </c>
      <c r="L6" s="2" t="str">
        <f>IF(K6&lt;=Parameters!$B$15,"Held as the corner","Found, not held")</f>
        <v>Found, not held</v>
      </c>
    </row>
    <row r="7" spans="1:12" ht="48" customHeight="1" x14ac:dyDescent="0.2">
      <c r="A7" s="2" t="s">
        <v>191</v>
      </c>
      <c r="B7" s="2" t="s">
        <v>353</v>
      </c>
      <c r="C7" s="11" t="s">
        <v>354</v>
      </c>
      <c r="D7" s="11" t="s">
        <v>355</v>
      </c>
      <c r="E7" s="11" t="s">
        <v>356</v>
      </c>
      <c r="F7" s="11" t="s">
        <v>357</v>
      </c>
      <c r="G7" s="14">
        <f>Ties!$K$7</f>
        <v>4911.399</v>
      </c>
      <c r="H7" s="14">
        <f>Ties!$L$7</f>
        <v>5638.373</v>
      </c>
      <c r="L7" s="2" t="s">
        <v>348</v>
      </c>
    </row>
    <row r="8" spans="1:12" ht="48" customHeight="1" x14ac:dyDescent="0.2">
      <c r="A8" s="2" t="s">
        <v>199</v>
      </c>
      <c r="B8" s="2" t="s">
        <v>358</v>
      </c>
      <c r="C8" s="11" t="s">
        <v>359</v>
      </c>
      <c r="D8" s="11" t="s">
        <v>360</v>
      </c>
      <c r="E8" s="11" t="s">
        <v>361</v>
      </c>
      <c r="F8" s="11" t="s">
        <v>342</v>
      </c>
      <c r="G8" s="14">
        <f>Ties!$K$8</f>
        <v>4825.4</v>
      </c>
      <c r="H8" s="14">
        <f>Ties!$L$8</f>
        <v>5135.573</v>
      </c>
      <c r="I8" s="14">
        <f>B20</f>
        <v>4825.014</v>
      </c>
      <c r="J8" s="14">
        <f>B21</f>
        <v>5135.641</v>
      </c>
      <c r="K8" s="12">
        <f>ROUND(SQRT((G8-I8)^2+(H8-J8)^2),2)</f>
        <v>0.39</v>
      </c>
      <c r="L8" s="2" t="str">
        <f>IF(K8&lt;=Parameters!$B$15,"Held as the corner","Found, not held")</f>
        <v>Held as the corner</v>
      </c>
    </row>
    <row r="9" spans="1:12" ht="48" customHeight="1" x14ac:dyDescent="0.2">
      <c r="A9" s="2" t="s">
        <v>186</v>
      </c>
      <c r="B9" s="2" t="s">
        <v>362</v>
      </c>
      <c r="C9" s="11" t="s">
        <v>363</v>
      </c>
      <c r="D9" s="11" t="s">
        <v>364</v>
      </c>
      <c r="E9" s="11" t="s">
        <v>365</v>
      </c>
      <c r="F9" s="11" t="s">
        <v>366</v>
      </c>
      <c r="G9" s="14">
        <f>Ties!$K$9</f>
        <v>5703.008</v>
      </c>
      <c r="H9" s="14">
        <f>Ties!$L$9</f>
        <v>5793.662</v>
      </c>
      <c r="L9" s="2" t="s">
        <v>348</v>
      </c>
    </row>
    <row r="11" spans="1:12" x14ac:dyDescent="0.2">
      <c r="A11" s="4" t="s">
        <v>367</v>
      </c>
    </row>
    <row r="13" spans="1:12" x14ac:dyDescent="0.2">
      <c r="A13" s="2" t="s">
        <v>368</v>
      </c>
      <c r="B13" s="13">
        <f>ROUND(MOD(Deed!J4+180,360),6)</f>
        <v>197</v>
      </c>
    </row>
    <row r="14" spans="1:12" x14ac:dyDescent="0.2">
      <c r="A14" s="2" t="s">
        <v>369</v>
      </c>
      <c r="B14" s="17">
        <f>Deed!F4</f>
        <v>640.4</v>
      </c>
    </row>
    <row r="15" spans="1:12" x14ac:dyDescent="0.2">
      <c r="A15" s="2" t="s">
        <v>234</v>
      </c>
      <c r="B15" s="14">
        <f>ROUND(G5+B14*COS(RADIANS(B13)),3)</f>
        <v>4994.635</v>
      </c>
    </row>
    <row r="16" spans="1:12" x14ac:dyDescent="0.2">
      <c r="A16" s="2" t="s">
        <v>235</v>
      </c>
      <c r="B16" s="14">
        <f>ROUND(H5+B14*SIN(RADIANS(B13)),3)</f>
        <v>4986.909</v>
      </c>
    </row>
    <row r="17" spans="1:8" x14ac:dyDescent="0.2">
      <c r="A17" s="4" t="s">
        <v>370</v>
      </c>
    </row>
    <row r="18" spans="1:8" x14ac:dyDescent="0.2">
      <c r="A18" s="2" t="s">
        <v>371</v>
      </c>
      <c r="B18" s="13">
        <f>Deed!J7</f>
        <v>260.25</v>
      </c>
    </row>
    <row r="19" spans="1:8" x14ac:dyDescent="0.2">
      <c r="A19" s="2" t="s">
        <v>372</v>
      </c>
      <c r="B19" s="17">
        <f>Deed!F7</f>
        <v>510.1</v>
      </c>
    </row>
    <row r="20" spans="1:8" x14ac:dyDescent="0.2">
      <c r="A20" s="2" t="s">
        <v>234</v>
      </c>
      <c r="B20" s="14">
        <f>ROUND(G7+B19*COS(RADIANS(B18)),3)</f>
        <v>4825.014</v>
      </c>
    </row>
    <row r="21" spans="1:8" x14ac:dyDescent="0.2">
      <c r="A21" s="2" t="s">
        <v>235</v>
      </c>
      <c r="B21" s="14">
        <f>ROUND(H7+B19*SIN(RADIANS(B18)),3)</f>
        <v>5135.641</v>
      </c>
    </row>
    <row r="22" spans="1:8" x14ac:dyDescent="0.2">
      <c r="A22" s="4" t="s">
        <v>373</v>
      </c>
    </row>
    <row r="24" spans="1:8" x14ac:dyDescent="0.2">
      <c r="A24" s="2" t="s">
        <v>374</v>
      </c>
      <c r="B24" s="13">
        <f>Deed!J5</f>
        <v>101.166667</v>
      </c>
    </row>
    <row r="25" spans="1:8" x14ac:dyDescent="0.2">
      <c r="A25" s="2" t="s">
        <v>375</v>
      </c>
      <c r="B25" s="13">
        <f>ROUND(MOD(DEGREES(ATAN2(G9-G7,H9-H7)),360),6)</f>
        <v>11.09871</v>
      </c>
    </row>
    <row r="26" spans="1:8" x14ac:dyDescent="0.2">
      <c r="A26" s="2" t="s">
        <v>376</v>
      </c>
      <c r="B26" s="14">
        <f>ROUND(((H7-H5)*COS(RADIANS(B25))-(G7-G5)*SIN(RADIANS(B25)))/SIN(RADIANS(B24-B25)),3)</f>
        <v>589.46</v>
      </c>
    </row>
    <row r="27" spans="1:8" x14ac:dyDescent="0.2">
      <c r="A27" s="2" t="s">
        <v>234</v>
      </c>
      <c r="B27" s="14">
        <f>ROUND(G5+B26*COS(RADIANS(B24)),3)</f>
        <v>5492.896</v>
      </c>
    </row>
    <row r="28" spans="1:8" x14ac:dyDescent="0.2">
      <c r="A28" s="2" t="s">
        <v>235</v>
      </c>
      <c r="B28" s="14">
        <f>ROUND(H5+B26*SIN(RADIANS(B24)),3)</f>
        <v>5752.444</v>
      </c>
    </row>
    <row r="29" spans="1:8" ht="32" x14ac:dyDescent="0.2">
      <c r="A29" s="3" t="s">
        <v>329</v>
      </c>
      <c r="B29" s="3" t="s">
        <v>377</v>
      </c>
      <c r="C29" s="3" t="s">
        <v>234</v>
      </c>
      <c r="D29" s="3" t="s">
        <v>235</v>
      </c>
      <c r="E29" s="3" t="s">
        <v>378</v>
      </c>
      <c r="F29" s="3" t="s">
        <v>291</v>
      </c>
      <c r="G29" s="3" t="s">
        <v>293</v>
      </c>
      <c r="H29" s="3" t="s">
        <v>292</v>
      </c>
    </row>
    <row r="30" spans="1:8" x14ac:dyDescent="0.2">
      <c r="A30" s="2">
        <v>1</v>
      </c>
      <c r="B30" s="2" t="str">
        <f>IF(L4="Held as the corner","Found, later monument, held","To be set")</f>
        <v>Found, later monument, held</v>
      </c>
      <c r="C30" s="14">
        <f>IF(L4="Held as the corner",G4,I4)</f>
        <v>4994.8</v>
      </c>
      <c r="D30" s="14">
        <f>IF(L4="Held as the corner",H4,J4)</f>
        <v>4987.185</v>
      </c>
      <c r="E30" s="2" t="s">
        <v>297</v>
      </c>
      <c r="F30" s="13">
        <f>ROUND(MOD(DEGREES(ATAN2(C31-C30,D31-D30)),360),6)</f>
        <v>16.980697</v>
      </c>
      <c r="G30" s="12">
        <f>ROUND(SQRT((C31-C30)^2+(D31-D30)^2),2)</f>
        <v>640.16</v>
      </c>
      <c r="H30" s="2" t="str">
        <f>IF(OR(F30&lt;=90,F30&gt;270),"N","S")&amp;" "&amp;TEXT(INT(ROUND((IF(F30&lt;=90,F30,IF(F30&lt;=180,180-F30,IF(F30&lt;=270,F30-180,360-F30))))*Parameters!$B$18,0)/Parameters!$B$18),"0")&amp;"° "&amp;TEXT(INT(MOD(ROUND((IF(F30&lt;=90,F30,IF(F30&lt;=180,180-F30,IF(F30&lt;=270,F30-180,360-F30))))*Parameters!$B$18,0),3600)/60),"00")&amp;"' "&amp;TEXT(MOD(ROUND((IF(F30&lt;=90,F30,IF(F30&lt;=180,180-F30,IF(F30&lt;=270,F30-180,360-F30))))*Parameters!$B$18,0),60),"00")&amp;""""&amp;" "&amp;IF(F30&lt;=180,"E","W")</f>
        <v>N 16° 58' 51" E</v>
      </c>
    </row>
    <row r="31" spans="1:8" x14ac:dyDescent="0.2">
      <c r="A31" s="2">
        <v>2</v>
      </c>
      <c r="B31" s="2" t="str">
        <f>"Found, original monument, held"</f>
        <v>Found, original monument, held</v>
      </c>
      <c r="C31" s="14">
        <f>G5</f>
        <v>5607.053</v>
      </c>
      <c r="D31" s="14">
        <f>H5</f>
        <v>5174.144</v>
      </c>
      <c r="E31" s="2" t="s">
        <v>298</v>
      </c>
      <c r="F31" s="13">
        <f>ROUND(MOD(DEGREES(ATAN2(C32-C31,D32-D31)),360),6)</f>
        <v>101.166677</v>
      </c>
      <c r="G31" s="12">
        <f>ROUND(SQRT((C32-C31)^2+(D32-D31)^2),2)</f>
        <v>589.46</v>
      </c>
      <c r="H31" s="2" t="str">
        <f>IF(OR(F31&lt;=90,F31&gt;270),"N","S")&amp;" "&amp;TEXT(INT(ROUND((IF(F31&lt;=90,F31,IF(F31&lt;=180,180-F31,IF(F31&lt;=270,F31-180,360-F31))))*Parameters!$B$18,0)/Parameters!$B$18),"0")&amp;"° "&amp;TEXT(INT(MOD(ROUND((IF(F31&lt;=90,F31,IF(F31&lt;=180,180-F31,IF(F31&lt;=270,F31-180,360-F31))))*Parameters!$B$18,0),3600)/60),"00")&amp;"' "&amp;TEXT(MOD(ROUND((IF(F31&lt;=90,F31,IF(F31&lt;=180,180-F31,IF(F31&lt;=270,F31-180,360-F31))))*Parameters!$B$18,0),60),"00")&amp;""""&amp;" "&amp;IF(F31&lt;=180,"E","W")</f>
        <v>S 78° 50' 00" E</v>
      </c>
    </row>
    <row r="32" spans="1:8" x14ac:dyDescent="0.2">
      <c r="A32" s="2">
        <v>3</v>
      </c>
      <c r="B32" s="2" t="str">
        <f>IF(L6="Held as the corner","Found, later monument, held","To be set")</f>
        <v>To be set</v>
      </c>
      <c r="C32" s="14">
        <f>IF(L6="Held as the corner",G6,I6)</f>
        <v>5492.896</v>
      </c>
      <c r="D32" s="14">
        <f>IF(L6="Held as the corner",H6,J6)</f>
        <v>5752.444</v>
      </c>
      <c r="E32" s="2" t="s">
        <v>299</v>
      </c>
      <c r="F32" s="13">
        <f>ROUND(MOD(DEGREES(ATAN2(C33-C32,D33-D32)),360),6)</f>
        <v>191.098655</v>
      </c>
      <c r="G32" s="12">
        <f>ROUND(SQRT((C33-C32)^2+(D33-D32)^2),2)</f>
        <v>592.58</v>
      </c>
      <c r="H32" s="2" t="str">
        <f>IF(OR(F32&lt;=90,F32&gt;270),"N","S")&amp;" "&amp;TEXT(INT(ROUND((IF(F32&lt;=90,F32,IF(F32&lt;=180,180-F32,IF(F32&lt;=270,F32-180,360-F32))))*Parameters!$B$18,0)/Parameters!$B$18),"0")&amp;"° "&amp;TEXT(INT(MOD(ROUND((IF(F32&lt;=90,F32,IF(F32&lt;=180,180-F32,IF(F32&lt;=270,F32-180,360-F32))))*Parameters!$B$18,0),3600)/60),"00")&amp;"' "&amp;TEXT(MOD(ROUND((IF(F32&lt;=90,F32,IF(F32&lt;=180,180-F32,IF(F32&lt;=270,F32-180,360-F32))))*Parameters!$B$18,0),60),"00")&amp;""""&amp;" "&amp;IF(F32&lt;=180,"E","W")</f>
        <v>S 11° 05' 55" W</v>
      </c>
    </row>
    <row r="33" spans="1:8" x14ac:dyDescent="0.2">
      <c r="A33" s="2">
        <v>4</v>
      </c>
      <c r="B33" s="2" t="str">
        <f>"Found, original monument, held"</f>
        <v>Found, original monument, held</v>
      </c>
      <c r="C33" s="14">
        <f>G7</f>
        <v>4911.399</v>
      </c>
      <c r="D33" s="14">
        <f>H7</f>
        <v>5638.373</v>
      </c>
      <c r="E33" s="2" t="s">
        <v>300</v>
      </c>
      <c r="F33" s="13">
        <f>ROUND(MOD(DEGREES(ATAN2(C34-C33,D34-D33)),360),6)</f>
        <v>260.294041</v>
      </c>
      <c r="G33" s="12">
        <f>ROUND(SQRT((C34-C33)^2+(D34-D33)^2),2)</f>
        <v>510.1</v>
      </c>
      <c r="H33" s="2" t="str">
        <f>IF(OR(F33&lt;=90,F33&gt;270),"N","S")&amp;" "&amp;TEXT(INT(ROUND((IF(F33&lt;=90,F33,IF(F33&lt;=180,180-F33,IF(F33&lt;=270,F33-180,360-F33))))*Parameters!$B$18,0)/Parameters!$B$18),"0")&amp;"° "&amp;TEXT(INT(MOD(ROUND((IF(F33&lt;=90,F33,IF(F33&lt;=180,180-F33,IF(F33&lt;=270,F33-180,360-F33))))*Parameters!$B$18,0),3600)/60),"00")&amp;"' "&amp;TEXT(MOD(ROUND((IF(F33&lt;=90,F33,IF(F33&lt;=180,180-F33,IF(F33&lt;=270,F33-180,360-F33))))*Parameters!$B$18,0),60),"00")&amp;""""&amp;" "&amp;IF(F33&lt;=180,"E","W")</f>
        <v>S 80° 17' 39" W</v>
      </c>
    </row>
    <row r="34" spans="1:8" x14ac:dyDescent="0.2">
      <c r="A34" s="2">
        <v>5</v>
      </c>
      <c r="B34" s="2" t="str">
        <f>IF(L8="Held as the corner","Found, later monument, held","To be set")</f>
        <v>Found, later monument, held</v>
      </c>
      <c r="C34" s="14">
        <f>IF(L8="Held as the corner",G8,I8)</f>
        <v>4825.4</v>
      </c>
      <c r="D34" s="14">
        <f>IF(L8="Held as the corner",H8,J8)</f>
        <v>5135.573</v>
      </c>
      <c r="E34" s="2" t="s">
        <v>301</v>
      </c>
      <c r="F34" s="13">
        <f>ROUND(MOD(DEGREES(ATAN2(C30-C34,D30-D34)),360),6)</f>
        <v>318.782865</v>
      </c>
      <c r="G34" s="12">
        <f>ROUND(SQRT((C30-C34)^2+(D30-D34)^2),2)</f>
        <v>225.2</v>
      </c>
      <c r="H34" s="2" t="str">
        <f>IF(OR(F34&lt;=90,F34&gt;270),"N","S")&amp;" "&amp;TEXT(INT(ROUND((IF(F34&lt;=90,F34,IF(F34&lt;=180,180-F34,IF(F34&lt;=270,F34-180,360-F34))))*Parameters!$B$18,0)/Parameters!$B$18),"0")&amp;"° "&amp;TEXT(INT(MOD(ROUND((IF(F34&lt;=90,F34,IF(F34&lt;=180,180-F34,IF(F34&lt;=270,F34-180,360-F34))))*Parameters!$B$18,0),3600)/60),"00")&amp;"' "&amp;TEXT(MOD(ROUND((IF(F34&lt;=90,F34,IF(F34&lt;=180,180-F34,IF(F34&lt;=270,F34-180,360-F34))))*Parameters!$B$18,0),60),"00")&amp;""""&amp;" "&amp;IF(F34&lt;=180,"E","W")</f>
        <v>N 41° 13' 02" W</v>
      </c>
    </row>
    <row r="36" spans="1:8" x14ac:dyDescent="0.2">
      <c r="A36" s="4" t="s">
        <v>379</v>
      </c>
    </row>
    <row r="37" spans="1:8" x14ac:dyDescent="0.2">
      <c r="A37" s="2" t="s">
        <v>37</v>
      </c>
      <c r="B37" s="16">
        <f>COUNTIF(F4:F8,"Original*")</f>
        <v>2</v>
      </c>
    </row>
    <row r="38" spans="1:8" x14ac:dyDescent="0.2">
      <c r="A38" s="2" t="s">
        <v>39</v>
      </c>
      <c r="B38" s="16">
        <f>COUNTIFS(F4:F8,"Later monument",L4:L8,"Held as the corner")</f>
        <v>2</v>
      </c>
    </row>
    <row r="39" spans="1:8" x14ac:dyDescent="0.2">
      <c r="A39" s="2" t="s">
        <v>42</v>
      </c>
      <c r="B39" s="16">
        <f>COUNTIFS(F4:F8,"Later monument",L4:L8,"Found, not held")</f>
        <v>1</v>
      </c>
    </row>
    <row r="40" spans="1:8" x14ac:dyDescent="0.2">
      <c r="A40" s="2" t="s">
        <v>44</v>
      </c>
      <c r="B40" s="16">
        <f>COUNTIF(B30:B34,"To be set")</f>
        <v>1</v>
      </c>
    </row>
    <row r="41" spans="1:8" x14ac:dyDescent="0.2">
      <c r="A41" s="2" t="s">
        <v>45</v>
      </c>
      <c r="B41" s="16">
        <f>INDEX(A30:A34,MATCH("To be set",B30:B34,0))</f>
        <v>3</v>
      </c>
    </row>
    <row r="43" spans="1:8" x14ac:dyDescent="0.2">
      <c r="A43" s="2" t="s">
        <v>380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7"/>
  <sheetViews>
    <sheetView workbookViewId="0"/>
  </sheetViews>
  <sheetFormatPr baseColWidth="10" defaultColWidth="8.83203125" defaultRowHeight="15" x14ac:dyDescent="0.2"/>
  <cols>
    <col min="1" max="1" width="40" customWidth="1"/>
    <col min="2" max="3" width="16" customWidth="1"/>
    <col min="4" max="5" width="26" customWidth="1"/>
    <col min="6" max="6" width="34" customWidth="1"/>
  </cols>
  <sheetData>
    <row r="1" spans="1:6" ht="17" x14ac:dyDescent="0.2">
      <c r="A1" s="1" t="s">
        <v>381</v>
      </c>
    </row>
    <row r="3" spans="1:6" ht="16" x14ac:dyDescent="0.2">
      <c r="A3" s="3" t="s">
        <v>329</v>
      </c>
      <c r="B3" s="3" t="s">
        <v>234</v>
      </c>
      <c r="C3" s="3" t="s">
        <v>235</v>
      </c>
      <c r="D3" s="3" t="s">
        <v>382</v>
      </c>
      <c r="E3" s="3" t="s">
        <v>383</v>
      </c>
      <c r="F3" s="3" t="s">
        <v>377</v>
      </c>
    </row>
    <row r="4" spans="1:6" x14ac:dyDescent="0.2">
      <c r="A4" s="2">
        <v>1</v>
      </c>
      <c r="B4" s="14">
        <f>Corners!C30</f>
        <v>4994.8</v>
      </c>
      <c r="C4" s="14">
        <f>Corners!D30</f>
        <v>4987.185</v>
      </c>
      <c r="D4" s="18">
        <f>ROUND(B4*C5,3)</f>
        <v>25843814.45</v>
      </c>
      <c r="E4" s="18">
        <f>ROUND(B5*C4,3)</f>
        <v>27963410.616</v>
      </c>
      <c r="F4" s="2" t="str">
        <f>Corners!B30</f>
        <v>Found, later monument, held</v>
      </c>
    </row>
    <row r="5" spans="1:6" x14ac:dyDescent="0.2">
      <c r="A5" s="2">
        <v>2</v>
      </c>
      <c r="B5" s="14">
        <f>Corners!C31</f>
        <v>5607.053</v>
      </c>
      <c r="C5" s="14">
        <f>Corners!D31</f>
        <v>5174.144</v>
      </c>
      <c r="D5" s="18">
        <f>ROUND(B5*C6,3)</f>
        <v>32254258.388</v>
      </c>
      <c r="E5" s="18">
        <f>ROUND(B6*C5,3)</f>
        <v>28421034.9</v>
      </c>
      <c r="F5" s="2" t="str">
        <f>Corners!B31</f>
        <v>Found, original monument, held</v>
      </c>
    </row>
    <row r="6" spans="1:6" x14ac:dyDescent="0.2">
      <c r="A6" s="2">
        <v>3</v>
      </c>
      <c r="B6" s="14">
        <f>Corners!C32</f>
        <v>5492.896</v>
      </c>
      <c r="C6" s="14">
        <f>Corners!D32</f>
        <v>5752.444</v>
      </c>
      <c r="D6" s="18">
        <f>ROUND(B6*C7,3)</f>
        <v>30970996.498</v>
      </c>
      <c r="E6" s="18">
        <f>ROUND(B7*C6,3)</f>
        <v>28252547.7</v>
      </c>
      <c r="F6" s="2" t="str">
        <f>Corners!B32</f>
        <v>To be set</v>
      </c>
    </row>
    <row r="7" spans="1:6" x14ac:dyDescent="0.2">
      <c r="A7" s="2">
        <v>4</v>
      </c>
      <c r="B7" s="14">
        <f>Corners!C33</f>
        <v>4911.399</v>
      </c>
      <c r="C7" s="14">
        <f>Corners!D33</f>
        <v>5638.373</v>
      </c>
      <c r="D7" s="18">
        <f>ROUND(B7*C8,3)</f>
        <v>25222848.1</v>
      </c>
      <c r="E7" s="18">
        <f>ROUND(B8*C7,3)</f>
        <v>27207405.1</v>
      </c>
      <c r="F7" s="2" t="str">
        <f>Corners!B33</f>
        <v>Found, original monument, held</v>
      </c>
    </row>
    <row r="8" spans="1:6" x14ac:dyDescent="0.2">
      <c r="A8" s="2">
        <v>5</v>
      </c>
      <c r="B8" s="14">
        <f>Corners!C34</f>
        <v>4825.4</v>
      </c>
      <c r="C8" s="14">
        <f>Corners!D34</f>
        <v>5135.573</v>
      </c>
      <c r="D8" s="18">
        <f>ROUND(B8*C4,3)</f>
        <v>24065162.5</v>
      </c>
      <c r="E8" s="18">
        <f>ROUND(B4*C8,3)</f>
        <v>25651160.02</v>
      </c>
      <c r="F8" s="2" t="str">
        <f>Corners!B34</f>
        <v>Found, later monument, held</v>
      </c>
    </row>
    <row r="9" spans="1:6" x14ac:dyDescent="0.2">
      <c r="A9" s="4" t="s">
        <v>229</v>
      </c>
      <c r="D9" s="18">
        <f>ROUND(SUM(D4:D8),3)</f>
        <v>138357079.933</v>
      </c>
      <c r="E9" s="18">
        <f>ROUND(SUM(E4:E8),3)</f>
        <v>137495558.3</v>
      </c>
    </row>
    <row r="11" spans="1:6" x14ac:dyDescent="0.2">
      <c r="A11" s="2" t="s">
        <v>384</v>
      </c>
      <c r="B11" s="15">
        <f>ROUND(ABS(D9-E9)/2,0)</f>
        <v>430761</v>
      </c>
    </row>
    <row r="12" spans="1:6" x14ac:dyDescent="0.2">
      <c r="A12" s="2" t="s">
        <v>52</v>
      </c>
      <c r="B12" s="14">
        <f>ROUND(B11/Parameters!$B$9,3)</f>
        <v>9.889</v>
      </c>
    </row>
    <row r="13" spans="1:6" x14ac:dyDescent="0.2">
      <c r="A13" s="2" t="s">
        <v>53</v>
      </c>
      <c r="B13" s="12">
        <f>Parameters!B10</f>
        <v>9.89</v>
      </c>
    </row>
    <row r="14" spans="1:6" x14ac:dyDescent="0.2">
      <c r="A14" s="2" t="s">
        <v>54</v>
      </c>
      <c r="B14" s="14">
        <f>ROUND(B12-B13,3)</f>
        <v>-1E-3</v>
      </c>
    </row>
    <row r="15" spans="1:6" x14ac:dyDescent="0.2">
      <c r="A15" s="2" t="s">
        <v>385</v>
      </c>
      <c r="B15" s="15">
        <f>ROUND(B11-B13*Parameters!$B$9,0)</f>
        <v>-47</v>
      </c>
    </row>
    <row r="17" spans="1:1" x14ac:dyDescent="0.2">
      <c r="A17" s="2" t="s">
        <v>386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22"/>
  <sheetViews>
    <sheetView workbookViewId="0"/>
  </sheetViews>
  <sheetFormatPr baseColWidth="10" defaultColWidth="8.83203125" defaultRowHeight="15" x14ac:dyDescent="0.2"/>
  <cols>
    <col min="1" max="1" width="10" customWidth="1"/>
    <col min="2" max="2" width="16" customWidth="1"/>
    <col min="3" max="3" width="10" customWidth="1"/>
    <col min="4" max="5" width="13" customWidth="1"/>
    <col min="6" max="6" width="14" customWidth="1"/>
    <col min="7" max="11" width="13" customWidth="1"/>
    <col min="12" max="12" width="22" customWidth="1"/>
  </cols>
  <sheetData>
    <row r="1" spans="1:12" ht="17" x14ac:dyDescent="0.2">
      <c r="A1" s="1" t="s">
        <v>387</v>
      </c>
    </row>
    <row r="3" spans="1:12" ht="48" x14ac:dyDescent="0.2">
      <c r="A3" s="3" t="s">
        <v>253</v>
      </c>
      <c r="B3" s="3" t="s">
        <v>388</v>
      </c>
      <c r="C3" s="3" t="s">
        <v>389</v>
      </c>
      <c r="D3" s="3" t="s">
        <v>390</v>
      </c>
      <c r="E3" s="3" t="s">
        <v>391</v>
      </c>
      <c r="F3" s="3" t="s">
        <v>392</v>
      </c>
      <c r="G3" s="3" t="s">
        <v>393</v>
      </c>
      <c r="H3" s="3" t="s">
        <v>394</v>
      </c>
      <c r="I3" s="3" t="s">
        <v>395</v>
      </c>
      <c r="J3" s="3" t="s">
        <v>396</v>
      </c>
      <c r="K3" s="3" t="s">
        <v>397</v>
      </c>
      <c r="L3" s="3" t="s">
        <v>398</v>
      </c>
    </row>
    <row r="4" spans="1:12" x14ac:dyDescent="0.2">
      <c r="A4" s="2" t="s">
        <v>173</v>
      </c>
      <c r="B4" s="2" t="s">
        <v>399</v>
      </c>
      <c r="C4" s="2" t="s">
        <v>298</v>
      </c>
      <c r="D4" s="14">
        <f>Corners!$C$31</f>
        <v>5607.053</v>
      </c>
      <c r="E4" s="14">
        <f>Corners!$D$31</f>
        <v>5174.144</v>
      </c>
      <c r="F4" s="13">
        <f>Corners!$F$31</f>
        <v>101.166677</v>
      </c>
      <c r="G4" s="12">
        <f>Corners!$G$31</f>
        <v>589.46</v>
      </c>
      <c r="H4" s="14">
        <f>Ties!$K$10</f>
        <v>5599.826</v>
      </c>
      <c r="I4" s="14">
        <f>Ties!$L$10</f>
        <v>5211.852</v>
      </c>
      <c r="J4" s="12">
        <f t="shared" ref="J4:J12" si="0">ROUND((H4-D4)*COS(RADIANS(F4))+(I4-E4)*SIN(RADIANS(F4)),2)</f>
        <v>38.39</v>
      </c>
      <c r="K4" s="12">
        <f t="shared" ref="K4:K12" si="1">ROUND((I4-E4)*COS(RADIANS(F4))-(H4-D4)*SIN(RADIANS(F4)),2)</f>
        <v>-0.21</v>
      </c>
      <c r="L4" s="2" t="str">
        <f t="shared" ref="L4:L12" si="2">IF(K4&gt;0,"Inside the tract",IF(K4&lt;0,"Outside the tract","On the line"))</f>
        <v>Outside the tract</v>
      </c>
    </row>
    <row r="5" spans="1:12" x14ac:dyDescent="0.2">
      <c r="A5" s="2" t="s">
        <v>176</v>
      </c>
      <c r="B5" s="2" t="s">
        <v>399</v>
      </c>
      <c r="C5" s="2" t="s">
        <v>298</v>
      </c>
      <c r="D5" s="14">
        <f>Corners!$C$31</f>
        <v>5607.053</v>
      </c>
      <c r="E5" s="14">
        <f>Corners!$D$31</f>
        <v>5174.144</v>
      </c>
      <c r="F5" s="13">
        <f>Corners!$F$31</f>
        <v>101.166677</v>
      </c>
      <c r="G5" s="12">
        <f>Corners!$G$31</f>
        <v>589.46</v>
      </c>
      <c r="H5" s="14">
        <f>Ties!$K$11</f>
        <v>5549.079</v>
      </c>
      <c r="I5" s="14">
        <f>Ties!$L$11</f>
        <v>5470.217</v>
      </c>
      <c r="J5" s="12">
        <f t="shared" si="0"/>
        <v>301.7</v>
      </c>
      <c r="K5" s="12">
        <f t="shared" si="1"/>
        <v>-0.46</v>
      </c>
      <c r="L5" s="2" t="str">
        <f t="shared" si="2"/>
        <v>Outside the tract</v>
      </c>
    </row>
    <row r="6" spans="1:12" x14ac:dyDescent="0.2">
      <c r="A6" s="2" t="s">
        <v>179</v>
      </c>
      <c r="B6" s="2" t="s">
        <v>399</v>
      </c>
      <c r="C6" s="2" t="s">
        <v>298</v>
      </c>
      <c r="D6" s="14">
        <f>Corners!$C$31</f>
        <v>5607.053</v>
      </c>
      <c r="E6" s="14">
        <f>Corners!$D$31</f>
        <v>5174.144</v>
      </c>
      <c r="F6" s="13">
        <f>Corners!$F$31</f>
        <v>101.166677</v>
      </c>
      <c r="G6" s="12">
        <f>Corners!$G$31</f>
        <v>589.46</v>
      </c>
      <c r="H6" s="14">
        <f>Ties!$K$12</f>
        <v>5493.238</v>
      </c>
      <c r="I6" s="14">
        <f>Ties!$L$12</f>
        <v>5752.197</v>
      </c>
      <c r="J6" s="12">
        <f t="shared" si="0"/>
        <v>589.15</v>
      </c>
      <c r="K6" s="12">
        <f t="shared" si="1"/>
        <v>-0.29</v>
      </c>
      <c r="L6" s="2" t="str">
        <f t="shared" si="2"/>
        <v>Outside the tract</v>
      </c>
    </row>
    <row r="7" spans="1:12" x14ac:dyDescent="0.2">
      <c r="A7" s="2" t="s">
        <v>189</v>
      </c>
      <c r="B7" s="2" t="s">
        <v>400</v>
      </c>
      <c r="C7" s="2" t="s">
        <v>299</v>
      </c>
      <c r="D7" s="14">
        <f>Corners!$C$32</f>
        <v>5492.896</v>
      </c>
      <c r="E7" s="14">
        <f>Corners!$D$32</f>
        <v>5752.444</v>
      </c>
      <c r="F7" s="13">
        <f>Corners!$F$32</f>
        <v>191.098655</v>
      </c>
      <c r="G7" s="12">
        <f>Corners!$G$32</f>
        <v>592.58</v>
      </c>
      <c r="H7" s="14">
        <f>Ties!$K$13</f>
        <v>5432.82</v>
      </c>
      <c r="I7" s="14">
        <f>Ties!$L$13</f>
        <v>5740.243</v>
      </c>
      <c r="J7" s="12">
        <f t="shared" si="0"/>
        <v>61.3</v>
      </c>
      <c r="K7" s="12">
        <f t="shared" si="1"/>
        <v>0.41</v>
      </c>
      <c r="L7" s="2" t="str">
        <f t="shared" si="2"/>
        <v>Inside the tract</v>
      </c>
    </row>
    <row r="8" spans="1:12" x14ac:dyDescent="0.2">
      <c r="A8" s="2" t="s">
        <v>195</v>
      </c>
      <c r="B8" s="2" t="s">
        <v>400</v>
      </c>
      <c r="C8" s="2" t="s">
        <v>299</v>
      </c>
      <c r="D8" s="14">
        <f>Corners!$C$32</f>
        <v>5492.896</v>
      </c>
      <c r="E8" s="14">
        <f>Corners!$D$32</f>
        <v>5752.444</v>
      </c>
      <c r="F8" s="13">
        <f>Corners!$F$32</f>
        <v>191.098655</v>
      </c>
      <c r="G8" s="12">
        <f>Corners!$G$32</f>
        <v>592.58</v>
      </c>
      <c r="H8" s="14">
        <f>Ties!$K$14</f>
        <v>5112.019</v>
      </c>
      <c r="I8" s="14">
        <f>Ties!$L$14</f>
        <v>5677.392</v>
      </c>
      <c r="J8" s="12">
        <f t="shared" si="0"/>
        <v>388.2</v>
      </c>
      <c r="K8" s="12">
        <f t="shared" si="1"/>
        <v>0.33</v>
      </c>
      <c r="L8" s="2" t="str">
        <f t="shared" si="2"/>
        <v>Inside the tract</v>
      </c>
    </row>
    <row r="9" spans="1:12" x14ac:dyDescent="0.2">
      <c r="A9" s="2" t="s">
        <v>193</v>
      </c>
      <c r="B9" s="2" t="s">
        <v>400</v>
      </c>
      <c r="C9" s="2" t="s">
        <v>299</v>
      </c>
      <c r="D9" s="14">
        <f>Corners!$C$32</f>
        <v>5492.896</v>
      </c>
      <c r="E9" s="14">
        <f>Corners!$D$32</f>
        <v>5752.444</v>
      </c>
      <c r="F9" s="13">
        <f>Corners!$F$32</f>
        <v>191.098655</v>
      </c>
      <c r="G9" s="12">
        <f>Corners!$G$32</f>
        <v>592.58</v>
      </c>
      <c r="H9" s="14">
        <f>Ties!$K$15</f>
        <v>4951.64</v>
      </c>
      <c r="I9" s="14">
        <f>Ties!$L$15</f>
        <v>5646.146</v>
      </c>
      <c r="J9" s="12">
        <f t="shared" si="0"/>
        <v>551.6</v>
      </c>
      <c r="K9" s="12">
        <f t="shared" si="1"/>
        <v>0.12</v>
      </c>
      <c r="L9" s="2" t="str">
        <f t="shared" si="2"/>
        <v>Inside the tract</v>
      </c>
    </row>
    <row r="10" spans="1:12" x14ac:dyDescent="0.2">
      <c r="A10" s="2" t="s">
        <v>197</v>
      </c>
      <c r="B10" s="2" t="s">
        <v>401</v>
      </c>
      <c r="C10" s="2" t="s">
        <v>300</v>
      </c>
      <c r="D10" s="14">
        <f>Corners!$C$33</f>
        <v>4911.399</v>
      </c>
      <c r="E10" s="14">
        <f>Corners!$D$33</f>
        <v>5638.373</v>
      </c>
      <c r="F10" s="13">
        <f>Corners!$F$33</f>
        <v>260.294041</v>
      </c>
      <c r="G10" s="12">
        <f>Corners!$G$33</f>
        <v>510.1</v>
      </c>
      <c r="H10" s="14">
        <f>Ties!$K$16</f>
        <v>4901.636</v>
      </c>
      <c r="I10" s="14">
        <f>Ties!$L$16</f>
        <v>5580.288</v>
      </c>
      <c r="J10" s="12">
        <f t="shared" si="0"/>
        <v>58.9</v>
      </c>
      <c r="K10" s="12">
        <f t="shared" si="1"/>
        <v>0.17</v>
      </c>
      <c r="L10" s="2" t="str">
        <f t="shared" si="2"/>
        <v>Inside the tract</v>
      </c>
    </row>
    <row r="11" spans="1:12" x14ac:dyDescent="0.2">
      <c r="A11" s="2" t="s">
        <v>204</v>
      </c>
      <c r="B11" s="2" t="s">
        <v>401</v>
      </c>
      <c r="C11" s="2" t="s">
        <v>300</v>
      </c>
      <c r="D11" s="14">
        <f>Corners!$C$33</f>
        <v>4911.399</v>
      </c>
      <c r="E11" s="14">
        <f>Corners!$D$33</f>
        <v>5638.373</v>
      </c>
      <c r="F11" s="13">
        <f>Corners!$F$33</f>
        <v>260.294041</v>
      </c>
      <c r="G11" s="12">
        <f>Corners!$G$33</f>
        <v>510.1</v>
      </c>
      <c r="H11" s="14">
        <f>Ties!$K$17</f>
        <v>4867.377</v>
      </c>
      <c r="I11" s="14">
        <f>Ties!$L$17</f>
        <v>5379.69</v>
      </c>
      <c r="J11" s="12">
        <f t="shared" si="0"/>
        <v>262.4</v>
      </c>
      <c r="K11" s="12">
        <f t="shared" si="1"/>
        <v>0.22</v>
      </c>
      <c r="L11" s="2" t="str">
        <f t="shared" si="2"/>
        <v>Inside the tract</v>
      </c>
    </row>
    <row r="12" spans="1:12" x14ac:dyDescent="0.2">
      <c r="A12" s="2" t="s">
        <v>202</v>
      </c>
      <c r="B12" s="2" t="s">
        <v>401</v>
      </c>
      <c r="C12" s="2" t="s">
        <v>300</v>
      </c>
      <c r="D12" s="14">
        <f>Corners!$C$33</f>
        <v>4911.399</v>
      </c>
      <c r="E12" s="14">
        <f>Corners!$D$33</f>
        <v>5638.373</v>
      </c>
      <c r="F12" s="13">
        <f>Corners!$F$33</f>
        <v>260.294041</v>
      </c>
      <c r="G12" s="12">
        <f>Corners!$G$33</f>
        <v>510.1</v>
      </c>
      <c r="H12" s="14">
        <f>Ties!$K$18</f>
        <v>4831.103</v>
      </c>
      <c r="I12" s="14">
        <f>Ties!$L$18</f>
        <v>5168.381</v>
      </c>
      <c r="J12" s="12">
        <f t="shared" si="0"/>
        <v>476.8</v>
      </c>
      <c r="K12" s="12">
        <f t="shared" si="1"/>
        <v>0.09</v>
      </c>
      <c r="L12" s="2" t="str">
        <f t="shared" si="2"/>
        <v>Inside the tract</v>
      </c>
    </row>
    <row r="15" spans="1:12" ht="48" x14ac:dyDescent="0.2">
      <c r="A15" s="3" t="s">
        <v>388</v>
      </c>
      <c r="B15" s="3" t="s">
        <v>402</v>
      </c>
      <c r="C15" s="3" t="s">
        <v>389</v>
      </c>
      <c r="D15" s="3" t="s">
        <v>403</v>
      </c>
      <c r="E15" s="3" t="s">
        <v>404</v>
      </c>
      <c r="F15" s="3" t="s">
        <v>405</v>
      </c>
      <c r="G15" s="3" t="s">
        <v>406</v>
      </c>
    </row>
    <row r="16" spans="1:12" x14ac:dyDescent="0.2">
      <c r="A16" s="2" t="s">
        <v>407</v>
      </c>
      <c r="B16" s="2" t="s">
        <v>399</v>
      </c>
      <c r="C16" s="2" t="s">
        <v>298</v>
      </c>
      <c r="D16" s="16">
        <f>COUNTIF($B$4:$B$12,B16)</f>
        <v>3</v>
      </c>
      <c r="E16" s="12">
        <f>MAX(0,MAX(K4:K6))</f>
        <v>0</v>
      </c>
      <c r="F16" s="12">
        <f>MAX(0,-MIN(K4:K6))</f>
        <v>0.46</v>
      </c>
      <c r="G16" s="2" t="str">
        <f>IF(E16&gt;Parameters!$B$16,"Encroachment","Occupation note only")</f>
        <v>Occupation note only</v>
      </c>
    </row>
    <row r="17" spans="1:7" x14ac:dyDescent="0.2">
      <c r="A17" s="2" t="s">
        <v>408</v>
      </c>
      <c r="B17" s="2" t="s">
        <v>400</v>
      </c>
      <c r="C17" s="2" t="s">
        <v>299</v>
      </c>
      <c r="D17" s="16">
        <f>COUNTIF($B$4:$B$12,B17)</f>
        <v>3</v>
      </c>
      <c r="E17" s="12">
        <f>MAX(0,MAX(K7:K9))</f>
        <v>0.41</v>
      </c>
      <c r="F17" s="12">
        <f>MAX(0,-MIN(K7:K9))</f>
        <v>0</v>
      </c>
      <c r="G17" s="2" t="str">
        <f>IF(E17&gt;Parameters!$B$16,"Encroachment","Occupation note only")</f>
        <v>Encroachment</v>
      </c>
    </row>
    <row r="18" spans="1:7" x14ac:dyDescent="0.2">
      <c r="A18" s="2" t="s">
        <v>409</v>
      </c>
      <c r="B18" s="2" t="s">
        <v>401</v>
      </c>
      <c r="C18" s="2" t="s">
        <v>300</v>
      </c>
      <c r="D18" s="16">
        <f>COUNTIF($B$4:$B$12,B18)</f>
        <v>3</v>
      </c>
      <c r="E18" s="12">
        <f>MAX(0,MAX(K10:K12))</f>
        <v>0.22</v>
      </c>
      <c r="F18" s="12">
        <f>MAX(0,-MIN(K10:K12))</f>
        <v>0</v>
      </c>
      <c r="G18" s="2" t="str">
        <f>IF(E18&gt;Parameters!$B$16,"Encroachment","Occupation note only")</f>
        <v>Occupation note only</v>
      </c>
    </row>
    <row r="20" spans="1:7" x14ac:dyDescent="0.2">
      <c r="A20" s="2" t="s">
        <v>410</v>
      </c>
      <c r="B20" s="16">
        <f>COUNTIF(G16:G18,"Encroachment")</f>
        <v>1</v>
      </c>
    </row>
    <row r="22" spans="1:7" x14ac:dyDescent="0.2">
      <c r="A22" s="2" t="s">
        <v>411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14"/>
  <sheetViews>
    <sheetView workbookViewId="0"/>
  </sheetViews>
  <sheetFormatPr baseColWidth="10" defaultColWidth="8.83203125" defaultRowHeight="15" x14ac:dyDescent="0.2"/>
  <cols>
    <col min="1" max="1" width="125" customWidth="1"/>
  </cols>
  <sheetData>
    <row r="1" spans="1:1" ht="17" x14ac:dyDescent="0.2">
      <c r="A1" s="1" t="s">
        <v>412</v>
      </c>
    </row>
    <row r="3" spans="1:1" ht="45" customHeight="1" x14ac:dyDescent="0.2">
      <c r="A3" s="11" t="s">
        <v>413</v>
      </c>
    </row>
    <row r="4" spans="1:1" ht="90" customHeight="1" x14ac:dyDescent="0.2">
      <c r="A4" s="11" t="s">
        <v>414</v>
      </c>
    </row>
    <row r="5" spans="1:1" ht="60" customHeight="1" x14ac:dyDescent="0.2">
      <c r="A5" s="11" t="s">
        <v>415</v>
      </c>
    </row>
    <row r="6" spans="1:1" ht="90" customHeight="1" x14ac:dyDescent="0.2">
      <c r="A6" s="11" t="s">
        <v>416</v>
      </c>
    </row>
    <row r="7" spans="1:1" ht="60" customHeight="1" x14ac:dyDescent="0.2">
      <c r="A7" s="11" t="s">
        <v>417</v>
      </c>
    </row>
    <row r="8" spans="1:1" ht="75" customHeight="1" x14ac:dyDescent="0.2">
      <c r="A8" s="11" t="s">
        <v>418</v>
      </c>
    </row>
    <row r="9" spans="1:1" ht="90" customHeight="1" x14ac:dyDescent="0.2">
      <c r="A9" s="11" t="s">
        <v>419</v>
      </c>
    </row>
    <row r="10" spans="1:1" ht="90" customHeight="1" x14ac:dyDescent="0.2">
      <c r="A10" s="11" t="s">
        <v>420</v>
      </c>
    </row>
    <row r="11" spans="1:1" ht="75" customHeight="1" x14ac:dyDescent="0.2">
      <c r="A11" s="11" t="s">
        <v>421</v>
      </c>
    </row>
    <row r="12" spans="1:1" ht="30" customHeight="1" x14ac:dyDescent="0.2">
      <c r="A12" s="11" t="s">
        <v>422</v>
      </c>
    </row>
    <row r="13" spans="1:1" ht="75" customHeight="1" x14ac:dyDescent="0.2">
      <c r="A13" s="11" t="s">
        <v>423</v>
      </c>
    </row>
    <row r="14" spans="1:1" ht="105" customHeight="1" x14ac:dyDescent="0.2">
      <c r="A14" s="11" t="s">
        <v>424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Findings</vt:lpstr>
      <vt:lpstr>Parameters</vt:lpstr>
      <vt:lpstr>Field Notes</vt:lpstr>
      <vt:lpstr>Traverse</vt:lpstr>
      <vt:lpstr>Ties</vt:lpstr>
      <vt:lpstr>Deed</vt:lpstr>
      <vt:lpstr>Corners</vt:lpstr>
      <vt:lpstr>Area</vt:lpstr>
      <vt:lpstr>Fences</vt:lpstr>
      <vt:lpstr>Note to 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Hollins &amp; Vance Surveying</dc:creator>
  <dc:title xmlns:dc="http://purl.org/dc/elements/1.1/">Tract 7 boundary analysis, job 26-2214</dc:title>
  <dcterms:created xmlns:dcterms="http://purl.org/dc/terms/" xmlns:xsi="http://www.w3.org/2001/XMLSchema-instance" xsi:type="dcterms:W3CDTF">2026-10-26T08:10:24Z</dcterms:created>
  <dcterms:modified xmlns:dcterms="http://purl.org/dc/terms/" xmlns:xsi="http://www.w3.org/2001/XMLSchema-instance" xsi:type="dcterms:W3CDTF">2026-10-29T09:52:18Z</dcterms:modified>
  <cp:lastModifiedBy>Hollins &amp; Vance Surveying</cp:lastModifiedBy>
</cp:coreProperties>
</file>