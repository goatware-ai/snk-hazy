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xr:revisionPtr revIDLastSave="0" documentId="13_ncr:1_{C8990F23-860B-2C46-B797-1922486C393B}" xr6:coauthVersionLast="47" xr6:coauthVersionMax="47" xr10:uidLastSave="{00000000-0000-0000-0000-000000000000}"/>
  <bookViews>
    <workbookView xWindow="0" yWindow="0" windowWidth="21600" windowHeight="38400" xr2:uid="{00000000-000D-0000-FFFF-FFFF00000000}"/>
  </bookViews>
  <sheets>
    <sheet name="Summary" sheetId="1" r:id="rId1"/>
    <sheet name="Parameters" sheetId="2" r:id="rId2"/>
    <sheet name="Placements" sheetId="3" r:id="rId3"/>
    <sheet name="Breaks" sheetId="4" r:id="rId4"/>
    <sheet name="Tests" sheetId="5" r:id="rId5"/>
    <sheet name="Acceptance M-4000" sheetId="6" r:id="rId6"/>
    <sheet name="Acceptance M-6000" sheetId="7" r:id="rId7"/>
    <sheet name="Sampling" sheetId="8" r:id="rId8"/>
    <sheet name="Note to Gunnar"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 i="8" l="1"/>
  <c r="K19" i="8"/>
  <c r="J19" i="8"/>
  <c r="I19" i="8"/>
  <c r="L19" i="8" s="1"/>
  <c r="D19" i="8"/>
  <c r="E19" i="8" s="1"/>
  <c r="C19" i="8"/>
  <c r="B19" i="8"/>
  <c r="A19" i="8"/>
  <c r="K18" i="8"/>
  <c r="J18" i="8"/>
  <c r="I18" i="8"/>
  <c r="L18" i="8" s="1"/>
  <c r="D18" i="8"/>
  <c r="E18" i="8" s="1"/>
  <c r="C18" i="8"/>
  <c r="B18" i="8"/>
  <c r="A18" i="8"/>
  <c r="K17" i="8"/>
  <c r="J17" i="8"/>
  <c r="I17" i="8"/>
  <c r="L17" i="8" s="1"/>
  <c r="D17" i="8"/>
  <c r="E17" i="8" s="1"/>
  <c r="C17" i="8"/>
  <c r="B17" i="8"/>
  <c r="A17" i="8"/>
  <c r="K16" i="8"/>
  <c r="J16" i="8"/>
  <c r="I16" i="8"/>
  <c r="L16" i="8" s="1"/>
  <c r="D16" i="8"/>
  <c r="E16" i="8" s="1"/>
  <c r="C16" i="8"/>
  <c r="B16" i="8"/>
  <c r="A16" i="8"/>
  <c r="K15" i="8"/>
  <c r="J15" i="8"/>
  <c r="I15" i="8"/>
  <c r="L15" i="8" s="1"/>
  <c r="D15" i="8"/>
  <c r="E15" i="8" s="1"/>
  <c r="C15" i="8"/>
  <c r="B15" i="8"/>
  <c r="A15" i="8"/>
  <c r="K14" i="8"/>
  <c r="J14" i="8"/>
  <c r="I14" i="8"/>
  <c r="L14" i="8" s="1"/>
  <c r="D14" i="8"/>
  <c r="E14" i="8" s="1"/>
  <c r="C14" i="8"/>
  <c r="B14" i="8"/>
  <c r="A14" i="8"/>
  <c r="K13" i="8"/>
  <c r="J13" i="8"/>
  <c r="I13" i="8"/>
  <c r="L13" i="8" s="1"/>
  <c r="D13" i="8"/>
  <c r="E13" i="8" s="1"/>
  <c r="C13" i="8"/>
  <c r="B13" i="8"/>
  <c r="A13" i="8"/>
  <c r="K12" i="8"/>
  <c r="J12" i="8"/>
  <c r="I12" i="8"/>
  <c r="L12" i="8" s="1"/>
  <c r="D12" i="8"/>
  <c r="E12" i="8" s="1"/>
  <c r="C12" i="8"/>
  <c r="B12" i="8"/>
  <c r="A12" i="8"/>
  <c r="K11" i="8"/>
  <c r="J11" i="8"/>
  <c r="I11" i="8"/>
  <c r="L11" i="8" s="1"/>
  <c r="D11" i="8"/>
  <c r="E11" i="8" s="1"/>
  <c r="C11" i="8"/>
  <c r="B11" i="8"/>
  <c r="A11" i="8"/>
  <c r="K10" i="8"/>
  <c r="J10" i="8"/>
  <c r="I10" i="8"/>
  <c r="L10" i="8" s="1"/>
  <c r="D10" i="8"/>
  <c r="E10" i="8" s="1"/>
  <c r="C10" i="8"/>
  <c r="B10" i="8"/>
  <c r="A10" i="8"/>
  <c r="K9" i="8"/>
  <c r="J9" i="8"/>
  <c r="I9" i="8"/>
  <c r="L9" i="8" s="1"/>
  <c r="D9" i="8"/>
  <c r="E9" i="8" s="1"/>
  <c r="C9" i="8"/>
  <c r="B9" i="8"/>
  <c r="A9" i="8"/>
  <c r="K8" i="8"/>
  <c r="J8" i="8"/>
  <c r="I8" i="8"/>
  <c r="L8" i="8" s="1"/>
  <c r="D8" i="8"/>
  <c r="E8" i="8" s="1"/>
  <c r="C8" i="8"/>
  <c r="B8" i="8"/>
  <c r="A8" i="8"/>
  <c r="K7" i="8"/>
  <c r="J7" i="8"/>
  <c r="I7" i="8"/>
  <c r="L7" i="8" s="1"/>
  <c r="D7" i="8"/>
  <c r="E7" i="8" s="1"/>
  <c r="C7" i="8"/>
  <c r="B7" i="8"/>
  <c r="A7" i="8"/>
  <c r="K6" i="8"/>
  <c r="J6" i="8"/>
  <c r="I6" i="8"/>
  <c r="L6" i="8" s="1"/>
  <c r="D6" i="8"/>
  <c r="E6" i="8" s="1"/>
  <c r="C6" i="8"/>
  <c r="B6" i="8"/>
  <c r="A6" i="8"/>
  <c r="K5" i="8"/>
  <c r="J5" i="8"/>
  <c r="I5" i="8"/>
  <c r="L5" i="8" s="1"/>
  <c r="D5" i="8"/>
  <c r="E5" i="8" s="1"/>
  <c r="C5" i="8"/>
  <c r="B5" i="8"/>
  <c r="A5" i="8"/>
  <c r="F5" i="8" s="1"/>
  <c r="H5" i="8" s="1"/>
  <c r="K4" i="8"/>
  <c r="J4" i="8"/>
  <c r="I4" i="8"/>
  <c r="L4" i="8" s="1"/>
  <c r="D4" i="8"/>
  <c r="E4" i="8" s="1"/>
  <c r="C4" i="8"/>
  <c r="B4" i="8"/>
  <c r="A4" i="8"/>
  <c r="B14" i="6"/>
  <c r="B13" i="6"/>
  <c r="B12" i="6"/>
  <c r="F20" i="5"/>
  <c r="Q19" i="5"/>
  <c r="N19" i="5"/>
  <c r="O19" i="5" s="1"/>
  <c r="F19" i="5"/>
  <c r="E19" i="5"/>
  <c r="D19" i="5"/>
  <c r="B19" i="5"/>
  <c r="Q18" i="5"/>
  <c r="N18" i="5"/>
  <c r="O18" i="5" s="1"/>
  <c r="F18" i="5"/>
  <c r="E18" i="5"/>
  <c r="D18" i="5"/>
  <c r="B18" i="5"/>
  <c r="Q17" i="5"/>
  <c r="N17" i="5"/>
  <c r="O17" i="5" s="1"/>
  <c r="F17" i="5"/>
  <c r="E17" i="5"/>
  <c r="D17" i="5"/>
  <c r="B17" i="5"/>
  <c r="C17" i="5" s="1"/>
  <c r="Q16" i="5"/>
  <c r="N16" i="5"/>
  <c r="O16" i="5" s="1"/>
  <c r="F16" i="5"/>
  <c r="E16" i="5"/>
  <c r="D16" i="5"/>
  <c r="B16" i="5"/>
  <c r="C16" i="5" s="1"/>
  <c r="Q15" i="5"/>
  <c r="N15" i="5"/>
  <c r="O15" i="5" s="1"/>
  <c r="F15" i="5"/>
  <c r="E15" i="5"/>
  <c r="D15" i="5"/>
  <c r="B15" i="5"/>
  <c r="C15" i="5" s="1"/>
  <c r="Q14" i="5"/>
  <c r="N14" i="5"/>
  <c r="O14" i="5" s="1"/>
  <c r="F14" i="5"/>
  <c r="E14" i="5"/>
  <c r="D14" i="5"/>
  <c r="B14" i="5"/>
  <c r="Q13" i="5"/>
  <c r="N13" i="5"/>
  <c r="O13" i="5" s="1"/>
  <c r="F13" i="5"/>
  <c r="E13" i="5"/>
  <c r="D13" i="5"/>
  <c r="B13" i="5"/>
  <c r="Q12" i="5"/>
  <c r="N12" i="5"/>
  <c r="O12" i="5" s="1"/>
  <c r="F12" i="5"/>
  <c r="E12" i="5"/>
  <c r="D12" i="5"/>
  <c r="B12" i="5"/>
  <c r="Q11" i="5"/>
  <c r="N11" i="5"/>
  <c r="O11" i="5" s="1"/>
  <c r="F11" i="5"/>
  <c r="E11" i="5"/>
  <c r="D11" i="5"/>
  <c r="B11" i="5"/>
  <c r="Q10" i="5"/>
  <c r="N10" i="5"/>
  <c r="O10" i="5" s="1"/>
  <c r="F10" i="5"/>
  <c r="E10" i="5"/>
  <c r="D10" i="5"/>
  <c r="B10" i="5"/>
  <c r="Q9" i="5"/>
  <c r="N9" i="5"/>
  <c r="O9" i="5" s="1"/>
  <c r="F9" i="5"/>
  <c r="E9" i="5"/>
  <c r="D9" i="5"/>
  <c r="B9" i="5"/>
  <c r="Q8" i="5"/>
  <c r="N8" i="5"/>
  <c r="O8" i="5" s="1"/>
  <c r="F8" i="5"/>
  <c r="E8" i="5"/>
  <c r="D8" i="5"/>
  <c r="B8" i="5"/>
  <c r="Q7" i="5"/>
  <c r="N7" i="5"/>
  <c r="O7" i="5" s="1"/>
  <c r="F7" i="5"/>
  <c r="E7" i="5"/>
  <c r="D7" i="5"/>
  <c r="B7" i="5"/>
  <c r="Q6" i="5"/>
  <c r="N6" i="5"/>
  <c r="O6" i="5" s="1"/>
  <c r="F6" i="5"/>
  <c r="E6" i="5"/>
  <c r="D6" i="5"/>
  <c r="B6" i="5"/>
  <c r="Q5" i="5"/>
  <c r="N5" i="5"/>
  <c r="O5" i="5" s="1"/>
  <c r="F5" i="5"/>
  <c r="E5" i="5"/>
  <c r="D5" i="5"/>
  <c r="B5" i="5"/>
  <c r="Q4" i="5"/>
  <c r="B22" i="1" s="1"/>
  <c r="N4" i="5"/>
  <c r="O4" i="5" s="1"/>
  <c r="F4" i="5"/>
  <c r="E4" i="5"/>
  <c r="D4" i="5"/>
  <c r="B4" i="5"/>
  <c r="L41" i="4"/>
  <c r="M41" i="4" s="1"/>
  <c r="L40" i="4"/>
  <c r="M40" i="4" s="1"/>
  <c r="L39" i="4"/>
  <c r="M39" i="4" s="1"/>
  <c r="L38" i="4"/>
  <c r="M38" i="4" s="1"/>
  <c r="L37" i="4"/>
  <c r="M37" i="4" s="1"/>
  <c r="L36" i="4"/>
  <c r="M36" i="4" s="1"/>
  <c r="L35" i="4"/>
  <c r="M35" i="4" s="1"/>
  <c r="L34" i="4"/>
  <c r="M34" i="4" s="1"/>
  <c r="L33" i="4"/>
  <c r="M33" i="4" s="1"/>
  <c r="L32" i="4"/>
  <c r="M32" i="4" s="1"/>
  <c r="L31" i="4"/>
  <c r="M31" i="4" s="1"/>
  <c r="L30" i="4"/>
  <c r="M30" i="4" s="1"/>
  <c r="L29" i="4"/>
  <c r="M29" i="4" s="1"/>
  <c r="L28" i="4"/>
  <c r="M28" i="4" s="1"/>
  <c r="L27" i="4"/>
  <c r="M27" i="4" s="1"/>
  <c r="L26" i="4"/>
  <c r="M26" i="4" s="1"/>
  <c r="L25" i="4"/>
  <c r="M25" i="4" s="1"/>
  <c r="L24" i="4"/>
  <c r="M24" i="4" s="1"/>
  <c r="L23" i="4"/>
  <c r="M23" i="4" s="1"/>
  <c r="L22" i="4"/>
  <c r="M22" i="4" s="1"/>
  <c r="L21" i="4"/>
  <c r="M21" i="4" s="1"/>
  <c r="L20" i="4"/>
  <c r="M20" i="4" s="1"/>
  <c r="L19" i="4"/>
  <c r="M19" i="4" s="1"/>
  <c r="L18" i="4"/>
  <c r="M18" i="4" s="1"/>
  <c r="L17" i="4"/>
  <c r="M17" i="4" s="1"/>
  <c r="L16" i="4"/>
  <c r="M16" i="4" s="1"/>
  <c r="L15" i="4"/>
  <c r="M15" i="4" s="1"/>
  <c r="L14" i="4"/>
  <c r="M14" i="4" s="1"/>
  <c r="L13" i="4"/>
  <c r="M13" i="4" s="1"/>
  <c r="L12" i="4"/>
  <c r="M12" i="4" s="1"/>
  <c r="L11" i="4"/>
  <c r="M11" i="4" s="1"/>
  <c r="L10" i="4"/>
  <c r="M10" i="4" s="1"/>
  <c r="L9" i="4"/>
  <c r="M9" i="4" s="1"/>
  <c r="L8" i="4"/>
  <c r="M8" i="4" s="1"/>
  <c r="L7" i="4"/>
  <c r="M7" i="4" s="1"/>
  <c r="L6" i="4"/>
  <c r="M6" i="4" s="1"/>
  <c r="L5" i="4"/>
  <c r="M5" i="4" s="1"/>
  <c r="L4" i="4"/>
  <c r="M4" i="4" s="1"/>
  <c r="C7" i="2"/>
  <c r="B7" i="2"/>
  <c r="C6" i="2"/>
  <c r="B6" i="2"/>
  <c r="C5" i="2"/>
  <c r="B5" i="2"/>
  <c r="B24" i="1"/>
  <c r="C16" i="1"/>
  <c r="B16" i="1"/>
  <c r="C15" i="1"/>
  <c r="B15" i="1"/>
  <c r="C6" i="1"/>
  <c r="B6" i="1"/>
  <c r="F19" i="8" l="1"/>
  <c r="H19" i="8" s="1"/>
  <c r="G19" i="8"/>
  <c r="F18" i="8"/>
  <c r="H18" i="8" s="1"/>
  <c r="F17" i="8"/>
  <c r="H17" i="8" s="1"/>
  <c r="F16" i="8"/>
  <c r="H16" i="8" s="1"/>
  <c r="F15" i="8"/>
  <c r="H15" i="8" s="1"/>
  <c r="F14" i="8"/>
  <c r="H14" i="8" s="1"/>
  <c r="F12" i="8"/>
  <c r="H12" i="8" s="1"/>
  <c r="F11" i="8"/>
  <c r="H11" i="8" s="1"/>
  <c r="F10" i="8"/>
  <c r="H10" i="8" s="1"/>
  <c r="F9" i="8"/>
  <c r="H9" i="8" s="1"/>
  <c r="F8" i="8"/>
  <c r="H8" i="8" s="1"/>
  <c r="F7" i="8"/>
  <c r="H7" i="8" s="1"/>
  <c r="F6" i="8"/>
  <c r="H6" i="8" s="1"/>
  <c r="F4" i="8"/>
  <c r="G4" i="8"/>
  <c r="G19" i="5"/>
  <c r="P19" i="5" s="1"/>
  <c r="L19" i="5"/>
  <c r="C19" i="5"/>
  <c r="B8" i="7"/>
  <c r="L18" i="5"/>
  <c r="G18" i="5"/>
  <c r="P18" i="5" s="1"/>
  <c r="C18" i="5"/>
  <c r="F13" i="8"/>
  <c r="H13" i="8" s="1"/>
  <c r="B7" i="7"/>
  <c r="L17" i="5"/>
  <c r="G17" i="5"/>
  <c r="P17" i="5" s="1"/>
  <c r="L16" i="5"/>
  <c r="G16" i="5"/>
  <c r="P16" i="5" s="1"/>
  <c r="L15" i="5"/>
  <c r="G15" i="5"/>
  <c r="P15" i="5" s="1"/>
  <c r="G14" i="5"/>
  <c r="P14" i="5" s="1"/>
  <c r="L14" i="5"/>
  <c r="C14" i="5"/>
  <c r="B6" i="7"/>
  <c r="G13" i="5"/>
  <c r="P13" i="5" s="1"/>
  <c r="L13" i="5"/>
  <c r="B11" i="6"/>
  <c r="C13" i="5"/>
  <c r="G12" i="5"/>
  <c r="P12" i="5" s="1"/>
  <c r="L12" i="5"/>
  <c r="B10" i="6"/>
  <c r="C12" i="5"/>
  <c r="G11" i="5"/>
  <c r="P11" i="5" s="1"/>
  <c r="L11" i="5"/>
  <c r="C11" i="5"/>
  <c r="B9" i="6"/>
  <c r="L10" i="5"/>
  <c r="G10" i="5"/>
  <c r="P10" i="5" s="1"/>
  <c r="C10" i="5"/>
  <c r="B5" i="7"/>
  <c r="G9" i="5"/>
  <c r="P9" i="5" s="1"/>
  <c r="L9" i="5"/>
  <c r="C9" i="5"/>
  <c r="B8" i="6"/>
  <c r="G8" i="5"/>
  <c r="P8" i="5" s="1"/>
  <c r="L8" i="5"/>
  <c r="C8" i="5"/>
  <c r="B7" i="6"/>
  <c r="L7" i="5"/>
  <c r="G7" i="5"/>
  <c r="P7" i="5" s="1"/>
  <c r="B6" i="6"/>
  <c r="C7" i="5"/>
  <c r="G6" i="5"/>
  <c r="P6" i="5" s="1"/>
  <c r="L6" i="5"/>
  <c r="C6" i="5"/>
  <c r="B4" i="7"/>
  <c r="G5" i="5"/>
  <c r="P5" i="5" s="1"/>
  <c r="L5" i="5"/>
  <c r="B5" i="6"/>
  <c r="C5" i="5"/>
  <c r="L4" i="5"/>
  <c r="G4" i="5"/>
  <c r="P4" i="5" s="1"/>
  <c r="R4" i="5" s="1"/>
  <c r="C4" i="5"/>
  <c r="B4" i="6"/>
  <c r="H19" i="5"/>
  <c r="I19" i="5"/>
  <c r="J19" i="5"/>
  <c r="K19" i="5" s="1"/>
  <c r="M19" i="5" s="1"/>
  <c r="H18" i="5"/>
  <c r="J18" i="5"/>
  <c r="I18" i="5"/>
  <c r="H17" i="5"/>
  <c r="I17" i="5"/>
  <c r="J17" i="5"/>
  <c r="K17" i="5" s="1"/>
  <c r="M17" i="5" s="1"/>
  <c r="H16" i="5"/>
  <c r="I16" i="5"/>
  <c r="J16" i="5"/>
  <c r="K16" i="5" s="1"/>
  <c r="M16" i="5" s="1"/>
  <c r="H15" i="5"/>
  <c r="I15" i="5"/>
  <c r="J15" i="5"/>
  <c r="K15" i="5" s="1"/>
  <c r="M15" i="5" s="1"/>
  <c r="H14" i="5"/>
  <c r="I14" i="5"/>
  <c r="J14" i="5"/>
  <c r="K14" i="5" s="1"/>
  <c r="M14" i="5" s="1"/>
  <c r="H13" i="5"/>
  <c r="I13" i="5"/>
  <c r="J13" i="5"/>
  <c r="K13" i="5" s="1"/>
  <c r="M13" i="5" s="1"/>
  <c r="H12" i="5"/>
  <c r="I12" i="5"/>
  <c r="J12" i="5"/>
  <c r="K12" i="5" s="1"/>
  <c r="M12" i="5" s="1"/>
  <c r="H11" i="5"/>
  <c r="I11" i="5"/>
  <c r="J11" i="5"/>
  <c r="K11" i="5" s="1"/>
  <c r="M11" i="5" s="1"/>
  <c r="H10" i="5"/>
  <c r="I10" i="5"/>
  <c r="J10" i="5"/>
  <c r="K10" i="5" s="1"/>
  <c r="H9" i="5"/>
  <c r="I9" i="5"/>
  <c r="J9" i="5"/>
  <c r="K9" i="5" s="1"/>
  <c r="H8" i="5"/>
  <c r="I8" i="5"/>
  <c r="J8" i="5"/>
  <c r="K8" i="5" s="1"/>
  <c r="M8" i="5" s="1"/>
  <c r="H7" i="5"/>
  <c r="I7" i="5"/>
  <c r="J7" i="5"/>
  <c r="K7" i="5" s="1"/>
  <c r="M7" i="5" s="1"/>
  <c r="H6" i="5"/>
  <c r="I6" i="5"/>
  <c r="J6" i="5"/>
  <c r="K6" i="5" s="1"/>
  <c r="M6" i="5" s="1"/>
  <c r="H5" i="5"/>
  <c r="I5" i="5"/>
  <c r="J5" i="5"/>
  <c r="K5" i="5" s="1"/>
  <c r="M5" i="5" s="1"/>
  <c r="H4" i="5"/>
  <c r="I4" i="5"/>
  <c r="J4" i="5"/>
  <c r="K4" i="5" s="1"/>
  <c r="M4" i="5" s="1"/>
  <c r="E20" i="8"/>
  <c r="R19" i="5"/>
  <c r="G18" i="8" s="1"/>
  <c r="R18" i="5"/>
  <c r="G17" i="8" s="1"/>
  <c r="R17" i="5"/>
  <c r="G16" i="8" s="1"/>
  <c r="R16" i="5"/>
  <c r="G15" i="8" s="1"/>
  <c r="R15" i="5"/>
  <c r="G14" i="8" s="1"/>
  <c r="R14" i="5"/>
  <c r="R13" i="5"/>
  <c r="G12" i="8" s="1"/>
  <c r="R12" i="5"/>
  <c r="G11" i="8" s="1"/>
  <c r="R11" i="5"/>
  <c r="G10" i="8" s="1"/>
  <c r="R10" i="5"/>
  <c r="G9" i="8" s="1"/>
  <c r="L20" i="8"/>
  <c r="B23" i="1" s="1"/>
  <c r="R9" i="5"/>
  <c r="G8" i="8" s="1"/>
  <c r="R8" i="5"/>
  <c r="R7" i="5"/>
  <c r="G7" i="8" s="1"/>
  <c r="R6" i="5"/>
  <c r="G6" i="8" s="1"/>
  <c r="R5" i="5"/>
  <c r="G5" i="8" s="1"/>
  <c r="H4" i="8" l="1"/>
  <c r="F20" i="8"/>
  <c r="B20" i="1"/>
  <c r="G4" i="6"/>
  <c r="C4" i="6"/>
  <c r="S20" i="5"/>
  <c r="R20" i="5"/>
  <c r="S4" i="5"/>
  <c r="B8" i="1"/>
  <c r="C8" i="1"/>
  <c r="G8" i="7"/>
  <c r="C8" i="7"/>
  <c r="S19" i="5"/>
  <c r="G7" i="7"/>
  <c r="C7" i="7"/>
  <c r="S18" i="5"/>
  <c r="G14" i="6"/>
  <c r="C14" i="6"/>
  <c r="S17" i="5"/>
  <c r="C13" i="6"/>
  <c r="S16" i="5"/>
  <c r="G13" i="6" s="1"/>
  <c r="G12" i="6"/>
  <c r="C12" i="6"/>
  <c r="S15" i="5"/>
  <c r="G13" i="8"/>
  <c r="G20" i="8" s="1"/>
  <c r="G6" i="7"/>
  <c r="C6" i="7"/>
  <c r="S14" i="5"/>
  <c r="G11" i="6"/>
  <c r="C11" i="6"/>
  <c r="S13" i="5"/>
  <c r="G10" i="6"/>
  <c r="C10" i="6"/>
  <c r="S12" i="5"/>
  <c r="G9" i="6"/>
  <c r="C9" i="6"/>
  <c r="S11" i="5"/>
  <c r="C5" i="7"/>
  <c r="S10" i="5"/>
  <c r="C8" i="6"/>
  <c r="S9" i="5"/>
  <c r="G7" i="6"/>
  <c r="C7" i="6"/>
  <c r="S8" i="5"/>
  <c r="G6" i="6"/>
  <c r="C6" i="6"/>
  <c r="S7" i="5"/>
  <c r="G4" i="7"/>
  <c r="C4" i="7"/>
  <c r="S6" i="5"/>
  <c r="G5" i="6"/>
  <c r="C5" i="6"/>
  <c r="S5" i="5"/>
  <c r="K18" i="5"/>
  <c r="M18" i="5" s="1"/>
  <c r="M10" i="5"/>
  <c r="G5" i="7" s="1"/>
  <c r="M9" i="5"/>
  <c r="N20" i="8" l="1"/>
  <c r="B19" i="1" s="1"/>
  <c r="H20" i="8"/>
  <c r="B18" i="1" s="1"/>
  <c r="F4" i="6"/>
  <c r="H4" i="6"/>
  <c r="D4" i="6" s="1"/>
  <c r="E4" i="6" s="1"/>
  <c r="B17" i="6"/>
  <c r="B7" i="1" s="1"/>
  <c r="B18" i="6"/>
  <c r="B9" i="1" s="1"/>
  <c r="F8" i="7"/>
  <c r="H8" i="7"/>
  <c r="D8" i="7" s="1"/>
  <c r="E8" i="7" s="1"/>
  <c r="F7" i="7"/>
  <c r="H7" i="7"/>
  <c r="F14" i="6"/>
  <c r="H14" i="6"/>
  <c r="D14" i="6" s="1"/>
  <c r="E14" i="6" s="1"/>
  <c r="D13" i="6"/>
  <c r="E13" i="6" s="1"/>
  <c r="F13" i="6"/>
  <c r="H13" i="6"/>
  <c r="D12" i="6"/>
  <c r="E12" i="6" s="1"/>
  <c r="F12" i="6"/>
  <c r="H12" i="6"/>
  <c r="F6" i="7"/>
  <c r="H6" i="7"/>
  <c r="D6" i="7" s="1"/>
  <c r="E6" i="7" s="1"/>
  <c r="F11" i="6"/>
  <c r="H11" i="6"/>
  <c r="D11" i="6" s="1"/>
  <c r="E11" i="6" s="1"/>
  <c r="F10" i="6"/>
  <c r="H10" i="6"/>
  <c r="D10" i="6" s="1"/>
  <c r="E10" i="6" s="1"/>
  <c r="F9" i="6"/>
  <c r="H9" i="6"/>
  <c r="D9" i="6" s="1"/>
  <c r="E9" i="6" s="1"/>
  <c r="F5" i="7"/>
  <c r="H5" i="7"/>
  <c r="D5" i="7" s="1"/>
  <c r="E5" i="7" s="1"/>
  <c r="F8" i="6"/>
  <c r="H8" i="6"/>
  <c r="D8" i="6" s="1"/>
  <c r="E8" i="6" s="1"/>
  <c r="F7" i="6"/>
  <c r="H7" i="6"/>
  <c r="D7" i="6" s="1"/>
  <c r="E7" i="6" s="1"/>
  <c r="F6" i="6"/>
  <c r="H6" i="6"/>
  <c r="D6" i="6" s="1"/>
  <c r="E6" i="6" s="1"/>
  <c r="F4" i="7"/>
  <c r="H4" i="7"/>
  <c r="B11" i="7"/>
  <c r="C7" i="1" s="1"/>
  <c r="B12" i="7"/>
  <c r="C9" i="1" s="1"/>
  <c r="F5" i="6"/>
  <c r="H5" i="6"/>
  <c r="D5" i="6" s="1"/>
  <c r="E5" i="6" s="1"/>
  <c r="B21" i="1"/>
  <c r="G8" i="6"/>
  <c r="B20" i="6" l="1"/>
  <c r="B11" i="1" s="1"/>
  <c r="B14" i="1" s="1"/>
  <c r="B21" i="6"/>
  <c r="B12" i="1" s="1"/>
  <c r="B14" i="7"/>
  <c r="C11" i="1" s="1"/>
  <c r="C14" i="1" s="1"/>
  <c r="B15" i="7"/>
  <c r="C12" i="1" s="1"/>
  <c r="D7" i="7"/>
  <c r="E7" i="7" s="1"/>
  <c r="D4" i="7"/>
  <c r="E4" i="7" s="1"/>
  <c r="B13" i="7" s="1"/>
  <c r="B19" i="6"/>
  <c r="B16" i="7" l="1"/>
  <c r="C13" i="1" s="1"/>
  <c r="C10" i="1"/>
  <c r="B10" i="1"/>
  <c r="B22" i="6"/>
  <c r="B13" i="1" s="1"/>
</calcChain>
</file>

<file path=xl/sharedStrings.xml><?xml version="1.0" encoding="utf-8"?>
<sst xmlns="http://schemas.openxmlformats.org/spreadsheetml/2006/main" count="564" uniqueCount="257">
  <si>
    <t>Concrete acceptance summary, project 2417, Harbor View Parking Structure, placements of August and September 2026</t>
  </si>
  <si>
    <t>Prepared for the engineer of record and the owner's representative under Section 03 30 00, 3.12.1; summary prepared October 21, 2026</t>
  </si>
  <si>
    <t>Finding</t>
  </si>
  <si>
    <t>M-4000</t>
  </si>
  <si>
    <t>M-6000</t>
  </si>
  <si>
    <t>Read from</t>
  </si>
  <si>
    <t>Project number</t>
  </si>
  <si>
    <t>Placement log and break file</t>
  </si>
  <si>
    <t>Specified strength f'c (psi)</t>
  </si>
  <si>
    <t>Parameters</t>
  </si>
  <si>
    <t>Strength tests used for acceptance</t>
  </si>
  <si>
    <t>Acceptance tabs</t>
  </si>
  <si>
    <t>Sets cast but not used</t>
  </si>
  <si>
    <t>Tests</t>
  </si>
  <si>
    <t>Lowest strength test (psi)</t>
  </si>
  <si>
    <t>Moving averages of three below f'c, criterion (a)</t>
  </si>
  <si>
    <t>Tests below f'c by more than the allowance, criterion (b)</t>
  </si>
  <si>
    <t>Placement of each test failing criterion (b)</t>
  </si>
  <si>
    <t>Acceptance under 3.11.1</t>
  </si>
  <si>
    <t>What 3.11.2 calls for next</t>
  </si>
  <si>
    <t>Spec 3.11.2</t>
  </si>
  <si>
    <t>Core average floor, 85 percent of f'c (psi)</t>
  </si>
  <si>
    <t>Core single floor, 75 percent of f'c (psi)</t>
  </si>
  <si>
    <t>Sampling, sets and notes, both mixtures</t>
  </si>
  <si>
    <t>Placements sampled short of 3.10.1</t>
  </si>
  <si>
    <t>Sampling</t>
  </si>
  <si>
    <t>Placements short, listed</t>
  </si>
  <si>
    <t>Sets cast but not used, both mixtures</t>
  </si>
  <si>
    <t>Tests with a within-test range note</t>
  </si>
  <si>
    <t>Sets with a curing excursion note</t>
  </si>
  <si>
    <t>Placements outside a fresh concrete limit</t>
  </si>
  <si>
    <t>Cylinders in the break file</t>
  </si>
  <si>
    <t>Breaks</t>
  </si>
  <si>
    <t>Every value on this page reads from the tab named beside it; the Breaks tab computes each cylinder strength from the load in the file, and the Tests and Acceptance tabs read from it.</t>
  </si>
  <si>
    <t>Parameters the summary applies, from Section 03 30 00, LP-07 and the laboratory memo</t>
  </si>
  <si>
    <t>Parameter</t>
  </si>
  <si>
    <t>Source</t>
  </si>
  <si>
    <t>Spec 2.4</t>
  </si>
  <si>
    <t>Criterion (b) allowance below f'c (psi)</t>
  </si>
  <si>
    <t>Spec 3.11.1(b)</t>
  </si>
  <si>
    <t>Slump, low limit (in)</t>
  </si>
  <si>
    <t>Slump, high limit (in)</t>
  </si>
  <si>
    <t>Air content, low limit (percent)</t>
  </si>
  <si>
    <t>Air content, high limit (percent)</t>
  </si>
  <si>
    <t>Maximum concrete temperature (F)</t>
  </si>
  <si>
    <t>Value</t>
  </si>
  <si>
    <t>Cubic yards per strength test</t>
  </si>
  <si>
    <t>Spec 3.10.1</t>
  </si>
  <si>
    <t>Cylinders per test, 6 by 12</t>
  </si>
  <si>
    <t>Spec 3.10.2</t>
  </si>
  <si>
    <t>Cylinders per test, 4 by 8</t>
  </si>
  <si>
    <t>Age tolerance at 28 days (hours)</t>
  </si>
  <si>
    <t>Spec 3.10.3; LP-07 1.2</t>
  </si>
  <si>
    <t>Test age (days)</t>
  </si>
  <si>
    <t>Area, 6 inch cylinder (sq in)</t>
  </si>
  <si>
    <t>LP-07 2.1</t>
  </si>
  <si>
    <t>Area, 4 inch cylinder (sq in)</t>
  </si>
  <si>
    <t>Range limit, two 6 by 12 cylinders</t>
  </si>
  <si>
    <t>Spec 3.10.4; LP-07 2.3</t>
  </si>
  <si>
    <t>Range limit, three 4 by 8 cylinders</t>
  </si>
  <si>
    <t>Set with a curing excursion</t>
  </si>
  <si>
    <t>S-14</t>
  </si>
  <si>
    <t>Laboratory memo item 3</t>
  </si>
  <si>
    <t>Rounding unit for strengths (psi)</t>
  </si>
  <si>
    <t>LP-07 2.2</t>
  </si>
  <si>
    <t>Hours in a day</t>
  </si>
  <si>
    <t>Age tolerance conversion</t>
  </si>
  <si>
    <t>Placement log, placement_log_2417.csv, copied line for line</t>
  </si>
  <si>
    <t>PLACEMENT_ID</t>
  </si>
  <si>
    <t>DATE</t>
  </si>
  <si>
    <t>ELEMENT</t>
  </si>
  <si>
    <t>MIX_ID</t>
  </si>
  <si>
    <t>CUBIC_YARDS</t>
  </si>
  <si>
    <t>SLUMP_IN</t>
  </si>
  <si>
    <t>AIR_PCT</t>
  </si>
  <si>
    <t>CONCRETE_TEMP_F</t>
  </si>
  <si>
    <t>P-01</t>
  </si>
  <si>
    <t>08/03/2026</t>
  </si>
  <si>
    <t>Level 2 deck bay A</t>
  </si>
  <si>
    <t>P-02</t>
  </si>
  <si>
    <t>08/05/2026</t>
  </si>
  <si>
    <t>Level 2 deck bay B</t>
  </si>
  <si>
    <t>P-03</t>
  </si>
  <si>
    <t>08/06/2026</t>
  </si>
  <si>
    <t>Columns grid 1 to 4</t>
  </si>
  <si>
    <t>P-04</t>
  </si>
  <si>
    <t>08/10/2026</t>
  </si>
  <si>
    <t>Level 2 deck bays C and D</t>
  </si>
  <si>
    <t>P-05</t>
  </si>
  <si>
    <t>08/12/2026</t>
  </si>
  <si>
    <t>Level 3 deck bay A</t>
  </si>
  <si>
    <t>P-06</t>
  </si>
  <si>
    <t>08/13/2026</t>
  </si>
  <si>
    <t>Columns grid 5 to 8</t>
  </si>
  <si>
    <t>P-07</t>
  </si>
  <si>
    <t>08/14/2026</t>
  </si>
  <si>
    <t>Level 3 deck bay B</t>
  </si>
  <si>
    <t>P-08</t>
  </si>
  <si>
    <t>08/17/2026</t>
  </si>
  <si>
    <t>Level 3 deck bay C</t>
  </si>
  <si>
    <t>P-09</t>
  </si>
  <si>
    <t>08/19/2026</t>
  </si>
  <si>
    <t>Level 3 deck bay D</t>
  </si>
  <si>
    <t>P-10</t>
  </si>
  <si>
    <t>08/20/2026</t>
  </si>
  <si>
    <t>Columns grid 9 to 12</t>
  </si>
  <si>
    <t>P-11</t>
  </si>
  <si>
    <t>08/21/2026</t>
  </si>
  <si>
    <t>Ramp slab north</t>
  </si>
  <si>
    <t>P-12</t>
  </si>
  <si>
    <t>08/24/2026</t>
  </si>
  <si>
    <t>Level 4 deck bay A</t>
  </si>
  <si>
    <t>P-13</t>
  </si>
  <si>
    <t>08/26/2026</t>
  </si>
  <si>
    <t>Level 4 deck bay B</t>
  </si>
  <si>
    <t>P-14</t>
  </si>
  <si>
    <t>08/27/2026</t>
  </si>
  <si>
    <t>Columns grid 13 to 16</t>
  </si>
  <si>
    <t>P-15</t>
  </si>
  <si>
    <t>09/03/2026</t>
  </si>
  <si>
    <t>Shear walls stair 2</t>
  </si>
  <si>
    <t>P-16</t>
  </si>
  <si>
    <t>09/10/2026</t>
  </si>
  <si>
    <t>Shear walls stair 1</t>
  </si>
  <si>
    <t>Cylinder breaks, cylinder_breaks_2417.csv, with the area and strength computed under LP-07 2.1 and 2.2</t>
  </si>
  <si>
    <t>CYLINDER_ID</t>
  </si>
  <si>
    <t>SET_ID</t>
  </si>
  <si>
    <t>CAST_DATE</t>
  </si>
  <si>
    <t>DIAMETER_IN</t>
  </si>
  <si>
    <t>LENGTH_IN</t>
  </si>
  <si>
    <t>TEST_DATE</t>
  </si>
  <si>
    <t>AGE_DAYS</t>
  </si>
  <si>
    <t>MAX_LOAD_LBF</t>
  </si>
  <si>
    <t>TECHNICIAN</t>
  </si>
  <si>
    <t>FRACTURE_TYPE</t>
  </si>
  <si>
    <t>AREA_SQ_IN</t>
  </si>
  <si>
    <t>STRENGTH_PSI</t>
  </si>
  <si>
    <t>S-01-1</t>
  </si>
  <si>
    <t>S-01</t>
  </si>
  <si>
    <t>08/31/2026</t>
  </si>
  <si>
    <t>R. Okafor</t>
  </si>
  <si>
    <t>Type 1</t>
  </si>
  <si>
    <t>S-01-2</t>
  </si>
  <si>
    <t>Type 2</t>
  </si>
  <si>
    <t>S-02-1</t>
  </si>
  <si>
    <t>S-02</t>
  </si>
  <si>
    <t>09/02/2026</t>
  </si>
  <si>
    <t>Type 4</t>
  </si>
  <si>
    <t>S-02-2</t>
  </si>
  <si>
    <t>S-03-1</t>
  </si>
  <si>
    <t>S-03</t>
  </si>
  <si>
    <t>L. Brandvold</t>
  </si>
  <si>
    <t>S-03-2</t>
  </si>
  <si>
    <t>S-03-3</t>
  </si>
  <si>
    <t>S-04-1</t>
  </si>
  <si>
    <t>S-04</t>
  </si>
  <si>
    <t>09/07/2026</t>
  </si>
  <si>
    <t>S-04-2</t>
  </si>
  <si>
    <t>S-05-1</t>
  </si>
  <si>
    <t>S-05</t>
  </si>
  <si>
    <t>S-05-2</t>
  </si>
  <si>
    <t>S-06-1</t>
  </si>
  <si>
    <t>S-06</t>
  </si>
  <si>
    <t>09/09/2026</t>
  </si>
  <si>
    <t>S-06-2</t>
  </si>
  <si>
    <t>S-07-1</t>
  </si>
  <si>
    <t>S-07</t>
  </si>
  <si>
    <t>S-07-2</t>
  </si>
  <si>
    <t>S-07-3</t>
  </si>
  <si>
    <t>S-08-1</t>
  </si>
  <si>
    <t>S-08</t>
  </si>
  <si>
    <t>09/11/2026</t>
  </si>
  <si>
    <t>S-08-2</t>
  </si>
  <si>
    <t>S-09-1</t>
  </si>
  <si>
    <t>S-09</t>
  </si>
  <si>
    <t>09/14/2026</t>
  </si>
  <si>
    <t>S-09-2</t>
  </si>
  <si>
    <t>Type 3</t>
  </si>
  <si>
    <t>S-10-1</t>
  </si>
  <si>
    <t>S-10</t>
  </si>
  <si>
    <t>09/16/2026</t>
  </si>
  <si>
    <t>S-10-2</t>
  </si>
  <si>
    <t>S-10-3</t>
  </si>
  <si>
    <t>S-11-1</t>
  </si>
  <si>
    <t>S-11</t>
  </si>
  <si>
    <t>09/17/2026</t>
  </si>
  <si>
    <t>S-11-2</t>
  </si>
  <si>
    <t>S-11-3</t>
  </si>
  <si>
    <t>S-12-1</t>
  </si>
  <si>
    <t>S-12</t>
  </si>
  <si>
    <t>09/18/2026</t>
  </si>
  <si>
    <t>S-12-2</t>
  </si>
  <si>
    <t>S-13-1</t>
  </si>
  <si>
    <t>S-13</t>
  </si>
  <si>
    <t>09/22/2026</t>
  </si>
  <si>
    <t>S-13-2</t>
  </si>
  <si>
    <t>S-14-1</t>
  </si>
  <si>
    <t>09/23/2026</t>
  </si>
  <si>
    <t>S-14-2</t>
  </si>
  <si>
    <t>S-15-1</t>
  </si>
  <si>
    <t>S-15</t>
  </si>
  <si>
    <t>09/24/2026</t>
  </si>
  <si>
    <t>S-15-2</t>
  </si>
  <si>
    <t>S-15-3</t>
  </si>
  <si>
    <t>S-16-1</t>
  </si>
  <si>
    <t>S-16</t>
  </si>
  <si>
    <t>10/01/2026</t>
  </si>
  <si>
    <t>S-16-2</t>
  </si>
  <si>
    <t>S-16-3</t>
  </si>
  <si>
    <t>Strength is the maximum load over the procedure's stated area for the diameter, rounded to the nearest 10 psi with a half rounded up, per LP-07 2.2.</t>
  </si>
  <si>
    <t>Every set cast in the period, in casting order, screened under 3.10.2 to 3.10.5</t>
  </si>
  <si>
    <t>CYLINDERS</t>
  </si>
  <si>
    <t>CYLINDERS_REQUIRED</t>
  </si>
  <si>
    <t>STRENGTH_TEST_PSI</t>
  </si>
  <si>
    <t>LOW_CYLINDER_PSI</t>
  </si>
  <si>
    <t>HIGH_CYLINDER_PSI</t>
  </si>
  <si>
    <t>RANGE_PCT</t>
  </si>
  <si>
    <t>RANGE_LIMIT</t>
  </si>
  <si>
    <t>RANGE_NOTE</t>
  </si>
  <si>
    <t>AGE_WITHIN_TOLERANCE</t>
  </si>
  <si>
    <t>COUNT_MEETS_3_10_2</t>
  </si>
  <si>
    <t>CURING_NOTE</t>
  </si>
  <si>
    <t>USED_FOR_ACCEPTANCE</t>
  </si>
  <si>
    <t>REASON_NOT_USED</t>
  </si>
  <si>
    <t>Totals</t>
  </si>
  <si>
    <t>The strength test is the average of the cylinder strengths rounded to the nearest 10 psi, per LP-07 2.2; a set is used for acceptance when it has the cylinders 3.10.2 requires and was tested within the age tolerance of 3.10.3. A set with a range note is counted for acceptance with the range noted, per 3.10.4, and a set with a curing excursion is counted for acceptance with the excursion noted, per 3.10.5.</t>
  </si>
  <si>
    <t>Strength tests used for acceptance, mixture M-4000, in casting order, with the moving average of three under 3.11.1</t>
  </si>
  <si>
    <t>MOVING_AVERAGE_3</t>
  </si>
  <si>
    <t>CRITERION_A</t>
  </si>
  <si>
    <t>CRITERION_B</t>
  </si>
  <si>
    <t>NOTES</t>
  </si>
  <si>
    <t>USED_ORDINAL</t>
  </si>
  <si>
    <t>Summary</t>
  </si>
  <si>
    <t>Tests used</t>
  </si>
  <si>
    <t>Criterion (a) failures</t>
  </si>
  <si>
    <t>Criterion (b) failures</t>
  </si>
  <si>
    <t>Placement of the test failing criterion (b)</t>
  </si>
  <si>
    <t>The moving average of three is computed on the tests used for acceptance in casting order and carried to one decimal, per LP-07 3.4; criterion (b) compares each test with f'c less the allowance in 3.11.1(b).</t>
  </si>
  <si>
    <t>Strength tests used for acceptance, mixture M-6000, in casting order, with the moving average of three under 3.11.1</t>
  </si>
  <si>
    <t>Every placement against the sampling frequency of 3.10.1 and the fresh concrete limits of 2.4</t>
  </si>
  <si>
    <t>TESTS_REQUIRED</t>
  </si>
  <si>
    <t>SETS_CAST</t>
  </si>
  <si>
    <t>SETS_USED</t>
  </si>
  <si>
    <t>SAMPLING_3_10_1</t>
  </si>
  <si>
    <t>TEMP_F</t>
  </si>
  <si>
    <t>FRESH_CONCRETE_2_4</t>
  </si>
  <si>
    <t>SHORT_PLACEMENTS</t>
  </si>
  <si>
    <t>Tests required is one per 150 cubic yards or fraction thereof, per 3.10.1; sets cast counts every set in the break file for the placement, and sets used counts those the Tests tab uses for acceptance. A fresh concrete result outside 2.4 is noted under 3.12.2 and does not change the strength acceptance.</t>
  </si>
  <si>
    <t>Note to Gunnar Brekke on the project 2417 acceptance summary</t>
  </si>
  <si>
    <t>Gunnar, this is the August and September acceptance summary for project 2417, prepared from the break file and the placement log as your memo asked. Every cylinder strength on the Breaks tab is computed from the maximum load and the procedure's stated area, not copied from the daily reports, and every figure on the first tab reads from the tabs behind it. The Tests tab carries all 16 sets cast in the period, the two Acceptance tabs carry the tests used for acceptance in casting order with the moving average of three, and the Sampling tab carries every placement against 3.10.1 and 2.4.</t>
  </si>
  <si>
    <t>Neither mixture meets 3.11.1 for the period. M-4000 has nine tests used for acceptance. Set S-06 from placement P-05, the Level 3 bay A deck cast August 12, tested at 3,480 psi, which is 520 psi below f'c and fails criterion (b), where the allowance is 500 psi. The moving average of three falls below 4,000 psi on three consecutive tests, from S-06 through S-09, at 3,913.3, 3,793.3 and 3,843.3 psi, so criterion (a) fails as well. The last two moving averages of the period, 4,090.0 and 4,150.0 psi, are back above f'c.</t>
  </si>
  <si>
    <t>M-6000 has five tests used for acceptance. Set S-11 from placement P-10, the columns at grids 9 to 12 cast August 20, tested at 5,370 psi, which is 630 psi below f'c and beyond the 10 percent allowance of 600 psi, so criterion (b) fails. The moving average of three is below 6,000 psi on every one of the three tests where it can be computed, at 5,980.0, 5,826.7 and 5,880.0 psi, so criterion (a) fails too. The sets since S-11 have come in at 5,980 and 6,290 psi, which is not yet enough to lift the average clear.</t>
  </si>
  <si>
    <t>What the specification calls for next. For each failing criterion (b) test, 3.11.2 has the laboratory report the placement to the engineer of record and the contractor investigate under ACI 318-19 section 26.12.6, which may include three cores from the area in question tested under ASTM C42. For P-05 the cores are structurally adequate when their average is at least 3,400 psi and no single core is below 3,000 psi; for P-10 the floors are 5,100 and 4,500 psi. For criterion (a) the contractor takes steps to increase the average of the subsequent tests on both mixtures. The engineer decides whether the columns at grids 9 to 12 carry load before cores are taken; that is a question for the transmittal, not for this summary.</t>
  </si>
  <si>
    <t>Two sets were cast and are not used for acceptance. S-12 from the north ramp, P-11, was made as three 4 by 8 inch cylinders and one broke in transport, so it was tested with two, and under 3.10.2 a 4 by 8 test needs three; its two cylinders averaged 4,220 psi, which is reported for information. S-13 from P-12, the Level 4 bay A deck, was tested at 29.1 days after the machine calibration, outside the 20 hour tolerance of 3.10.3; its two cylinders averaged 4,310 psi, reported and not used. Both placements would have passed on those figures, but the specification does not let the summary count them.</t>
  </si>
  <si>
    <t>Three placements were sampled short of 3.10.1. P-04, the 320 cubic yard bays C and D deck placement the owner's representative asked about, needed three strength tests and got two, S-04 and S-05. P-08, the Level 3 bay C deck at 151 cubic yards, needed two tests and got one, because the specification counts each 150 cubic yards or fraction thereof. P-16, the stair 1 shear walls cast September 10, had no set cast at all; that is the shortfall to raise with the field crew first, since the concrete is in place with no test.</t>
  </si>
  <si>
    <t>Two notes ride with tests that are counted. S-14 from P-13 sat through the 91 F curing box excursion your memo records; under 3.10.5 it counts, and it tested at 4,010 psi with the excursion noted, so the engineer can decide whether it stands. S-09 from P-08 has a within-test range of 8.1 percent between its two cylinders, above the 6.6 percent of 3.10.4, with the lower cylinder a Type 3 fracture; it counts at 4,220 psi with the range noted. One placement, P-07, the Level 3 bay B deck, had an air content of 7.8 percent against the 4.5 to 7.5 percent limit of 2.4; under 3.12.2 that is noted and does not change the strength acceptance.</t>
  </si>
  <si>
    <t>For the transmittal: the two criterion (b) placements and the core floors for each, the P-16 placement with no test, the two sets not used and the reason for each, and the request that the contractor state what it is changing on both mixtures to lift the averages. The 7 day results are not in this summary and should not be offered against the failing tests.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</si>
</sst>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
  </numFmts>
  <fonts count="3" x14ac:knownFonts="1">
    <font>
      <sz val="11"/>
      <color theme="1"/>
      <name val="Calibri"/>
      <family val="2"/>
      <scheme val="minor"/>
    </font>
    <font>
      <b/>
      <sz val="13"/>
      <name val="Calibri"/>
      <family val="2"/>
    </font>
    <font>
      <b/>
      <sz val="11"/>
      <name val="Calibri"/>
      <family val="2"/>
    </font>
  </fonts>
  <fills count="3">
    <fill>
      <patternFill patternType="none"/>
    </fill>
    <fill>
      <patternFill patternType="gray125"/>
    </fill>
    <fill>
      <patternFill patternType="solid">
        <fgColor rgb="FFE7E6E6"/>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2" borderId="0" xfId="0" applyFont="1" applyFill="1"/>
    <xf numFmtId="0" fontId="0" fillId="0" borderId="0" xfId="0" applyAlignment="1">
      <alignment horizontal="left" wrapText="1"/>
    </xf>
    <xf numFmtId="0" fontId="2" fillId="0" borderId="0" xfId="0" applyFont="1"/>
    <xf numFmtId="164" fontId="0" fillId="0" borderId="0" xfId="0" applyNumberFormat="1"/>
    <xf numFmtId="2" fontId="0" fillId="0" borderId="0" xfId="0" applyNumberFormat="1"/>
    <xf numFmtId="10" fontId="0" fillId="0" borderId="0" xfId="0" applyNumberFormat="1"/>
    <xf numFmtId="165" fontId="0" fillId="0" borderId="0" xfId="0" applyNumberFormat="1"/>
    <xf numFmtId="166" fontId="0" fillId="0" borderId="0" xfId="0" applyNumberFormat="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6"/>
  <sheetViews>
    <sheetView tabSelected="1" workbookViewId="0"/>
  </sheetViews>
  <sheetFormatPr baseColWidth="10" defaultColWidth="8.83203125" defaultRowHeight="15" x14ac:dyDescent="0.2"/>
  <cols>
    <col min="1" max="1" width="54" customWidth="1"/>
    <col min="2" max="4" width="24" customWidth="1"/>
  </cols>
  <sheetData>
    <row r="1" spans="1:4" ht="17" x14ac:dyDescent="0.2">
      <c r="A1" s="1" t="s">
        <v>0</v>
      </c>
    </row>
    <row r="2" spans="1:4" x14ac:dyDescent="0.2">
      <c r="A2" t="s">
        <v>1</v>
      </c>
    </row>
    <row r="4" spans="1:4" x14ac:dyDescent="0.2">
      <c r="A4" s="2" t="s">
        <v>2</v>
      </c>
      <c r="B4" s="2" t="s">
        <v>3</v>
      </c>
      <c r="C4" s="2" t="s">
        <v>4</v>
      </c>
      <c r="D4" s="2" t="s">
        <v>5</v>
      </c>
    </row>
    <row r="5" spans="1:4" x14ac:dyDescent="0.2">
      <c r="A5" t="s">
        <v>6</v>
      </c>
      <c r="B5" s="3">
        <v>2417</v>
      </c>
      <c r="C5" s="3">
        <v>2417</v>
      </c>
      <c r="D5" t="s">
        <v>7</v>
      </c>
    </row>
    <row r="6" spans="1:4" ht="16" x14ac:dyDescent="0.2">
      <c r="A6" t="s">
        <v>8</v>
      </c>
      <c r="B6" s="3">
        <f>Parameters!B4</f>
        <v>4000</v>
      </c>
      <c r="C6" s="3">
        <f>Parameters!C4</f>
        <v>6000</v>
      </c>
      <c r="D6" t="s">
        <v>9</v>
      </c>
    </row>
    <row r="7" spans="1:4" ht="16" x14ac:dyDescent="0.2">
      <c r="A7" t="s">
        <v>10</v>
      </c>
      <c r="B7" s="3">
        <f>'Acceptance M-4000'!B17</f>
        <v>9</v>
      </c>
      <c r="C7" s="3">
        <f>'Acceptance M-6000'!B11</f>
        <v>5</v>
      </c>
      <c r="D7" t="s">
        <v>11</v>
      </c>
    </row>
    <row r="8" spans="1:4" ht="16" x14ac:dyDescent="0.2">
      <c r="A8" t="s">
        <v>12</v>
      </c>
      <c r="B8" s="3">
        <f>COUNTIFS(Tests!C4:C19,"M-4000",Tests!R4:R19,"No")</f>
        <v>2</v>
      </c>
      <c r="C8" s="3">
        <f>COUNTIFS(Tests!C4:C19,"M-6000",Tests!R4:R19,"No")</f>
        <v>0</v>
      </c>
      <c r="D8" t="s">
        <v>13</v>
      </c>
    </row>
    <row r="9" spans="1:4" ht="16" x14ac:dyDescent="0.2">
      <c r="A9" t="s">
        <v>14</v>
      </c>
      <c r="B9" s="3">
        <f>'Acceptance M-4000'!B18</f>
        <v>3480</v>
      </c>
      <c r="C9" s="3">
        <f>'Acceptance M-6000'!B12</f>
        <v>5370</v>
      </c>
      <c r="D9" t="s">
        <v>11</v>
      </c>
    </row>
    <row r="10" spans="1:4" ht="16" x14ac:dyDescent="0.2">
      <c r="A10" t="s">
        <v>15</v>
      </c>
      <c r="B10" s="3">
        <f>'Acceptance M-4000'!B19</f>
        <v>3</v>
      </c>
      <c r="C10" s="3">
        <f>'Acceptance M-6000'!B13</f>
        <v>3</v>
      </c>
      <c r="D10" t="s">
        <v>11</v>
      </c>
    </row>
    <row r="11" spans="1:4" ht="16" x14ac:dyDescent="0.2">
      <c r="A11" t="s">
        <v>16</v>
      </c>
      <c r="B11" s="3">
        <f>'Acceptance M-4000'!B20</f>
        <v>1</v>
      </c>
      <c r="C11" s="3">
        <f>'Acceptance M-6000'!B14</f>
        <v>1</v>
      </c>
      <c r="D11" t="s">
        <v>11</v>
      </c>
    </row>
    <row r="12" spans="1:4" ht="16" x14ac:dyDescent="0.2">
      <c r="A12" t="s">
        <v>17</v>
      </c>
      <c r="B12" s="3" t="str">
        <f>'Acceptance M-4000'!B21</f>
        <v>P-05</v>
      </c>
      <c r="C12" s="3" t="str">
        <f>'Acceptance M-6000'!B15</f>
        <v>P-10</v>
      </c>
      <c r="D12" t="s">
        <v>11</v>
      </c>
    </row>
    <row r="13" spans="1:4" ht="16" x14ac:dyDescent="0.2">
      <c r="A13" t="s">
        <v>18</v>
      </c>
      <c r="B13" s="3" t="str">
        <f>'Acceptance M-4000'!B22</f>
        <v>Does not meet 3.11.1</v>
      </c>
      <c r="C13" s="3" t="str">
        <f>'Acceptance M-6000'!B16</f>
        <v>Does not meet 3.11.1</v>
      </c>
      <c r="D13" t="s">
        <v>11</v>
      </c>
    </row>
    <row r="14" spans="1:4" ht="16" x14ac:dyDescent="0.2">
      <c r="A14" t="s">
        <v>19</v>
      </c>
      <c r="B14" s="3" t="str">
        <f>IF(B11&gt;0,"Report the placement to the engineer of record; contractor investigates under ACI 318-19 26.12.6, cores under ASTM C42",IF(B10&gt;0,"Contractor takes steps to increase the average of subsequent tests","No action"))</f>
        <v>Report the placement to the engineer of record; contractor investigates under ACI 318-19 26.12.6, cores under ASTM C42</v>
      </c>
      <c r="C14" s="3" t="str">
        <f>IF(C11&gt;0,"Report the placement to the engineer of record; contractor investigates under ACI 318-19 26.12.6, cores under ASTM C42",IF(C10&gt;0,"Contractor takes steps to increase the average of subsequent tests","No action"))</f>
        <v>Report the placement to the engineer of record; contractor investigates under ACI 318-19 26.12.6, cores under ASTM C42</v>
      </c>
      <c r="D14" t="s">
        <v>20</v>
      </c>
    </row>
    <row r="15" spans="1:4" ht="16" x14ac:dyDescent="0.2">
      <c r="A15" t="s">
        <v>21</v>
      </c>
      <c r="B15" s="3">
        <f>Parameters!B6</f>
        <v>3400</v>
      </c>
      <c r="C15" s="3">
        <f>Parameters!C6</f>
        <v>5100</v>
      </c>
      <c r="D15" t="s">
        <v>9</v>
      </c>
    </row>
    <row r="16" spans="1:4" ht="16" x14ac:dyDescent="0.2">
      <c r="A16" t="s">
        <v>22</v>
      </c>
      <c r="B16" s="3">
        <f>Parameters!B7</f>
        <v>3000</v>
      </c>
      <c r="C16" s="3">
        <f>Parameters!C7</f>
        <v>4500</v>
      </c>
      <c r="D16" t="s">
        <v>9</v>
      </c>
    </row>
    <row r="17" spans="1:4" x14ac:dyDescent="0.2">
      <c r="A17" s="4" t="s">
        <v>23</v>
      </c>
    </row>
    <row r="18" spans="1:4" ht="16" x14ac:dyDescent="0.2">
      <c r="A18" t="s">
        <v>24</v>
      </c>
      <c r="B18" s="3">
        <f>Sampling!H20</f>
        <v>3</v>
      </c>
      <c r="D18" t="s">
        <v>25</v>
      </c>
    </row>
    <row r="19" spans="1:4" ht="16" x14ac:dyDescent="0.2">
      <c r="A19" t="s">
        <v>26</v>
      </c>
      <c r="B19" s="3" t="str">
        <f>Sampling!N20</f>
        <v>P-04 P-08 P-16</v>
      </c>
      <c r="D19" t="s">
        <v>25</v>
      </c>
    </row>
    <row r="20" spans="1:4" ht="16" x14ac:dyDescent="0.2">
      <c r="A20" t="s">
        <v>27</v>
      </c>
      <c r="B20" s="3">
        <f>COUNTIF(Tests!R4:R19,"No")</f>
        <v>2</v>
      </c>
      <c r="D20" t="s">
        <v>13</v>
      </c>
    </row>
    <row r="21" spans="1:4" ht="16" x14ac:dyDescent="0.2">
      <c r="A21" t="s">
        <v>28</v>
      </c>
      <c r="B21" s="3">
        <f>COUNTIF(Tests!M4:M19,"Range*")</f>
        <v>1</v>
      </c>
      <c r="D21" t="s">
        <v>13</v>
      </c>
    </row>
    <row r="22" spans="1:4" ht="16" x14ac:dyDescent="0.2">
      <c r="A22" t="s">
        <v>29</v>
      </c>
      <c r="B22" s="3">
        <f>COUNTIF(Tests!Q4:Q19,"Curing*")</f>
        <v>1</v>
      </c>
      <c r="D22" t="s">
        <v>13</v>
      </c>
    </row>
    <row r="23" spans="1:4" ht="16" x14ac:dyDescent="0.2">
      <c r="A23" t="s">
        <v>30</v>
      </c>
      <c r="B23" s="3">
        <f>Sampling!L20</f>
        <v>1</v>
      </c>
      <c r="D23" t="s">
        <v>25</v>
      </c>
    </row>
    <row r="24" spans="1:4" ht="16" x14ac:dyDescent="0.2">
      <c r="A24" t="s">
        <v>31</v>
      </c>
      <c r="B24" s="3">
        <f>COUNTA(Breaks!A4:A41)</f>
        <v>38</v>
      </c>
      <c r="D24" t="s">
        <v>32</v>
      </c>
    </row>
    <row r="26" spans="1:4" x14ac:dyDescent="0.2">
      <c r="A26" t="s">
        <v>33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6"/>
  <sheetViews>
    <sheetView workbookViewId="0"/>
  </sheetViews>
  <sheetFormatPr baseColWidth="10" defaultColWidth="8.83203125" defaultRowHeight="15" x14ac:dyDescent="0.2"/>
  <cols>
    <col min="1" max="1" width="52" customWidth="1"/>
    <col min="2" max="3" width="12" customWidth="1"/>
    <col min="4" max="4" width="46" customWidth="1"/>
  </cols>
  <sheetData>
    <row r="1" spans="1:4" ht="17" x14ac:dyDescent="0.2">
      <c r="A1" s="1" t="s">
        <v>34</v>
      </c>
    </row>
    <row r="3" spans="1:4" x14ac:dyDescent="0.2">
      <c r="A3" s="2" t="s">
        <v>35</v>
      </c>
      <c r="B3" s="2" t="s">
        <v>3</v>
      </c>
      <c r="C3" s="2" t="s">
        <v>4</v>
      </c>
      <c r="D3" s="2" t="s">
        <v>36</v>
      </c>
    </row>
    <row r="4" spans="1:4" x14ac:dyDescent="0.2">
      <c r="A4" t="s">
        <v>8</v>
      </c>
      <c r="B4">
        <v>4000</v>
      </c>
      <c r="C4">
        <v>6000</v>
      </c>
      <c r="D4" t="s">
        <v>37</v>
      </c>
    </row>
    <row r="5" spans="1:4" x14ac:dyDescent="0.2">
      <c r="A5" t="s">
        <v>38</v>
      </c>
      <c r="B5">
        <f>IF(B4&lt;=5000,500,B4*0.1)</f>
        <v>500</v>
      </c>
      <c r="C5">
        <f>IF(C4&lt;=5000,500,C4*0.1)</f>
        <v>600</v>
      </c>
      <c r="D5" t="s">
        <v>39</v>
      </c>
    </row>
    <row r="6" spans="1:4" x14ac:dyDescent="0.2">
      <c r="A6" t="s">
        <v>21</v>
      </c>
      <c r="B6">
        <f>B4*0.85</f>
        <v>3400</v>
      </c>
      <c r="C6">
        <f>C4*0.85</f>
        <v>5100</v>
      </c>
      <c r="D6" t="s">
        <v>20</v>
      </c>
    </row>
    <row r="7" spans="1:4" x14ac:dyDescent="0.2">
      <c r="A7" t="s">
        <v>22</v>
      </c>
      <c r="B7">
        <f>B4*0.75</f>
        <v>3000</v>
      </c>
      <c r="C7">
        <f>C4*0.75</f>
        <v>4500</v>
      </c>
      <c r="D7" t="s">
        <v>20</v>
      </c>
    </row>
    <row r="8" spans="1:4" x14ac:dyDescent="0.2">
      <c r="A8" t="s">
        <v>40</v>
      </c>
      <c r="B8">
        <v>3</v>
      </c>
      <c r="C8">
        <v>5</v>
      </c>
      <c r="D8" t="s">
        <v>37</v>
      </c>
    </row>
    <row r="9" spans="1:4" x14ac:dyDescent="0.2">
      <c r="A9" t="s">
        <v>41</v>
      </c>
      <c r="B9">
        <v>5</v>
      </c>
      <c r="C9">
        <v>7</v>
      </c>
      <c r="D9" t="s">
        <v>37</v>
      </c>
    </row>
    <row r="10" spans="1:4" x14ac:dyDescent="0.2">
      <c r="A10" t="s">
        <v>42</v>
      </c>
      <c r="B10">
        <v>4.5</v>
      </c>
      <c r="C10">
        <v>2</v>
      </c>
      <c r="D10" t="s">
        <v>37</v>
      </c>
    </row>
    <row r="11" spans="1:4" x14ac:dyDescent="0.2">
      <c r="A11" t="s">
        <v>43</v>
      </c>
      <c r="B11">
        <v>7.5</v>
      </c>
      <c r="C11">
        <v>4</v>
      </c>
      <c r="D11" t="s">
        <v>37</v>
      </c>
    </row>
    <row r="12" spans="1:4" x14ac:dyDescent="0.2">
      <c r="A12" t="s">
        <v>44</v>
      </c>
      <c r="B12">
        <v>90</v>
      </c>
      <c r="C12">
        <v>90</v>
      </c>
      <c r="D12" t="s">
        <v>37</v>
      </c>
    </row>
    <row r="14" spans="1:4" x14ac:dyDescent="0.2">
      <c r="A14" s="2" t="s">
        <v>35</v>
      </c>
      <c r="B14" s="2" t="s">
        <v>45</v>
      </c>
      <c r="C14" s="2"/>
      <c r="D14" s="2" t="s">
        <v>36</v>
      </c>
    </row>
    <row r="15" spans="1:4" x14ac:dyDescent="0.2">
      <c r="A15" t="s">
        <v>46</v>
      </c>
      <c r="B15">
        <v>150</v>
      </c>
      <c r="D15" t="s">
        <v>47</v>
      </c>
    </row>
    <row r="16" spans="1:4" x14ac:dyDescent="0.2">
      <c r="A16" t="s">
        <v>48</v>
      </c>
      <c r="B16">
        <v>2</v>
      </c>
      <c r="D16" t="s">
        <v>49</v>
      </c>
    </row>
    <row r="17" spans="1:4" x14ac:dyDescent="0.2">
      <c r="A17" t="s">
        <v>50</v>
      </c>
      <c r="B17">
        <v>3</v>
      </c>
      <c r="D17" t="s">
        <v>49</v>
      </c>
    </row>
    <row r="18" spans="1:4" x14ac:dyDescent="0.2">
      <c r="A18" t="s">
        <v>51</v>
      </c>
      <c r="B18">
        <v>20</v>
      </c>
      <c r="D18" t="s">
        <v>52</v>
      </c>
    </row>
    <row r="19" spans="1:4" x14ac:dyDescent="0.2">
      <c r="A19" t="s">
        <v>53</v>
      </c>
      <c r="B19">
        <v>28</v>
      </c>
      <c r="D19" t="s">
        <v>49</v>
      </c>
    </row>
    <row r="20" spans="1:4" x14ac:dyDescent="0.2">
      <c r="A20" t="s">
        <v>54</v>
      </c>
      <c r="B20">
        <v>28.27</v>
      </c>
      <c r="D20" t="s">
        <v>55</v>
      </c>
    </row>
    <row r="21" spans="1:4" x14ac:dyDescent="0.2">
      <c r="A21" t="s">
        <v>56</v>
      </c>
      <c r="B21">
        <v>12.57</v>
      </c>
      <c r="D21" t="s">
        <v>55</v>
      </c>
    </row>
    <row r="22" spans="1:4" x14ac:dyDescent="0.2">
      <c r="A22" t="s">
        <v>57</v>
      </c>
      <c r="B22" s="5">
        <v>0.066</v>
      </c>
      <c r="D22" t="s">
        <v>58</v>
      </c>
    </row>
    <row r="23" spans="1:4" x14ac:dyDescent="0.2">
      <c r="A23" t="s">
        <v>59</v>
      </c>
      <c r="B23" s="5">
        <v>0.106</v>
      </c>
      <c r="D23" t="s">
        <v>58</v>
      </c>
    </row>
    <row r="24" spans="1:4" x14ac:dyDescent="0.2">
      <c r="A24" t="s">
        <v>60</v>
      </c>
      <c r="B24" t="s">
        <v>61</v>
      </c>
      <c r="D24" t="s">
        <v>62</v>
      </c>
    </row>
    <row r="25" spans="1:4" x14ac:dyDescent="0.2">
      <c r="A25" t="s">
        <v>63</v>
      </c>
      <c r="B25">
        <v>10</v>
      </c>
      <c r="D25" t="s">
        <v>64</v>
      </c>
    </row>
    <row r="26" spans="1:4" x14ac:dyDescent="0.2">
      <c r="A26" t="s">
        <v>65</v>
      </c>
      <c r="B26">
        <v>24</v>
      </c>
      <c r="D26" t="s">
        <v>66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
  <sheetViews>
    <sheetView workbookViewId="0"/>
  </sheetViews>
  <sheetFormatPr baseColWidth="10" defaultColWidth="8.83203125" defaultRowHeight="15" x14ac:dyDescent="0.2"/>
  <cols>
    <col min="1" max="1" width="14" customWidth="1"/>
    <col min="2" max="2" width="12" customWidth="1"/>
    <col min="3" max="3" width="28" customWidth="1"/>
    <col min="4" max="4" width="10" customWidth="1"/>
    <col min="5" max="5" width="13" customWidth="1"/>
    <col min="6" max="6" width="10" customWidth="1"/>
    <col min="7" max="7" width="9" customWidth="1"/>
    <col min="8" max="8" width="16" customWidth="1"/>
  </cols>
  <sheetData>
    <row r="1" spans="1:8" ht="17" x14ac:dyDescent="0.2">
      <c r="A1" s="1" t="s">
        <v>67</v>
      </c>
    </row>
    <row r="3" spans="1:8" x14ac:dyDescent="0.2">
      <c r="A3" s="2" t="s">
        <v>68</v>
      </c>
      <c r="B3" s="2" t="s">
        <v>69</v>
      </c>
      <c r="C3" s="2" t="s">
        <v>70</v>
      </c>
      <c r="D3" s="2" t="s">
        <v>71</v>
      </c>
      <c r="E3" s="2" t="s">
        <v>72</v>
      </c>
      <c r="F3" s="2" t="s">
        <v>73</v>
      </c>
      <c r="G3" s="2" t="s">
        <v>74</v>
      </c>
      <c r="H3" s="2" t="s">
        <v>75</v>
      </c>
    </row>
    <row r="4" spans="1:8" x14ac:dyDescent="0.2">
      <c r="A4" t="s">
        <v>76</v>
      </c>
      <c r="B4" t="s">
        <v>77</v>
      </c>
      <c r="C4" t="s">
        <v>78</v>
      </c>
      <c r="D4" t="s">
        <v>3</v>
      </c>
      <c r="E4">
        <v>142</v>
      </c>
      <c r="F4">
        <v>4.25</v>
      </c>
      <c r="G4">
        <v>6.2</v>
      </c>
      <c r="H4">
        <v>74</v>
      </c>
    </row>
    <row r="5" spans="1:8" x14ac:dyDescent="0.2">
      <c r="A5" t="s">
        <v>79</v>
      </c>
      <c r="B5" t="s">
        <v>80</v>
      </c>
      <c r="C5" t="s">
        <v>81</v>
      </c>
      <c r="D5" t="s">
        <v>3</v>
      </c>
      <c r="E5">
        <v>138</v>
      </c>
      <c r="F5">
        <v>4.5</v>
      </c>
      <c r="G5">
        <v>5.8</v>
      </c>
      <c r="H5">
        <v>76</v>
      </c>
    </row>
    <row r="6" spans="1:8" x14ac:dyDescent="0.2">
      <c r="A6" t="s">
        <v>82</v>
      </c>
      <c r="B6" t="s">
        <v>83</v>
      </c>
      <c r="C6" t="s">
        <v>84</v>
      </c>
      <c r="D6" t="s">
        <v>4</v>
      </c>
      <c r="E6">
        <v>38</v>
      </c>
      <c r="F6">
        <v>6</v>
      </c>
      <c r="G6">
        <v>3.1</v>
      </c>
      <c r="H6">
        <v>78</v>
      </c>
    </row>
    <row r="7" spans="1:8" x14ac:dyDescent="0.2">
      <c r="A7" t="s">
        <v>85</v>
      </c>
      <c r="B7" t="s">
        <v>86</v>
      </c>
      <c r="C7" t="s">
        <v>87</v>
      </c>
      <c r="D7" t="s">
        <v>3</v>
      </c>
      <c r="E7">
        <v>320</v>
      </c>
      <c r="F7">
        <v>4</v>
      </c>
      <c r="G7">
        <v>6.4</v>
      </c>
      <c r="H7">
        <v>79</v>
      </c>
    </row>
    <row r="8" spans="1:8" x14ac:dyDescent="0.2">
      <c r="A8" t="s">
        <v>88</v>
      </c>
      <c r="B8" t="s">
        <v>89</v>
      </c>
      <c r="C8" t="s">
        <v>90</v>
      </c>
      <c r="D8" t="s">
        <v>3</v>
      </c>
      <c r="E8">
        <v>146</v>
      </c>
      <c r="F8">
        <v>5</v>
      </c>
      <c r="G8">
        <v>5.9</v>
      </c>
      <c r="H8">
        <v>81</v>
      </c>
    </row>
    <row r="9" spans="1:8" x14ac:dyDescent="0.2">
      <c r="A9" t="s">
        <v>91</v>
      </c>
      <c r="B9" t="s">
        <v>92</v>
      </c>
      <c r="C9" t="s">
        <v>93</v>
      </c>
      <c r="D9" t="s">
        <v>4</v>
      </c>
      <c r="E9">
        <v>41</v>
      </c>
      <c r="F9">
        <v>5.5</v>
      </c>
      <c r="G9">
        <v>2.8</v>
      </c>
      <c r="H9">
        <v>77</v>
      </c>
    </row>
    <row r="10" spans="1:8" x14ac:dyDescent="0.2">
      <c r="A10" t="s">
        <v>94</v>
      </c>
      <c r="B10" t="s">
        <v>95</v>
      </c>
      <c r="C10" t="s">
        <v>96</v>
      </c>
      <c r="D10" t="s">
        <v>3</v>
      </c>
      <c r="E10">
        <v>140</v>
      </c>
      <c r="F10">
        <v>4.75</v>
      </c>
      <c r="G10">
        <v>7.8</v>
      </c>
      <c r="H10">
        <v>80</v>
      </c>
    </row>
    <row r="11" spans="1:8" x14ac:dyDescent="0.2">
      <c r="A11" t="s">
        <v>97</v>
      </c>
      <c r="B11" t="s">
        <v>98</v>
      </c>
      <c r="C11" t="s">
        <v>99</v>
      </c>
      <c r="D11" t="s">
        <v>3</v>
      </c>
      <c r="E11">
        <v>151</v>
      </c>
      <c r="F11">
        <v>4.25</v>
      </c>
      <c r="G11">
        <v>6.1</v>
      </c>
      <c r="H11">
        <v>75</v>
      </c>
    </row>
    <row r="12" spans="1:8" x14ac:dyDescent="0.2">
      <c r="A12" t="s">
        <v>100</v>
      </c>
      <c r="B12" t="s">
        <v>101</v>
      </c>
      <c r="C12" t="s">
        <v>102</v>
      </c>
      <c r="D12" t="s">
        <v>3</v>
      </c>
      <c r="E12">
        <v>149</v>
      </c>
      <c r="F12">
        <v>4.5</v>
      </c>
      <c r="G12">
        <v>5.6</v>
      </c>
      <c r="H12">
        <v>73</v>
      </c>
    </row>
    <row r="13" spans="1:8" x14ac:dyDescent="0.2">
      <c r="A13" t="s">
        <v>103</v>
      </c>
      <c r="B13" t="s">
        <v>104</v>
      </c>
      <c r="C13" t="s">
        <v>105</v>
      </c>
      <c r="D13" t="s">
        <v>4</v>
      </c>
      <c r="E13">
        <v>36</v>
      </c>
      <c r="F13">
        <v>6.5</v>
      </c>
      <c r="G13">
        <v>3.3</v>
      </c>
      <c r="H13">
        <v>79</v>
      </c>
    </row>
    <row r="14" spans="1:8" x14ac:dyDescent="0.2">
      <c r="A14" t="s">
        <v>106</v>
      </c>
      <c r="B14" t="s">
        <v>107</v>
      </c>
      <c r="C14" t="s">
        <v>108</v>
      </c>
      <c r="D14" t="s">
        <v>3</v>
      </c>
      <c r="E14">
        <v>96</v>
      </c>
      <c r="F14">
        <v>4</v>
      </c>
      <c r="G14">
        <v>6</v>
      </c>
      <c r="H14">
        <v>72</v>
      </c>
    </row>
    <row r="15" spans="1:8" x14ac:dyDescent="0.2">
      <c r="A15" t="s">
        <v>109</v>
      </c>
      <c r="B15" t="s">
        <v>110</v>
      </c>
      <c r="C15" t="s">
        <v>111</v>
      </c>
      <c r="D15" t="s">
        <v>3</v>
      </c>
      <c r="E15">
        <v>144</v>
      </c>
      <c r="F15">
        <v>4.5</v>
      </c>
      <c r="G15">
        <v>6.3</v>
      </c>
      <c r="H15">
        <v>74</v>
      </c>
    </row>
    <row r="16" spans="1:8" x14ac:dyDescent="0.2">
      <c r="A16" t="s">
        <v>112</v>
      </c>
      <c r="B16" t="s">
        <v>113</v>
      </c>
      <c r="C16" t="s">
        <v>114</v>
      </c>
      <c r="D16" t="s">
        <v>3</v>
      </c>
      <c r="E16">
        <v>139</v>
      </c>
      <c r="F16">
        <v>3.75</v>
      </c>
      <c r="G16">
        <v>5.7</v>
      </c>
      <c r="H16">
        <v>71</v>
      </c>
    </row>
    <row r="17" spans="1:8" x14ac:dyDescent="0.2">
      <c r="A17" t="s">
        <v>115</v>
      </c>
      <c r="B17" t="s">
        <v>116</v>
      </c>
      <c r="C17" t="s">
        <v>117</v>
      </c>
      <c r="D17" t="s">
        <v>4</v>
      </c>
      <c r="E17">
        <v>40</v>
      </c>
      <c r="F17">
        <v>5.75</v>
      </c>
      <c r="G17">
        <v>3</v>
      </c>
      <c r="H17">
        <v>76</v>
      </c>
    </row>
    <row r="18" spans="1:8" x14ac:dyDescent="0.2">
      <c r="A18" t="s">
        <v>118</v>
      </c>
      <c r="B18" t="s">
        <v>119</v>
      </c>
      <c r="C18" t="s">
        <v>120</v>
      </c>
      <c r="D18" t="s">
        <v>4</v>
      </c>
      <c r="E18">
        <v>52</v>
      </c>
      <c r="F18">
        <v>6.25</v>
      </c>
      <c r="G18">
        <v>2.6</v>
      </c>
      <c r="H18">
        <v>70</v>
      </c>
    </row>
    <row r="19" spans="1:8" x14ac:dyDescent="0.2">
      <c r="A19" t="s">
        <v>121</v>
      </c>
      <c r="B19" t="s">
        <v>122</v>
      </c>
      <c r="C19" t="s">
        <v>123</v>
      </c>
      <c r="D19" t="s">
        <v>4</v>
      </c>
      <c r="E19">
        <v>49</v>
      </c>
      <c r="F19">
        <v>6</v>
      </c>
      <c r="G19">
        <v>2.9</v>
      </c>
      <c r="H19">
        <v>68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workbookViewId="0"/>
  </sheetViews>
  <sheetFormatPr baseColWidth="10" defaultColWidth="8.83203125" defaultRowHeight="15" x14ac:dyDescent="0.2"/>
  <cols>
    <col min="1" max="1" width="11" customWidth="1"/>
    <col min="2" max="2" width="8" customWidth="1"/>
    <col min="3" max="3" width="13" customWidth="1"/>
    <col min="4" max="4" width="12" customWidth="1"/>
    <col min="5" max="5" width="11" customWidth="1"/>
    <col min="6" max="6" width="10" customWidth="1"/>
    <col min="7" max="7" width="12" customWidth="1"/>
    <col min="8" max="8" width="9" customWidth="1"/>
    <col min="9" max="11" width="13" customWidth="1"/>
    <col min="12" max="12" width="11" customWidth="1"/>
    <col min="13" max="13" width="13" customWidth="1"/>
  </cols>
  <sheetData>
    <row r="1" spans="1:13" ht="17" x14ac:dyDescent="0.2">
      <c r="A1" s="1" t="s">
        <v>124</v>
      </c>
    </row>
    <row r="3" spans="1:13" x14ac:dyDescent="0.2">
      <c r="A3" s="2" t="s">
        <v>125</v>
      </c>
      <c r="B3" s="2" t="s">
        <v>126</v>
      </c>
      <c r="C3" s="2" t="s">
        <v>68</v>
      </c>
      <c r="D3" s="2" t="s">
        <v>127</v>
      </c>
      <c r="E3" s="2" t="s">
        <v>128</v>
      </c>
      <c r="F3" s="2" t="s">
        <v>129</v>
      </c>
      <c r="G3" s="2" t="s">
        <v>130</v>
      </c>
      <c r="H3" s="2" t="s">
        <v>131</v>
      </c>
      <c r="I3" s="2" t="s">
        <v>132</v>
      </c>
      <c r="J3" s="2" t="s">
        <v>133</v>
      </c>
      <c r="K3" s="2" t="s">
        <v>134</v>
      </c>
      <c r="L3" s="2" t="s">
        <v>135</v>
      </c>
      <c r="M3" s="2" t="s">
        <v>136</v>
      </c>
    </row>
    <row r="4" spans="1:13" x14ac:dyDescent="0.2">
      <c r="A4" t="s">
        <v>137</v>
      </c>
      <c r="B4" t="s">
        <v>138</v>
      </c>
      <c r="C4" t="s">
        <v>76</v>
      </c>
      <c r="D4" t="s">
        <v>77</v>
      </c>
      <c r="E4">
        <v>6</v>
      </c>
      <c r="F4">
        <v>12</v>
      </c>
      <c r="G4" t="s">
        <v>139</v>
      </c>
      <c r="H4">
        <v>28</v>
      </c>
      <c r="I4">
        <v>121862</v>
      </c>
      <c r="J4" t="s">
        <v>140</v>
      </c>
      <c r="K4" t="s">
        <v>141</v>
      </c>
      <c r="L4" s="6">
        <f>IF(E4=6,Parameters!$B$20,Parameters!$B$21)</f>
        <v>28.27</v>
      </c>
      <c r="M4">
        <f>ROUND(I4/L4/Parameters!$B$25,0)*Parameters!$B$25</f>
        <v>4310</v>
      </c>
    </row>
    <row r="5" spans="1:13" x14ac:dyDescent="0.2">
      <c r="A5" t="s">
        <v>142</v>
      </c>
      <c r="B5" t="s">
        <v>138</v>
      </c>
      <c r="C5" t="s">
        <v>76</v>
      </c>
      <c r="D5" t="s">
        <v>77</v>
      </c>
      <c r="E5">
        <v>6</v>
      </c>
      <c r="F5">
        <v>12</v>
      </c>
      <c r="G5" t="s">
        <v>139</v>
      </c>
      <c r="H5">
        <v>28</v>
      </c>
      <c r="I5">
        <v>118469</v>
      </c>
      <c r="J5" t="s">
        <v>140</v>
      </c>
      <c r="K5" t="s">
        <v>143</v>
      </c>
      <c r="L5" s="6">
        <f>IF(E5=6,Parameters!$B$20,Parameters!$B$21)</f>
        <v>28.27</v>
      </c>
      <c r="M5">
        <f>ROUND(I5/L5/Parameters!$B$25,0)*Parameters!$B$25</f>
        <v>4190</v>
      </c>
    </row>
    <row r="6" spans="1:13" x14ac:dyDescent="0.2">
      <c r="A6" t="s">
        <v>144</v>
      </c>
      <c r="B6" t="s">
        <v>145</v>
      </c>
      <c r="C6" t="s">
        <v>79</v>
      </c>
      <c r="D6" t="s">
        <v>80</v>
      </c>
      <c r="E6">
        <v>6</v>
      </c>
      <c r="F6">
        <v>12</v>
      </c>
      <c r="G6" t="s">
        <v>146</v>
      </c>
      <c r="H6">
        <v>28</v>
      </c>
      <c r="I6">
        <v>126669</v>
      </c>
      <c r="J6" t="s">
        <v>140</v>
      </c>
      <c r="K6" t="s">
        <v>147</v>
      </c>
      <c r="L6" s="6">
        <f>IF(E6=6,Parameters!$B$20,Parameters!$B$21)</f>
        <v>28.27</v>
      </c>
      <c r="M6">
        <f>ROUND(I6/L6/Parameters!$B$25,0)*Parameters!$B$25</f>
        <v>4480</v>
      </c>
    </row>
    <row r="7" spans="1:13" x14ac:dyDescent="0.2">
      <c r="A7" t="s">
        <v>148</v>
      </c>
      <c r="B7" t="s">
        <v>145</v>
      </c>
      <c r="C7" t="s">
        <v>79</v>
      </c>
      <c r="D7" t="s">
        <v>80</v>
      </c>
      <c r="E7">
        <v>6</v>
      </c>
      <c r="F7">
        <v>12</v>
      </c>
      <c r="G7" t="s">
        <v>146</v>
      </c>
      <c r="H7">
        <v>28</v>
      </c>
      <c r="I7">
        <v>123842</v>
      </c>
      <c r="J7" t="s">
        <v>140</v>
      </c>
      <c r="K7" t="s">
        <v>143</v>
      </c>
      <c r="L7" s="6">
        <f>IF(E7=6,Parameters!$B$20,Parameters!$B$21)</f>
        <v>28.27</v>
      </c>
      <c r="M7">
        <f>ROUND(I7/L7/Parameters!$B$25,0)*Parameters!$B$25</f>
        <v>4380</v>
      </c>
    </row>
    <row r="8" spans="1:13" x14ac:dyDescent="0.2">
      <c r="A8" t="s">
        <v>149</v>
      </c>
      <c r="B8" t="s">
        <v>150</v>
      </c>
      <c r="C8" t="s">
        <v>82</v>
      </c>
      <c r="D8" t="s">
        <v>83</v>
      </c>
      <c r="E8">
        <v>4</v>
      </c>
      <c r="F8">
        <v>8</v>
      </c>
      <c r="G8" t="s">
        <v>119</v>
      </c>
      <c r="H8">
        <v>28</v>
      </c>
      <c r="I8">
        <v>80550</v>
      </c>
      <c r="J8" t="s">
        <v>151</v>
      </c>
      <c r="K8" t="s">
        <v>143</v>
      </c>
      <c r="L8" s="6">
        <f>IF(E8=6,Parameters!$B$20,Parameters!$B$21)</f>
        <v>12.57</v>
      </c>
      <c r="M8">
        <f>ROUND(I8/L8/Parameters!$B$25,0)*Parameters!$B$25</f>
        <v>6410</v>
      </c>
    </row>
    <row r="9" spans="1:13" x14ac:dyDescent="0.2">
      <c r="A9" t="s">
        <v>152</v>
      </c>
      <c r="B9" t="s">
        <v>150</v>
      </c>
      <c r="C9" t="s">
        <v>82</v>
      </c>
      <c r="D9" t="s">
        <v>83</v>
      </c>
      <c r="E9">
        <v>4</v>
      </c>
      <c r="F9">
        <v>8</v>
      </c>
      <c r="G9" t="s">
        <v>119</v>
      </c>
      <c r="H9">
        <v>28</v>
      </c>
      <c r="I9">
        <v>81933</v>
      </c>
      <c r="J9" t="s">
        <v>151</v>
      </c>
      <c r="K9" t="s">
        <v>141</v>
      </c>
      <c r="L9" s="6">
        <f>IF(E9=6,Parameters!$B$20,Parameters!$B$21)</f>
        <v>12.57</v>
      </c>
      <c r="M9">
        <f>ROUND(I9/L9/Parameters!$B$25,0)*Parameters!$B$25</f>
        <v>6520</v>
      </c>
    </row>
    <row r="10" spans="1:13" x14ac:dyDescent="0.2">
      <c r="A10" t="s">
        <v>153</v>
      </c>
      <c r="B10" t="s">
        <v>150</v>
      </c>
      <c r="C10" t="s">
        <v>82</v>
      </c>
      <c r="D10" t="s">
        <v>83</v>
      </c>
      <c r="E10">
        <v>4</v>
      </c>
      <c r="F10">
        <v>8</v>
      </c>
      <c r="G10" t="s">
        <v>119</v>
      </c>
      <c r="H10">
        <v>28</v>
      </c>
      <c r="I10">
        <v>80173</v>
      </c>
      <c r="J10" t="s">
        <v>151</v>
      </c>
      <c r="K10" t="s">
        <v>143</v>
      </c>
      <c r="L10" s="6">
        <f>IF(E10=6,Parameters!$B$20,Parameters!$B$21)</f>
        <v>12.57</v>
      </c>
      <c r="M10">
        <f>ROUND(I10/L10/Parameters!$B$25,0)*Parameters!$B$25</f>
        <v>6380</v>
      </c>
    </row>
    <row r="11" spans="1:13" x14ac:dyDescent="0.2">
      <c r="A11" t="s">
        <v>154</v>
      </c>
      <c r="B11" t="s">
        <v>155</v>
      </c>
      <c r="C11" t="s">
        <v>85</v>
      </c>
      <c r="D11" t="s">
        <v>86</v>
      </c>
      <c r="E11">
        <v>6</v>
      </c>
      <c r="F11">
        <v>12</v>
      </c>
      <c r="G11" t="s">
        <v>156</v>
      </c>
      <c r="H11">
        <v>27.5</v>
      </c>
      <c r="I11">
        <v>117338</v>
      </c>
      <c r="J11" t="s">
        <v>140</v>
      </c>
      <c r="K11" t="s">
        <v>147</v>
      </c>
      <c r="L11" s="6">
        <f>IF(E11=6,Parameters!$B$20,Parameters!$B$21)</f>
        <v>28.27</v>
      </c>
      <c r="M11">
        <f>ROUND(I11/L11/Parameters!$B$25,0)*Parameters!$B$25</f>
        <v>4150</v>
      </c>
    </row>
    <row r="12" spans="1:13" x14ac:dyDescent="0.2">
      <c r="A12" t="s">
        <v>157</v>
      </c>
      <c r="B12" t="s">
        <v>155</v>
      </c>
      <c r="C12" t="s">
        <v>85</v>
      </c>
      <c r="D12" t="s">
        <v>86</v>
      </c>
      <c r="E12">
        <v>6</v>
      </c>
      <c r="F12">
        <v>12</v>
      </c>
      <c r="G12" t="s">
        <v>156</v>
      </c>
      <c r="H12">
        <v>27.5</v>
      </c>
      <c r="I12">
        <v>119600</v>
      </c>
      <c r="J12" t="s">
        <v>140</v>
      </c>
      <c r="K12" t="s">
        <v>143</v>
      </c>
      <c r="L12" s="6">
        <f>IF(E12=6,Parameters!$B$20,Parameters!$B$21)</f>
        <v>28.27</v>
      </c>
      <c r="M12">
        <f>ROUND(I12/L12/Parameters!$B$25,0)*Parameters!$B$25</f>
        <v>4230</v>
      </c>
    </row>
    <row r="13" spans="1:13" x14ac:dyDescent="0.2">
      <c r="A13" t="s">
        <v>158</v>
      </c>
      <c r="B13" t="s">
        <v>159</v>
      </c>
      <c r="C13" t="s">
        <v>85</v>
      </c>
      <c r="D13" t="s">
        <v>86</v>
      </c>
      <c r="E13">
        <v>6</v>
      </c>
      <c r="F13">
        <v>12</v>
      </c>
      <c r="G13" t="s">
        <v>156</v>
      </c>
      <c r="H13">
        <v>28</v>
      </c>
      <c r="I13">
        <v>113663</v>
      </c>
      <c r="J13" t="s">
        <v>140</v>
      </c>
      <c r="K13" t="s">
        <v>143</v>
      </c>
      <c r="L13" s="6">
        <f>IF(E13=6,Parameters!$B$20,Parameters!$B$21)</f>
        <v>28.27</v>
      </c>
      <c r="M13">
        <f>ROUND(I13/L13/Parameters!$B$25,0)*Parameters!$B$25</f>
        <v>4020</v>
      </c>
    </row>
    <row r="14" spans="1:13" x14ac:dyDescent="0.2">
      <c r="A14" t="s">
        <v>160</v>
      </c>
      <c r="B14" t="s">
        <v>159</v>
      </c>
      <c r="C14" t="s">
        <v>85</v>
      </c>
      <c r="D14" t="s">
        <v>86</v>
      </c>
      <c r="E14">
        <v>6</v>
      </c>
      <c r="F14">
        <v>12</v>
      </c>
      <c r="G14" t="s">
        <v>156</v>
      </c>
      <c r="H14">
        <v>28</v>
      </c>
      <c r="I14">
        <v>116490</v>
      </c>
      <c r="J14" t="s">
        <v>140</v>
      </c>
      <c r="K14" t="s">
        <v>141</v>
      </c>
      <c r="L14" s="6">
        <f>IF(E14=6,Parameters!$B$20,Parameters!$B$21)</f>
        <v>28.27</v>
      </c>
      <c r="M14">
        <f>ROUND(I14/L14/Parameters!$B$25,0)*Parameters!$B$25</f>
        <v>4120</v>
      </c>
    </row>
    <row r="15" spans="1:13" x14ac:dyDescent="0.2">
      <c r="A15" t="s">
        <v>161</v>
      </c>
      <c r="B15" t="s">
        <v>162</v>
      </c>
      <c r="C15" t="s">
        <v>88</v>
      </c>
      <c r="D15" t="s">
        <v>89</v>
      </c>
      <c r="E15">
        <v>6</v>
      </c>
      <c r="F15">
        <v>12</v>
      </c>
      <c r="G15" t="s">
        <v>163</v>
      </c>
      <c r="H15">
        <v>28</v>
      </c>
      <c r="I15">
        <v>97264</v>
      </c>
      <c r="J15" t="s">
        <v>140</v>
      </c>
      <c r="K15" t="s">
        <v>143</v>
      </c>
      <c r="L15" s="6">
        <f>IF(E15=6,Parameters!$B$20,Parameters!$B$21)</f>
        <v>28.27</v>
      </c>
      <c r="M15">
        <f>ROUND(I15/L15/Parameters!$B$25,0)*Parameters!$B$25</f>
        <v>3440</v>
      </c>
    </row>
    <row r="16" spans="1:13" x14ac:dyDescent="0.2">
      <c r="A16" t="s">
        <v>164</v>
      </c>
      <c r="B16" t="s">
        <v>162</v>
      </c>
      <c r="C16" t="s">
        <v>88</v>
      </c>
      <c r="D16" t="s">
        <v>89</v>
      </c>
      <c r="E16">
        <v>6</v>
      </c>
      <c r="F16">
        <v>12</v>
      </c>
      <c r="G16" t="s">
        <v>163</v>
      </c>
      <c r="H16">
        <v>28</v>
      </c>
      <c r="I16">
        <v>99526</v>
      </c>
      <c r="J16" t="s">
        <v>140</v>
      </c>
      <c r="K16" t="s">
        <v>147</v>
      </c>
      <c r="L16" s="6">
        <f>IF(E16=6,Parameters!$B$20,Parameters!$B$21)</f>
        <v>28.27</v>
      </c>
      <c r="M16">
        <f>ROUND(I16/L16/Parameters!$B$25,0)*Parameters!$B$25</f>
        <v>3520</v>
      </c>
    </row>
    <row r="17" spans="1:13" x14ac:dyDescent="0.2">
      <c r="A17" t="s">
        <v>165</v>
      </c>
      <c r="B17" t="s">
        <v>166</v>
      </c>
      <c r="C17" t="s">
        <v>91</v>
      </c>
      <c r="D17" t="s">
        <v>92</v>
      </c>
      <c r="E17">
        <v>4</v>
      </c>
      <c r="F17">
        <v>8</v>
      </c>
      <c r="G17" t="s">
        <v>122</v>
      </c>
      <c r="H17">
        <v>28</v>
      </c>
      <c r="I17">
        <v>76906</v>
      </c>
      <c r="J17" t="s">
        <v>151</v>
      </c>
      <c r="K17" t="s">
        <v>143</v>
      </c>
      <c r="L17" s="6">
        <f>IF(E17=6,Parameters!$B$20,Parameters!$B$21)</f>
        <v>12.57</v>
      </c>
      <c r="M17">
        <f>ROUND(I17/L17/Parameters!$B$25,0)*Parameters!$B$25</f>
        <v>6120</v>
      </c>
    </row>
    <row r="18" spans="1:13" x14ac:dyDescent="0.2">
      <c r="A18" t="s">
        <v>167</v>
      </c>
      <c r="B18" t="s">
        <v>166</v>
      </c>
      <c r="C18" t="s">
        <v>91</v>
      </c>
      <c r="D18" t="s">
        <v>92</v>
      </c>
      <c r="E18">
        <v>4</v>
      </c>
      <c r="F18">
        <v>8</v>
      </c>
      <c r="G18" t="s">
        <v>122</v>
      </c>
      <c r="H18">
        <v>28</v>
      </c>
      <c r="I18">
        <v>76027</v>
      </c>
      <c r="J18" t="s">
        <v>151</v>
      </c>
      <c r="K18" t="s">
        <v>143</v>
      </c>
      <c r="L18" s="6">
        <f>IF(E18=6,Parameters!$B$20,Parameters!$B$21)</f>
        <v>12.57</v>
      </c>
      <c r="M18">
        <f>ROUND(I18/L18/Parameters!$B$25,0)*Parameters!$B$25</f>
        <v>6050</v>
      </c>
    </row>
    <row r="19" spans="1:13" x14ac:dyDescent="0.2">
      <c r="A19" t="s">
        <v>168</v>
      </c>
      <c r="B19" t="s">
        <v>166</v>
      </c>
      <c r="C19" t="s">
        <v>91</v>
      </c>
      <c r="D19" t="s">
        <v>92</v>
      </c>
      <c r="E19">
        <v>4</v>
      </c>
      <c r="F19">
        <v>8</v>
      </c>
      <c r="G19" t="s">
        <v>122</v>
      </c>
      <c r="H19">
        <v>28</v>
      </c>
      <c r="I19">
        <v>78037</v>
      </c>
      <c r="J19" t="s">
        <v>151</v>
      </c>
      <c r="K19" t="s">
        <v>141</v>
      </c>
      <c r="L19" s="6">
        <f>IF(E19=6,Parameters!$B$20,Parameters!$B$21)</f>
        <v>12.57</v>
      </c>
      <c r="M19">
        <f>ROUND(I19/L19/Parameters!$B$25,0)*Parameters!$B$25</f>
        <v>6210</v>
      </c>
    </row>
    <row r="20" spans="1:13" x14ac:dyDescent="0.2">
      <c r="A20" t="s">
        <v>169</v>
      </c>
      <c r="B20" t="s">
        <v>170</v>
      </c>
      <c r="C20" t="s">
        <v>94</v>
      </c>
      <c r="D20" t="s">
        <v>95</v>
      </c>
      <c r="E20">
        <v>6</v>
      </c>
      <c r="F20">
        <v>12</v>
      </c>
      <c r="G20" t="s">
        <v>171</v>
      </c>
      <c r="H20">
        <v>28</v>
      </c>
      <c r="I20">
        <v>109422</v>
      </c>
      <c r="J20" t="s">
        <v>140</v>
      </c>
      <c r="K20" t="s">
        <v>143</v>
      </c>
      <c r="L20" s="6">
        <f>IF(E20=6,Parameters!$B$20,Parameters!$B$21)</f>
        <v>28.27</v>
      </c>
      <c r="M20">
        <f>ROUND(I20/L20/Parameters!$B$25,0)*Parameters!$B$25</f>
        <v>3870</v>
      </c>
    </row>
    <row r="21" spans="1:13" x14ac:dyDescent="0.2">
      <c r="A21" t="s">
        <v>172</v>
      </c>
      <c r="B21" t="s">
        <v>170</v>
      </c>
      <c r="C21" t="s">
        <v>94</v>
      </c>
      <c r="D21" t="s">
        <v>95</v>
      </c>
      <c r="E21">
        <v>6</v>
      </c>
      <c r="F21">
        <v>12</v>
      </c>
      <c r="G21" t="s">
        <v>171</v>
      </c>
      <c r="H21">
        <v>28</v>
      </c>
      <c r="I21">
        <v>107160</v>
      </c>
      <c r="J21" t="s">
        <v>140</v>
      </c>
      <c r="K21" t="s">
        <v>147</v>
      </c>
      <c r="L21" s="6">
        <f>IF(E21=6,Parameters!$B$20,Parameters!$B$21)</f>
        <v>28.27</v>
      </c>
      <c r="M21">
        <f>ROUND(I21/L21/Parameters!$B$25,0)*Parameters!$B$25</f>
        <v>3790</v>
      </c>
    </row>
    <row r="22" spans="1:13" x14ac:dyDescent="0.2">
      <c r="A22" t="s">
        <v>173</v>
      </c>
      <c r="B22" t="s">
        <v>174</v>
      </c>
      <c r="C22" t="s">
        <v>97</v>
      </c>
      <c r="D22" t="s">
        <v>98</v>
      </c>
      <c r="E22">
        <v>6</v>
      </c>
      <c r="F22">
        <v>12</v>
      </c>
      <c r="G22" t="s">
        <v>175</v>
      </c>
      <c r="H22">
        <v>28</v>
      </c>
      <c r="I22">
        <v>124124</v>
      </c>
      <c r="J22" t="s">
        <v>140</v>
      </c>
      <c r="K22" t="s">
        <v>143</v>
      </c>
      <c r="L22" s="6">
        <f>IF(E22=6,Parameters!$B$20,Parameters!$B$21)</f>
        <v>28.27</v>
      </c>
      <c r="M22">
        <f>ROUND(I22/L22/Parameters!$B$25,0)*Parameters!$B$25</f>
        <v>4390</v>
      </c>
    </row>
    <row r="23" spans="1:13" x14ac:dyDescent="0.2">
      <c r="A23" t="s">
        <v>176</v>
      </c>
      <c r="B23" t="s">
        <v>174</v>
      </c>
      <c r="C23" t="s">
        <v>97</v>
      </c>
      <c r="D23" t="s">
        <v>98</v>
      </c>
      <c r="E23">
        <v>6</v>
      </c>
      <c r="F23">
        <v>12</v>
      </c>
      <c r="G23" t="s">
        <v>175</v>
      </c>
      <c r="H23">
        <v>28</v>
      </c>
      <c r="I23">
        <v>114511</v>
      </c>
      <c r="J23" t="s">
        <v>140</v>
      </c>
      <c r="K23" t="s">
        <v>177</v>
      </c>
      <c r="L23" s="6">
        <f>IF(E23=6,Parameters!$B$20,Parameters!$B$21)</f>
        <v>28.27</v>
      </c>
      <c r="M23">
        <f>ROUND(I23/L23/Parameters!$B$25,0)*Parameters!$B$25</f>
        <v>4050</v>
      </c>
    </row>
    <row r="24" spans="1:13" x14ac:dyDescent="0.2">
      <c r="A24" t="s">
        <v>178</v>
      </c>
      <c r="B24" t="s">
        <v>179</v>
      </c>
      <c r="C24" t="s">
        <v>100</v>
      </c>
      <c r="D24" t="s">
        <v>101</v>
      </c>
      <c r="E24">
        <v>4</v>
      </c>
      <c r="F24">
        <v>8</v>
      </c>
      <c r="G24" t="s">
        <v>180</v>
      </c>
      <c r="H24">
        <v>28</v>
      </c>
      <c r="I24">
        <v>53156</v>
      </c>
      <c r="J24" t="s">
        <v>151</v>
      </c>
      <c r="K24" t="s">
        <v>141</v>
      </c>
      <c r="L24" s="6">
        <f>IF(E24=6,Parameters!$B$20,Parameters!$B$21)</f>
        <v>12.57</v>
      </c>
      <c r="M24">
        <f>ROUND(I24/L24/Parameters!$B$25,0)*Parameters!$B$25</f>
        <v>4230</v>
      </c>
    </row>
    <row r="25" spans="1:13" x14ac:dyDescent="0.2">
      <c r="A25" t="s">
        <v>181</v>
      </c>
      <c r="B25" t="s">
        <v>179</v>
      </c>
      <c r="C25" t="s">
        <v>100</v>
      </c>
      <c r="D25" t="s">
        <v>101</v>
      </c>
      <c r="E25">
        <v>4</v>
      </c>
      <c r="F25">
        <v>8</v>
      </c>
      <c r="G25" t="s">
        <v>180</v>
      </c>
      <c r="H25">
        <v>28</v>
      </c>
      <c r="I25">
        <v>54161</v>
      </c>
      <c r="J25" t="s">
        <v>151</v>
      </c>
      <c r="K25" t="s">
        <v>143</v>
      </c>
      <c r="L25" s="6">
        <f>IF(E25=6,Parameters!$B$20,Parameters!$B$21)</f>
        <v>12.57</v>
      </c>
      <c r="M25">
        <f>ROUND(I25/L25/Parameters!$B$25,0)*Parameters!$B$25</f>
        <v>4310</v>
      </c>
    </row>
    <row r="26" spans="1:13" x14ac:dyDescent="0.2">
      <c r="A26" t="s">
        <v>182</v>
      </c>
      <c r="B26" t="s">
        <v>179</v>
      </c>
      <c r="C26" t="s">
        <v>100</v>
      </c>
      <c r="D26" t="s">
        <v>101</v>
      </c>
      <c r="E26">
        <v>4</v>
      </c>
      <c r="F26">
        <v>8</v>
      </c>
      <c r="G26" t="s">
        <v>180</v>
      </c>
      <c r="H26">
        <v>28</v>
      </c>
      <c r="I26">
        <v>51773</v>
      </c>
      <c r="J26" t="s">
        <v>151</v>
      </c>
      <c r="K26" t="s">
        <v>147</v>
      </c>
      <c r="L26" s="6">
        <f>IF(E26=6,Parameters!$B$20,Parameters!$B$21)</f>
        <v>12.57</v>
      </c>
      <c r="M26">
        <f>ROUND(I26/L26/Parameters!$B$25,0)*Parameters!$B$25</f>
        <v>4120</v>
      </c>
    </row>
    <row r="27" spans="1:13" x14ac:dyDescent="0.2">
      <c r="A27" t="s">
        <v>183</v>
      </c>
      <c r="B27" t="s">
        <v>184</v>
      </c>
      <c r="C27" t="s">
        <v>103</v>
      </c>
      <c r="D27" t="s">
        <v>104</v>
      </c>
      <c r="E27">
        <v>4</v>
      </c>
      <c r="F27">
        <v>8</v>
      </c>
      <c r="G27" t="s">
        <v>185</v>
      </c>
      <c r="H27">
        <v>28</v>
      </c>
      <c r="I27">
        <v>67481</v>
      </c>
      <c r="J27" t="s">
        <v>151</v>
      </c>
      <c r="K27" t="s">
        <v>143</v>
      </c>
      <c r="L27" s="6">
        <f>IF(E27=6,Parameters!$B$20,Parameters!$B$21)</f>
        <v>12.57</v>
      </c>
      <c r="M27">
        <f>ROUND(I27/L27/Parameters!$B$25,0)*Parameters!$B$25</f>
        <v>5370</v>
      </c>
    </row>
    <row r="28" spans="1:13" x14ac:dyDescent="0.2">
      <c r="A28" t="s">
        <v>186</v>
      </c>
      <c r="B28" t="s">
        <v>184</v>
      </c>
      <c r="C28" t="s">
        <v>103</v>
      </c>
      <c r="D28" t="s">
        <v>104</v>
      </c>
      <c r="E28">
        <v>4</v>
      </c>
      <c r="F28">
        <v>8</v>
      </c>
      <c r="G28" t="s">
        <v>185</v>
      </c>
      <c r="H28">
        <v>28</v>
      </c>
      <c r="I28">
        <v>66476</v>
      </c>
      <c r="J28" t="s">
        <v>151</v>
      </c>
      <c r="K28" t="s">
        <v>143</v>
      </c>
      <c r="L28" s="6">
        <f>IF(E28=6,Parameters!$B$20,Parameters!$B$21)</f>
        <v>12.57</v>
      </c>
      <c r="M28">
        <f>ROUND(I28/L28/Parameters!$B$25,0)*Parameters!$B$25</f>
        <v>5290</v>
      </c>
    </row>
    <row r="29" spans="1:13" x14ac:dyDescent="0.2">
      <c r="A29" t="s">
        <v>187</v>
      </c>
      <c r="B29" t="s">
        <v>184</v>
      </c>
      <c r="C29" t="s">
        <v>103</v>
      </c>
      <c r="D29" t="s">
        <v>104</v>
      </c>
      <c r="E29">
        <v>4</v>
      </c>
      <c r="F29">
        <v>8</v>
      </c>
      <c r="G29" t="s">
        <v>185</v>
      </c>
      <c r="H29">
        <v>28</v>
      </c>
      <c r="I29">
        <v>68612</v>
      </c>
      <c r="J29" t="s">
        <v>151</v>
      </c>
      <c r="K29" t="s">
        <v>141</v>
      </c>
      <c r="L29" s="6">
        <f>IF(E29=6,Parameters!$B$20,Parameters!$B$21)</f>
        <v>12.57</v>
      </c>
      <c r="M29">
        <f>ROUND(I29/L29/Parameters!$B$25,0)*Parameters!$B$25</f>
        <v>5460</v>
      </c>
    </row>
    <row r="30" spans="1:13" x14ac:dyDescent="0.2">
      <c r="A30" t="s">
        <v>188</v>
      </c>
      <c r="B30" t="s">
        <v>189</v>
      </c>
      <c r="C30" t="s">
        <v>106</v>
      </c>
      <c r="D30" t="s">
        <v>107</v>
      </c>
      <c r="E30">
        <v>4</v>
      </c>
      <c r="F30">
        <v>8</v>
      </c>
      <c r="G30" t="s">
        <v>190</v>
      </c>
      <c r="H30">
        <v>28</v>
      </c>
      <c r="I30">
        <v>53533</v>
      </c>
      <c r="J30" t="s">
        <v>151</v>
      </c>
      <c r="K30" t="s">
        <v>143</v>
      </c>
      <c r="L30" s="6">
        <f>IF(E30=6,Parameters!$B$20,Parameters!$B$21)</f>
        <v>12.57</v>
      </c>
      <c r="M30">
        <f>ROUND(I30/L30/Parameters!$B$25,0)*Parameters!$B$25</f>
        <v>4260</v>
      </c>
    </row>
    <row r="31" spans="1:13" x14ac:dyDescent="0.2">
      <c r="A31" t="s">
        <v>191</v>
      </c>
      <c r="B31" t="s">
        <v>189</v>
      </c>
      <c r="C31" t="s">
        <v>106</v>
      </c>
      <c r="D31" t="s">
        <v>107</v>
      </c>
      <c r="E31">
        <v>4</v>
      </c>
      <c r="F31">
        <v>8</v>
      </c>
      <c r="G31" t="s">
        <v>190</v>
      </c>
      <c r="H31">
        <v>28</v>
      </c>
      <c r="I31">
        <v>52527</v>
      </c>
      <c r="J31" t="s">
        <v>151</v>
      </c>
      <c r="K31" t="s">
        <v>147</v>
      </c>
      <c r="L31" s="6">
        <f>IF(E31=6,Parameters!$B$20,Parameters!$B$21)</f>
        <v>12.57</v>
      </c>
      <c r="M31">
        <f>ROUND(I31/L31/Parameters!$B$25,0)*Parameters!$B$25</f>
        <v>4180</v>
      </c>
    </row>
    <row r="32" spans="1:13" x14ac:dyDescent="0.2">
      <c r="A32" t="s">
        <v>192</v>
      </c>
      <c r="B32" t="s">
        <v>193</v>
      </c>
      <c r="C32" t="s">
        <v>109</v>
      </c>
      <c r="D32" t="s">
        <v>110</v>
      </c>
      <c r="E32">
        <v>6</v>
      </c>
      <c r="F32">
        <v>12</v>
      </c>
      <c r="G32" t="s">
        <v>194</v>
      </c>
      <c r="H32">
        <v>29.1</v>
      </c>
      <c r="I32">
        <v>121014</v>
      </c>
      <c r="J32" t="s">
        <v>140</v>
      </c>
      <c r="K32" t="s">
        <v>143</v>
      </c>
      <c r="L32" s="6">
        <f>IF(E32=6,Parameters!$B$20,Parameters!$B$21)</f>
        <v>28.27</v>
      </c>
      <c r="M32">
        <f>ROUND(I32/L32/Parameters!$B$25,0)*Parameters!$B$25</f>
        <v>4280</v>
      </c>
    </row>
    <row r="33" spans="1:13" x14ac:dyDescent="0.2">
      <c r="A33" t="s">
        <v>195</v>
      </c>
      <c r="B33" t="s">
        <v>193</v>
      </c>
      <c r="C33" t="s">
        <v>109</v>
      </c>
      <c r="D33" t="s">
        <v>110</v>
      </c>
      <c r="E33">
        <v>6</v>
      </c>
      <c r="F33">
        <v>12</v>
      </c>
      <c r="G33" t="s">
        <v>194</v>
      </c>
      <c r="H33">
        <v>29.1</v>
      </c>
      <c r="I33">
        <v>122711</v>
      </c>
      <c r="J33" t="s">
        <v>140</v>
      </c>
      <c r="K33" t="s">
        <v>143</v>
      </c>
      <c r="L33" s="6">
        <f>IF(E33=6,Parameters!$B$20,Parameters!$B$21)</f>
        <v>28.27</v>
      </c>
      <c r="M33">
        <f>ROUND(I33/L33/Parameters!$B$25,0)*Parameters!$B$25</f>
        <v>4340</v>
      </c>
    </row>
    <row r="34" spans="1:13" x14ac:dyDescent="0.2">
      <c r="A34" t="s">
        <v>196</v>
      </c>
      <c r="B34" t="s">
        <v>61</v>
      </c>
      <c r="C34" t="s">
        <v>112</v>
      </c>
      <c r="D34" t="s">
        <v>113</v>
      </c>
      <c r="E34">
        <v>6</v>
      </c>
      <c r="F34">
        <v>12</v>
      </c>
      <c r="G34" t="s">
        <v>197</v>
      </c>
      <c r="H34">
        <v>28</v>
      </c>
      <c r="I34">
        <v>114511</v>
      </c>
      <c r="J34" t="s">
        <v>140</v>
      </c>
      <c r="K34" t="s">
        <v>141</v>
      </c>
      <c r="L34" s="6">
        <f>IF(E34=6,Parameters!$B$20,Parameters!$B$21)</f>
        <v>28.27</v>
      </c>
      <c r="M34">
        <f>ROUND(I34/L34/Parameters!$B$25,0)*Parameters!$B$25</f>
        <v>4050</v>
      </c>
    </row>
    <row r="35" spans="1:13" x14ac:dyDescent="0.2">
      <c r="A35" t="s">
        <v>198</v>
      </c>
      <c r="B35" t="s">
        <v>61</v>
      </c>
      <c r="C35" t="s">
        <v>112</v>
      </c>
      <c r="D35" t="s">
        <v>113</v>
      </c>
      <c r="E35">
        <v>6</v>
      </c>
      <c r="F35">
        <v>12</v>
      </c>
      <c r="G35" t="s">
        <v>197</v>
      </c>
      <c r="H35">
        <v>28</v>
      </c>
      <c r="I35">
        <v>112249</v>
      </c>
      <c r="J35" t="s">
        <v>140</v>
      </c>
      <c r="K35" t="s">
        <v>143</v>
      </c>
      <c r="L35" s="6">
        <f>IF(E35=6,Parameters!$B$20,Parameters!$B$21)</f>
        <v>28.27</v>
      </c>
      <c r="M35">
        <f>ROUND(I35/L35/Parameters!$B$25,0)*Parameters!$B$25</f>
        <v>3970</v>
      </c>
    </row>
    <row r="36" spans="1:13" x14ac:dyDescent="0.2">
      <c r="A36" t="s">
        <v>199</v>
      </c>
      <c r="B36" t="s">
        <v>200</v>
      </c>
      <c r="C36" t="s">
        <v>115</v>
      </c>
      <c r="D36" t="s">
        <v>116</v>
      </c>
      <c r="E36">
        <v>4</v>
      </c>
      <c r="F36">
        <v>8</v>
      </c>
      <c r="G36" t="s">
        <v>201</v>
      </c>
      <c r="H36">
        <v>28</v>
      </c>
      <c r="I36">
        <v>75147</v>
      </c>
      <c r="J36" t="s">
        <v>151</v>
      </c>
      <c r="K36" t="s">
        <v>147</v>
      </c>
      <c r="L36" s="6">
        <f>IF(E36=6,Parameters!$B$20,Parameters!$B$21)</f>
        <v>12.57</v>
      </c>
      <c r="M36">
        <f>ROUND(I36/L36/Parameters!$B$25,0)*Parameters!$B$25</f>
        <v>5980</v>
      </c>
    </row>
    <row r="37" spans="1:13" x14ac:dyDescent="0.2">
      <c r="A37" t="s">
        <v>202</v>
      </c>
      <c r="B37" t="s">
        <v>200</v>
      </c>
      <c r="C37" t="s">
        <v>115</v>
      </c>
      <c r="D37" t="s">
        <v>116</v>
      </c>
      <c r="E37">
        <v>4</v>
      </c>
      <c r="F37">
        <v>8</v>
      </c>
      <c r="G37" t="s">
        <v>201</v>
      </c>
      <c r="H37">
        <v>28</v>
      </c>
      <c r="I37">
        <v>76152</v>
      </c>
      <c r="J37" t="s">
        <v>151</v>
      </c>
      <c r="K37" t="s">
        <v>143</v>
      </c>
      <c r="L37" s="6">
        <f>IF(E37=6,Parameters!$B$20,Parameters!$B$21)</f>
        <v>12.57</v>
      </c>
      <c r="M37">
        <f>ROUND(I37/L37/Parameters!$B$25,0)*Parameters!$B$25</f>
        <v>6060</v>
      </c>
    </row>
    <row r="38" spans="1:13" x14ac:dyDescent="0.2">
      <c r="A38" t="s">
        <v>203</v>
      </c>
      <c r="B38" t="s">
        <v>200</v>
      </c>
      <c r="C38" t="s">
        <v>115</v>
      </c>
      <c r="D38" t="s">
        <v>116</v>
      </c>
      <c r="E38">
        <v>4</v>
      </c>
      <c r="F38">
        <v>8</v>
      </c>
      <c r="G38" t="s">
        <v>201</v>
      </c>
      <c r="H38">
        <v>28</v>
      </c>
      <c r="I38">
        <v>74267</v>
      </c>
      <c r="J38" t="s">
        <v>151</v>
      </c>
      <c r="K38" t="s">
        <v>143</v>
      </c>
      <c r="L38" s="6">
        <f>IF(E38=6,Parameters!$B$20,Parameters!$B$21)</f>
        <v>12.57</v>
      </c>
      <c r="M38">
        <f>ROUND(I38/L38/Parameters!$B$25,0)*Parameters!$B$25</f>
        <v>5910</v>
      </c>
    </row>
    <row r="39" spans="1:13" x14ac:dyDescent="0.2">
      <c r="A39" t="s">
        <v>204</v>
      </c>
      <c r="B39" t="s">
        <v>205</v>
      </c>
      <c r="C39" t="s">
        <v>118</v>
      </c>
      <c r="D39" t="s">
        <v>119</v>
      </c>
      <c r="E39">
        <v>4</v>
      </c>
      <c r="F39">
        <v>8</v>
      </c>
      <c r="G39" t="s">
        <v>206</v>
      </c>
      <c r="H39">
        <v>28</v>
      </c>
      <c r="I39">
        <v>79042</v>
      </c>
      <c r="J39" t="s">
        <v>151</v>
      </c>
      <c r="K39" t="s">
        <v>141</v>
      </c>
      <c r="L39" s="6">
        <f>IF(E39=6,Parameters!$B$20,Parameters!$B$21)</f>
        <v>12.57</v>
      </c>
      <c r="M39">
        <f>ROUND(I39/L39/Parameters!$B$25,0)*Parameters!$B$25</f>
        <v>6290</v>
      </c>
    </row>
    <row r="40" spans="1:13" x14ac:dyDescent="0.2">
      <c r="A40" t="s">
        <v>207</v>
      </c>
      <c r="B40" t="s">
        <v>205</v>
      </c>
      <c r="C40" t="s">
        <v>118</v>
      </c>
      <c r="D40" t="s">
        <v>119</v>
      </c>
      <c r="E40">
        <v>4</v>
      </c>
      <c r="F40">
        <v>8</v>
      </c>
      <c r="G40" t="s">
        <v>206</v>
      </c>
      <c r="H40">
        <v>28</v>
      </c>
      <c r="I40">
        <v>79796</v>
      </c>
      <c r="J40" t="s">
        <v>151</v>
      </c>
      <c r="K40" t="s">
        <v>143</v>
      </c>
      <c r="L40" s="6">
        <f>IF(E40=6,Parameters!$B$20,Parameters!$B$21)</f>
        <v>12.57</v>
      </c>
      <c r="M40">
        <f>ROUND(I40/L40/Parameters!$B$25,0)*Parameters!$B$25</f>
        <v>6350</v>
      </c>
    </row>
    <row r="41" spans="1:13" x14ac:dyDescent="0.2">
      <c r="A41" t="s">
        <v>208</v>
      </c>
      <c r="B41" t="s">
        <v>205</v>
      </c>
      <c r="C41" t="s">
        <v>118</v>
      </c>
      <c r="D41" t="s">
        <v>119</v>
      </c>
      <c r="E41">
        <v>4</v>
      </c>
      <c r="F41">
        <v>8</v>
      </c>
      <c r="G41" t="s">
        <v>206</v>
      </c>
      <c r="H41">
        <v>28</v>
      </c>
      <c r="I41">
        <v>78414</v>
      </c>
      <c r="J41" t="s">
        <v>151</v>
      </c>
      <c r="K41" t="s">
        <v>147</v>
      </c>
      <c r="L41" s="6">
        <f>IF(E41=6,Parameters!$B$20,Parameters!$B$21)</f>
        <v>12.57</v>
      </c>
      <c r="M41">
        <f>ROUND(I41/L41/Parameters!$B$25,0)*Parameters!$B$25</f>
        <v>6240</v>
      </c>
    </row>
    <row r="43" spans="1:13" x14ac:dyDescent="0.2">
      <c r="A43" t="s">
        <v>209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22"/>
  <sheetViews>
    <sheetView workbookViewId="0"/>
  </sheetViews>
  <sheetFormatPr baseColWidth="10" defaultColWidth="8.83203125" defaultRowHeight="15" x14ac:dyDescent="0.2"/>
  <cols>
    <col min="1" max="1" width="8" customWidth="1"/>
    <col min="2" max="2" width="13" customWidth="1"/>
    <col min="3" max="3" width="9" customWidth="1"/>
    <col min="4" max="4" width="12" customWidth="1"/>
    <col min="5" max="5" width="11" customWidth="1"/>
    <col min="6" max="6" width="10" customWidth="1"/>
    <col min="7" max="7" width="18" customWidth="1"/>
    <col min="8" max="8" width="17" customWidth="1"/>
    <col min="9" max="10" width="16" customWidth="1"/>
    <col min="11" max="11" width="10" customWidth="1"/>
    <col min="12" max="12" width="11" customWidth="1"/>
    <col min="13" max="13" width="22" customWidth="1"/>
    <col min="14" max="14" width="10" customWidth="1"/>
    <col min="15" max="16" width="20" customWidth="1"/>
    <col min="17" max="17" width="16" customWidth="1"/>
    <col min="18" max="18" width="20" customWidth="1"/>
    <col min="19" max="19" width="40" customWidth="1"/>
  </cols>
  <sheetData>
    <row r="1" spans="1:19" ht="17" x14ac:dyDescent="0.2">
      <c r="A1" s="1" t="s">
        <v>210</v>
      </c>
    </row>
    <row r="3" spans="1:19" x14ac:dyDescent="0.2">
      <c r="A3" s="2" t="s">
        <v>126</v>
      </c>
      <c r="B3" s="2" t="s">
        <v>68</v>
      </c>
      <c r="C3" s="2" t="s">
        <v>71</v>
      </c>
      <c r="D3" s="2" t="s">
        <v>127</v>
      </c>
      <c r="E3" s="2" t="s">
        <v>128</v>
      </c>
      <c r="F3" s="2" t="s">
        <v>211</v>
      </c>
      <c r="G3" s="2" t="s">
        <v>212</v>
      </c>
      <c r="H3" s="2" t="s">
        <v>213</v>
      </c>
      <c r="I3" s="2" t="s">
        <v>214</v>
      </c>
      <c r="J3" s="2" t="s">
        <v>215</v>
      </c>
      <c r="K3" s="2" t="s">
        <v>216</v>
      </c>
      <c r="L3" s="2" t="s">
        <v>217</v>
      </c>
      <c r="M3" s="2" t="s">
        <v>218</v>
      </c>
      <c r="N3" s="2" t="s">
        <v>131</v>
      </c>
      <c r="O3" s="2" t="s">
        <v>219</v>
      </c>
      <c r="P3" s="2" t="s">
        <v>220</v>
      </c>
      <c r="Q3" s="2" t="s">
        <v>221</v>
      </c>
      <c r="R3" s="2" t="s">
        <v>222</v>
      </c>
      <c r="S3" s="2" t="s">
        <v>223</v>
      </c>
    </row>
    <row r="4" spans="1:19" x14ac:dyDescent="0.2">
      <c r="A4" t="s">
        <v>138</v>
      </c>
      <c r="B4" t="str">
        <f>INDEX(Breaks!$C$4:$C$41,MATCH(A4,Breaks!$B$4:$B$41,0))</f>
        <v>P-01</v>
      </c>
      <c r="C4" t="str">
        <f>INDEX(Placements!$D$4:$D$19,MATCH(B4,Placements!$A$4:$A$19,0))</f>
        <v>M-4000</v>
      </c>
      <c r="D4" t="str">
        <f>INDEX(Breaks!$D$4:$D$41,MATCH(A4,Breaks!$B$4:$B$41,0))</f>
        <v>08/03/2026</v>
      </c>
      <c r="E4">
        <f>INDEX(Breaks!$E$4:$E$41,MATCH(A4,Breaks!$B$4:$B$41,0))</f>
        <v>6</v>
      </c>
      <c r="F4">
        <f>COUNTIF(Breaks!$B$4:$B$41,A4)</f>
        <v>2</v>
      </c>
      <c r="G4">
        <f>IF(E4=4,Parameters!$B$17,Parameters!$B$16)</f>
        <v>2</v>
      </c>
      <c r="H4">
        <f>ROUND(AVERAGEIF(Breaks!$B$4:$B$41,A4,Breaks!$M$4:$M$41)/Parameters!$B$25,0)*Parameters!$B$25</f>
        <v>4250</v>
      </c>
      <c r="I4">
        <f>_xlfn.MINIFS(Breaks!$M$4:$M$41,Breaks!$B$4:$B$41,A4)</f>
        <v>4190</v>
      </c>
      <c r="J4">
        <f>_xlfn.MAXIFS(Breaks!$M$4:$M$41,Breaks!$B$4:$B$41,A4)</f>
        <v>4310</v>
      </c>
      <c r="K4" s="7">
        <f t="shared" ref="K4:K19" si="0">ROUND((J4-I4)/H4,4)</f>
        <v>0.0282</v>
      </c>
      <c r="L4" s="8">
        <f>IF(E4=4,Parameters!$B$23,Parameters!$B$22)</f>
        <v>0.066</v>
      </c>
      <c r="M4" t="str">
        <f t="shared" ref="M4:M19" si="1">IF(K4&gt;L4,"Range exceeds 3.10.4, counted","")</f>
        <v/>
      </c>
      <c r="N4" s="9">
        <f>INDEX(Breaks!$H$4:$H$41,MATCH(A4,Breaks!$B$4:$B$41,0))</f>
        <v>28</v>
      </c>
      <c r="O4" t="str">
        <f>IF(ABS(N4-Parameters!$B$19)*Parameters!$B$26&lt;=Parameters!$B$18,"Yes","No")</f>
        <v>Yes</v>
      </c>
      <c r="P4" t="str">
        <f t="shared" ref="P4:P19" si="2">IF(F4&gt;=G4,"Yes","No")</f>
        <v>Yes</v>
      </c>
      <c r="Q4" t="str">
        <f>IF(A4=Parameters!$B$24,"Curing excursion, counted","")</f>
        <v/>
      </c>
      <c r="R4" t="str">
        <f t="shared" ref="R4:R19" si="3">IF(AND(O4="Yes",P4="Yes"),"Yes","No")</f>
        <v>Yes</v>
      </c>
      <c r="S4" t="str">
        <f t="shared" ref="S4:S19" si="4">IF(R4="Yes","",IF(P4="No","Fewer cylinders than 3.10.2 requires","Tested outside the 20 hour age tolerance of 3.10.3"))</f>
        <v/>
      </c>
    </row>
    <row r="5" spans="1:19" x14ac:dyDescent="0.2">
      <c r="A5" t="s">
        <v>145</v>
      </c>
      <c r="B5" t="str">
        <f>INDEX(Breaks!$C$4:$C$41,MATCH(A5,Breaks!$B$4:$B$41,0))</f>
        <v>P-02</v>
      </c>
      <c r="C5" t="str">
        <f>INDEX(Placements!$D$4:$D$19,MATCH(B5,Placements!$A$4:$A$19,0))</f>
        <v>M-4000</v>
      </c>
      <c r="D5" t="str">
        <f>INDEX(Breaks!$D$4:$D$41,MATCH(A5,Breaks!$B$4:$B$41,0))</f>
        <v>08/05/2026</v>
      </c>
      <c r="E5">
        <f>INDEX(Breaks!$E$4:$E$41,MATCH(A5,Breaks!$B$4:$B$41,0))</f>
        <v>6</v>
      </c>
      <c r="F5">
        <f>COUNTIF(Breaks!$B$4:$B$41,A5)</f>
        <v>2</v>
      </c>
      <c r="G5">
        <f>IF(E5=4,Parameters!$B$17,Parameters!$B$16)</f>
        <v>2</v>
      </c>
      <c r="H5">
        <f>ROUND(AVERAGEIF(Breaks!$B$4:$B$41,A5,Breaks!$M$4:$M$41)/Parameters!$B$25,0)*Parameters!$B$25</f>
        <v>4430</v>
      </c>
      <c r="I5">
        <f>_xlfn.MINIFS(Breaks!$M$4:$M$41,Breaks!$B$4:$B$41,A5)</f>
        <v>4380</v>
      </c>
      <c r="J5">
        <f>_xlfn.MAXIFS(Breaks!$M$4:$M$41,Breaks!$B$4:$B$41,A5)</f>
        <v>4480</v>
      </c>
      <c r="K5" s="7">
        <f t="shared" si="0"/>
        <v>0.0226</v>
      </c>
      <c r="L5" s="8">
        <f>IF(E5=4,Parameters!$B$23,Parameters!$B$22)</f>
        <v>0.066</v>
      </c>
      <c r="M5" t="str">
        <f t="shared" si="1"/>
        <v/>
      </c>
      <c r="N5" s="9">
        <f>INDEX(Breaks!$H$4:$H$41,MATCH(A5,Breaks!$B$4:$B$41,0))</f>
        <v>28</v>
      </c>
      <c r="O5" t="str">
        <f>IF(ABS(N5-Parameters!$B$19)*Parameters!$B$26&lt;=Parameters!$B$18,"Yes","No")</f>
        <v>Yes</v>
      </c>
      <c r="P5" t="str">
        <f t="shared" si="2"/>
        <v>Yes</v>
      </c>
      <c r="Q5" t="str">
        <f>IF(A5=Parameters!$B$24,"Curing excursion, counted","")</f>
        <v/>
      </c>
      <c r="R5" t="str">
        <f t="shared" si="3"/>
        <v>Yes</v>
      </c>
      <c r="S5" t="str">
        <f t="shared" si="4"/>
        <v/>
      </c>
    </row>
    <row r="6" spans="1:19" x14ac:dyDescent="0.2">
      <c r="A6" t="s">
        <v>150</v>
      </c>
      <c r="B6" t="str">
        <f>INDEX(Breaks!$C$4:$C$41,MATCH(A6,Breaks!$B$4:$B$41,0))</f>
        <v>P-03</v>
      </c>
      <c r="C6" t="str">
        <f>INDEX(Placements!$D$4:$D$19,MATCH(B6,Placements!$A$4:$A$19,0))</f>
        <v>M-6000</v>
      </c>
      <c r="D6" t="str">
        <f>INDEX(Breaks!$D$4:$D$41,MATCH(A6,Breaks!$B$4:$B$41,0))</f>
        <v>08/06/2026</v>
      </c>
      <c r="E6">
        <f>INDEX(Breaks!$E$4:$E$41,MATCH(A6,Breaks!$B$4:$B$41,0))</f>
        <v>4</v>
      </c>
      <c r="F6">
        <f>COUNTIF(Breaks!$B$4:$B$41,A6)</f>
        <v>3</v>
      </c>
      <c r="G6">
        <f>IF(E6=4,Parameters!$B$17,Parameters!$B$16)</f>
        <v>3</v>
      </c>
      <c r="H6">
        <f>ROUND(AVERAGEIF(Breaks!$B$4:$B$41,A6,Breaks!$M$4:$M$41)/Parameters!$B$25,0)*Parameters!$B$25</f>
        <v>6440</v>
      </c>
      <c r="I6">
        <f>_xlfn.MINIFS(Breaks!$M$4:$M$41,Breaks!$B$4:$B$41,A6)</f>
        <v>6380</v>
      </c>
      <c r="J6">
        <f>_xlfn.MAXIFS(Breaks!$M$4:$M$41,Breaks!$B$4:$B$41,A6)</f>
        <v>6520</v>
      </c>
      <c r="K6" s="7">
        <f t="shared" si="0"/>
        <v>0.0217</v>
      </c>
      <c r="L6" s="8">
        <f>IF(E6=4,Parameters!$B$23,Parameters!$B$22)</f>
        <v>0.106</v>
      </c>
      <c r="M6" t="str">
        <f t="shared" si="1"/>
        <v/>
      </c>
      <c r="N6" s="9">
        <f>INDEX(Breaks!$H$4:$H$41,MATCH(A6,Breaks!$B$4:$B$41,0))</f>
        <v>28</v>
      </c>
      <c r="O6" t="str">
        <f>IF(ABS(N6-Parameters!$B$19)*Parameters!$B$26&lt;=Parameters!$B$18,"Yes","No")</f>
        <v>Yes</v>
      </c>
      <c r="P6" t="str">
        <f t="shared" si="2"/>
        <v>Yes</v>
      </c>
      <c r="Q6" t="str">
        <f>IF(A6=Parameters!$B$24,"Curing excursion, counted","")</f>
        <v/>
      </c>
      <c r="R6" t="str">
        <f t="shared" si="3"/>
        <v>Yes</v>
      </c>
      <c r="S6" t="str">
        <f t="shared" si="4"/>
        <v/>
      </c>
    </row>
    <row r="7" spans="1:19" x14ac:dyDescent="0.2">
      <c r="A7" t="s">
        <v>155</v>
      </c>
      <c r="B7" t="str">
        <f>INDEX(Breaks!$C$4:$C$41,MATCH(A7,Breaks!$B$4:$B$41,0))</f>
        <v>P-04</v>
      </c>
      <c r="C7" t="str">
        <f>INDEX(Placements!$D$4:$D$19,MATCH(B7,Placements!$A$4:$A$19,0))</f>
        <v>M-4000</v>
      </c>
      <c r="D7" t="str">
        <f>INDEX(Breaks!$D$4:$D$41,MATCH(A7,Breaks!$B$4:$B$41,0))</f>
        <v>08/10/2026</v>
      </c>
      <c r="E7">
        <f>INDEX(Breaks!$E$4:$E$41,MATCH(A7,Breaks!$B$4:$B$41,0))</f>
        <v>6</v>
      </c>
      <c r="F7">
        <f>COUNTIF(Breaks!$B$4:$B$41,A7)</f>
        <v>2</v>
      </c>
      <c r="G7">
        <f>IF(E7=4,Parameters!$B$17,Parameters!$B$16)</f>
        <v>2</v>
      </c>
      <c r="H7">
        <f>ROUND(AVERAGEIF(Breaks!$B$4:$B$41,A7,Breaks!$M$4:$M$41)/Parameters!$B$25,0)*Parameters!$B$25</f>
        <v>4190</v>
      </c>
      <c r="I7">
        <f>_xlfn.MINIFS(Breaks!$M$4:$M$41,Breaks!$B$4:$B$41,A7)</f>
        <v>4150</v>
      </c>
      <c r="J7">
        <f>_xlfn.MAXIFS(Breaks!$M$4:$M$41,Breaks!$B$4:$B$41,A7)</f>
        <v>4230</v>
      </c>
      <c r="K7" s="7">
        <f t="shared" si="0"/>
        <v>0.0191</v>
      </c>
      <c r="L7" s="8">
        <f>IF(E7=4,Parameters!$B$23,Parameters!$B$22)</f>
        <v>0.066</v>
      </c>
      <c r="M7" t="str">
        <f t="shared" si="1"/>
        <v/>
      </c>
      <c r="N7" s="9">
        <f>INDEX(Breaks!$H$4:$H$41,MATCH(A7,Breaks!$B$4:$B$41,0))</f>
        <v>27.5</v>
      </c>
      <c r="O7" t="str">
        <f>IF(ABS(N7-Parameters!$B$19)*Parameters!$B$26&lt;=Parameters!$B$18,"Yes","No")</f>
        <v>Yes</v>
      </c>
      <c r="P7" t="str">
        <f t="shared" si="2"/>
        <v>Yes</v>
      </c>
      <c r="Q7" t="str">
        <f>IF(A7=Parameters!$B$24,"Curing excursion, counted","")</f>
        <v/>
      </c>
      <c r="R7" t="str">
        <f t="shared" si="3"/>
        <v>Yes</v>
      </c>
      <c r="S7" t="str">
        <f t="shared" si="4"/>
        <v/>
      </c>
    </row>
    <row r="8" spans="1:19" x14ac:dyDescent="0.2">
      <c r="A8" t="s">
        <v>159</v>
      </c>
      <c r="B8" t="str">
        <f>INDEX(Breaks!$C$4:$C$41,MATCH(A8,Breaks!$B$4:$B$41,0))</f>
        <v>P-04</v>
      </c>
      <c r="C8" t="str">
        <f>INDEX(Placements!$D$4:$D$19,MATCH(B8,Placements!$A$4:$A$19,0))</f>
        <v>M-4000</v>
      </c>
      <c r="D8" t="str">
        <f>INDEX(Breaks!$D$4:$D$41,MATCH(A8,Breaks!$B$4:$B$41,0))</f>
        <v>08/10/2026</v>
      </c>
      <c r="E8">
        <f>INDEX(Breaks!$E$4:$E$41,MATCH(A8,Breaks!$B$4:$B$41,0))</f>
        <v>6</v>
      </c>
      <c r="F8">
        <f>COUNTIF(Breaks!$B$4:$B$41,A8)</f>
        <v>2</v>
      </c>
      <c r="G8">
        <f>IF(E8=4,Parameters!$B$17,Parameters!$B$16)</f>
        <v>2</v>
      </c>
      <c r="H8">
        <f>ROUND(AVERAGEIF(Breaks!$B$4:$B$41,A8,Breaks!$M$4:$M$41)/Parameters!$B$25,0)*Parameters!$B$25</f>
        <v>4070</v>
      </c>
      <c r="I8">
        <f>_xlfn.MINIFS(Breaks!$M$4:$M$41,Breaks!$B$4:$B$41,A8)</f>
        <v>4020</v>
      </c>
      <c r="J8">
        <f>_xlfn.MAXIFS(Breaks!$M$4:$M$41,Breaks!$B$4:$B$41,A8)</f>
        <v>4120</v>
      </c>
      <c r="K8" s="7">
        <f t="shared" si="0"/>
        <v>0.0246</v>
      </c>
      <c r="L8" s="8">
        <f>IF(E8=4,Parameters!$B$23,Parameters!$B$22)</f>
        <v>0.066</v>
      </c>
      <c r="M8" t="str">
        <f t="shared" si="1"/>
        <v/>
      </c>
      <c r="N8" s="9">
        <f>INDEX(Breaks!$H$4:$H$41,MATCH(A8,Breaks!$B$4:$B$41,0))</f>
        <v>28</v>
      </c>
      <c r="O8" t="str">
        <f>IF(ABS(N8-Parameters!$B$19)*Parameters!$B$26&lt;=Parameters!$B$18,"Yes","No")</f>
        <v>Yes</v>
      </c>
      <c r="P8" t="str">
        <f t="shared" si="2"/>
        <v>Yes</v>
      </c>
      <c r="Q8" t="str">
        <f>IF(A8=Parameters!$B$24,"Curing excursion, counted","")</f>
        <v/>
      </c>
      <c r="R8" t="str">
        <f t="shared" si="3"/>
        <v>Yes</v>
      </c>
      <c r="S8" t="str">
        <f t="shared" si="4"/>
        <v/>
      </c>
    </row>
    <row r="9" spans="1:19" x14ac:dyDescent="0.2">
      <c r="A9" t="s">
        <v>162</v>
      </c>
      <c r="B9" t="str">
        <f>INDEX(Breaks!$C$4:$C$41,MATCH(A9,Breaks!$B$4:$B$41,0))</f>
        <v>P-05</v>
      </c>
      <c r="C9" t="str">
        <f>INDEX(Placements!$D$4:$D$19,MATCH(B9,Placements!$A$4:$A$19,0))</f>
        <v>M-4000</v>
      </c>
      <c r="D9" t="str">
        <f>INDEX(Breaks!$D$4:$D$41,MATCH(A9,Breaks!$B$4:$B$41,0))</f>
        <v>08/12/2026</v>
      </c>
      <c r="E9">
        <f>INDEX(Breaks!$E$4:$E$41,MATCH(A9,Breaks!$B$4:$B$41,0))</f>
        <v>6</v>
      </c>
      <c r="F9">
        <f>COUNTIF(Breaks!$B$4:$B$41,A9)</f>
        <v>2</v>
      </c>
      <c r="G9">
        <f>IF(E9=4,Parameters!$B$17,Parameters!$B$16)</f>
        <v>2</v>
      </c>
      <c r="H9">
        <f>ROUND(AVERAGEIF(Breaks!$B$4:$B$41,A9,Breaks!$M$4:$M$41)/Parameters!$B$25,0)*Parameters!$B$25</f>
        <v>3480</v>
      </c>
      <c r="I9">
        <f>_xlfn.MINIFS(Breaks!$M$4:$M$41,Breaks!$B$4:$B$41,A9)</f>
        <v>3440</v>
      </c>
      <c r="J9">
        <f>_xlfn.MAXIFS(Breaks!$M$4:$M$41,Breaks!$B$4:$B$41,A9)</f>
        <v>3520</v>
      </c>
      <c r="K9" s="7">
        <f t="shared" si="0"/>
        <v>0.023</v>
      </c>
      <c r="L9" s="8">
        <f>IF(E9=4,Parameters!$B$23,Parameters!$B$22)</f>
        <v>0.066</v>
      </c>
      <c r="M9" t="str">
        <f t="shared" si="1"/>
        <v/>
      </c>
      <c r="N9" s="9">
        <f>INDEX(Breaks!$H$4:$H$41,MATCH(A9,Breaks!$B$4:$B$41,0))</f>
        <v>28</v>
      </c>
      <c r="O9" t="str">
        <f>IF(ABS(N9-Parameters!$B$19)*Parameters!$B$26&lt;=Parameters!$B$18,"Yes","No")</f>
        <v>Yes</v>
      </c>
      <c r="P9" t="str">
        <f t="shared" si="2"/>
        <v>Yes</v>
      </c>
      <c r="Q9" t="str">
        <f>IF(A9=Parameters!$B$24,"Curing excursion, counted","")</f>
        <v/>
      </c>
      <c r="R9" t="str">
        <f t="shared" si="3"/>
        <v>Yes</v>
      </c>
      <c r="S9" t="str">
        <f t="shared" si="4"/>
        <v/>
      </c>
    </row>
    <row r="10" spans="1:19" x14ac:dyDescent="0.2">
      <c r="A10" t="s">
        <v>166</v>
      </c>
      <c r="B10" t="str">
        <f>INDEX(Breaks!$C$4:$C$41,MATCH(A10,Breaks!$B$4:$B$41,0))</f>
        <v>P-06</v>
      </c>
      <c r="C10" t="str">
        <f>INDEX(Placements!$D$4:$D$19,MATCH(B10,Placements!$A$4:$A$19,0))</f>
        <v>M-6000</v>
      </c>
      <c r="D10" t="str">
        <f>INDEX(Breaks!$D$4:$D$41,MATCH(A10,Breaks!$B$4:$B$41,0))</f>
        <v>08/13/2026</v>
      </c>
      <c r="E10">
        <f>INDEX(Breaks!$E$4:$E$41,MATCH(A10,Breaks!$B$4:$B$41,0))</f>
        <v>4</v>
      </c>
      <c r="F10">
        <f>COUNTIF(Breaks!$B$4:$B$41,A10)</f>
        <v>3</v>
      </c>
      <c r="G10">
        <f>IF(E10=4,Parameters!$B$17,Parameters!$B$16)</f>
        <v>3</v>
      </c>
      <c r="H10">
        <f>ROUND(AVERAGEIF(Breaks!$B$4:$B$41,A10,Breaks!$M$4:$M$41)/Parameters!$B$25,0)*Parameters!$B$25</f>
        <v>6130</v>
      </c>
      <c r="I10">
        <f>_xlfn.MINIFS(Breaks!$M$4:$M$41,Breaks!$B$4:$B$41,A10)</f>
        <v>6050</v>
      </c>
      <c r="J10">
        <f>_xlfn.MAXIFS(Breaks!$M$4:$M$41,Breaks!$B$4:$B$41,A10)</f>
        <v>6210</v>
      </c>
      <c r="K10" s="7">
        <f t="shared" si="0"/>
        <v>0.0261</v>
      </c>
      <c r="L10" s="8">
        <f>IF(E10=4,Parameters!$B$23,Parameters!$B$22)</f>
        <v>0.106</v>
      </c>
      <c r="M10" t="str">
        <f t="shared" si="1"/>
        <v/>
      </c>
      <c r="N10" s="9">
        <f>INDEX(Breaks!$H$4:$H$41,MATCH(A10,Breaks!$B$4:$B$41,0))</f>
        <v>28</v>
      </c>
      <c r="O10" t="str">
        <f>IF(ABS(N10-Parameters!$B$19)*Parameters!$B$26&lt;=Parameters!$B$18,"Yes","No")</f>
        <v>Yes</v>
      </c>
      <c r="P10" t="str">
        <f t="shared" si="2"/>
        <v>Yes</v>
      </c>
      <c r="Q10" t="str">
        <f>IF(A10=Parameters!$B$24,"Curing excursion, counted","")</f>
        <v/>
      </c>
      <c r="R10" t="str">
        <f t="shared" si="3"/>
        <v>Yes</v>
      </c>
      <c r="S10" t="str">
        <f t="shared" si="4"/>
        <v/>
      </c>
    </row>
    <row r="11" spans="1:19" x14ac:dyDescent="0.2">
      <c r="A11" t="s">
        <v>170</v>
      </c>
      <c r="B11" t="str">
        <f>INDEX(Breaks!$C$4:$C$41,MATCH(A11,Breaks!$B$4:$B$41,0))</f>
        <v>P-07</v>
      </c>
      <c r="C11" t="str">
        <f>INDEX(Placements!$D$4:$D$19,MATCH(B11,Placements!$A$4:$A$19,0))</f>
        <v>M-4000</v>
      </c>
      <c r="D11" t="str">
        <f>INDEX(Breaks!$D$4:$D$41,MATCH(A11,Breaks!$B$4:$B$41,0))</f>
        <v>08/14/2026</v>
      </c>
      <c r="E11">
        <f>INDEX(Breaks!$E$4:$E$41,MATCH(A11,Breaks!$B$4:$B$41,0))</f>
        <v>6</v>
      </c>
      <c r="F11">
        <f>COUNTIF(Breaks!$B$4:$B$41,A11)</f>
        <v>2</v>
      </c>
      <c r="G11">
        <f>IF(E11=4,Parameters!$B$17,Parameters!$B$16)</f>
        <v>2</v>
      </c>
      <c r="H11">
        <f>ROUND(AVERAGEIF(Breaks!$B$4:$B$41,A11,Breaks!$M$4:$M$41)/Parameters!$B$25,0)*Parameters!$B$25</f>
        <v>3830</v>
      </c>
      <c r="I11">
        <f>_xlfn.MINIFS(Breaks!$M$4:$M$41,Breaks!$B$4:$B$41,A11)</f>
        <v>3790</v>
      </c>
      <c r="J11">
        <f>_xlfn.MAXIFS(Breaks!$M$4:$M$41,Breaks!$B$4:$B$41,A11)</f>
        <v>3870</v>
      </c>
      <c r="K11" s="7">
        <f t="shared" si="0"/>
        <v>0.0209</v>
      </c>
      <c r="L11" s="8">
        <f>IF(E11=4,Parameters!$B$23,Parameters!$B$22)</f>
        <v>0.066</v>
      </c>
      <c r="M11" t="str">
        <f t="shared" si="1"/>
        <v/>
      </c>
      <c r="N11" s="9">
        <f>INDEX(Breaks!$H$4:$H$41,MATCH(A11,Breaks!$B$4:$B$41,0))</f>
        <v>28</v>
      </c>
      <c r="O11" t="str">
        <f>IF(ABS(N11-Parameters!$B$19)*Parameters!$B$26&lt;=Parameters!$B$18,"Yes","No")</f>
        <v>Yes</v>
      </c>
      <c r="P11" t="str">
        <f t="shared" si="2"/>
        <v>Yes</v>
      </c>
      <c r="Q11" t="str">
        <f>IF(A11=Parameters!$B$24,"Curing excursion, counted","")</f>
        <v/>
      </c>
      <c r="R11" t="str">
        <f t="shared" si="3"/>
        <v>Yes</v>
      </c>
      <c r="S11" t="str">
        <f t="shared" si="4"/>
        <v/>
      </c>
    </row>
    <row r="12" spans="1:19" x14ac:dyDescent="0.2">
      <c r="A12" t="s">
        <v>174</v>
      </c>
      <c r="B12" t="str">
        <f>INDEX(Breaks!$C$4:$C$41,MATCH(A12,Breaks!$B$4:$B$41,0))</f>
        <v>P-08</v>
      </c>
      <c r="C12" t="str">
        <f>INDEX(Placements!$D$4:$D$19,MATCH(B12,Placements!$A$4:$A$19,0))</f>
        <v>M-4000</v>
      </c>
      <c r="D12" t="str">
        <f>INDEX(Breaks!$D$4:$D$41,MATCH(A12,Breaks!$B$4:$B$41,0))</f>
        <v>08/17/2026</v>
      </c>
      <c r="E12">
        <f>INDEX(Breaks!$E$4:$E$41,MATCH(A12,Breaks!$B$4:$B$41,0))</f>
        <v>6</v>
      </c>
      <c r="F12">
        <f>COUNTIF(Breaks!$B$4:$B$41,A12)</f>
        <v>2</v>
      </c>
      <c r="G12">
        <f>IF(E12=4,Parameters!$B$17,Parameters!$B$16)</f>
        <v>2</v>
      </c>
      <c r="H12">
        <f>ROUND(AVERAGEIF(Breaks!$B$4:$B$41,A12,Breaks!$M$4:$M$41)/Parameters!$B$25,0)*Parameters!$B$25</f>
        <v>4220</v>
      </c>
      <c r="I12">
        <f>_xlfn.MINIFS(Breaks!$M$4:$M$41,Breaks!$B$4:$B$41,A12)</f>
        <v>4050</v>
      </c>
      <c r="J12">
        <f>_xlfn.MAXIFS(Breaks!$M$4:$M$41,Breaks!$B$4:$B$41,A12)</f>
        <v>4390</v>
      </c>
      <c r="K12" s="7">
        <f t="shared" si="0"/>
        <v>0.0806</v>
      </c>
      <c r="L12" s="8">
        <f>IF(E12=4,Parameters!$B$23,Parameters!$B$22)</f>
        <v>0.066</v>
      </c>
      <c r="M12" t="str">
        <f t="shared" si="1"/>
        <v>Range exceeds 3.10.4, counted</v>
      </c>
      <c r="N12" s="9">
        <f>INDEX(Breaks!$H$4:$H$41,MATCH(A12,Breaks!$B$4:$B$41,0))</f>
        <v>28</v>
      </c>
      <c r="O12" t="str">
        <f>IF(ABS(N12-Parameters!$B$19)*Parameters!$B$26&lt;=Parameters!$B$18,"Yes","No")</f>
        <v>Yes</v>
      </c>
      <c r="P12" t="str">
        <f t="shared" si="2"/>
        <v>Yes</v>
      </c>
      <c r="Q12" t="str">
        <f>IF(A12=Parameters!$B$24,"Curing excursion, counted","")</f>
        <v/>
      </c>
      <c r="R12" t="str">
        <f t="shared" si="3"/>
        <v>Yes</v>
      </c>
      <c r="S12" t="str">
        <f t="shared" si="4"/>
        <v/>
      </c>
    </row>
    <row r="13" spans="1:19" x14ac:dyDescent="0.2">
      <c r="A13" t="s">
        <v>179</v>
      </c>
      <c r="B13" t="str">
        <f>INDEX(Breaks!$C$4:$C$41,MATCH(A13,Breaks!$B$4:$B$41,0))</f>
        <v>P-09</v>
      </c>
      <c r="C13" t="str">
        <f>INDEX(Placements!$D$4:$D$19,MATCH(B13,Placements!$A$4:$A$19,0))</f>
        <v>M-4000</v>
      </c>
      <c r="D13" t="str">
        <f>INDEX(Breaks!$D$4:$D$41,MATCH(A13,Breaks!$B$4:$B$41,0))</f>
        <v>08/19/2026</v>
      </c>
      <c r="E13">
        <f>INDEX(Breaks!$E$4:$E$41,MATCH(A13,Breaks!$B$4:$B$41,0))</f>
        <v>4</v>
      </c>
      <c r="F13">
        <f>COUNTIF(Breaks!$B$4:$B$41,A13)</f>
        <v>3</v>
      </c>
      <c r="G13">
        <f>IF(E13=4,Parameters!$B$17,Parameters!$B$16)</f>
        <v>3</v>
      </c>
      <c r="H13">
        <f>ROUND(AVERAGEIF(Breaks!$B$4:$B$41,A13,Breaks!$M$4:$M$41)/Parameters!$B$25,0)*Parameters!$B$25</f>
        <v>4220</v>
      </c>
      <c r="I13">
        <f>_xlfn.MINIFS(Breaks!$M$4:$M$41,Breaks!$B$4:$B$41,A13)</f>
        <v>4120</v>
      </c>
      <c r="J13">
        <f>_xlfn.MAXIFS(Breaks!$M$4:$M$41,Breaks!$B$4:$B$41,A13)</f>
        <v>4310</v>
      </c>
      <c r="K13" s="7">
        <f t="shared" si="0"/>
        <v>0.045</v>
      </c>
      <c r="L13" s="8">
        <f>IF(E13=4,Parameters!$B$23,Parameters!$B$22)</f>
        <v>0.106</v>
      </c>
      <c r="M13" t="str">
        <f t="shared" si="1"/>
        <v/>
      </c>
      <c r="N13" s="9">
        <f>INDEX(Breaks!$H$4:$H$41,MATCH(A13,Breaks!$B$4:$B$41,0))</f>
        <v>28</v>
      </c>
      <c r="O13" t="str">
        <f>IF(ABS(N13-Parameters!$B$19)*Parameters!$B$26&lt;=Parameters!$B$18,"Yes","No")</f>
        <v>Yes</v>
      </c>
      <c r="P13" t="str">
        <f t="shared" si="2"/>
        <v>Yes</v>
      </c>
      <c r="Q13" t="str">
        <f>IF(A13=Parameters!$B$24,"Curing excursion, counted","")</f>
        <v/>
      </c>
      <c r="R13" t="str">
        <f t="shared" si="3"/>
        <v>Yes</v>
      </c>
      <c r="S13" t="str">
        <f t="shared" si="4"/>
        <v/>
      </c>
    </row>
    <row r="14" spans="1:19" x14ac:dyDescent="0.2">
      <c r="A14" t="s">
        <v>184</v>
      </c>
      <c r="B14" t="str">
        <f>INDEX(Breaks!$C$4:$C$41,MATCH(A14,Breaks!$B$4:$B$41,0))</f>
        <v>P-10</v>
      </c>
      <c r="C14" t="str">
        <f>INDEX(Placements!$D$4:$D$19,MATCH(B14,Placements!$A$4:$A$19,0))</f>
        <v>M-6000</v>
      </c>
      <c r="D14" t="str">
        <f>INDEX(Breaks!$D$4:$D$41,MATCH(A14,Breaks!$B$4:$B$41,0))</f>
        <v>08/20/2026</v>
      </c>
      <c r="E14">
        <f>INDEX(Breaks!$E$4:$E$41,MATCH(A14,Breaks!$B$4:$B$41,0))</f>
        <v>4</v>
      </c>
      <c r="F14">
        <f>COUNTIF(Breaks!$B$4:$B$41,A14)</f>
        <v>3</v>
      </c>
      <c r="G14">
        <f>IF(E14=4,Parameters!$B$17,Parameters!$B$16)</f>
        <v>3</v>
      </c>
      <c r="H14">
        <f>ROUND(AVERAGEIF(Breaks!$B$4:$B$41,A14,Breaks!$M$4:$M$41)/Parameters!$B$25,0)*Parameters!$B$25</f>
        <v>5370</v>
      </c>
      <c r="I14">
        <f>_xlfn.MINIFS(Breaks!$M$4:$M$41,Breaks!$B$4:$B$41,A14)</f>
        <v>5290</v>
      </c>
      <c r="J14">
        <f>_xlfn.MAXIFS(Breaks!$M$4:$M$41,Breaks!$B$4:$B$41,A14)</f>
        <v>5460</v>
      </c>
      <c r="K14" s="7">
        <f t="shared" si="0"/>
        <v>0.0317</v>
      </c>
      <c r="L14" s="8">
        <f>IF(E14=4,Parameters!$B$23,Parameters!$B$22)</f>
        <v>0.106</v>
      </c>
      <c r="M14" t="str">
        <f t="shared" si="1"/>
        <v/>
      </c>
      <c r="N14" s="9">
        <f>INDEX(Breaks!$H$4:$H$41,MATCH(A14,Breaks!$B$4:$B$41,0))</f>
        <v>28</v>
      </c>
      <c r="O14" t="str">
        <f>IF(ABS(N14-Parameters!$B$19)*Parameters!$B$26&lt;=Parameters!$B$18,"Yes","No")</f>
        <v>Yes</v>
      </c>
      <c r="P14" t="str">
        <f t="shared" si="2"/>
        <v>Yes</v>
      </c>
      <c r="Q14" t="str">
        <f>IF(A14=Parameters!$B$24,"Curing excursion, counted","")</f>
        <v/>
      </c>
      <c r="R14" t="str">
        <f t="shared" si="3"/>
        <v>Yes</v>
      </c>
      <c r="S14" t="str">
        <f t="shared" si="4"/>
        <v/>
      </c>
    </row>
    <row r="15" spans="1:19" x14ac:dyDescent="0.2">
      <c r="A15" t="s">
        <v>189</v>
      </c>
      <c r="B15" t="str">
        <f>INDEX(Breaks!$C$4:$C$41,MATCH(A15,Breaks!$B$4:$B$41,0))</f>
        <v>P-11</v>
      </c>
      <c r="C15" t="str">
        <f>INDEX(Placements!$D$4:$D$19,MATCH(B15,Placements!$A$4:$A$19,0))</f>
        <v>M-4000</v>
      </c>
      <c r="D15" t="str">
        <f>INDEX(Breaks!$D$4:$D$41,MATCH(A15,Breaks!$B$4:$B$41,0))</f>
        <v>08/21/2026</v>
      </c>
      <c r="E15">
        <f>INDEX(Breaks!$E$4:$E$41,MATCH(A15,Breaks!$B$4:$B$41,0))</f>
        <v>4</v>
      </c>
      <c r="F15">
        <f>COUNTIF(Breaks!$B$4:$B$41,A15)</f>
        <v>2</v>
      </c>
      <c r="G15">
        <f>IF(E15=4,Parameters!$B$17,Parameters!$B$16)</f>
        <v>3</v>
      </c>
      <c r="H15">
        <f>ROUND(AVERAGEIF(Breaks!$B$4:$B$41,A15,Breaks!$M$4:$M$41)/Parameters!$B$25,0)*Parameters!$B$25</f>
        <v>4220</v>
      </c>
      <c r="I15">
        <f>_xlfn.MINIFS(Breaks!$M$4:$M$41,Breaks!$B$4:$B$41,A15)</f>
        <v>4180</v>
      </c>
      <c r="J15">
        <f>_xlfn.MAXIFS(Breaks!$M$4:$M$41,Breaks!$B$4:$B$41,A15)</f>
        <v>4260</v>
      </c>
      <c r="K15" s="7">
        <f t="shared" si="0"/>
        <v>0.019</v>
      </c>
      <c r="L15" s="8">
        <f>IF(E15=4,Parameters!$B$23,Parameters!$B$22)</f>
        <v>0.106</v>
      </c>
      <c r="M15" t="str">
        <f t="shared" si="1"/>
        <v/>
      </c>
      <c r="N15" s="9">
        <f>INDEX(Breaks!$H$4:$H$41,MATCH(A15,Breaks!$B$4:$B$41,0))</f>
        <v>28</v>
      </c>
      <c r="O15" t="str">
        <f>IF(ABS(N15-Parameters!$B$19)*Parameters!$B$26&lt;=Parameters!$B$18,"Yes","No")</f>
        <v>Yes</v>
      </c>
      <c r="P15" t="str">
        <f t="shared" si="2"/>
        <v>No</v>
      </c>
      <c r="Q15" t="str">
        <f>IF(A15=Parameters!$B$24,"Curing excursion, counted","")</f>
        <v/>
      </c>
      <c r="R15" t="str">
        <f t="shared" si="3"/>
        <v>No</v>
      </c>
      <c r="S15" t="str">
        <f t="shared" si="4"/>
        <v>Fewer cylinders than 3.10.2 requires</v>
      </c>
    </row>
    <row r="16" spans="1:19" x14ac:dyDescent="0.2">
      <c r="A16" t="s">
        <v>193</v>
      </c>
      <c r="B16" t="str">
        <f>INDEX(Breaks!$C$4:$C$41,MATCH(A16,Breaks!$B$4:$B$41,0))</f>
        <v>P-12</v>
      </c>
      <c r="C16" t="str">
        <f>INDEX(Placements!$D$4:$D$19,MATCH(B16,Placements!$A$4:$A$19,0))</f>
        <v>M-4000</v>
      </c>
      <c r="D16" t="str">
        <f>INDEX(Breaks!$D$4:$D$41,MATCH(A16,Breaks!$B$4:$B$41,0))</f>
        <v>08/24/2026</v>
      </c>
      <c r="E16">
        <f>INDEX(Breaks!$E$4:$E$41,MATCH(A16,Breaks!$B$4:$B$41,0))</f>
        <v>6</v>
      </c>
      <c r="F16">
        <f>COUNTIF(Breaks!$B$4:$B$41,A16)</f>
        <v>2</v>
      </c>
      <c r="G16">
        <f>IF(E16=4,Parameters!$B$17,Parameters!$B$16)</f>
        <v>2</v>
      </c>
      <c r="H16">
        <f>ROUND(AVERAGEIF(Breaks!$B$4:$B$41,A16,Breaks!$M$4:$M$41)/Parameters!$B$25,0)*Parameters!$B$25</f>
        <v>4310</v>
      </c>
      <c r="I16">
        <f>_xlfn.MINIFS(Breaks!$M$4:$M$41,Breaks!$B$4:$B$41,A16)</f>
        <v>4280</v>
      </c>
      <c r="J16">
        <f>_xlfn.MAXIFS(Breaks!$M$4:$M$41,Breaks!$B$4:$B$41,A16)</f>
        <v>4340</v>
      </c>
      <c r="K16" s="7">
        <f t="shared" si="0"/>
        <v>0.0139</v>
      </c>
      <c r="L16" s="8">
        <f>IF(E16=4,Parameters!$B$23,Parameters!$B$22)</f>
        <v>0.066</v>
      </c>
      <c r="M16" t="str">
        <f t="shared" si="1"/>
        <v/>
      </c>
      <c r="N16" s="9">
        <f>INDEX(Breaks!$H$4:$H$41,MATCH(A16,Breaks!$B$4:$B$41,0))</f>
        <v>29.1</v>
      </c>
      <c r="O16" t="str">
        <f>IF(ABS(N16-Parameters!$B$19)*Parameters!$B$26&lt;=Parameters!$B$18,"Yes","No")</f>
        <v>No</v>
      </c>
      <c r="P16" t="str">
        <f t="shared" si="2"/>
        <v>Yes</v>
      </c>
      <c r="Q16" t="str">
        <f>IF(A16=Parameters!$B$24,"Curing excursion, counted","")</f>
        <v/>
      </c>
      <c r="R16" t="str">
        <f t="shared" si="3"/>
        <v>No</v>
      </c>
      <c r="S16" t="str">
        <f t="shared" si="4"/>
        <v>Tested outside the 20 hour age tolerance of 3.10.3</v>
      </c>
    </row>
    <row r="17" spans="1:19" x14ac:dyDescent="0.2">
      <c r="A17" t="s">
        <v>61</v>
      </c>
      <c r="B17" t="str">
        <f>INDEX(Breaks!$C$4:$C$41,MATCH(A17,Breaks!$B$4:$B$41,0))</f>
        <v>P-13</v>
      </c>
      <c r="C17" t="str">
        <f>INDEX(Placements!$D$4:$D$19,MATCH(B17,Placements!$A$4:$A$19,0))</f>
        <v>M-4000</v>
      </c>
      <c r="D17" t="str">
        <f>INDEX(Breaks!$D$4:$D$41,MATCH(A17,Breaks!$B$4:$B$41,0))</f>
        <v>08/26/2026</v>
      </c>
      <c r="E17">
        <f>INDEX(Breaks!$E$4:$E$41,MATCH(A17,Breaks!$B$4:$B$41,0))</f>
        <v>6</v>
      </c>
      <c r="F17">
        <f>COUNTIF(Breaks!$B$4:$B$41,A17)</f>
        <v>2</v>
      </c>
      <c r="G17">
        <f>IF(E17=4,Parameters!$B$17,Parameters!$B$16)</f>
        <v>2</v>
      </c>
      <c r="H17">
        <f>ROUND(AVERAGEIF(Breaks!$B$4:$B$41,A17,Breaks!$M$4:$M$41)/Parameters!$B$25,0)*Parameters!$B$25</f>
        <v>4010</v>
      </c>
      <c r="I17">
        <f>_xlfn.MINIFS(Breaks!$M$4:$M$41,Breaks!$B$4:$B$41,A17)</f>
        <v>3970</v>
      </c>
      <c r="J17">
        <f>_xlfn.MAXIFS(Breaks!$M$4:$M$41,Breaks!$B$4:$B$41,A17)</f>
        <v>4050</v>
      </c>
      <c r="K17" s="7">
        <f t="shared" si="0"/>
        <v>0.02</v>
      </c>
      <c r="L17" s="8">
        <f>IF(E17=4,Parameters!$B$23,Parameters!$B$22)</f>
        <v>0.066</v>
      </c>
      <c r="M17" t="str">
        <f t="shared" si="1"/>
        <v/>
      </c>
      <c r="N17" s="9">
        <f>INDEX(Breaks!$H$4:$H$41,MATCH(A17,Breaks!$B$4:$B$41,0))</f>
        <v>28</v>
      </c>
      <c r="O17" t="str">
        <f>IF(ABS(N17-Parameters!$B$19)*Parameters!$B$26&lt;=Parameters!$B$18,"Yes","No")</f>
        <v>Yes</v>
      </c>
      <c r="P17" t="str">
        <f t="shared" si="2"/>
        <v>Yes</v>
      </c>
      <c r="Q17" t="str">
        <f>IF(A17=Parameters!$B$24,"Curing excursion, counted","")</f>
        <v>Curing excursion, counted</v>
      </c>
      <c r="R17" t="str">
        <f t="shared" si="3"/>
        <v>Yes</v>
      </c>
      <c r="S17" t="str">
        <f t="shared" si="4"/>
        <v/>
      </c>
    </row>
    <row r="18" spans="1:19" x14ac:dyDescent="0.2">
      <c r="A18" t="s">
        <v>200</v>
      </c>
      <c r="B18" t="str">
        <f>INDEX(Breaks!$C$4:$C$41,MATCH(A18,Breaks!$B$4:$B$41,0))</f>
        <v>P-14</v>
      </c>
      <c r="C18" t="str">
        <f>INDEX(Placements!$D$4:$D$19,MATCH(B18,Placements!$A$4:$A$19,0))</f>
        <v>M-6000</v>
      </c>
      <c r="D18" t="str">
        <f>INDEX(Breaks!$D$4:$D$41,MATCH(A18,Breaks!$B$4:$B$41,0))</f>
        <v>08/27/2026</v>
      </c>
      <c r="E18">
        <f>INDEX(Breaks!$E$4:$E$41,MATCH(A18,Breaks!$B$4:$B$41,0))</f>
        <v>4</v>
      </c>
      <c r="F18">
        <f>COUNTIF(Breaks!$B$4:$B$41,A18)</f>
        <v>3</v>
      </c>
      <c r="G18">
        <f>IF(E18=4,Parameters!$B$17,Parameters!$B$16)</f>
        <v>3</v>
      </c>
      <c r="H18">
        <f>ROUND(AVERAGEIF(Breaks!$B$4:$B$41,A18,Breaks!$M$4:$M$41)/Parameters!$B$25,0)*Parameters!$B$25</f>
        <v>5980</v>
      </c>
      <c r="I18">
        <f>_xlfn.MINIFS(Breaks!$M$4:$M$41,Breaks!$B$4:$B$41,A18)</f>
        <v>5910</v>
      </c>
      <c r="J18">
        <f>_xlfn.MAXIFS(Breaks!$M$4:$M$41,Breaks!$B$4:$B$41,A18)</f>
        <v>6060</v>
      </c>
      <c r="K18" s="7">
        <f t="shared" si="0"/>
        <v>0.0251</v>
      </c>
      <c r="L18" s="8">
        <f>IF(E18=4,Parameters!$B$23,Parameters!$B$22)</f>
        <v>0.106</v>
      </c>
      <c r="M18" t="str">
        <f t="shared" si="1"/>
        <v/>
      </c>
      <c r="N18" s="9">
        <f>INDEX(Breaks!$H$4:$H$41,MATCH(A18,Breaks!$B$4:$B$41,0))</f>
        <v>28</v>
      </c>
      <c r="O18" t="str">
        <f>IF(ABS(N18-Parameters!$B$19)*Parameters!$B$26&lt;=Parameters!$B$18,"Yes","No")</f>
        <v>Yes</v>
      </c>
      <c r="P18" t="str">
        <f t="shared" si="2"/>
        <v>Yes</v>
      </c>
      <c r="Q18" t="str">
        <f>IF(A18=Parameters!$B$24,"Curing excursion, counted","")</f>
        <v/>
      </c>
      <c r="R18" t="str">
        <f t="shared" si="3"/>
        <v>Yes</v>
      </c>
      <c r="S18" t="str">
        <f t="shared" si="4"/>
        <v/>
      </c>
    </row>
    <row r="19" spans="1:19" x14ac:dyDescent="0.2">
      <c r="A19" t="s">
        <v>205</v>
      </c>
      <c r="B19" t="str">
        <f>INDEX(Breaks!$C$4:$C$41,MATCH(A19,Breaks!$B$4:$B$41,0))</f>
        <v>P-15</v>
      </c>
      <c r="C19" t="str">
        <f>INDEX(Placements!$D$4:$D$19,MATCH(B19,Placements!$A$4:$A$19,0))</f>
        <v>M-6000</v>
      </c>
      <c r="D19" t="str">
        <f>INDEX(Breaks!$D$4:$D$41,MATCH(A19,Breaks!$B$4:$B$41,0))</f>
        <v>09/03/2026</v>
      </c>
      <c r="E19">
        <f>INDEX(Breaks!$E$4:$E$41,MATCH(A19,Breaks!$B$4:$B$41,0))</f>
        <v>4</v>
      </c>
      <c r="F19">
        <f>COUNTIF(Breaks!$B$4:$B$41,A19)</f>
        <v>3</v>
      </c>
      <c r="G19">
        <f>IF(E19=4,Parameters!$B$17,Parameters!$B$16)</f>
        <v>3</v>
      </c>
      <c r="H19">
        <f>ROUND(AVERAGEIF(Breaks!$B$4:$B$41,A19,Breaks!$M$4:$M$41)/Parameters!$B$25,0)*Parameters!$B$25</f>
        <v>6290</v>
      </c>
      <c r="I19">
        <f>_xlfn.MINIFS(Breaks!$M$4:$M$41,Breaks!$B$4:$B$41,A19)</f>
        <v>6240</v>
      </c>
      <c r="J19">
        <f>_xlfn.MAXIFS(Breaks!$M$4:$M$41,Breaks!$B$4:$B$41,A19)</f>
        <v>6350</v>
      </c>
      <c r="K19" s="7">
        <f t="shared" si="0"/>
        <v>0.0175</v>
      </c>
      <c r="L19" s="8">
        <f>IF(E19=4,Parameters!$B$23,Parameters!$B$22)</f>
        <v>0.106</v>
      </c>
      <c r="M19" t="str">
        <f t="shared" si="1"/>
        <v/>
      </c>
      <c r="N19" s="9">
        <f>INDEX(Breaks!$H$4:$H$41,MATCH(A19,Breaks!$B$4:$B$41,0))</f>
        <v>28</v>
      </c>
      <c r="O19" t="str">
        <f>IF(ABS(N19-Parameters!$B$19)*Parameters!$B$26&lt;=Parameters!$B$18,"Yes","No")</f>
        <v>Yes</v>
      </c>
      <c r="P19" t="str">
        <f t="shared" si="2"/>
        <v>Yes</v>
      </c>
      <c r="Q19" t="str">
        <f>IF(A19=Parameters!$B$24,"Curing excursion, counted","")</f>
        <v/>
      </c>
      <c r="R19" t="str">
        <f t="shared" si="3"/>
        <v>Yes</v>
      </c>
      <c r="S19" t="str">
        <f t="shared" si="4"/>
        <v/>
      </c>
    </row>
    <row r="20" spans="1:19" x14ac:dyDescent="0.2">
      <c r="A20" s="4" t="s">
        <v>224</v>
      </c>
      <c r="F20">
        <f>SUM(F4:F19)</f>
        <v>38</v>
      </c>
      <c r="R20">
        <f>COUNTIF(R4:R19,"Yes")</f>
        <v>14</v>
      </c>
      <c r="S20">
        <f>COUNTIF(R4:R19,"No")</f>
        <v>2</v>
      </c>
    </row>
    <row r="22" spans="1:19" x14ac:dyDescent="0.2">
      <c r="A22" t="s">
        <v>225</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4"/>
  <sheetViews>
    <sheetView workbookViewId="0"/>
  </sheetViews>
  <sheetFormatPr baseColWidth="10" defaultColWidth="8.83203125" defaultRowHeight="15" x14ac:dyDescent="0.2"/>
  <cols>
    <col min="1" max="1" width="8" customWidth="1"/>
    <col min="2" max="2" width="13" customWidth="1"/>
    <col min="3" max="4" width="17" customWidth="1"/>
    <col min="5" max="6" width="14" customWidth="1"/>
    <col min="7" max="7" width="44" customWidth="1"/>
  </cols>
  <sheetData>
    <row r="1" spans="1:8" ht="17" x14ac:dyDescent="0.2">
      <c r="A1" s="1" t="s">
        <v>226</v>
      </c>
    </row>
    <row r="3" spans="1:8" x14ac:dyDescent="0.2">
      <c r="A3" s="2" t="s">
        <v>126</v>
      </c>
      <c r="B3" s="2" t="s">
        <v>68</v>
      </c>
      <c r="C3" s="2" t="s">
        <v>213</v>
      </c>
      <c r="D3" s="2" t="s">
        <v>227</v>
      </c>
      <c r="E3" s="2" t="s">
        <v>228</v>
      </c>
      <c r="F3" s="2" t="s">
        <v>229</v>
      </c>
      <c r="G3" s="2" t="s">
        <v>230</v>
      </c>
      <c r="H3" s="4" t="s">
        <v>231</v>
      </c>
    </row>
    <row r="4" spans="1:8" x14ac:dyDescent="0.2">
      <c r="A4" t="s">
        <v>138</v>
      </c>
      <c r="B4" t="str">
        <f>Tests!B4</f>
        <v>P-01</v>
      </c>
      <c r="C4">
        <f>IF(Tests!R4="Yes",Tests!H4,"")</f>
        <v>4250</v>
      </c>
      <c r="D4" s="9" t="str">
        <f t="shared" ref="D4:D14" si="0">IF(C4="","",IF(H4&lt;3,"",ROUND(AVERAGE(IF(1,C4), INDEX($C$4:$C$14,MATCH(H4-1,$H$4:$H$14,0)), INDEX($C$4:$C$14,MATCH(H4-2,$H$4:$H$14,0))),1)))</f>
        <v/>
      </c>
      <c r="E4" t="str">
        <f>IF(D4="","",IF(D4&gt;=Parameters!B$4,"Meets","Fails"))</f>
        <v/>
      </c>
      <c r="F4" t="str">
        <f>IF(C4="","",IF(C4&gt;=Parameters!B$4-Parameters!B$5,"Meets","Fails"))</f>
        <v>Meets</v>
      </c>
      <c r="G4" t="str">
        <f>IF(Tests!R4="No","Not used: "&amp;Tests!S4,TRIM(Tests!M4&amp;" "&amp;Tests!Q4))</f>
        <v/>
      </c>
      <c r="H4">
        <f>IF(C4="","",COUNTIF($C$4:C4,"&gt;0"))</f>
        <v>1</v>
      </c>
    </row>
    <row r="5" spans="1:8" x14ac:dyDescent="0.2">
      <c r="A5" t="s">
        <v>145</v>
      </c>
      <c r="B5" t="str">
        <f>Tests!B5</f>
        <v>P-02</v>
      </c>
      <c r="C5">
        <f>IF(Tests!R5="Yes",Tests!H5,"")</f>
        <v>4430</v>
      </c>
      <c r="D5" s="9" t="str">
        <f t="shared" si="0"/>
        <v/>
      </c>
      <c r="E5" t="str">
        <f>IF(D5="","",IF(D5&gt;=Parameters!B$4,"Meets","Fails"))</f>
        <v/>
      </c>
      <c r="F5" t="str">
        <f>IF(C5="","",IF(C5&gt;=Parameters!B$4-Parameters!B$5,"Meets","Fails"))</f>
        <v>Meets</v>
      </c>
      <c r="G5" t="str">
        <f>IF(Tests!R5="No","Not used: "&amp;Tests!S5,TRIM(Tests!M5&amp;" "&amp;Tests!Q5))</f>
        <v/>
      </c>
      <c r="H5">
        <f>IF(C5="","",COUNTIF($C$4:C5,"&gt;0"))</f>
        <v>2</v>
      </c>
    </row>
    <row r="6" spans="1:8" x14ac:dyDescent="0.2">
      <c r="A6" t="s">
        <v>155</v>
      </c>
      <c r="B6" t="str">
        <f>Tests!B7</f>
        <v>P-04</v>
      </c>
      <c r="C6">
        <f>IF(Tests!R7="Yes",Tests!H7,"")</f>
        <v>4190</v>
      </c>
      <c r="D6" s="9">
        <f t="shared" si="0"/>
        <v>4290</v>
      </c>
      <c r="E6" t="str">
        <f>IF(D6="","",IF(D6&gt;=Parameters!B$4,"Meets","Fails"))</f>
        <v>Meets</v>
      </c>
      <c r="F6" t="str">
        <f>IF(C6="","",IF(C6&gt;=Parameters!B$4-Parameters!B$5,"Meets","Fails"))</f>
        <v>Meets</v>
      </c>
      <c r="G6" t="str">
        <f>IF(Tests!R7="No","Not used: "&amp;Tests!S7,TRIM(Tests!M7&amp;" "&amp;Tests!Q7))</f>
        <v/>
      </c>
      <c r="H6">
        <f>IF(C6="","",COUNTIF($C$4:C6,"&gt;0"))</f>
        <v>3</v>
      </c>
    </row>
    <row r="7" spans="1:8" x14ac:dyDescent="0.2">
      <c r="A7" t="s">
        <v>159</v>
      </c>
      <c r="B7" t="str">
        <f>Tests!B8</f>
        <v>P-04</v>
      </c>
      <c r="C7">
        <f>IF(Tests!R8="Yes",Tests!H8,"")</f>
        <v>4070</v>
      </c>
      <c r="D7" s="9">
        <f t="shared" si="0"/>
        <v>4230</v>
      </c>
      <c r="E7" t="str">
        <f>IF(D7="","",IF(D7&gt;=Parameters!B$4,"Meets","Fails"))</f>
        <v>Meets</v>
      </c>
      <c r="F7" t="str">
        <f>IF(C7="","",IF(C7&gt;=Parameters!B$4-Parameters!B$5,"Meets","Fails"))</f>
        <v>Meets</v>
      </c>
      <c r="G7" t="str">
        <f>IF(Tests!R8="No","Not used: "&amp;Tests!S8,TRIM(Tests!M8&amp;" "&amp;Tests!Q8))</f>
        <v/>
      </c>
      <c r="H7">
        <f>IF(C7="","",COUNTIF($C$4:C7,"&gt;0"))</f>
        <v>4</v>
      </c>
    </row>
    <row r="8" spans="1:8" x14ac:dyDescent="0.2">
      <c r="A8" t="s">
        <v>162</v>
      </c>
      <c r="B8" t="str">
        <f>Tests!B9</f>
        <v>P-05</v>
      </c>
      <c r="C8">
        <f>IF(Tests!R9="Yes",Tests!H9,"")</f>
        <v>3480</v>
      </c>
      <c r="D8" s="9">
        <f t="shared" si="0"/>
        <v>3913.3</v>
      </c>
      <c r="E8" t="str">
        <f>IF(D8="","",IF(D8&gt;=Parameters!B$4,"Meets","Fails"))</f>
        <v>Fails</v>
      </c>
      <c r="F8" t="str">
        <f>IF(C8="","",IF(C8&gt;=Parameters!B$4-Parameters!B$5,"Meets","Fails"))</f>
        <v>Fails</v>
      </c>
      <c r="G8" t="str">
        <f>IF(Tests!R9="No","Not used: "&amp;Tests!S9,TRIM(Tests!M9&amp;" "&amp;Tests!Q9))</f>
        <v/>
      </c>
      <c r="H8">
        <f>IF(C8="","",COUNTIF($C$4:C8,"&gt;0"))</f>
        <v>5</v>
      </c>
    </row>
    <row r="9" spans="1:8" x14ac:dyDescent="0.2">
      <c r="A9" t="s">
        <v>170</v>
      </c>
      <c r="B9" t="str">
        <f>Tests!B11</f>
        <v>P-07</v>
      </c>
      <c r="C9">
        <f>IF(Tests!R11="Yes",Tests!H11,"")</f>
        <v>3830</v>
      </c>
      <c r="D9" s="9">
        <f t="shared" si="0"/>
        <v>3793.3</v>
      </c>
      <c r="E9" t="str">
        <f>IF(D9="","",IF(D9&gt;=Parameters!B$4,"Meets","Fails"))</f>
        <v>Fails</v>
      </c>
      <c r="F9" t="str">
        <f>IF(C9="","",IF(C9&gt;=Parameters!B$4-Parameters!B$5,"Meets","Fails"))</f>
        <v>Meets</v>
      </c>
      <c r="G9" t="str">
        <f>IF(Tests!R11="No","Not used: "&amp;Tests!S11,TRIM(Tests!M11&amp;" "&amp;Tests!Q11))</f>
        <v/>
      </c>
      <c r="H9">
        <f>IF(C9="","",COUNTIF($C$4:C9,"&gt;0"))</f>
        <v>6</v>
      </c>
    </row>
    <row r="10" spans="1:8" x14ac:dyDescent="0.2">
      <c r="A10" t="s">
        <v>174</v>
      </c>
      <c r="B10" t="str">
        <f>Tests!B12</f>
        <v>P-08</v>
      </c>
      <c r="C10">
        <f>IF(Tests!R12="Yes",Tests!H12,"")</f>
        <v>4220</v>
      </c>
      <c r="D10" s="9">
        <f t="shared" si="0"/>
        <v>3843.3</v>
      </c>
      <c r="E10" t="str">
        <f>IF(D10="","",IF(D10&gt;=Parameters!B$4,"Meets","Fails"))</f>
        <v>Fails</v>
      </c>
      <c r="F10" t="str">
        <f>IF(C10="","",IF(C10&gt;=Parameters!B$4-Parameters!B$5,"Meets","Fails"))</f>
        <v>Meets</v>
      </c>
      <c r="G10" t="str">
        <f>IF(Tests!R12="No","Not used: "&amp;Tests!S12,TRIM(Tests!M12&amp;" "&amp;Tests!Q12))</f>
        <v>Range exceeds 3.10.4, counted</v>
      </c>
      <c r="H10">
        <f>IF(C10="","",COUNTIF($C$4:C10,"&gt;0"))</f>
        <v>7</v>
      </c>
    </row>
    <row r="11" spans="1:8" x14ac:dyDescent="0.2">
      <c r="A11" t="s">
        <v>179</v>
      </c>
      <c r="B11" t="str">
        <f>Tests!B13</f>
        <v>P-09</v>
      </c>
      <c r="C11">
        <f>IF(Tests!R13="Yes",Tests!H13,"")</f>
        <v>4220</v>
      </c>
      <c r="D11" s="9">
        <f t="shared" si="0"/>
        <v>4090</v>
      </c>
      <c r="E11" t="str">
        <f>IF(D11="","",IF(D11&gt;=Parameters!B$4,"Meets","Fails"))</f>
        <v>Meets</v>
      </c>
      <c r="F11" t="str">
        <f>IF(C11="","",IF(C11&gt;=Parameters!B$4-Parameters!B$5,"Meets","Fails"))</f>
        <v>Meets</v>
      </c>
      <c r="G11" t="str">
        <f>IF(Tests!R13="No","Not used: "&amp;Tests!S13,TRIM(Tests!M13&amp;" "&amp;Tests!Q13))</f>
        <v/>
      </c>
      <c r="H11">
        <f>IF(C11="","",COUNTIF($C$4:C11,"&gt;0"))</f>
        <v>8</v>
      </c>
    </row>
    <row r="12" spans="1:8" x14ac:dyDescent="0.2">
      <c r="A12" t="s">
        <v>189</v>
      </c>
      <c r="B12" t="str">
        <f>Tests!B15</f>
        <v>P-11</v>
      </c>
      <c r="C12" t="str">
        <f>IF(Tests!R15="Yes",Tests!H15,"")</f>
        <v/>
      </c>
      <c r="D12" s="9" t="str">
        <f t="shared" si="0"/>
        <v/>
      </c>
      <c r="E12" t="str">
        <f>IF(D12="","",IF(D12&gt;=Parameters!B$4,"Meets","Fails"))</f>
        <v/>
      </c>
      <c r="F12" t="str">
        <f>IF(C12="","",IF(C12&gt;=Parameters!B$4-Parameters!B$5,"Meets","Fails"))</f>
        <v/>
      </c>
      <c r="G12" t="str">
        <f>IF(Tests!R15="No","Not used: "&amp;Tests!S15,TRIM(Tests!M15&amp;" "&amp;Tests!Q15))</f>
        <v>Not used: Fewer cylinders than 3.10.2 requires</v>
      </c>
      <c r="H12" t="str">
        <f>IF(C12="","",COUNTIF($C$4:C12,"&gt;0"))</f>
        <v/>
      </c>
    </row>
    <row r="13" spans="1:8" x14ac:dyDescent="0.2">
      <c r="A13" t="s">
        <v>193</v>
      </c>
      <c r="B13" t="str">
        <f>Tests!B16</f>
        <v>P-12</v>
      </c>
      <c r="C13" t="str">
        <f>IF(Tests!R16="Yes",Tests!H16,"")</f>
        <v/>
      </c>
      <c r="D13" s="9" t="str">
        <f t="shared" si="0"/>
        <v/>
      </c>
      <c r="E13" t="str">
        <f>IF(D13="","",IF(D13&gt;=Parameters!B$4,"Meets","Fails"))</f>
        <v/>
      </c>
      <c r="F13" t="str">
        <f>IF(C13="","",IF(C13&gt;=Parameters!B$4-Parameters!B$5,"Meets","Fails"))</f>
        <v/>
      </c>
      <c r="G13" t="str">
        <f>IF(Tests!R16="No","Not used: "&amp;Tests!S16,TRIM(Tests!M16&amp;" "&amp;Tests!Q16))</f>
        <v>Not used: Tested outside the 20 hour age tolerance of 3.10.3</v>
      </c>
      <c r="H13" t="str">
        <f>IF(C13="","",COUNTIF($C$4:C13,"&gt;0"))</f>
        <v/>
      </c>
    </row>
    <row r="14" spans="1:8" x14ac:dyDescent="0.2">
      <c r="A14" t="s">
        <v>61</v>
      </c>
      <c r="B14" t="str">
        <f>Tests!B17</f>
        <v>P-13</v>
      </c>
      <c r="C14">
        <f>IF(Tests!R17="Yes",Tests!H17,"")</f>
        <v>4010</v>
      </c>
      <c r="D14" s="9">
        <f t="shared" si="0"/>
        <v>4150</v>
      </c>
      <c r="E14" t="str">
        <f>IF(D14="","",IF(D14&gt;=Parameters!B$4,"Meets","Fails"))</f>
        <v>Meets</v>
      </c>
      <c r="F14" t="str">
        <f>IF(C14="","",IF(C14&gt;=Parameters!B$4-Parameters!B$5,"Meets","Fails"))</f>
        <v>Meets</v>
      </c>
      <c r="G14" t="str">
        <f>IF(Tests!R17="No","Not used: "&amp;Tests!S17,TRIM(Tests!M17&amp;" "&amp;Tests!Q17))</f>
        <v>Curing excursion, counted</v>
      </c>
      <c r="H14">
        <f>IF(C14="","",COUNTIF($C$4:C14,"&gt;0"))</f>
        <v>9</v>
      </c>
    </row>
    <row r="16" spans="1:8" x14ac:dyDescent="0.2">
      <c r="A16" s="4" t="s">
        <v>232</v>
      </c>
    </row>
    <row r="17" spans="1:2" x14ac:dyDescent="0.2">
      <c r="A17" t="s">
        <v>233</v>
      </c>
      <c r="B17">
        <f>COUNTIF(C4:C14,"&gt;0")</f>
        <v>9</v>
      </c>
    </row>
    <row r="18" spans="1:2" x14ac:dyDescent="0.2">
      <c r="A18" t="s">
        <v>14</v>
      </c>
      <c r="B18">
        <f>MIN(C4:C14)</f>
        <v>3480</v>
      </c>
    </row>
    <row r="19" spans="1:2" x14ac:dyDescent="0.2">
      <c r="A19" t="s">
        <v>234</v>
      </c>
      <c r="B19">
        <f>COUNTIF(E4:E14,"Fails")</f>
        <v>3</v>
      </c>
    </row>
    <row r="20" spans="1:2" x14ac:dyDescent="0.2">
      <c r="A20" t="s">
        <v>235</v>
      </c>
      <c r="B20">
        <f>COUNTIF(F4:F14,"Fails")</f>
        <v>1</v>
      </c>
    </row>
    <row r="21" spans="1:2" x14ac:dyDescent="0.2">
      <c r="A21" t="s">
        <v>236</v>
      </c>
      <c r="B21" t="str">
        <f>IFERROR(INDEX(B4:B14,MATCH("Fails",F4:F14,0)),"None")</f>
        <v>P-05</v>
      </c>
    </row>
    <row r="22" spans="1:2" x14ac:dyDescent="0.2">
      <c r="A22" t="s">
        <v>18</v>
      </c>
      <c r="B22" t="str">
        <f>IF(B19+B20=0,"Meets 3.11.1","Does not meet 3.11.1")</f>
        <v>Does not meet 3.11.1</v>
      </c>
    </row>
    <row r="24" spans="1:2" x14ac:dyDescent="0.2">
      <c r="A24" t="s">
        <v>237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8"/>
  <sheetViews>
    <sheetView workbookViewId="0"/>
  </sheetViews>
  <sheetFormatPr baseColWidth="10" defaultColWidth="8.83203125" defaultRowHeight="15" x14ac:dyDescent="0.2"/>
  <cols>
    <col min="1" max="1" width="8" customWidth="1"/>
    <col min="2" max="2" width="13" customWidth="1"/>
    <col min="3" max="4" width="17" customWidth="1"/>
    <col min="5" max="6" width="14" customWidth="1"/>
    <col min="7" max="7" width="44" customWidth="1"/>
  </cols>
  <sheetData>
    <row r="1" spans="1:8" ht="17" x14ac:dyDescent="0.2">
      <c r="A1" s="1" t="s">
        <v>238</v>
      </c>
    </row>
    <row r="3" spans="1:8" x14ac:dyDescent="0.2">
      <c r="A3" s="2" t="s">
        <v>126</v>
      </c>
      <c r="B3" s="2" t="s">
        <v>68</v>
      </c>
      <c r="C3" s="2" t="s">
        <v>213</v>
      </c>
      <c r="D3" s="2" t="s">
        <v>227</v>
      </c>
      <c r="E3" s="2" t="s">
        <v>228</v>
      </c>
      <c r="F3" s="2" t="s">
        <v>229</v>
      </c>
      <c r="G3" s="2" t="s">
        <v>230</v>
      </c>
      <c r="H3" s="4" t="s">
        <v>231</v>
      </c>
    </row>
    <row r="4" spans="1:8" x14ac:dyDescent="0.2">
      <c r="A4" t="s">
        <v>150</v>
      </c>
      <c r="B4" t="str">
        <f>Tests!B6</f>
        <v>P-03</v>
      </c>
      <c r="C4">
        <f>IF(Tests!R6="Yes",Tests!H6,"")</f>
        <v>6440</v>
      </c>
      <c r="D4" s="9" t="str">
        <f>IF(C4="","",IF(H4&lt;3,"",ROUND(AVERAGE(IF(1,C4), INDEX($C$4:$C$8,MATCH(H4-1,$H$4:$H$8,0)), INDEX($C$4:$C$8,MATCH(H4-2,$H$4:$H$8,0))),1)))</f>
        <v/>
      </c>
      <c r="E4" t="str">
        <f>IF(D4="","",IF(D4&gt;=Parameters!C$4,"Meets","Fails"))</f>
        <v/>
      </c>
      <c r="F4" t="str">
        <f>IF(C4="","",IF(C4&gt;=Parameters!C$4-Parameters!C$5,"Meets","Fails"))</f>
        <v>Meets</v>
      </c>
      <c r="G4" t="str">
        <f>IF(Tests!R6="No","Not used: "&amp;Tests!S6,TRIM(Tests!M6&amp;" "&amp;Tests!Q6))</f>
        <v/>
      </c>
      <c r="H4">
        <f>IF(C4="","",COUNTIF($C$4:C4,"&gt;0"))</f>
        <v>1</v>
      </c>
    </row>
    <row r="5" spans="1:8" x14ac:dyDescent="0.2">
      <c r="A5" t="s">
        <v>166</v>
      </c>
      <c r="B5" t="str">
        <f>Tests!B10</f>
        <v>P-06</v>
      </c>
      <c r="C5">
        <f>IF(Tests!R10="Yes",Tests!H10,"")</f>
        <v>6130</v>
      </c>
      <c r="D5" s="9" t="str">
        <f>IF(C5="","",IF(H5&lt;3,"",ROUND(AVERAGE(IF(1,C5), INDEX($C$4:$C$8,MATCH(H5-1,$H$4:$H$8,0)), INDEX($C$4:$C$8,MATCH(H5-2,$H$4:$H$8,0))),1)))</f>
        <v/>
      </c>
      <c r="E5" t="str">
        <f>IF(D5="","",IF(D5&gt;=Parameters!C$4,"Meets","Fails"))</f>
        <v/>
      </c>
      <c r="F5" t="str">
        <f>IF(C5="","",IF(C5&gt;=Parameters!C$4-Parameters!C$5,"Meets","Fails"))</f>
        <v>Meets</v>
      </c>
      <c r="G5" t="str">
        <f>IF(Tests!R10="No","Not used: "&amp;Tests!S10,TRIM(Tests!M10&amp;" "&amp;Tests!Q10))</f>
        <v/>
      </c>
      <c r="H5">
        <f>IF(C5="","",COUNTIF($C$4:C5,"&gt;0"))</f>
        <v>2</v>
      </c>
    </row>
    <row r="6" spans="1:8" x14ac:dyDescent="0.2">
      <c r="A6" t="s">
        <v>184</v>
      </c>
      <c r="B6" t="str">
        <f>Tests!B14</f>
        <v>P-10</v>
      </c>
      <c r="C6">
        <f>IF(Tests!R14="Yes",Tests!H14,"")</f>
        <v>5370</v>
      </c>
      <c r="D6" s="9">
        <f>IF(C6="","",IF(H6&lt;3,"",ROUND(AVERAGE(IF(1,C6), INDEX($C$4:$C$8,MATCH(H6-1,$H$4:$H$8,0)), INDEX($C$4:$C$8,MATCH(H6-2,$H$4:$H$8,0))),1)))</f>
        <v>5980</v>
      </c>
      <c r="E6" t="str">
        <f>IF(D6="","",IF(D6&gt;=Parameters!C$4,"Meets","Fails"))</f>
        <v>Fails</v>
      </c>
      <c r="F6" t="str">
        <f>IF(C6="","",IF(C6&gt;=Parameters!C$4-Parameters!C$5,"Meets","Fails"))</f>
        <v>Fails</v>
      </c>
      <c r="G6" t="str">
        <f>IF(Tests!R14="No","Not used: "&amp;Tests!S14,TRIM(Tests!M14&amp;" "&amp;Tests!Q14))</f>
        <v/>
      </c>
      <c r="H6">
        <f>IF(C6="","",COUNTIF($C$4:C6,"&gt;0"))</f>
        <v>3</v>
      </c>
    </row>
    <row r="7" spans="1:8" x14ac:dyDescent="0.2">
      <c r="A7" t="s">
        <v>200</v>
      </c>
      <c r="B7" t="str">
        <f>Tests!B18</f>
        <v>P-14</v>
      </c>
      <c r="C7">
        <f>IF(Tests!R18="Yes",Tests!H18,"")</f>
        <v>5980</v>
      </c>
      <c r="D7" s="9">
        <f>IF(C7="","",IF(H7&lt;3,"",ROUND(AVERAGE(IF(1,C7), INDEX($C$4:$C$8,MATCH(H7-1,$H$4:$H$8,0)), INDEX($C$4:$C$8,MATCH(H7-2,$H$4:$H$8,0))),1)))</f>
        <v>5826.7</v>
      </c>
      <c r="E7" t="str">
        <f>IF(D7="","",IF(D7&gt;=Parameters!C$4,"Meets","Fails"))</f>
        <v>Fails</v>
      </c>
      <c r="F7" t="str">
        <f>IF(C7="","",IF(C7&gt;=Parameters!C$4-Parameters!C$5,"Meets","Fails"))</f>
        <v>Meets</v>
      </c>
      <c r="G7" t="str">
        <f>IF(Tests!R18="No","Not used: "&amp;Tests!S18,TRIM(Tests!M18&amp;" "&amp;Tests!Q18))</f>
        <v/>
      </c>
      <c r="H7">
        <f>IF(C7="","",COUNTIF($C$4:C7,"&gt;0"))</f>
        <v>4</v>
      </c>
    </row>
    <row r="8" spans="1:8" x14ac:dyDescent="0.2">
      <c r="A8" t="s">
        <v>205</v>
      </c>
      <c r="B8" t="str">
        <f>Tests!B19</f>
        <v>P-15</v>
      </c>
      <c r="C8">
        <f>IF(Tests!R19="Yes",Tests!H19,"")</f>
        <v>6290</v>
      </c>
      <c r="D8" s="9">
        <f>IF(C8="","",IF(H8&lt;3,"",ROUND(AVERAGE(IF(1,C8), INDEX($C$4:$C$8,MATCH(H8-1,$H$4:$H$8,0)), INDEX($C$4:$C$8,MATCH(H8-2,$H$4:$H$8,0))),1)))</f>
        <v>5880</v>
      </c>
      <c r="E8" t="str">
        <f>IF(D8="","",IF(D8&gt;=Parameters!C$4,"Meets","Fails"))</f>
        <v>Fails</v>
      </c>
      <c r="F8" t="str">
        <f>IF(C8="","",IF(C8&gt;=Parameters!C$4-Parameters!C$5,"Meets","Fails"))</f>
        <v>Meets</v>
      </c>
      <c r="G8" t="str">
        <f>IF(Tests!R19="No","Not used: "&amp;Tests!S19,TRIM(Tests!M19&amp;" "&amp;Tests!Q19))</f>
        <v/>
      </c>
      <c r="H8">
        <f>IF(C8="","",COUNTIF($C$4:C8,"&gt;0"))</f>
        <v>5</v>
      </c>
    </row>
    <row r="10" spans="1:8" x14ac:dyDescent="0.2">
      <c r="A10" s="4" t="s">
        <v>232</v>
      </c>
    </row>
    <row r="11" spans="1:8" x14ac:dyDescent="0.2">
      <c r="A11" t="s">
        <v>233</v>
      </c>
      <c r="B11">
        <f>COUNTIF(C4:C8,"&gt;0")</f>
        <v>5</v>
      </c>
    </row>
    <row r="12" spans="1:8" x14ac:dyDescent="0.2">
      <c r="A12" t="s">
        <v>14</v>
      </c>
      <c r="B12">
        <f>MIN(C4:C8)</f>
        <v>5370</v>
      </c>
    </row>
    <row r="13" spans="1:8" x14ac:dyDescent="0.2">
      <c r="A13" t="s">
        <v>234</v>
      </c>
      <c r="B13">
        <f>COUNTIF(E4:E8,"Fails")</f>
        <v>3</v>
      </c>
    </row>
    <row r="14" spans="1:8" x14ac:dyDescent="0.2">
      <c r="A14" t="s">
        <v>235</v>
      </c>
      <c r="B14">
        <f>COUNTIF(F4:F8,"Fails")</f>
        <v>1</v>
      </c>
    </row>
    <row r="15" spans="1:8" x14ac:dyDescent="0.2">
      <c r="A15" t="s">
        <v>236</v>
      </c>
      <c r="B15" t="str">
        <f>IFERROR(INDEX(B4:B8,MATCH("Fails",F4:F8,0)),"None")</f>
        <v>P-10</v>
      </c>
    </row>
    <row r="16" spans="1:8" x14ac:dyDescent="0.2">
      <c r="A16" t="s">
        <v>18</v>
      </c>
      <c r="B16" t="str">
        <f>IF(B13+B14=0,"Meets 3.11.1","Does not meet 3.11.1")</f>
        <v>Does not meet 3.11.1</v>
      </c>
    </row>
    <row r="18" spans="1:1" x14ac:dyDescent="0.2">
      <c r="A18" t="s">
        <v>237</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2"/>
  <sheetViews>
    <sheetView workbookViewId="0"/>
  </sheetViews>
  <sheetFormatPr baseColWidth="10" defaultColWidth="8.83203125" defaultRowHeight="15" x14ac:dyDescent="0.2"/>
  <cols>
    <col min="1" max="1" width="14" customWidth="1"/>
    <col min="2" max="2" width="12" customWidth="1"/>
    <col min="3" max="3" width="10" customWidth="1"/>
    <col min="4" max="4" width="12" customWidth="1"/>
    <col min="5" max="5" width="15" customWidth="1"/>
    <col min="6" max="7" width="11" customWidth="1"/>
    <col min="8" max="8" width="18" customWidth="1"/>
    <col min="9" max="9" width="10" customWidth="1"/>
    <col min="10" max="10" width="9" customWidth="1"/>
    <col min="11" max="11" width="8" customWidth="1"/>
    <col min="12" max="12" width="30" customWidth="1"/>
  </cols>
  <sheetData>
    <row r="1" spans="1:14" ht="17" x14ac:dyDescent="0.2">
      <c r="A1" s="1" t="s">
        <v>239</v>
      </c>
    </row>
    <row r="3" spans="1:14" x14ac:dyDescent="0.2">
      <c r="A3" s="2" t="s">
        <v>68</v>
      </c>
      <c r="B3" s="2" t="s">
        <v>69</v>
      </c>
      <c r="C3" s="2" t="s">
        <v>71</v>
      </c>
      <c r="D3" s="2" t="s">
        <v>72</v>
      </c>
      <c r="E3" s="2" t="s">
        <v>240</v>
      </c>
      <c r="F3" s="2" t="s">
        <v>241</v>
      </c>
      <c r="G3" s="2" t="s">
        <v>242</v>
      </c>
      <c r="H3" s="2" t="s">
        <v>243</v>
      </c>
      <c r="I3" s="2" t="s">
        <v>73</v>
      </c>
      <c r="J3" s="2" t="s">
        <v>74</v>
      </c>
      <c r="K3" s="2" t="s">
        <v>244</v>
      </c>
      <c r="L3" s="2" t="s">
        <v>245</v>
      </c>
      <c r="N3" s="4" t="s">
        <v>246</v>
      </c>
    </row>
    <row r="4" spans="1:14" x14ac:dyDescent="0.2">
      <c r="A4" t="str">
        <f>Placements!A4</f>
        <v>P-01</v>
      </c>
      <c r="B4" t="str">
        <f>Placements!B4</f>
        <v>08/03/2026</v>
      </c>
      <c r="C4" t="str">
        <f>Placements!D4</f>
        <v>M-4000</v>
      </c>
      <c r="D4">
        <f>Placements!E4</f>
        <v>142</v>
      </c>
      <c r="E4">
        <f>ROUNDUP(D4/Parameters!$B$15,0)</f>
        <v>1</v>
      </c>
      <c r="F4">
        <f>COUNTIF(Tests!$B$4:$B$19,A4)</f>
        <v>1</v>
      </c>
      <c r="G4">
        <f>COUNTIFS(Tests!$B$4:$B$19,A4,Tests!$R$4:$R$19,"Yes")</f>
        <v>1</v>
      </c>
      <c r="H4" t="str">
        <f t="shared" ref="H4:H19" si="0">IF(F4&lt;E4,"Short by "&amp;(E4-F4),"Meets")</f>
        <v>Meets</v>
      </c>
      <c r="I4">
        <f>Placements!F4</f>
        <v>4.25</v>
      </c>
      <c r="J4">
        <f>Placements!G4</f>
        <v>6.2</v>
      </c>
      <c r="K4">
        <f>Placements!H4</f>
        <v>74</v>
      </c>
      <c r="L4" t="str">
        <f>IF(OR(I4&lt;IF(C4="M-4000",Parameters!$B$8,Parameters!$C$8),I4&gt;IF(C4="M-4000",Parameters!$B$9,Parameters!$C$9)),"Slump outside 2.4",IF(OR(J4&lt;IF(C4="M-4000",Parameters!$B$10,Parameters!$C$10),J4&gt;IF(C4="M-4000",Parameters!$B$11,Parameters!$C$11)),"Air outside 2.4",IF(K4&gt;IF(C4="M-4000",Parameters!$B$12,Parameters!$C$12),"Temperature outside 2.4","Within 2.4")))</f>
        <v>Within 2.4</v>
      </c>
    </row>
    <row r="5" spans="1:14" x14ac:dyDescent="0.2">
      <c r="A5" t="str">
        <f>Placements!A5</f>
        <v>P-02</v>
      </c>
      <c r="B5" t="str">
        <f>Placements!B5</f>
        <v>08/05/2026</v>
      </c>
      <c r="C5" t="str">
        <f>Placements!D5</f>
        <v>M-4000</v>
      </c>
      <c r="D5">
        <f>Placements!E5</f>
        <v>138</v>
      </c>
      <c r="E5">
        <f>ROUNDUP(D5/Parameters!$B$15,0)</f>
        <v>1</v>
      </c>
      <c r="F5">
        <f>COUNTIF(Tests!$B$4:$B$19,A5)</f>
        <v>1</v>
      </c>
      <c r="G5">
        <f>COUNTIFS(Tests!$B$4:$B$19,A5,Tests!$R$4:$R$19,"Yes")</f>
        <v>1</v>
      </c>
      <c r="H5" t="str">
        <f t="shared" si="0"/>
        <v>Meets</v>
      </c>
      <c r="I5">
        <f>Placements!F5</f>
        <v>4.5</v>
      </c>
      <c r="J5">
        <f>Placements!G5</f>
        <v>5.8</v>
      </c>
      <c r="K5">
        <f>Placements!H5</f>
        <v>76</v>
      </c>
      <c r="L5" t="str">
        <f>IF(OR(I5&lt;IF(C5="M-4000",Parameters!$B$8,Parameters!$C$8),I5&gt;IF(C5="M-4000",Parameters!$B$9,Parameters!$C$9)),"Slump outside 2.4",IF(OR(J5&lt;IF(C5="M-4000",Parameters!$B$10,Parameters!$C$10),J5&gt;IF(C5="M-4000",Parameters!$B$11,Parameters!$C$11)),"Air outside 2.4",IF(K5&gt;IF(C5="M-4000",Parameters!$B$12,Parameters!$C$12),"Temperature outside 2.4","Within 2.4")))</f>
        <v>Within 2.4</v>
      </c>
    </row>
    <row r="6" spans="1:14" x14ac:dyDescent="0.2">
      <c r="A6" t="str">
        <f>Placements!A6</f>
        <v>P-03</v>
      </c>
      <c r="B6" t="str">
        <f>Placements!B6</f>
        <v>08/06/2026</v>
      </c>
      <c r="C6" t="str">
        <f>Placements!D6</f>
        <v>M-6000</v>
      </c>
      <c r="D6">
        <f>Placements!E6</f>
        <v>38</v>
      </c>
      <c r="E6">
        <f>ROUNDUP(D6/Parameters!$B$15,0)</f>
        <v>1</v>
      </c>
      <c r="F6">
        <f>COUNTIF(Tests!$B$4:$B$19,A6)</f>
        <v>1</v>
      </c>
      <c r="G6">
        <f>COUNTIFS(Tests!$B$4:$B$19,A6,Tests!$R$4:$R$19,"Yes")</f>
        <v>1</v>
      </c>
      <c r="H6" t="str">
        <f t="shared" si="0"/>
        <v>Meets</v>
      </c>
      <c r="I6">
        <f>Placements!F6</f>
        <v>6</v>
      </c>
      <c r="J6">
        <f>Placements!G6</f>
        <v>3.1</v>
      </c>
      <c r="K6">
        <f>Placements!H6</f>
        <v>78</v>
      </c>
      <c r="L6" t="str">
        <f>IF(OR(I6&lt;IF(C6="M-4000",Parameters!$B$8,Parameters!$C$8),I6&gt;IF(C6="M-4000",Parameters!$B$9,Parameters!$C$9)),"Slump outside 2.4",IF(OR(J6&lt;IF(C6="M-4000",Parameters!$B$10,Parameters!$C$10),J6&gt;IF(C6="M-4000",Parameters!$B$11,Parameters!$C$11)),"Air outside 2.4",IF(K6&gt;IF(C6="M-4000",Parameters!$B$12,Parameters!$C$12),"Temperature outside 2.4","Within 2.4")))</f>
        <v>Within 2.4</v>
      </c>
    </row>
    <row r="7" spans="1:14" x14ac:dyDescent="0.2">
      <c r="A7" t="str">
        <f>Placements!A7</f>
        <v>P-04</v>
      </c>
      <c r="B7" t="str">
        <f>Placements!B7</f>
        <v>08/10/2026</v>
      </c>
      <c r="C7" t="str">
        <f>Placements!D7</f>
        <v>M-4000</v>
      </c>
      <c r="D7">
        <f>Placements!E7</f>
        <v>320</v>
      </c>
      <c r="E7">
        <f>ROUNDUP(D7/Parameters!$B$15,0)</f>
        <v>3</v>
      </c>
      <c r="F7">
        <f>COUNTIF(Tests!$B$4:$B$19,A7)</f>
        <v>2</v>
      </c>
      <c r="G7">
        <f>COUNTIFS(Tests!$B$4:$B$19,A7,Tests!$R$4:$R$19,"Yes")</f>
        <v>2</v>
      </c>
      <c r="H7" t="str">
        <f t="shared" si="0"/>
        <v>Short by 1</v>
      </c>
      <c r="I7">
        <f>Placements!F7</f>
        <v>4</v>
      </c>
      <c r="J7">
        <f>Placements!G7</f>
        <v>6.4</v>
      </c>
      <c r="K7">
        <f>Placements!H7</f>
        <v>79</v>
      </c>
      <c r="L7" t="str">
        <f>IF(OR(I7&lt;IF(C7="M-4000",Parameters!$B$8,Parameters!$C$8),I7&gt;IF(C7="M-4000",Parameters!$B$9,Parameters!$C$9)),"Slump outside 2.4",IF(OR(J7&lt;IF(C7="M-4000",Parameters!$B$10,Parameters!$C$10),J7&gt;IF(C7="M-4000",Parameters!$B$11,Parameters!$C$11)),"Air outside 2.4",IF(K7&gt;IF(C7="M-4000",Parameters!$B$12,Parameters!$C$12),"Temperature outside 2.4","Within 2.4")))</f>
        <v>Within 2.4</v>
      </c>
    </row>
    <row r="8" spans="1:14" x14ac:dyDescent="0.2">
      <c r="A8" t="str">
        <f>Placements!A8</f>
        <v>P-05</v>
      </c>
      <c r="B8" t="str">
        <f>Placements!B8</f>
        <v>08/12/2026</v>
      </c>
      <c r="C8" t="str">
        <f>Placements!D8</f>
        <v>M-4000</v>
      </c>
      <c r="D8">
        <f>Placements!E8</f>
        <v>146</v>
      </c>
      <c r="E8">
        <f>ROUNDUP(D8/Parameters!$B$15,0)</f>
        <v>1</v>
      </c>
      <c r="F8">
        <f>COUNTIF(Tests!$B$4:$B$19,A8)</f>
        <v>1</v>
      </c>
      <c r="G8">
        <f>COUNTIFS(Tests!$B$4:$B$19,A8,Tests!$R$4:$R$19,"Yes")</f>
        <v>1</v>
      </c>
      <c r="H8" t="str">
        <f t="shared" si="0"/>
        <v>Meets</v>
      </c>
      <c r="I8">
        <f>Placements!F8</f>
        <v>5</v>
      </c>
      <c r="J8">
        <f>Placements!G8</f>
        <v>5.9</v>
      </c>
      <c r="K8">
        <f>Placements!H8</f>
        <v>81</v>
      </c>
      <c r="L8" t="str">
        <f>IF(OR(I8&lt;IF(C8="M-4000",Parameters!$B$8,Parameters!$C$8),I8&gt;IF(C8="M-4000",Parameters!$B$9,Parameters!$C$9)),"Slump outside 2.4",IF(OR(J8&lt;IF(C8="M-4000",Parameters!$B$10,Parameters!$C$10),J8&gt;IF(C8="M-4000",Parameters!$B$11,Parameters!$C$11)),"Air outside 2.4",IF(K8&gt;IF(C8="M-4000",Parameters!$B$12,Parameters!$C$12),"Temperature outside 2.4","Within 2.4")))</f>
        <v>Within 2.4</v>
      </c>
    </row>
    <row r="9" spans="1:14" x14ac:dyDescent="0.2">
      <c r="A9" t="str">
        <f>Placements!A9</f>
        <v>P-06</v>
      </c>
      <c r="B9" t="str">
        <f>Placements!B9</f>
        <v>08/13/2026</v>
      </c>
      <c r="C9" t="str">
        <f>Placements!D9</f>
        <v>M-6000</v>
      </c>
      <c r="D9">
        <f>Placements!E9</f>
        <v>41</v>
      </c>
      <c r="E9">
        <f>ROUNDUP(D9/Parameters!$B$15,0)</f>
        <v>1</v>
      </c>
      <c r="F9">
        <f>COUNTIF(Tests!$B$4:$B$19,A9)</f>
        <v>1</v>
      </c>
      <c r="G9">
        <f>COUNTIFS(Tests!$B$4:$B$19,A9,Tests!$R$4:$R$19,"Yes")</f>
        <v>1</v>
      </c>
      <c r="H9" t="str">
        <f t="shared" si="0"/>
        <v>Meets</v>
      </c>
      <c r="I9">
        <f>Placements!F9</f>
        <v>5.5</v>
      </c>
      <c r="J9">
        <f>Placements!G9</f>
        <v>2.8</v>
      </c>
      <c r="K9">
        <f>Placements!H9</f>
        <v>77</v>
      </c>
      <c r="L9" t="str">
        <f>IF(OR(I9&lt;IF(C9="M-4000",Parameters!$B$8,Parameters!$C$8),I9&gt;IF(C9="M-4000",Parameters!$B$9,Parameters!$C$9)),"Slump outside 2.4",IF(OR(J9&lt;IF(C9="M-4000",Parameters!$B$10,Parameters!$C$10),J9&gt;IF(C9="M-4000",Parameters!$B$11,Parameters!$C$11)),"Air outside 2.4",IF(K9&gt;IF(C9="M-4000",Parameters!$B$12,Parameters!$C$12),"Temperature outside 2.4","Within 2.4")))</f>
        <v>Within 2.4</v>
      </c>
    </row>
    <row r="10" spans="1:14" x14ac:dyDescent="0.2">
      <c r="A10" t="str">
        <f>Placements!A10</f>
        <v>P-07</v>
      </c>
      <c r="B10" t="str">
        <f>Placements!B10</f>
        <v>08/14/2026</v>
      </c>
      <c r="C10" t="str">
        <f>Placements!D10</f>
        <v>M-4000</v>
      </c>
      <c r="D10">
        <f>Placements!E10</f>
        <v>140</v>
      </c>
      <c r="E10">
        <f>ROUNDUP(D10/Parameters!$B$15,0)</f>
        <v>1</v>
      </c>
      <c r="F10">
        <f>COUNTIF(Tests!$B$4:$B$19,A10)</f>
        <v>1</v>
      </c>
      <c r="G10">
        <f>COUNTIFS(Tests!$B$4:$B$19,A10,Tests!$R$4:$R$19,"Yes")</f>
        <v>1</v>
      </c>
      <c r="H10" t="str">
        <f t="shared" si="0"/>
        <v>Meets</v>
      </c>
      <c r="I10">
        <f>Placements!F10</f>
        <v>4.75</v>
      </c>
      <c r="J10">
        <f>Placements!G10</f>
        <v>7.8</v>
      </c>
      <c r="K10">
        <f>Placements!H10</f>
        <v>80</v>
      </c>
      <c r="L10" t="str">
        <f>IF(OR(I10&lt;IF(C10="M-4000",Parameters!$B$8,Parameters!$C$8),I10&gt;IF(C10="M-4000",Parameters!$B$9,Parameters!$C$9)),"Slump outside 2.4",IF(OR(J10&lt;IF(C10="M-4000",Parameters!$B$10,Parameters!$C$10),J10&gt;IF(C10="M-4000",Parameters!$B$11,Parameters!$C$11)),"Air outside 2.4",IF(K10&gt;IF(C10="M-4000",Parameters!$B$12,Parameters!$C$12),"Temperature outside 2.4","Within 2.4")))</f>
        <v>Air outside 2.4</v>
      </c>
    </row>
    <row r="11" spans="1:14" x14ac:dyDescent="0.2">
      <c r="A11" t="str">
        <f>Placements!A11</f>
        <v>P-08</v>
      </c>
      <c r="B11" t="str">
        <f>Placements!B11</f>
        <v>08/17/2026</v>
      </c>
      <c r="C11" t="str">
        <f>Placements!D11</f>
        <v>M-4000</v>
      </c>
      <c r="D11">
        <f>Placements!E11</f>
        <v>151</v>
      </c>
      <c r="E11">
        <f>ROUNDUP(D11/Parameters!$B$15,0)</f>
        <v>2</v>
      </c>
      <c r="F11">
        <f>COUNTIF(Tests!$B$4:$B$19,A11)</f>
        <v>1</v>
      </c>
      <c r="G11">
        <f>COUNTIFS(Tests!$B$4:$B$19,A11,Tests!$R$4:$R$19,"Yes")</f>
        <v>1</v>
      </c>
      <c r="H11" t="str">
        <f t="shared" si="0"/>
        <v>Short by 1</v>
      </c>
      <c r="I11">
        <f>Placements!F11</f>
        <v>4.25</v>
      </c>
      <c r="J11">
        <f>Placements!G11</f>
        <v>6.1</v>
      </c>
      <c r="K11">
        <f>Placements!H11</f>
        <v>75</v>
      </c>
      <c r="L11" t="str">
        <f>IF(OR(I11&lt;IF(C11="M-4000",Parameters!$B$8,Parameters!$C$8),I11&gt;IF(C11="M-4000",Parameters!$B$9,Parameters!$C$9)),"Slump outside 2.4",IF(OR(J11&lt;IF(C11="M-4000",Parameters!$B$10,Parameters!$C$10),J11&gt;IF(C11="M-4000",Parameters!$B$11,Parameters!$C$11)),"Air outside 2.4",IF(K11&gt;IF(C11="M-4000",Parameters!$B$12,Parameters!$C$12),"Temperature outside 2.4","Within 2.4")))</f>
        <v>Within 2.4</v>
      </c>
    </row>
    <row r="12" spans="1:14" x14ac:dyDescent="0.2">
      <c r="A12" t="str">
        <f>Placements!A12</f>
        <v>P-09</v>
      </c>
      <c r="B12" t="str">
        <f>Placements!B12</f>
        <v>08/19/2026</v>
      </c>
      <c r="C12" t="str">
        <f>Placements!D12</f>
        <v>M-4000</v>
      </c>
      <c r="D12">
        <f>Placements!E12</f>
        <v>149</v>
      </c>
      <c r="E12">
        <f>ROUNDUP(D12/Parameters!$B$15,0)</f>
        <v>1</v>
      </c>
      <c r="F12">
        <f>COUNTIF(Tests!$B$4:$B$19,A12)</f>
        <v>1</v>
      </c>
      <c r="G12">
        <f>COUNTIFS(Tests!$B$4:$B$19,A12,Tests!$R$4:$R$19,"Yes")</f>
        <v>1</v>
      </c>
      <c r="H12" t="str">
        <f t="shared" si="0"/>
        <v>Meets</v>
      </c>
      <c r="I12">
        <f>Placements!F12</f>
        <v>4.5</v>
      </c>
      <c r="J12">
        <f>Placements!G12</f>
        <v>5.6</v>
      </c>
      <c r="K12">
        <f>Placements!H12</f>
        <v>73</v>
      </c>
      <c r="L12" t="str">
        <f>IF(OR(I12&lt;IF(C12="M-4000",Parameters!$B$8,Parameters!$C$8),I12&gt;IF(C12="M-4000",Parameters!$B$9,Parameters!$C$9)),"Slump outside 2.4",IF(OR(J12&lt;IF(C12="M-4000",Parameters!$B$10,Parameters!$C$10),J12&gt;IF(C12="M-4000",Parameters!$B$11,Parameters!$C$11)),"Air outside 2.4",IF(K12&gt;IF(C12="M-4000",Parameters!$B$12,Parameters!$C$12),"Temperature outside 2.4","Within 2.4")))</f>
        <v>Within 2.4</v>
      </c>
    </row>
    <row r="13" spans="1:14" x14ac:dyDescent="0.2">
      <c r="A13" t="str">
        <f>Placements!A13</f>
        <v>P-10</v>
      </c>
      <c r="B13" t="str">
        <f>Placements!B13</f>
        <v>08/20/2026</v>
      </c>
      <c r="C13" t="str">
        <f>Placements!D13</f>
        <v>M-6000</v>
      </c>
      <c r="D13">
        <f>Placements!E13</f>
        <v>36</v>
      </c>
      <c r="E13">
        <f>ROUNDUP(D13/Parameters!$B$15,0)</f>
        <v>1</v>
      </c>
      <c r="F13">
        <f>COUNTIF(Tests!$B$4:$B$19,A13)</f>
        <v>1</v>
      </c>
      <c r="G13">
        <f>COUNTIFS(Tests!$B$4:$B$19,A13,Tests!$R$4:$R$19,"Yes")</f>
        <v>1</v>
      </c>
      <c r="H13" t="str">
        <f t="shared" si="0"/>
        <v>Meets</v>
      </c>
      <c r="I13">
        <f>Placements!F13</f>
        <v>6.5</v>
      </c>
      <c r="J13">
        <f>Placements!G13</f>
        <v>3.3</v>
      </c>
      <c r="K13">
        <f>Placements!H13</f>
        <v>79</v>
      </c>
      <c r="L13" t="str">
        <f>IF(OR(I13&lt;IF(C13="M-4000",Parameters!$B$8,Parameters!$C$8),I13&gt;IF(C13="M-4000",Parameters!$B$9,Parameters!$C$9)),"Slump outside 2.4",IF(OR(J13&lt;IF(C13="M-4000",Parameters!$B$10,Parameters!$C$10),J13&gt;IF(C13="M-4000",Parameters!$B$11,Parameters!$C$11)),"Air outside 2.4",IF(K13&gt;IF(C13="M-4000",Parameters!$B$12,Parameters!$C$12),"Temperature outside 2.4","Within 2.4")))</f>
        <v>Within 2.4</v>
      </c>
    </row>
    <row r="14" spans="1:14" x14ac:dyDescent="0.2">
      <c r="A14" t="str">
        <f>Placements!A14</f>
        <v>P-11</v>
      </c>
      <c r="B14" t="str">
        <f>Placements!B14</f>
        <v>08/21/2026</v>
      </c>
      <c r="C14" t="str">
        <f>Placements!D14</f>
        <v>M-4000</v>
      </c>
      <c r="D14">
        <f>Placements!E14</f>
        <v>96</v>
      </c>
      <c r="E14">
        <f>ROUNDUP(D14/Parameters!$B$15,0)</f>
        <v>1</v>
      </c>
      <c r="F14">
        <f>COUNTIF(Tests!$B$4:$B$19,A14)</f>
        <v>1</v>
      </c>
      <c r="G14">
        <f>COUNTIFS(Tests!$B$4:$B$19,A14,Tests!$R$4:$R$19,"Yes")</f>
        <v>0</v>
      </c>
      <c r="H14" t="str">
        <f t="shared" si="0"/>
        <v>Meets</v>
      </c>
      <c r="I14">
        <f>Placements!F14</f>
        <v>4</v>
      </c>
      <c r="J14">
        <f>Placements!G14</f>
        <v>6</v>
      </c>
      <c r="K14">
        <f>Placements!H14</f>
        <v>72</v>
      </c>
      <c r="L14" t="str">
        <f>IF(OR(I14&lt;IF(C14="M-4000",Parameters!$B$8,Parameters!$C$8),I14&gt;IF(C14="M-4000",Parameters!$B$9,Parameters!$C$9)),"Slump outside 2.4",IF(OR(J14&lt;IF(C14="M-4000",Parameters!$B$10,Parameters!$C$10),J14&gt;IF(C14="M-4000",Parameters!$B$11,Parameters!$C$11)),"Air outside 2.4",IF(K14&gt;IF(C14="M-4000",Parameters!$B$12,Parameters!$C$12),"Temperature outside 2.4","Within 2.4")))</f>
        <v>Within 2.4</v>
      </c>
    </row>
    <row r="15" spans="1:14" x14ac:dyDescent="0.2">
      <c r="A15" t="str">
        <f>Placements!A15</f>
        <v>P-12</v>
      </c>
      <c r="B15" t="str">
        <f>Placements!B15</f>
        <v>08/24/2026</v>
      </c>
      <c r="C15" t="str">
        <f>Placements!D15</f>
        <v>M-4000</v>
      </c>
      <c r="D15">
        <f>Placements!E15</f>
        <v>144</v>
      </c>
      <c r="E15">
        <f>ROUNDUP(D15/Parameters!$B$15,0)</f>
        <v>1</v>
      </c>
      <c r="F15">
        <f>COUNTIF(Tests!$B$4:$B$19,A15)</f>
        <v>1</v>
      </c>
      <c r="G15">
        <f>COUNTIFS(Tests!$B$4:$B$19,A15,Tests!$R$4:$R$19,"Yes")</f>
        <v>0</v>
      </c>
      <c r="H15" t="str">
        <f t="shared" si="0"/>
        <v>Meets</v>
      </c>
      <c r="I15">
        <f>Placements!F15</f>
        <v>4.5</v>
      </c>
      <c r="J15">
        <f>Placements!G15</f>
        <v>6.3</v>
      </c>
      <c r="K15">
        <f>Placements!H15</f>
        <v>74</v>
      </c>
      <c r="L15" t="str">
        <f>IF(OR(I15&lt;IF(C15="M-4000",Parameters!$B$8,Parameters!$C$8),I15&gt;IF(C15="M-4000",Parameters!$B$9,Parameters!$C$9)),"Slump outside 2.4",IF(OR(J15&lt;IF(C15="M-4000",Parameters!$B$10,Parameters!$C$10),J15&gt;IF(C15="M-4000",Parameters!$B$11,Parameters!$C$11)),"Air outside 2.4",IF(K15&gt;IF(C15="M-4000",Parameters!$B$12,Parameters!$C$12),"Temperature outside 2.4","Within 2.4")))</f>
        <v>Within 2.4</v>
      </c>
    </row>
    <row r="16" spans="1:14" x14ac:dyDescent="0.2">
      <c r="A16" t="str">
        <f>Placements!A16</f>
        <v>P-13</v>
      </c>
      <c r="B16" t="str">
        <f>Placements!B16</f>
        <v>08/26/2026</v>
      </c>
      <c r="C16" t="str">
        <f>Placements!D16</f>
        <v>M-4000</v>
      </c>
      <c r="D16">
        <f>Placements!E16</f>
        <v>139</v>
      </c>
      <c r="E16">
        <f>ROUNDUP(D16/Parameters!$B$15,0)</f>
        <v>1</v>
      </c>
      <c r="F16">
        <f>COUNTIF(Tests!$B$4:$B$19,A16)</f>
        <v>1</v>
      </c>
      <c r="G16">
        <f>COUNTIFS(Tests!$B$4:$B$19,A16,Tests!$R$4:$R$19,"Yes")</f>
        <v>1</v>
      </c>
      <c r="H16" t="str">
        <f t="shared" si="0"/>
        <v>Meets</v>
      </c>
      <c r="I16">
        <f>Placements!F16</f>
        <v>3.75</v>
      </c>
      <c r="J16">
        <f>Placements!G16</f>
        <v>5.7</v>
      </c>
      <c r="K16">
        <f>Placements!H16</f>
        <v>71</v>
      </c>
      <c r="L16" t="str">
        <f>IF(OR(I16&lt;IF(C16="M-4000",Parameters!$B$8,Parameters!$C$8),I16&gt;IF(C16="M-4000",Parameters!$B$9,Parameters!$C$9)),"Slump outside 2.4",IF(OR(J16&lt;IF(C16="M-4000",Parameters!$B$10,Parameters!$C$10),J16&gt;IF(C16="M-4000",Parameters!$B$11,Parameters!$C$11)),"Air outside 2.4",IF(K16&gt;IF(C16="M-4000",Parameters!$B$12,Parameters!$C$12),"Temperature outside 2.4","Within 2.4")))</f>
        <v>Within 2.4</v>
      </c>
    </row>
    <row r="17" spans="1:14" x14ac:dyDescent="0.2">
      <c r="A17" t="str">
        <f>Placements!A17</f>
        <v>P-14</v>
      </c>
      <c r="B17" t="str">
        <f>Placements!B17</f>
        <v>08/27/2026</v>
      </c>
      <c r="C17" t="str">
        <f>Placements!D17</f>
        <v>M-6000</v>
      </c>
      <c r="D17">
        <f>Placements!E17</f>
        <v>40</v>
      </c>
      <c r="E17">
        <f>ROUNDUP(D17/Parameters!$B$15,0)</f>
        <v>1</v>
      </c>
      <c r="F17">
        <f>COUNTIF(Tests!$B$4:$B$19,A17)</f>
        <v>1</v>
      </c>
      <c r="G17">
        <f>COUNTIFS(Tests!$B$4:$B$19,A17,Tests!$R$4:$R$19,"Yes")</f>
        <v>1</v>
      </c>
      <c r="H17" t="str">
        <f t="shared" si="0"/>
        <v>Meets</v>
      </c>
      <c r="I17">
        <f>Placements!F17</f>
        <v>5.75</v>
      </c>
      <c r="J17">
        <f>Placements!G17</f>
        <v>3</v>
      </c>
      <c r="K17">
        <f>Placements!H17</f>
        <v>76</v>
      </c>
      <c r="L17" t="str">
        <f>IF(OR(I17&lt;IF(C17="M-4000",Parameters!$B$8,Parameters!$C$8),I17&gt;IF(C17="M-4000",Parameters!$B$9,Parameters!$C$9)),"Slump outside 2.4",IF(OR(J17&lt;IF(C17="M-4000",Parameters!$B$10,Parameters!$C$10),J17&gt;IF(C17="M-4000",Parameters!$B$11,Parameters!$C$11)),"Air outside 2.4",IF(K17&gt;IF(C17="M-4000",Parameters!$B$12,Parameters!$C$12),"Temperature outside 2.4","Within 2.4")))</f>
        <v>Within 2.4</v>
      </c>
    </row>
    <row r="18" spans="1:14" x14ac:dyDescent="0.2">
      <c r="A18" t="str">
        <f>Placements!A18</f>
        <v>P-15</v>
      </c>
      <c r="B18" t="str">
        <f>Placements!B18</f>
        <v>09/03/2026</v>
      </c>
      <c r="C18" t="str">
        <f>Placements!D18</f>
        <v>M-6000</v>
      </c>
      <c r="D18">
        <f>Placements!E18</f>
        <v>52</v>
      </c>
      <c r="E18">
        <f>ROUNDUP(D18/Parameters!$B$15,0)</f>
        <v>1</v>
      </c>
      <c r="F18">
        <f>COUNTIF(Tests!$B$4:$B$19,A18)</f>
        <v>1</v>
      </c>
      <c r="G18">
        <f>COUNTIFS(Tests!$B$4:$B$19,A18,Tests!$R$4:$R$19,"Yes")</f>
        <v>1</v>
      </c>
      <c r="H18" t="str">
        <f t="shared" si="0"/>
        <v>Meets</v>
      </c>
      <c r="I18">
        <f>Placements!F18</f>
        <v>6.25</v>
      </c>
      <c r="J18">
        <f>Placements!G18</f>
        <v>2.6</v>
      </c>
      <c r="K18">
        <f>Placements!H18</f>
        <v>70</v>
      </c>
      <c r="L18" t="str">
        <f>IF(OR(I18&lt;IF(C18="M-4000",Parameters!$B$8,Parameters!$C$8),I18&gt;IF(C18="M-4000",Parameters!$B$9,Parameters!$C$9)),"Slump outside 2.4",IF(OR(J18&lt;IF(C18="M-4000",Parameters!$B$10,Parameters!$C$10),J18&gt;IF(C18="M-4000",Parameters!$B$11,Parameters!$C$11)),"Air outside 2.4",IF(K18&gt;IF(C18="M-4000",Parameters!$B$12,Parameters!$C$12),"Temperature outside 2.4","Within 2.4")))</f>
        <v>Within 2.4</v>
      </c>
    </row>
    <row r="19" spans="1:14" x14ac:dyDescent="0.2">
      <c r="A19" t="str">
        <f>Placements!A19</f>
        <v>P-16</v>
      </c>
      <c r="B19" t="str">
        <f>Placements!B19</f>
        <v>09/10/2026</v>
      </c>
      <c r="C19" t="str">
        <f>Placements!D19</f>
        <v>M-6000</v>
      </c>
      <c r="D19">
        <f>Placements!E19</f>
        <v>49</v>
      </c>
      <c r="E19">
        <f>ROUNDUP(D19/Parameters!$B$15,0)</f>
        <v>1</v>
      </c>
      <c r="F19">
        <f>COUNTIF(Tests!$B$4:$B$19,A19)</f>
        <v>0</v>
      </c>
      <c r="G19">
        <f>COUNTIFS(Tests!$B$4:$B$19,A19,Tests!$R$4:$R$19,"Yes")</f>
        <v>0</v>
      </c>
      <c r="H19" t="str">
        <f t="shared" si="0"/>
        <v>Short by 1</v>
      </c>
      <c r="I19">
        <f>Placements!F19</f>
        <v>6</v>
      </c>
      <c r="J19">
        <f>Placements!G19</f>
        <v>2.9</v>
      </c>
      <c r="K19">
        <f>Placements!H19</f>
        <v>68</v>
      </c>
      <c r="L19" t="str">
        <f>IF(OR(I19&lt;IF(C19="M-4000",Parameters!$B$8,Parameters!$C$8),I19&gt;IF(C19="M-4000",Parameters!$B$9,Parameters!$C$9)),"Slump outside 2.4",IF(OR(J19&lt;IF(C19="M-4000",Parameters!$B$10,Parameters!$C$10),J19&gt;IF(C19="M-4000",Parameters!$B$11,Parameters!$C$11)),"Air outside 2.4",IF(K19&gt;IF(C19="M-4000",Parameters!$B$12,Parameters!$C$12),"Temperature outside 2.4","Within 2.4")))</f>
        <v>Within 2.4</v>
      </c>
    </row>
    <row r="20" spans="1:14" x14ac:dyDescent="0.2">
      <c r="A20" s="4" t="s">
        <v>224</v>
      </c>
      <c r="D20">
        <f>SUM(D4:D19)</f>
        <v>1821</v>
      </c>
      <c r="E20">
        <f>SUM(E4:E19)</f>
        <v>19</v>
      </c>
      <c r="F20">
        <f>SUM(F4:F19)</f>
        <v>16</v>
      </c>
      <c r="G20">
        <f>SUM(G4:G19)</f>
        <v>14</v>
      </c>
      <c r="H20">
        <f>COUNTIF(H4:H19,"Short*")</f>
        <v>3</v>
      </c>
      <c r="L20">
        <f>COUNTIF(L4:L19,"*outside*")</f>
        <v>1</v>
      </c>
      <c r="N20" t="str">
        <f>TRIM(IF(H4="Meets","",A4&amp;" ")&amp;IF(H5="Meets","",A5&amp;" ")&amp;IF(H6="Meets","",A6&amp;" ")&amp;IF(H7="Meets","",A7&amp;" ")&amp;IF(H8="Meets","",A8&amp;" ")&amp;IF(H9="Meets","",A9&amp;" ")&amp;IF(H10="Meets","",A10&amp;" ")&amp;IF(H11="Meets","",A11&amp;" ")&amp;IF(H12="Meets","",A12&amp;" ")&amp;IF(H13="Meets","",A13&amp;" ")&amp;IF(H14="Meets","",A14&amp;" ")&amp;IF(H15="Meets","",A15&amp;" ")&amp;IF(H16="Meets","",A16&amp;" ")&amp;IF(H17="Meets","",A17&amp;" ")&amp;IF(H18="Meets","",A18&amp;" ")&amp;IF(H19="Meets","",A19&amp;" "))</f>
        <v>P-04 P-08 P-16</v>
      </c>
    </row>
    <row r="22" spans="1:14" x14ac:dyDescent="0.2">
      <c r="A22" t="s">
        <v>247</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0"/>
  <sheetViews>
    <sheetView workbookViewId="0"/>
  </sheetViews>
  <sheetFormatPr baseColWidth="10" defaultColWidth="8.83203125" defaultRowHeight="15" x14ac:dyDescent="0.2"/>
  <cols>
    <col min="1" max="1" width="120" customWidth="1"/>
  </cols>
  <sheetData>
    <row r="1" spans="1:1" ht="17" x14ac:dyDescent="0.2">
      <c r="A1" s="1" t="s">
        <v>248</v>
      </c>
    </row>
    <row r="3" spans="1:1" ht="64" x14ac:dyDescent="0.2">
      <c r="A3" s="10" t="s">
        <v>249</v>
      </c>
    </row>
    <row r="4" spans="1:1" ht="64" x14ac:dyDescent="0.2">
      <c r="A4" s="10" t="s">
        <v>250</v>
      </c>
    </row>
    <row r="5" spans="1:1" ht="64" x14ac:dyDescent="0.2">
      <c r="A5" s="10" t="s">
        <v>251</v>
      </c>
    </row>
    <row r="6" spans="1:1" ht="80" x14ac:dyDescent="0.2">
      <c r="A6" s="10" t="s">
        <v>252</v>
      </c>
    </row>
    <row r="7" spans="1:1" ht="64" x14ac:dyDescent="0.2">
      <c r="A7" s="10" t="s">
        <v>253</v>
      </c>
    </row>
    <row r="8" spans="1:1" ht="64" x14ac:dyDescent="0.2">
      <c r="A8" s="10" t="s">
        <v>254</v>
      </c>
    </row>
    <row r="9" spans="1:1" ht="80" x14ac:dyDescent="0.2">
      <c r="A9" s="10" t="s">
        <v>255</v>
      </c>
    </row>
    <row r="10" spans="1:1" ht="48" x14ac:dyDescent="0.2">
      <c r="A10" s="10" t="s">
        <v>256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Summary</vt:lpstr>
      <vt:lpstr>Parameters</vt:lpstr>
      <vt:lpstr>Placements</vt:lpstr>
      <vt:lpstr>Breaks</vt:lpstr>
      <vt:lpstr>Tests</vt:lpstr>
      <vt:lpstr>Acceptance M-4000</vt:lpstr>
      <vt:lpstr>Acceptance M-6000</vt:lpstr>
      <vt:lpstr>Sampling</vt:lpstr>
      <vt:lpstr>Note to Gunnar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Brekke Testing Laboratories</dc:creator>
  <dc:title xmlns:dc="http://purl.org/dc/elements/1.1/">Acceptance summary, project 2417, August and September 2026</dc:title>
  <dcterms:created xmlns:dcterms="http://purl.org/dc/terms/" xmlns:xsi="http://www.w3.org/2001/XMLSchema-instance" xsi:type="dcterms:W3CDTF">2026-10-15T08:02:33Z</dcterms:created>
  <dcterms:modified xmlns:dcterms="http://purl.org/dc/terms/" xmlns:xsi="http://www.w3.org/2001/XMLSchema-instance" xsi:type="dcterms:W3CDTF">2026-10-21T09:47:26Z</dcterms:modified>
  <cp:lastModifiedBy>Brekke Testing Laboratories</cp:lastModifiedBy>
</cp:coreProperties>
</file>