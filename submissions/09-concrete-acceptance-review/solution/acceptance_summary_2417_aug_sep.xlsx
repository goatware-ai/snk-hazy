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744F29A0-2003-0F45-B033-7495B555305E}" xr6:coauthVersionLast="47" xr6:coauthVersionMax="47" xr10:uidLastSave="{00000000-0000-0000-0000-000000000000}"/>
  <bookViews>
    <workbookView xWindow="0" yWindow="600" windowWidth="21600" windowHeight="36520" xr2:uid="{00000000-000D-0000-FFFF-FFFF00000000}"/>
  </bookViews>
  <sheets>
    <sheet name="Summary" sheetId="1" r:id="rId1"/>
    <sheet name="Parameters" sheetId="2" r:id="rId2"/>
    <sheet name="Placements" sheetId="3" r:id="rId3"/>
    <sheet name="Samples" sheetId="4" r:id="rId4"/>
    <sheet name="Cylinders" sheetId="5" r:id="rId5"/>
    <sheet name="Tests" sheetId="6" r:id="rId6"/>
    <sheet name="Acceptance decks" sheetId="7" r:id="rId7"/>
    <sheet name="Acceptance columns" sheetId="8" r:id="rId8"/>
    <sheet name="Sampling" sheetId="9" r:id="rId9"/>
    <sheet name="Note to Gunna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9" l="1"/>
  <c r="E24" i="9"/>
  <c r="G24" i="9" s="1"/>
  <c r="D24" i="9"/>
  <c r="F24" i="9" s="1"/>
  <c r="H24" i="9" s="1"/>
  <c r="E23" i="9"/>
  <c r="G23" i="9" s="1"/>
  <c r="D23" i="9"/>
  <c r="F23" i="9" s="1"/>
  <c r="H23" i="9" s="1"/>
  <c r="I22" i="9"/>
  <c r="E22" i="9"/>
  <c r="G22" i="9" s="1"/>
  <c r="D22" i="9"/>
  <c r="F22" i="9" s="1"/>
  <c r="H22" i="9" s="1"/>
  <c r="I21" i="9"/>
  <c r="E21" i="9"/>
  <c r="G21" i="9" s="1"/>
  <c r="D21" i="9"/>
  <c r="F21" i="9" s="1"/>
  <c r="H21" i="9" s="1"/>
  <c r="I20" i="9"/>
  <c r="E20" i="9"/>
  <c r="G20" i="9" s="1"/>
  <c r="D20" i="9"/>
  <c r="F20" i="9" s="1"/>
  <c r="H20" i="9" s="1"/>
  <c r="I19" i="9"/>
  <c r="E19" i="9"/>
  <c r="G19" i="9" s="1"/>
  <c r="D19" i="9"/>
  <c r="F19" i="9" s="1"/>
  <c r="H19" i="9" s="1"/>
  <c r="I18" i="9"/>
  <c r="E18" i="9"/>
  <c r="G18" i="9" s="1"/>
  <c r="D18" i="9"/>
  <c r="F18" i="9" s="1"/>
  <c r="H18" i="9" s="1"/>
  <c r="I17" i="9"/>
  <c r="E17" i="9"/>
  <c r="G17" i="9" s="1"/>
  <c r="D17" i="9"/>
  <c r="F17" i="9" s="1"/>
  <c r="H17" i="9" s="1"/>
  <c r="I16" i="9"/>
  <c r="E16" i="9"/>
  <c r="G16" i="9" s="1"/>
  <c r="D16" i="9"/>
  <c r="F16" i="9" s="1"/>
  <c r="H16" i="9" s="1"/>
  <c r="E15" i="9"/>
  <c r="G15" i="9" s="1"/>
  <c r="D15" i="9"/>
  <c r="F15" i="9" s="1"/>
  <c r="H15" i="9" s="1"/>
  <c r="E14" i="9"/>
  <c r="G14" i="9" s="1"/>
  <c r="D14" i="9"/>
  <c r="F14" i="9" s="1"/>
  <c r="H14" i="9" s="1"/>
  <c r="E13" i="9"/>
  <c r="G13" i="9" s="1"/>
  <c r="D13" i="9"/>
  <c r="F13" i="9" s="1"/>
  <c r="H13" i="9" s="1"/>
  <c r="E12" i="9"/>
  <c r="G12" i="9" s="1"/>
  <c r="D12" i="9"/>
  <c r="F12" i="9" s="1"/>
  <c r="H12" i="9" s="1"/>
  <c r="E11" i="9"/>
  <c r="G11" i="9" s="1"/>
  <c r="D11" i="9"/>
  <c r="F11" i="9" s="1"/>
  <c r="H11" i="9" s="1"/>
  <c r="E10" i="9"/>
  <c r="G10" i="9" s="1"/>
  <c r="D10" i="9"/>
  <c r="F10" i="9" s="1"/>
  <c r="H10" i="9" s="1"/>
  <c r="E9" i="9"/>
  <c r="G9" i="9" s="1"/>
  <c r="D9" i="9"/>
  <c r="F9" i="9" s="1"/>
  <c r="H9" i="9" s="1"/>
  <c r="E8" i="9"/>
  <c r="G8" i="9" s="1"/>
  <c r="D8" i="9"/>
  <c r="F8" i="9" s="1"/>
  <c r="H8" i="9" s="1"/>
  <c r="E7" i="9"/>
  <c r="G7" i="9" s="1"/>
  <c r="D7" i="9"/>
  <c r="F7" i="9" s="1"/>
  <c r="H7" i="9" s="1"/>
  <c r="E6" i="9"/>
  <c r="G6" i="9" s="1"/>
  <c r="D6" i="9"/>
  <c r="F6" i="9" s="1"/>
  <c r="H6" i="9" s="1"/>
  <c r="E5" i="9"/>
  <c r="G5" i="9" s="1"/>
  <c r="D5" i="9"/>
  <c r="F5" i="9" s="1"/>
  <c r="H5" i="9" s="1"/>
  <c r="E4" i="9"/>
  <c r="G4" i="9" s="1"/>
  <c r="D4" i="9"/>
  <c r="F4" i="9" s="1"/>
  <c r="H4" i="9" s="1"/>
  <c r="E15" i="8"/>
  <c r="D15" i="8"/>
  <c r="C15" i="8"/>
  <c r="B15" i="8"/>
  <c r="E14" i="8"/>
  <c r="D14" i="8"/>
  <c r="B14" i="8"/>
  <c r="B13" i="8"/>
  <c r="B12" i="8"/>
  <c r="B11" i="8"/>
  <c r="B10" i="8"/>
  <c r="E9" i="8"/>
  <c r="D9" i="8"/>
  <c r="C9" i="8"/>
  <c r="B9" i="8"/>
  <c r="E8" i="8"/>
  <c r="D8" i="8"/>
  <c r="C8" i="8"/>
  <c r="B8" i="8"/>
  <c r="B7" i="8"/>
  <c r="B6" i="8"/>
  <c r="K5" i="8"/>
  <c r="K4" i="8"/>
  <c r="B23" i="7"/>
  <c r="B22" i="7"/>
  <c r="B21" i="7"/>
  <c r="B20" i="7"/>
  <c r="B19" i="7"/>
  <c r="B18" i="7"/>
  <c r="B17" i="7"/>
  <c r="E16" i="7"/>
  <c r="D16" i="7"/>
  <c r="C16" i="7"/>
  <c r="B16" i="7"/>
  <c r="E15" i="7"/>
  <c r="D15" i="7"/>
  <c r="C15" i="7"/>
  <c r="B15" i="7"/>
  <c r="E14" i="7"/>
  <c r="D14" i="7"/>
  <c r="C14" i="7"/>
  <c r="B14" i="7"/>
  <c r="E13" i="7"/>
  <c r="D13" i="7"/>
  <c r="C13" i="7"/>
  <c r="B13" i="7"/>
  <c r="E12" i="7"/>
  <c r="D12" i="7"/>
  <c r="C12" i="7"/>
  <c r="B12" i="7"/>
  <c r="E11" i="7"/>
  <c r="D11" i="7"/>
  <c r="C11" i="7"/>
  <c r="B11" i="7"/>
  <c r="E10" i="7"/>
  <c r="D10" i="7"/>
  <c r="C10" i="7"/>
  <c r="B10" i="7"/>
  <c r="E9" i="7"/>
  <c r="D9" i="7"/>
  <c r="C9" i="7"/>
  <c r="B9" i="7"/>
  <c r="E8" i="7"/>
  <c r="D8" i="7"/>
  <c r="C8" i="7"/>
  <c r="B8" i="7"/>
  <c r="B7" i="7"/>
  <c r="E6" i="7"/>
  <c r="D6" i="7"/>
  <c r="C6" i="7"/>
  <c r="B6" i="7"/>
  <c r="K5" i="7"/>
  <c r="K4" i="7"/>
  <c r="D33" i="6"/>
  <c r="R31" i="6"/>
  <c r="P31" i="6"/>
  <c r="G31" i="6"/>
  <c r="F31" i="6"/>
  <c r="E31" i="6"/>
  <c r="C31" i="6"/>
  <c r="R30" i="6"/>
  <c r="P30" i="6"/>
  <c r="G30" i="6"/>
  <c r="F30" i="6"/>
  <c r="E23" i="7" s="1"/>
  <c r="E30" i="6"/>
  <c r="D23" i="7" s="1"/>
  <c r="C30" i="6"/>
  <c r="C23" i="7" s="1"/>
  <c r="R29" i="6"/>
  <c r="P29" i="6"/>
  <c r="G29" i="6"/>
  <c r="F29" i="6"/>
  <c r="E29" i="6"/>
  <c r="C29" i="6"/>
  <c r="C14" i="8" s="1"/>
  <c r="R28" i="6"/>
  <c r="P28" i="6"/>
  <c r="G28" i="6"/>
  <c r="F28" i="6"/>
  <c r="E13" i="8" s="1"/>
  <c r="E28" i="6"/>
  <c r="D13" i="8" s="1"/>
  <c r="C28" i="6"/>
  <c r="C13" i="8" s="1"/>
  <c r="R27" i="6"/>
  <c r="P27" i="6"/>
  <c r="G27" i="6"/>
  <c r="F27" i="6"/>
  <c r="E22" i="7" s="1"/>
  <c r="E27" i="6"/>
  <c r="D22" i="7" s="1"/>
  <c r="C27" i="6"/>
  <c r="C22" i="7" s="1"/>
  <c r="R26" i="6"/>
  <c r="P26" i="6"/>
  <c r="G26" i="6"/>
  <c r="F26" i="6"/>
  <c r="E21" i="7" s="1"/>
  <c r="E26" i="6"/>
  <c r="D21" i="7" s="1"/>
  <c r="D26" i="6"/>
  <c r="C26" i="6"/>
  <c r="C21" i="7" s="1"/>
  <c r="R25" i="6"/>
  <c r="P25" i="6"/>
  <c r="G25" i="6"/>
  <c r="F25" i="6"/>
  <c r="E20" i="7" s="1"/>
  <c r="E25" i="6"/>
  <c r="D20" i="7" s="1"/>
  <c r="D25" i="6"/>
  <c r="C25" i="6"/>
  <c r="C20" i="7" s="1"/>
  <c r="R24" i="6"/>
  <c r="P24" i="6"/>
  <c r="G24" i="6"/>
  <c r="F24" i="6"/>
  <c r="E12" i="8" s="1"/>
  <c r="E24" i="6"/>
  <c r="D12" i="8" s="1"/>
  <c r="D24" i="6"/>
  <c r="C24" i="6"/>
  <c r="C12" i="8" s="1"/>
  <c r="R23" i="6"/>
  <c r="Q23" i="6"/>
  <c r="P23" i="6"/>
  <c r="G23" i="6"/>
  <c r="F23" i="6"/>
  <c r="E11" i="8" s="1"/>
  <c r="E23" i="6"/>
  <c r="D11" i="8" s="1"/>
  <c r="D23" i="6"/>
  <c r="C23" i="6"/>
  <c r="C11" i="8" s="1"/>
  <c r="R22" i="6"/>
  <c r="Q22" i="6"/>
  <c r="P22" i="6"/>
  <c r="G22" i="6"/>
  <c r="F22" i="6"/>
  <c r="E19" i="7" s="1"/>
  <c r="E22" i="6"/>
  <c r="D19" i="7" s="1"/>
  <c r="D22" i="6"/>
  <c r="C22" i="6"/>
  <c r="C19" i="7" s="1"/>
  <c r="R21" i="6"/>
  <c r="P21" i="6"/>
  <c r="G21" i="6"/>
  <c r="F21" i="6"/>
  <c r="E10" i="8" s="1"/>
  <c r="E21" i="6"/>
  <c r="D10" i="8" s="1"/>
  <c r="D21" i="6"/>
  <c r="C21" i="6"/>
  <c r="C10" i="8" s="1"/>
  <c r="R20" i="6"/>
  <c r="P20" i="6"/>
  <c r="G20" i="6"/>
  <c r="F20" i="6"/>
  <c r="E18" i="7" s="1"/>
  <c r="E20" i="6"/>
  <c r="D18" i="7" s="1"/>
  <c r="D20" i="6"/>
  <c r="C20" i="6"/>
  <c r="C18" i="7" s="1"/>
  <c r="R19" i="6"/>
  <c r="P19" i="6"/>
  <c r="G19" i="6"/>
  <c r="F19" i="6"/>
  <c r="E17" i="7" s="1"/>
  <c r="E19" i="6"/>
  <c r="D19" i="6"/>
  <c r="C19" i="6"/>
  <c r="C17" i="7" s="1"/>
  <c r="R18" i="6"/>
  <c r="P18" i="6"/>
  <c r="G18" i="6"/>
  <c r="F18" i="6"/>
  <c r="E18" i="6"/>
  <c r="C18" i="6"/>
  <c r="R17" i="6"/>
  <c r="P17" i="6"/>
  <c r="G17" i="6"/>
  <c r="F17" i="6"/>
  <c r="E17" i="6"/>
  <c r="C17" i="6"/>
  <c r="R16" i="6"/>
  <c r="P16" i="6"/>
  <c r="G16" i="6"/>
  <c r="F16" i="6"/>
  <c r="E16" i="6"/>
  <c r="C16" i="6"/>
  <c r="R15" i="6"/>
  <c r="P15" i="6"/>
  <c r="G15" i="6"/>
  <c r="F15" i="6"/>
  <c r="E15" i="6"/>
  <c r="C15" i="6"/>
  <c r="R14" i="6"/>
  <c r="P14" i="6"/>
  <c r="G14" i="6"/>
  <c r="F14" i="6"/>
  <c r="E14" i="6"/>
  <c r="C14" i="6"/>
  <c r="R13" i="6"/>
  <c r="P13" i="6"/>
  <c r="G13" i="6"/>
  <c r="F13" i="6"/>
  <c r="E13" i="6"/>
  <c r="C13" i="6"/>
  <c r="R12" i="6"/>
  <c r="P12" i="6"/>
  <c r="G12" i="6"/>
  <c r="F12" i="6"/>
  <c r="E12" i="6"/>
  <c r="C12" i="6"/>
  <c r="R11" i="6"/>
  <c r="P11" i="6"/>
  <c r="G11" i="6"/>
  <c r="F11" i="6"/>
  <c r="E7" i="8" s="1"/>
  <c r="E11" i="6"/>
  <c r="D7" i="8" s="1"/>
  <c r="C11" i="6"/>
  <c r="C7" i="8" s="1"/>
  <c r="R10" i="6"/>
  <c r="P10" i="6"/>
  <c r="G10" i="6"/>
  <c r="F10" i="6"/>
  <c r="E10" i="6"/>
  <c r="C10" i="6"/>
  <c r="R9" i="6"/>
  <c r="P9" i="6"/>
  <c r="G9" i="6"/>
  <c r="F9" i="6"/>
  <c r="E9" i="6"/>
  <c r="C9" i="6"/>
  <c r="R8" i="6"/>
  <c r="P8" i="6"/>
  <c r="G8" i="6"/>
  <c r="F8" i="6"/>
  <c r="E8" i="6"/>
  <c r="C8" i="6"/>
  <c r="R7" i="6"/>
  <c r="P7" i="6"/>
  <c r="G7" i="6"/>
  <c r="F7" i="6"/>
  <c r="E7" i="6"/>
  <c r="C7" i="6"/>
  <c r="R6" i="6"/>
  <c r="P6" i="6"/>
  <c r="G6" i="6"/>
  <c r="F6" i="6"/>
  <c r="E6" i="8" s="1"/>
  <c r="E6" i="6"/>
  <c r="D6" i="8" s="1"/>
  <c r="C6" i="6"/>
  <c r="C6" i="8" s="1"/>
  <c r="R5" i="6"/>
  <c r="P5" i="6"/>
  <c r="G5" i="6"/>
  <c r="F5" i="6"/>
  <c r="E7" i="7" s="1"/>
  <c r="E5" i="6"/>
  <c r="D7" i="7" s="1"/>
  <c r="C5" i="6"/>
  <c r="C7" i="7" s="1"/>
  <c r="R4" i="6"/>
  <c r="P4" i="6"/>
  <c r="G4" i="6"/>
  <c r="F4" i="6"/>
  <c r="E4" i="6"/>
  <c r="C4" i="6"/>
  <c r="D115" i="5"/>
  <c r="Q113" i="5"/>
  <c r="P113" i="5"/>
  <c r="O113" i="5"/>
  <c r="L113" i="5"/>
  <c r="D113" i="5"/>
  <c r="Q112" i="5"/>
  <c r="P112" i="5"/>
  <c r="O112" i="5"/>
  <c r="D112" i="5"/>
  <c r="Q111" i="5"/>
  <c r="P111" i="5"/>
  <c r="O111" i="5"/>
  <c r="D111" i="5"/>
  <c r="Q110" i="5"/>
  <c r="P110" i="5"/>
  <c r="O110" i="5"/>
  <c r="L110" i="5"/>
  <c r="D110" i="5"/>
  <c r="Q109" i="5"/>
  <c r="P109" i="5"/>
  <c r="O109" i="5"/>
  <c r="L109" i="5"/>
  <c r="D109" i="5"/>
  <c r="Q108" i="5"/>
  <c r="P108" i="5"/>
  <c r="O108" i="5"/>
  <c r="L108" i="5"/>
  <c r="D108" i="5"/>
  <c r="Q107" i="5"/>
  <c r="P107" i="5"/>
  <c r="O107" i="5"/>
  <c r="L107" i="5"/>
  <c r="D107" i="5"/>
  <c r="Q106" i="5"/>
  <c r="P106" i="5"/>
  <c r="O106" i="5"/>
  <c r="L106" i="5"/>
  <c r="D106" i="5"/>
  <c r="Q105" i="5"/>
  <c r="P105" i="5"/>
  <c r="O105" i="5"/>
  <c r="L105" i="5"/>
  <c r="D105" i="5"/>
  <c r="Q104" i="5"/>
  <c r="P104" i="5"/>
  <c r="O104" i="5"/>
  <c r="L104" i="5"/>
  <c r="D104" i="5"/>
  <c r="Q103" i="5"/>
  <c r="P103" i="5"/>
  <c r="O103" i="5"/>
  <c r="L103" i="5"/>
  <c r="D103" i="5"/>
  <c r="Q102" i="5"/>
  <c r="P102" i="5"/>
  <c r="O102" i="5"/>
  <c r="L102" i="5"/>
  <c r="D102" i="5"/>
  <c r="Q101" i="5"/>
  <c r="P101" i="5"/>
  <c r="O101" i="5"/>
  <c r="L101" i="5"/>
  <c r="D101" i="5"/>
  <c r="Q100" i="5"/>
  <c r="P100" i="5"/>
  <c r="O100" i="5"/>
  <c r="L100" i="5"/>
  <c r="D100" i="5"/>
  <c r="Q99" i="5"/>
  <c r="P99" i="5"/>
  <c r="O99" i="5"/>
  <c r="L99" i="5"/>
  <c r="D99" i="5"/>
  <c r="Q98" i="5"/>
  <c r="P98" i="5"/>
  <c r="O98" i="5"/>
  <c r="L98" i="5"/>
  <c r="D98" i="5"/>
  <c r="Q97" i="5"/>
  <c r="P97" i="5"/>
  <c r="O97" i="5"/>
  <c r="L97" i="5"/>
  <c r="D97" i="5"/>
  <c r="Q96" i="5"/>
  <c r="P96" i="5"/>
  <c r="O96" i="5"/>
  <c r="L96" i="5"/>
  <c r="D96" i="5"/>
  <c r="Q95" i="5"/>
  <c r="P95" i="5"/>
  <c r="O95" i="5"/>
  <c r="L95" i="5"/>
  <c r="D95" i="5"/>
  <c r="Q94" i="5"/>
  <c r="P94" i="5"/>
  <c r="O94" i="5"/>
  <c r="L94" i="5"/>
  <c r="D94" i="5"/>
  <c r="Q93" i="5"/>
  <c r="P93" i="5"/>
  <c r="O93" i="5"/>
  <c r="L93" i="5"/>
  <c r="D93" i="5"/>
  <c r="Q92" i="5"/>
  <c r="P92" i="5"/>
  <c r="O92" i="5"/>
  <c r="L92" i="5"/>
  <c r="D92" i="5"/>
  <c r="Q91" i="5"/>
  <c r="P91" i="5"/>
  <c r="O91" i="5"/>
  <c r="L91" i="5"/>
  <c r="D91" i="5"/>
  <c r="Q90" i="5"/>
  <c r="P90" i="5"/>
  <c r="O90" i="5"/>
  <c r="L90" i="5"/>
  <c r="D90" i="5"/>
  <c r="Q89" i="5"/>
  <c r="P89" i="5"/>
  <c r="O89" i="5"/>
  <c r="L89" i="5"/>
  <c r="D89" i="5"/>
  <c r="Q88" i="5"/>
  <c r="P88" i="5"/>
  <c r="O88" i="5"/>
  <c r="L88" i="5"/>
  <c r="D88" i="5"/>
  <c r="Q87" i="5"/>
  <c r="P87" i="5"/>
  <c r="O87" i="5"/>
  <c r="L87" i="5"/>
  <c r="D87" i="5"/>
  <c r="Q86" i="5"/>
  <c r="P86" i="5"/>
  <c r="O86" i="5"/>
  <c r="L86" i="5"/>
  <c r="D86" i="5"/>
  <c r="Q85" i="5"/>
  <c r="P85" i="5"/>
  <c r="O85" i="5"/>
  <c r="L85" i="5"/>
  <c r="D85" i="5"/>
  <c r="Q84" i="5"/>
  <c r="P84" i="5"/>
  <c r="O84" i="5"/>
  <c r="L84" i="5"/>
  <c r="D84" i="5"/>
  <c r="Q83" i="5"/>
  <c r="P83" i="5"/>
  <c r="O83" i="5"/>
  <c r="L83" i="5"/>
  <c r="D83" i="5"/>
  <c r="Q82" i="5"/>
  <c r="P82" i="5"/>
  <c r="O82" i="5"/>
  <c r="L82" i="5"/>
  <c r="D82" i="5"/>
  <c r="Q81" i="5"/>
  <c r="P81" i="5"/>
  <c r="O81" i="5"/>
  <c r="L81" i="5"/>
  <c r="D81" i="5"/>
  <c r="Q80" i="5"/>
  <c r="P80" i="5"/>
  <c r="O80" i="5"/>
  <c r="L80" i="5"/>
  <c r="D80" i="5"/>
  <c r="Q79" i="5"/>
  <c r="P79" i="5"/>
  <c r="O79" i="5"/>
  <c r="L79" i="5"/>
  <c r="D79" i="5"/>
  <c r="Q78" i="5"/>
  <c r="P78" i="5"/>
  <c r="O78" i="5"/>
  <c r="L78" i="5"/>
  <c r="D78" i="5"/>
  <c r="Q77" i="5"/>
  <c r="P77" i="5"/>
  <c r="O77" i="5"/>
  <c r="L77" i="5"/>
  <c r="D77" i="5"/>
  <c r="Q76" i="5"/>
  <c r="P76" i="5"/>
  <c r="O76" i="5"/>
  <c r="L76" i="5"/>
  <c r="D76" i="5"/>
  <c r="Q75" i="5"/>
  <c r="P75" i="5"/>
  <c r="O75" i="5"/>
  <c r="L75" i="5"/>
  <c r="D75" i="5"/>
  <c r="Q74" i="5"/>
  <c r="P74" i="5"/>
  <c r="O74" i="5"/>
  <c r="L74" i="5"/>
  <c r="D74" i="5"/>
  <c r="Q73" i="5"/>
  <c r="P73" i="5"/>
  <c r="O73" i="5"/>
  <c r="L73" i="5"/>
  <c r="D73" i="5"/>
  <c r="Q72" i="5"/>
  <c r="P72" i="5"/>
  <c r="O72" i="5"/>
  <c r="L72" i="5"/>
  <c r="D72" i="5"/>
  <c r="Q71" i="5"/>
  <c r="P71" i="5"/>
  <c r="O71" i="5"/>
  <c r="L71" i="5"/>
  <c r="D71" i="5"/>
  <c r="Q70" i="5"/>
  <c r="P70" i="5"/>
  <c r="O70" i="5"/>
  <c r="L70" i="5"/>
  <c r="D70" i="5"/>
  <c r="Q69" i="5"/>
  <c r="P69" i="5"/>
  <c r="O69" i="5"/>
  <c r="L69" i="5"/>
  <c r="D69" i="5"/>
  <c r="Q68" i="5"/>
  <c r="P68" i="5"/>
  <c r="O68" i="5"/>
  <c r="L68" i="5"/>
  <c r="D68" i="5"/>
  <c r="Q67" i="5"/>
  <c r="P67" i="5"/>
  <c r="O67" i="5"/>
  <c r="L67" i="5"/>
  <c r="D67" i="5"/>
  <c r="Q66" i="5"/>
  <c r="P66" i="5"/>
  <c r="O66" i="5"/>
  <c r="L66" i="5"/>
  <c r="D66" i="5"/>
  <c r="Q65" i="5"/>
  <c r="P65" i="5"/>
  <c r="O65" i="5"/>
  <c r="L65" i="5"/>
  <c r="D65" i="5"/>
  <c r="Q64" i="5"/>
  <c r="P64" i="5"/>
  <c r="O64" i="5"/>
  <c r="L64" i="5"/>
  <c r="D64" i="5"/>
  <c r="Q63" i="5"/>
  <c r="P63" i="5"/>
  <c r="O63" i="5"/>
  <c r="L63" i="5"/>
  <c r="D63" i="5"/>
  <c r="Q62" i="5"/>
  <c r="P62" i="5"/>
  <c r="O62" i="5"/>
  <c r="L62" i="5"/>
  <c r="D62" i="5"/>
  <c r="Q61" i="5"/>
  <c r="P61" i="5"/>
  <c r="O61" i="5"/>
  <c r="L61" i="5"/>
  <c r="D61" i="5"/>
  <c r="Q60" i="5"/>
  <c r="P60" i="5"/>
  <c r="O60" i="5"/>
  <c r="L60" i="5"/>
  <c r="D60" i="5"/>
  <c r="Q59" i="5"/>
  <c r="P59" i="5"/>
  <c r="O59" i="5"/>
  <c r="L59" i="5"/>
  <c r="D59" i="5"/>
  <c r="Q58" i="5"/>
  <c r="P58" i="5"/>
  <c r="O58" i="5"/>
  <c r="L58" i="5"/>
  <c r="D58" i="5"/>
  <c r="Q57" i="5"/>
  <c r="P57" i="5"/>
  <c r="O57" i="5"/>
  <c r="L57" i="5"/>
  <c r="D57" i="5"/>
  <c r="Q56" i="5"/>
  <c r="P56" i="5"/>
  <c r="O56" i="5"/>
  <c r="L56" i="5"/>
  <c r="D56" i="5"/>
  <c r="Q55" i="5"/>
  <c r="P55" i="5"/>
  <c r="O55" i="5"/>
  <c r="L55" i="5"/>
  <c r="D55" i="5"/>
  <c r="Q54" i="5"/>
  <c r="P54" i="5"/>
  <c r="O54" i="5"/>
  <c r="L54" i="5"/>
  <c r="D54" i="5"/>
  <c r="Q53" i="5"/>
  <c r="P53" i="5"/>
  <c r="O53" i="5"/>
  <c r="L53" i="5"/>
  <c r="D53" i="5"/>
  <c r="Q52" i="5"/>
  <c r="P52" i="5"/>
  <c r="O52" i="5"/>
  <c r="L52" i="5"/>
  <c r="D52" i="5"/>
  <c r="Q51" i="5"/>
  <c r="P51" i="5"/>
  <c r="O51" i="5"/>
  <c r="L51" i="5"/>
  <c r="D51" i="5"/>
  <c r="Q50" i="5"/>
  <c r="P50" i="5"/>
  <c r="O50" i="5"/>
  <c r="L50" i="5"/>
  <c r="D50" i="5"/>
  <c r="Q49" i="5"/>
  <c r="P49" i="5"/>
  <c r="O49" i="5"/>
  <c r="L49" i="5"/>
  <c r="D49" i="5"/>
  <c r="Q48" i="5"/>
  <c r="P48" i="5"/>
  <c r="O48" i="5"/>
  <c r="L48" i="5"/>
  <c r="D48" i="5"/>
  <c r="Q47" i="5"/>
  <c r="P47" i="5"/>
  <c r="O47" i="5"/>
  <c r="L47" i="5"/>
  <c r="D47" i="5"/>
  <c r="Q46" i="5"/>
  <c r="P46" i="5"/>
  <c r="O46" i="5"/>
  <c r="L46" i="5"/>
  <c r="D46" i="5"/>
  <c r="Q45" i="5"/>
  <c r="P45" i="5"/>
  <c r="O45" i="5"/>
  <c r="D45" i="5"/>
  <c r="Q44" i="5"/>
  <c r="P44" i="5"/>
  <c r="O44" i="5"/>
  <c r="D44" i="5"/>
  <c r="Q43" i="5"/>
  <c r="P43" i="5"/>
  <c r="O43" i="5"/>
  <c r="D43" i="5"/>
  <c r="Q42" i="5"/>
  <c r="P42" i="5"/>
  <c r="O42" i="5"/>
  <c r="D42" i="5"/>
  <c r="Q41" i="5"/>
  <c r="P41" i="5"/>
  <c r="O41" i="5"/>
  <c r="D41" i="5"/>
  <c r="Q40" i="5"/>
  <c r="P40" i="5"/>
  <c r="O40" i="5"/>
  <c r="D40" i="5"/>
  <c r="Q39" i="5"/>
  <c r="P39" i="5"/>
  <c r="O39" i="5"/>
  <c r="D39" i="5"/>
  <c r="Q38" i="5"/>
  <c r="P38" i="5"/>
  <c r="O38" i="5"/>
  <c r="D38" i="5"/>
  <c r="Q37" i="5"/>
  <c r="P37" i="5"/>
  <c r="O37" i="5"/>
  <c r="D37" i="5"/>
  <c r="Q36" i="5"/>
  <c r="P36" i="5"/>
  <c r="O36" i="5"/>
  <c r="D36" i="5"/>
  <c r="Q35" i="5"/>
  <c r="P35" i="5"/>
  <c r="O35" i="5"/>
  <c r="D35" i="5"/>
  <c r="Q34" i="5"/>
  <c r="P34" i="5"/>
  <c r="O34" i="5"/>
  <c r="D34" i="5"/>
  <c r="Q33" i="5"/>
  <c r="P33" i="5"/>
  <c r="O33" i="5"/>
  <c r="D33" i="5"/>
  <c r="Q32" i="5"/>
  <c r="P32" i="5"/>
  <c r="O32" i="5"/>
  <c r="D32" i="5"/>
  <c r="Q31" i="5"/>
  <c r="P31" i="5"/>
  <c r="O31" i="5"/>
  <c r="D31" i="5"/>
  <c r="Q30" i="5"/>
  <c r="P30" i="5"/>
  <c r="O30" i="5"/>
  <c r="D30" i="5"/>
  <c r="Q29" i="5"/>
  <c r="P29" i="5"/>
  <c r="O29" i="5"/>
  <c r="D29" i="5"/>
  <c r="Q28" i="5"/>
  <c r="P28" i="5"/>
  <c r="O28" i="5"/>
  <c r="D28" i="5"/>
  <c r="Q27" i="5"/>
  <c r="P27" i="5"/>
  <c r="O27" i="5"/>
  <c r="D27" i="5"/>
  <c r="Q26" i="5"/>
  <c r="P26" i="5"/>
  <c r="O26" i="5"/>
  <c r="D26" i="5"/>
  <c r="Q25" i="5"/>
  <c r="P25" i="5"/>
  <c r="O25" i="5"/>
  <c r="D25" i="5"/>
  <c r="Q24" i="5"/>
  <c r="P24" i="5"/>
  <c r="O24" i="5"/>
  <c r="D24" i="5"/>
  <c r="Q23" i="5"/>
  <c r="P23" i="5"/>
  <c r="O23" i="5"/>
  <c r="D23" i="5"/>
  <c r="Q22" i="5"/>
  <c r="P22" i="5"/>
  <c r="O22" i="5"/>
  <c r="D22" i="5"/>
  <c r="Q21" i="5"/>
  <c r="P21" i="5"/>
  <c r="O21" i="5"/>
  <c r="D21" i="5"/>
  <c r="Q20" i="5"/>
  <c r="P20" i="5"/>
  <c r="O20" i="5"/>
  <c r="D20" i="5"/>
  <c r="Q19" i="5"/>
  <c r="P19" i="5"/>
  <c r="O19" i="5"/>
  <c r="D19" i="5"/>
  <c r="Q18" i="5"/>
  <c r="P18" i="5"/>
  <c r="O18" i="5"/>
  <c r="D18" i="5"/>
  <c r="Q17" i="5"/>
  <c r="P17" i="5"/>
  <c r="O17" i="5"/>
  <c r="D17" i="5"/>
  <c r="Q16" i="5"/>
  <c r="P16" i="5"/>
  <c r="O16" i="5"/>
  <c r="D16" i="5"/>
  <c r="Q15" i="5"/>
  <c r="P15" i="5"/>
  <c r="O15" i="5"/>
  <c r="D15" i="5"/>
  <c r="Q14" i="5"/>
  <c r="P14" i="5"/>
  <c r="O14" i="5"/>
  <c r="D14" i="5"/>
  <c r="Q13" i="5"/>
  <c r="P13" i="5"/>
  <c r="O13" i="5"/>
  <c r="D13" i="5"/>
  <c r="Q12" i="5"/>
  <c r="P12" i="5"/>
  <c r="O12" i="5"/>
  <c r="D12" i="5"/>
  <c r="Q11" i="5"/>
  <c r="P11" i="5"/>
  <c r="O11" i="5"/>
  <c r="D11" i="5"/>
  <c r="Q10" i="5"/>
  <c r="P10" i="5"/>
  <c r="O10" i="5"/>
  <c r="D10" i="5"/>
  <c r="Q9" i="5"/>
  <c r="P9" i="5"/>
  <c r="O9" i="5"/>
  <c r="D9" i="5"/>
  <c r="Q8" i="5"/>
  <c r="P8" i="5"/>
  <c r="O8" i="5"/>
  <c r="D8" i="5"/>
  <c r="Q7" i="5"/>
  <c r="P7" i="5"/>
  <c r="O7" i="5"/>
  <c r="D7" i="5"/>
  <c r="Q6" i="5"/>
  <c r="P6" i="5"/>
  <c r="O6" i="5"/>
  <c r="D6" i="5"/>
  <c r="Q5" i="5"/>
  <c r="P5" i="5"/>
  <c r="O5" i="5"/>
  <c r="D5" i="5"/>
  <c r="Q4" i="5"/>
  <c r="P4" i="5"/>
  <c r="O4" i="5"/>
  <c r="D4" i="5"/>
  <c r="X32" i="4"/>
  <c r="U32" i="4"/>
  <c r="V32" i="4" s="1"/>
  <c r="Q31" i="6" s="1"/>
  <c r="H32" i="4"/>
  <c r="X31" i="4"/>
  <c r="U31" i="4"/>
  <c r="V31" i="4" s="1"/>
  <c r="Q29" i="6" s="1"/>
  <c r="H31" i="4"/>
  <c r="X30" i="4"/>
  <c r="U30" i="4"/>
  <c r="V30" i="4" s="1"/>
  <c r="Q28" i="6" s="1"/>
  <c r="H30" i="4"/>
  <c r="X29" i="4"/>
  <c r="U29" i="4"/>
  <c r="V29" i="4" s="1"/>
  <c r="Q26" i="6" s="1"/>
  <c r="H29" i="4"/>
  <c r="M29" i="4" s="1"/>
  <c r="V26" i="6" s="1"/>
  <c r="X28" i="4"/>
  <c r="U28" i="4"/>
  <c r="V28" i="4" s="1"/>
  <c r="Q24" i="6" s="1"/>
  <c r="H28" i="4"/>
  <c r="M28" i="4" s="1"/>
  <c r="V24" i="6" s="1"/>
  <c r="X27" i="4"/>
  <c r="V27" i="4"/>
  <c r="U27" i="4"/>
  <c r="H27" i="4"/>
  <c r="M27" i="4" s="1"/>
  <c r="V23" i="6" s="1"/>
  <c r="X26" i="4"/>
  <c r="U26" i="4"/>
  <c r="V26" i="4" s="1"/>
  <c r="Q21" i="6" s="1"/>
  <c r="H26" i="4"/>
  <c r="M26" i="4" s="1"/>
  <c r="V21" i="6" s="1"/>
  <c r="X25" i="4"/>
  <c r="U25" i="4"/>
  <c r="V25" i="4" s="1"/>
  <c r="Q18" i="6" s="1"/>
  <c r="H25" i="4"/>
  <c r="X24" i="4"/>
  <c r="U24" i="4"/>
  <c r="V24" i="4" s="1"/>
  <c r="H24" i="4"/>
  <c r="M24" i="4" s="1"/>
  <c r="X23" i="4"/>
  <c r="U23" i="4"/>
  <c r="V23" i="4" s="1"/>
  <c r="Q16" i="6" s="1"/>
  <c r="H23" i="4"/>
  <c r="X22" i="4"/>
  <c r="U22" i="4"/>
  <c r="V22" i="4" s="1"/>
  <c r="Q11" i="6" s="1"/>
  <c r="H22" i="4"/>
  <c r="X21" i="4"/>
  <c r="U21" i="4"/>
  <c r="V21" i="4" s="1"/>
  <c r="Q9" i="6" s="1"/>
  <c r="H21" i="4"/>
  <c r="X20" i="4"/>
  <c r="U20" i="4"/>
  <c r="V20" i="4" s="1"/>
  <c r="Q6" i="6" s="1"/>
  <c r="H20" i="4"/>
  <c r="X19" i="4"/>
  <c r="V19" i="4"/>
  <c r="Q30" i="6" s="1"/>
  <c r="U19" i="4"/>
  <c r="H19" i="4"/>
  <c r="X18" i="4"/>
  <c r="U18" i="4"/>
  <c r="V18" i="4" s="1"/>
  <c r="Q27" i="6" s="1"/>
  <c r="H18" i="4"/>
  <c r="X17" i="4"/>
  <c r="U17" i="4"/>
  <c r="V17" i="4" s="1"/>
  <c r="Q25" i="6" s="1"/>
  <c r="H17" i="4"/>
  <c r="M17" i="4" s="1"/>
  <c r="V25" i="6" s="1"/>
  <c r="X16" i="4"/>
  <c r="V16" i="4"/>
  <c r="U16" i="4"/>
  <c r="H16" i="4"/>
  <c r="M16" i="4" s="1"/>
  <c r="V22" i="6" s="1"/>
  <c r="X15" i="4"/>
  <c r="U15" i="4"/>
  <c r="V15" i="4" s="1"/>
  <c r="Q20" i="6" s="1"/>
  <c r="H15" i="4"/>
  <c r="M15" i="4" s="1"/>
  <c r="V20" i="6" s="1"/>
  <c r="X14" i="4"/>
  <c r="U14" i="4"/>
  <c r="V14" i="4" s="1"/>
  <c r="Q19" i="6" s="1"/>
  <c r="H14" i="4"/>
  <c r="M14" i="4" s="1"/>
  <c r="V19" i="6" s="1"/>
  <c r="X13" i="4"/>
  <c r="U13" i="4"/>
  <c r="V13" i="4" s="1"/>
  <c r="Q17" i="6" s="1"/>
  <c r="H13" i="4"/>
  <c r="X12" i="4"/>
  <c r="U12" i="4"/>
  <c r="V12" i="4" s="1"/>
  <c r="Q15" i="6" s="1"/>
  <c r="H12" i="4"/>
  <c r="X11" i="4"/>
  <c r="U11" i="4"/>
  <c r="V11" i="4" s="1"/>
  <c r="Q14" i="6" s="1"/>
  <c r="H11" i="4"/>
  <c r="X10" i="4"/>
  <c r="V10" i="4"/>
  <c r="Q13" i="6" s="1"/>
  <c r="U10" i="4"/>
  <c r="H10" i="4"/>
  <c r="X9" i="4"/>
  <c r="U9" i="4"/>
  <c r="V9" i="4" s="1"/>
  <c r="Q12" i="6" s="1"/>
  <c r="H9" i="4"/>
  <c r="X8" i="4"/>
  <c r="U8" i="4"/>
  <c r="V8" i="4" s="1"/>
  <c r="Q10" i="6" s="1"/>
  <c r="H8" i="4"/>
  <c r="X7" i="4"/>
  <c r="U7" i="4"/>
  <c r="V7" i="4" s="1"/>
  <c r="Q8" i="6" s="1"/>
  <c r="H7" i="4"/>
  <c r="X6" i="4"/>
  <c r="U6" i="4"/>
  <c r="V6" i="4" s="1"/>
  <c r="Q7" i="6" s="1"/>
  <c r="H6" i="4"/>
  <c r="X5" i="4"/>
  <c r="U5" i="4"/>
  <c r="V5" i="4" s="1"/>
  <c r="Q5" i="6" s="1"/>
  <c r="H5" i="4"/>
  <c r="X4" i="4"/>
  <c r="U4" i="4"/>
  <c r="V4" i="4" s="1"/>
  <c r="Q4" i="6" s="1"/>
  <c r="H4" i="4"/>
  <c r="I30" i="3"/>
  <c r="I29" i="3"/>
  <c r="I28" i="3"/>
  <c r="I27" i="3"/>
  <c r="I26" i="3"/>
  <c r="I25" i="3"/>
  <c r="I24" i="3"/>
  <c r="I23" i="3"/>
  <c r="I22" i="3"/>
  <c r="I21" i="3"/>
  <c r="I20" i="3"/>
  <c r="I19" i="3"/>
  <c r="I18" i="3"/>
  <c r="I17" i="3"/>
  <c r="I16" i="3"/>
  <c r="I15" i="3"/>
  <c r="I14" i="3"/>
  <c r="I13" i="3"/>
  <c r="I12" i="3"/>
  <c r="I11" i="3"/>
  <c r="I10" i="3"/>
  <c r="I9" i="3"/>
  <c r="I8" i="3"/>
  <c r="I7" i="3"/>
  <c r="I6" i="3"/>
  <c r="I5" i="3"/>
  <c r="I4" i="3"/>
  <c r="C7" i="2"/>
  <c r="B7" i="2"/>
  <c r="C6" i="2"/>
  <c r="B6" i="2"/>
  <c r="C5" i="2"/>
  <c r="B5" i="2"/>
  <c r="B25" i="1"/>
  <c r="C17" i="1"/>
  <c r="B17" i="1"/>
  <c r="C16" i="1"/>
  <c r="B16" i="1"/>
  <c r="C6" i="1"/>
  <c r="B6" i="1"/>
  <c r="H31" i="6" l="1"/>
  <c r="N31" i="6"/>
  <c r="H30" i="6"/>
  <c r="N30" i="6"/>
  <c r="H29" i="6"/>
  <c r="N29" i="6"/>
  <c r="N28" i="6"/>
  <c r="H28" i="6"/>
  <c r="N27" i="6"/>
  <c r="H27" i="6"/>
  <c r="N26" i="6"/>
  <c r="H26" i="6"/>
  <c r="N25" i="6"/>
  <c r="H25" i="6"/>
  <c r="H24" i="6"/>
  <c r="N24" i="6"/>
  <c r="N23" i="6"/>
  <c r="H23" i="6"/>
  <c r="H22" i="6"/>
  <c r="N22" i="6"/>
  <c r="H21" i="6"/>
  <c r="N21" i="6"/>
  <c r="N20" i="6"/>
  <c r="H20" i="6"/>
  <c r="N19" i="6"/>
  <c r="H19" i="6"/>
  <c r="J28" i="9"/>
  <c r="D17" i="7"/>
  <c r="I28" i="9"/>
  <c r="N18" i="6"/>
  <c r="H18" i="6"/>
  <c r="H17" i="6"/>
  <c r="N17" i="6"/>
  <c r="H16" i="6"/>
  <c r="N16" i="6"/>
  <c r="H15" i="6"/>
  <c r="N15" i="6"/>
  <c r="N14" i="6"/>
  <c r="H14" i="6"/>
  <c r="H13" i="6"/>
  <c r="N13" i="6"/>
  <c r="H12" i="6"/>
  <c r="N12" i="6"/>
  <c r="H11" i="6"/>
  <c r="N11" i="6"/>
  <c r="N10" i="6"/>
  <c r="H10" i="6"/>
  <c r="N9" i="6"/>
  <c r="H9" i="6"/>
  <c r="H8" i="6"/>
  <c r="N8" i="6"/>
  <c r="H7" i="6"/>
  <c r="N7" i="6"/>
  <c r="N6" i="6"/>
  <c r="H6" i="6"/>
  <c r="H5" i="6"/>
  <c r="N5" i="6"/>
  <c r="H4" i="6"/>
  <c r="N4" i="6"/>
  <c r="N113" i="5"/>
  <c r="R113" i="5" s="1"/>
  <c r="M113" i="5"/>
  <c r="N110" i="5"/>
  <c r="R110" i="5" s="1"/>
  <c r="M110" i="5"/>
  <c r="N109" i="5"/>
  <c r="R109" i="5" s="1"/>
  <c r="M109" i="5"/>
  <c r="M108" i="5"/>
  <c r="N108" i="5"/>
  <c r="R108" i="5" s="1"/>
  <c r="N107" i="5"/>
  <c r="R107" i="5" s="1"/>
  <c r="M107" i="5"/>
  <c r="N106" i="5"/>
  <c r="R106" i="5" s="1"/>
  <c r="M106" i="5"/>
  <c r="N105" i="5"/>
  <c r="R105" i="5" s="1"/>
  <c r="M105" i="5"/>
  <c r="M104" i="5"/>
  <c r="N104" i="5"/>
  <c r="R104" i="5" s="1"/>
  <c r="M103" i="5"/>
  <c r="N103" i="5"/>
  <c r="R103" i="5" s="1"/>
  <c r="M102" i="5"/>
  <c r="N102" i="5"/>
  <c r="R102" i="5" s="1"/>
  <c r="N101" i="5"/>
  <c r="R101" i="5" s="1"/>
  <c r="M101" i="5"/>
  <c r="N100" i="5"/>
  <c r="R100" i="5" s="1"/>
  <c r="M100" i="5"/>
  <c r="N99" i="5"/>
  <c r="R99" i="5" s="1"/>
  <c r="M99" i="5"/>
  <c r="M98" i="5"/>
  <c r="N98" i="5"/>
  <c r="R98" i="5" s="1"/>
  <c r="M97" i="5"/>
  <c r="N97" i="5"/>
  <c r="R97" i="5" s="1"/>
  <c r="N96" i="5"/>
  <c r="R96" i="5" s="1"/>
  <c r="M96" i="5"/>
  <c r="N95" i="5"/>
  <c r="R95" i="5" s="1"/>
  <c r="M95" i="5"/>
  <c r="N94" i="5"/>
  <c r="R94" i="5" s="1"/>
  <c r="M94" i="5"/>
  <c r="N93" i="5"/>
  <c r="R93" i="5" s="1"/>
  <c r="M93" i="5"/>
  <c r="M92" i="5"/>
  <c r="N92" i="5"/>
  <c r="R92" i="5" s="1"/>
  <c r="N91" i="5"/>
  <c r="R91" i="5" s="1"/>
  <c r="M91" i="5"/>
  <c r="N90" i="5"/>
  <c r="R90" i="5" s="1"/>
  <c r="M90" i="5"/>
  <c r="N89" i="5"/>
  <c r="R89" i="5" s="1"/>
  <c r="M89" i="5"/>
  <c r="M88" i="5"/>
  <c r="N88" i="5"/>
  <c r="R88" i="5" s="1"/>
  <c r="M87" i="5"/>
  <c r="N87" i="5"/>
  <c r="R87" i="5" s="1"/>
  <c r="N86" i="5"/>
  <c r="R86" i="5" s="1"/>
  <c r="M86" i="5"/>
  <c r="N85" i="5"/>
  <c r="R85" i="5" s="1"/>
  <c r="M85" i="5"/>
  <c r="N84" i="5"/>
  <c r="R84" i="5" s="1"/>
  <c r="M84" i="5"/>
  <c r="N83" i="5"/>
  <c r="R83" i="5" s="1"/>
  <c r="M83" i="5"/>
  <c r="N82" i="5"/>
  <c r="R82" i="5" s="1"/>
  <c r="M82" i="5"/>
  <c r="N81" i="5"/>
  <c r="R81" i="5" s="1"/>
  <c r="M81" i="5"/>
  <c r="M80" i="5"/>
  <c r="N80" i="5"/>
  <c r="R80" i="5" s="1"/>
  <c r="N79" i="5"/>
  <c r="R79" i="5" s="1"/>
  <c r="M79" i="5"/>
  <c r="M78" i="5"/>
  <c r="N78" i="5"/>
  <c r="R78" i="5" s="1"/>
  <c r="M77" i="5"/>
  <c r="N77" i="5"/>
  <c r="R77" i="5" s="1"/>
  <c r="M76" i="5"/>
  <c r="N76" i="5"/>
  <c r="R76" i="5" s="1"/>
  <c r="N75" i="5"/>
  <c r="R75" i="5" s="1"/>
  <c r="M75" i="5"/>
  <c r="M74" i="5"/>
  <c r="N74" i="5"/>
  <c r="R74" i="5" s="1"/>
  <c r="M73" i="5"/>
  <c r="N73" i="5"/>
  <c r="R73" i="5" s="1"/>
  <c r="M72" i="5"/>
  <c r="N72" i="5"/>
  <c r="R72" i="5" s="1"/>
  <c r="M71" i="5"/>
  <c r="N71" i="5"/>
  <c r="R71" i="5" s="1"/>
  <c r="M70" i="5"/>
  <c r="N70" i="5"/>
  <c r="R70" i="5" s="1"/>
  <c r="M69" i="5"/>
  <c r="N69" i="5"/>
  <c r="R69" i="5" s="1"/>
  <c r="N68" i="5"/>
  <c r="R68" i="5" s="1"/>
  <c r="M68" i="5"/>
  <c r="N67" i="5"/>
  <c r="R67" i="5" s="1"/>
  <c r="M67" i="5"/>
  <c r="M66" i="5"/>
  <c r="N66" i="5"/>
  <c r="R66" i="5" s="1"/>
  <c r="N65" i="5"/>
  <c r="R65" i="5" s="1"/>
  <c r="M65" i="5"/>
  <c r="N64" i="5"/>
  <c r="R64" i="5" s="1"/>
  <c r="M64" i="5"/>
  <c r="N63" i="5"/>
  <c r="R63" i="5" s="1"/>
  <c r="M63" i="5"/>
  <c r="N62" i="5"/>
  <c r="R62" i="5" s="1"/>
  <c r="M62" i="5"/>
  <c r="N61" i="5"/>
  <c r="R61" i="5" s="1"/>
  <c r="M61" i="5"/>
  <c r="N60" i="5"/>
  <c r="R60" i="5" s="1"/>
  <c r="M60" i="5"/>
  <c r="N59" i="5"/>
  <c r="R59" i="5" s="1"/>
  <c r="M59" i="5"/>
  <c r="N58" i="5"/>
  <c r="R58" i="5" s="1"/>
  <c r="M58" i="5"/>
  <c r="M57" i="5"/>
  <c r="N57" i="5"/>
  <c r="R57" i="5" s="1"/>
  <c r="N56" i="5"/>
  <c r="R56" i="5" s="1"/>
  <c r="M56" i="5"/>
  <c r="M55" i="5"/>
  <c r="N55" i="5"/>
  <c r="R55" i="5" s="1"/>
  <c r="M54" i="5"/>
  <c r="N54" i="5"/>
  <c r="R54" i="5" s="1"/>
  <c r="N53" i="5"/>
  <c r="R53" i="5" s="1"/>
  <c r="M53" i="5"/>
  <c r="N52" i="5"/>
  <c r="R52" i="5" s="1"/>
  <c r="M52" i="5"/>
  <c r="M51" i="5"/>
  <c r="N51" i="5"/>
  <c r="R51" i="5" s="1"/>
  <c r="M50" i="5"/>
  <c r="N50" i="5"/>
  <c r="R50" i="5" s="1"/>
  <c r="N49" i="5"/>
  <c r="R49" i="5" s="1"/>
  <c r="M49" i="5"/>
  <c r="M48" i="5"/>
  <c r="N48" i="5"/>
  <c r="R48" i="5" s="1"/>
  <c r="M47" i="5"/>
  <c r="N47" i="5"/>
  <c r="R47" i="5" s="1"/>
  <c r="M46" i="5"/>
  <c r="N46" i="5"/>
  <c r="R46" i="5" s="1"/>
  <c r="I20" i="6"/>
  <c r="I21" i="6"/>
  <c r="I25" i="6"/>
  <c r="I22" i="6"/>
  <c r="I24" i="6"/>
  <c r="I27" i="6"/>
  <c r="I26" i="6"/>
  <c r="I23" i="6"/>
  <c r="I9" i="6"/>
  <c r="I16" i="6"/>
  <c r="I6" i="6"/>
  <c r="I18" i="6"/>
  <c r="I28" i="6"/>
  <c r="I29" i="6"/>
  <c r="I30" i="6"/>
  <c r="I11" i="6"/>
  <c r="L112" i="5"/>
  <c r="L111" i="5"/>
  <c r="D31" i="6"/>
  <c r="M32" i="4"/>
  <c r="V31" i="6" s="1"/>
  <c r="D29" i="6"/>
  <c r="M31" i="4"/>
  <c r="V29" i="6" s="1"/>
  <c r="M30" i="4"/>
  <c r="V28" i="6" s="1"/>
  <c r="D28" i="6"/>
  <c r="M25" i="4"/>
  <c r="V18" i="6" s="1"/>
  <c r="D18" i="6"/>
  <c r="D16" i="6"/>
  <c r="M23" i="4"/>
  <c r="V16" i="6" s="1"/>
  <c r="D11" i="6"/>
  <c r="M22" i="4"/>
  <c r="V11" i="6" s="1"/>
  <c r="M21" i="4"/>
  <c r="V9" i="6" s="1"/>
  <c r="D9" i="6"/>
  <c r="M20" i="4"/>
  <c r="V6" i="6" s="1"/>
  <c r="D6" i="6"/>
  <c r="D30" i="6"/>
  <c r="M19" i="4"/>
  <c r="V30" i="6" s="1"/>
  <c r="M18" i="4"/>
  <c r="V27" i="6" s="1"/>
  <c r="D27" i="6"/>
  <c r="I23" i="9" s="1"/>
  <c r="L41" i="5"/>
  <c r="L45" i="5"/>
  <c r="L44" i="5"/>
  <c r="L43" i="5"/>
  <c r="L42" i="5"/>
  <c r="L38" i="5"/>
  <c r="L39" i="5"/>
  <c r="L40" i="5"/>
  <c r="D17" i="6"/>
  <c r="M13" i="4"/>
  <c r="V17" i="6" s="1"/>
  <c r="L37" i="5"/>
  <c r="L35" i="5"/>
  <c r="L36" i="5"/>
  <c r="M12" i="4"/>
  <c r="V15" i="6" s="1"/>
  <c r="D15" i="6"/>
  <c r="L32" i="5"/>
  <c r="L33" i="5"/>
  <c r="L34" i="5"/>
  <c r="D14" i="6"/>
  <c r="M11" i="4"/>
  <c r="V14" i="6" s="1"/>
  <c r="L28" i="5"/>
  <c r="L29" i="5"/>
  <c r="L30" i="5"/>
  <c r="L31" i="5"/>
  <c r="D13" i="6"/>
  <c r="M10" i="4"/>
  <c r="V13" i="6" s="1"/>
  <c r="L24" i="5"/>
  <c r="L27" i="5"/>
  <c r="L26" i="5"/>
  <c r="L25" i="5"/>
  <c r="M9" i="4"/>
  <c r="V12" i="6" s="1"/>
  <c r="D12" i="6"/>
  <c r="L22" i="5"/>
  <c r="L21" i="5"/>
  <c r="L20" i="5"/>
  <c r="L23" i="5"/>
  <c r="M8" i="4"/>
  <c r="V10" i="6" s="1"/>
  <c r="D10" i="6"/>
  <c r="L19" i="5"/>
  <c r="L18" i="5"/>
  <c r="L17" i="5"/>
  <c r="L16" i="5"/>
  <c r="M7" i="4"/>
  <c r="V8" i="6" s="1"/>
  <c r="D8" i="6"/>
  <c r="L12" i="5"/>
  <c r="L15" i="5"/>
  <c r="L14" i="5"/>
  <c r="L13" i="5"/>
  <c r="D7" i="6"/>
  <c r="M6" i="4"/>
  <c r="V7" i="6" s="1"/>
  <c r="L8" i="5"/>
  <c r="L10" i="5"/>
  <c r="L11" i="5"/>
  <c r="L9" i="5"/>
  <c r="D5" i="6"/>
  <c r="M5" i="4"/>
  <c r="V5" i="6" s="1"/>
  <c r="L4" i="5"/>
  <c r="L7" i="5"/>
  <c r="L6" i="5"/>
  <c r="L5" i="5"/>
  <c r="M4" i="4"/>
  <c r="V4" i="6" s="1"/>
  <c r="D4" i="6"/>
  <c r="D28" i="9"/>
  <c r="F28" i="9" s="1"/>
  <c r="E28" i="9"/>
  <c r="G28" i="9" s="1"/>
  <c r="D27" i="9"/>
  <c r="F27" i="9" s="1"/>
  <c r="H27" i="9" s="1"/>
  <c r="E27" i="9"/>
  <c r="G27" i="9" s="1"/>
  <c r="D26" i="9"/>
  <c r="F26" i="9" s="1"/>
  <c r="E26" i="9"/>
  <c r="G26" i="9" s="1"/>
  <c r="D25" i="9"/>
  <c r="F25" i="9" s="1"/>
  <c r="E25" i="9"/>
  <c r="G25" i="9" s="1"/>
  <c r="S20" i="6" l="1"/>
  <c r="J20" i="6"/>
  <c r="K20" i="6"/>
  <c r="L20" i="6"/>
  <c r="M20" i="6" s="1"/>
  <c r="S21" i="6"/>
  <c r="J21" i="6"/>
  <c r="K21" i="6"/>
  <c r="L21" i="6"/>
  <c r="M21" i="6" s="1"/>
  <c r="S25" i="6"/>
  <c r="L25" i="6"/>
  <c r="J25" i="6"/>
  <c r="K25" i="6"/>
  <c r="M25" i="6"/>
  <c r="S22" i="6"/>
  <c r="J22" i="6"/>
  <c r="K22" i="6"/>
  <c r="L22" i="6"/>
  <c r="M22" i="6" s="1"/>
  <c r="S24" i="6"/>
  <c r="J24" i="6"/>
  <c r="K24" i="6"/>
  <c r="L24" i="6"/>
  <c r="M24" i="6" s="1"/>
  <c r="S27" i="6"/>
  <c r="J27" i="6"/>
  <c r="K27" i="6"/>
  <c r="L27" i="6"/>
  <c r="M27" i="6" s="1"/>
  <c r="S26" i="6"/>
  <c r="J26" i="6"/>
  <c r="K26" i="6"/>
  <c r="L26" i="6"/>
  <c r="M26" i="6" s="1"/>
  <c r="S23" i="6"/>
  <c r="K23" i="6"/>
  <c r="M23" i="6" s="1"/>
  <c r="J23" i="6"/>
  <c r="L23" i="6"/>
  <c r="S9" i="6"/>
  <c r="J9" i="6"/>
  <c r="K9" i="6"/>
  <c r="L9" i="6"/>
  <c r="M9" i="6"/>
  <c r="S16" i="6"/>
  <c r="J16" i="6"/>
  <c r="K16" i="6"/>
  <c r="L16" i="6"/>
  <c r="M16" i="6" s="1"/>
  <c r="S6" i="6"/>
  <c r="J6" i="6"/>
  <c r="K6" i="6"/>
  <c r="L6" i="6"/>
  <c r="M6" i="6" s="1"/>
  <c r="S18" i="6"/>
  <c r="J15" i="9" s="1"/>
  <c r="K15" i="9" s="1"/>
  <c r="M15" i="9" s="1"/>
  <c r="J18" i="6"/>
  <c r="K18" i="6"/>
  <c r="L18" i="6"/>
  <c r="M18" i="6" s="1"/>
  <c r="S28" i="6"/>
  <c r="J24" i="9" s="1"/>
  <c r="K24" i="9" s="1"/>
  <c r="M24" i="9" s="1"/>
  <c r="J28" i="6"/>
  <c r="K28" i="6"/>
  <c r="L28" i="6"/>
  <c r="M28" i="6" s="1"/>
  <c r="S29" i="6"/>
  <c r="J25" i="9" s="1"/>
  <c r="K25" i="9" s="1"/>
  <c r="M25" i="9" s="1"/>
  <c r="J29" i="6"/>
  <c r="K29" i="6"/>
  <c r="L29" i="6"/>
  <c r="M29" i="6" s="1"/>
  <c r="S30" i="6"/>
  <c r="J26" i="9" s="1"/>
  <c r="K26" i="9" s="1"/>
  <c r="M26" i="9" s="1"/>
  <c r="J30" i="6"/>
  <c r="K30" i="6"/>
  <c r="L30" i="6"/>
  <c r="M30" i="6" s="1"/>
  <c r="S11" i="6"/>
  <c r="J9" i="9" s="1"/>
  <c r="K9" i="9" s="1"/>
  <c r="M9" i="9" s="1"/>
  <c r="J11" i="6"/>
  <c r="M11" i="6" s="1"/>
  <c r="K11" i="6"/>
  <c r="L11" i="6"/>
  <c r="M112" i="5"/>
  <c r="N112" i="5"/>
  <c r="R112" i="5" s="1"/>
  <c r="M111" i="5"/>
  <c r="N111" i="5"/>
  <c r="R111" i="5" s="1"/>
  <c r="I31" i="6" s="1"/>
  <c r="I15" i="9"/>
  <c r="I13" i="9"/>
  <c r="J13" i="9"/>
  <c r="K13" i="9" s="1"/>
  <c r="M13" i="9" s="1"/>
  <c r="I9" i="9"/>
  <c r="I6" i="9"/>
  <c r="J6" i="9"/>
  <c r="K6" i="9" s="1"/>
  <c r="M6" i="9" s="1"/>
  <c r="M41" i="5"/>
  <c r="N41" i="5"/>
  <c r="R41" i="5" s="1"/>
  <c r="I19" i="6" s="1"/>
  <c r="N45" i="5"/>
  <c r="R45" i="5" s="1"/>
  <c r="M45" i="5"/>
  <c r="M44" i="5"/>
  <c r="N44" i="5"/>
  <c r="R44" i="5" s="1"/>
  <c r="M43" i="5"/>
  <c r="N43" i="5"/>
  <c r="R43" i="5" s="1"/>
  <c r="M42" i="5"/>
  <c r="N42" i="5"/>
  <c r="R42" i="5" s="1"/>
  <c r="M38" i="5"/>
  <c r="N38" i="5"/>
  <c r="R38" i="5" s="1"/>
  <c r="M39" i="5"/>
  <c r="N39" i="5"/>
  <c r="R39" i="5" s="1"/>
  <c r="M40" i="5"/>
  <c r="N40" i="5"/>
  <c r="R40" i="5" s="1"/>
  <c r="I14" i="9"/>
  <c r="M37" i="5"/>
  <c r="N37" i="5"/>
  <c r="R37" i="5" s="1"/>
  <c r="M35" i="5"/>
  <c r="N35" i="5"/>
  <c r="R35" i="5" s="1"/>
  <c r="M36" i="5"/>
  <c r="N36" i="5"/>
  <c r="R36" i="5" s="1"/>
  <c r="I12" i="9"/>
  <c r="M32" i="5"/>
  <c r="N32" i="5"/>
  <c r="R32" i="5" s="1"/>
  <c r="I14" i="6" s="1"/>
  <c r="M33" i="5"/>
  <c r="N33" i="5"/>
  <c r="R33" i="5" s="1"/>
  <c r="M34" i="5"/>
  <c r="N34" i="5"/>
  <c r="R34" i="5" s="1"/>
  <c r="I11" i="9"/>
  <c r="M28" i="5"/>
  <c r="N28" i="5"/>
  <c r="R28" i="5" s="1"/>
  <c r="M29" i="5"/>
  <c r="N29" i="5"/>
  <c r="R29" i="5" s="1"/>
  <c r="M30" i="5"/>
  <c r="N30" i="5"/>
  <c r="R30" i="5" s="1"/>
  <c r="M31" i="5"/>
  <c r="N31" i="5"/>
  <c r="R31" i="5" s="1"/>
  <c r="M24" i="5"/>
  <c r="N24" i="5"/>
  <c r="R24" i="5" s="1"/>
  <c r="M27" i="5"/>
  <c r="N27" i="5"/>
  <c r="R27" i="5" s="1"/>
  <c r="M26" i="5"/>
  <c r="N26" i="5"/>
  <c r="R26" i="5" s="1"/>
  <c r="M25" i="5"/>
  <c r="N25" i="5"/>
  <c r="R25" i="5" s="1"/>
  <c r="I10" i="9"/>
  <c r="M22" i="5"/>
  <c r="N22" i="5"/>
  <c r="R22" i="5" s="1"/>
  <c r="M21" i="5"/>
  <c r="N21" i="5"/>
  <c r="R21" i="5" s="1"/>
  <c r="M20" i="5"/>
  <c r="N20" i="5"/>
  <c r="R20" i="5" s="1"/>
  <c r="M23" i="5"/>
  <c r="N23" i="5"/>
  <c r="R23" i="5" s="1"/>
  <c r="I8" i="9"/>
  <c r="M19" i="5"/>
  <c r="N19" i="5"/>
  <c r="R19" i="5" s="1"/>
  <c r="M18" i="5"/>
  <c r="N18" i="5"/>
  <c r="R18" i="5" s="1"/>
  <c r="M17" i="5"/>
  <c r="N17" i="5"/>
  <c r="R17" i="5" s="1"/>
  <c r="M16" i="5"/>
  <c r="N16" i="5"/>
  <c r="R16" i="5" s="1"/>
  <c r="I8" i="6" s="1"/>
  <c r="M12" i="5"/>
  <c r="N12" i="5"/>
  <c r="R12" i="5" s="1"/>
  <c r="I7" i="6" s="1"/>
  <c r="M15" i="5"/>
  <c r="N15" i="5"/>
  <c r="R15" i="5" s="1"/>
  <c r="M14" i="5"/>
  <c r="N14" i="5"/>
  <c r="R14" i="5" s="1"/>
  <c r="M13" i="5"/>
  <c r="N13" i="5"/>
  <c r="R13" i="5" s="1"/>
  <c r="I7" i="9"/>
  <c r="M8" i="5"/>
  <c r="N8" i="5"/>
  <c r="R8" i="5" s="1"/>
  <c r="M10" i="5"/>
  <c r="N10" i="5"/>
  <c r="R10" i="5" s="1"/>
  <c r="M11" i="5"/>
  <c r="N11" i="5"/>
  <c r="R11" i="5" s="1"/>
  <c r="M9" i="5"/>
  <c r="N9" i="5"/>
  <c r="R9" i="5" s="1"/>
  <c r="I5" i="9"/>
  <c r="M4" i="5"/>
  <c r="N4" i="5"/>
  <c r="R4" i="5" s="1"/>
  <c r="M7" i="5"/>
  <c r="N7" i="5"/>
  <c r="R7" i="5" s="1"/>
  <c r="M6" i="5"/>
  <c r="N6" i="5"/>
  <c r="R6" i="5" s="1"/>
  <c r="M5" i="5"/>
  <c r="N5" i="5"/>
  <c r="R5" i="5" s="1"/>
  <c r="I4" i="9"/>
  <c r="H26" i="9"/>
  <c r="H25" i="9"/>
  <c r="D36" i="6"/>
  <c r="B24" i="1" s="1"/>
  <c r="H28" i="9"/>
  <c r="K28" i="9" s="1"/>
  <c r="M28" i="9" s="1"/>
  <c r="I27" i="9"/>
  <c r="I25" i="9"/>
  <c r="I24" i="9"/>
  <c r="I26" i="9"/>
  <c r="O20" i="6" l="1"/>
  <c r="Y15" i="4"/>
  <c r="J17" i="9"/>
  <c r="K17" i="9" s="1"/>
  <c r="M17" i="9" s="1"/>
  <c r="F18" i="7"/>
  <c r="U20" i="6"/>
  <c r="T20" i="6"/>
  <c r="O21" i="6"/>
  <c r="Y26" i="4"/>
  <c r="J18" i="9"/>
  <c r="K18" i="9" s="1"/>
  <c r="M18" i="9" s="1"/>
  <c r="F10" i="8"/>
  <c r="U21" i="6"/>
  <c r="T21" i="6"/>
  <c r="O25" i="6"/>
  <c r="J22" i="9"/>
  <c r="K22" i="9" s="1"/>
  <c r="M22" i="9" s="1"/>
  <c r="Y17" i="4"/>
  <c r="F20" i="7"/>
  <c r="U25" i="6"/>
  <c r="T25" i="6"/>
  <c r="O22" i="6"/>
  <c r="J19" i="9"/>
  <c r="K19" i="9" s="1"/>
  <c r="M19" i="9" s="1"/>
  <c r="Y16" i="4"/>
  <c r="F19" i="7"/>
  <c r="U22" i="6"/>
  <c r="T22" i="6"/>
  <c r="Y28" i="4"/>
  <c r="J21" i="9"/>
  <c r="K21" i="9" s="1"/>
  <c r="M21" i="9" s="1"/>
  <c r="F12" i="8"/>
  <c r="U24" i="6"/>
  <c r="T24" i="6"/>
  <c r="O24" i="6"/>
  <c r="Y18" i="4"/>
  <c r="F22" i="7"/>
  <c r="O27" i="6"/>
  <c r="U27" i="6"/>
  <c r="T27" i="6"/>
  <c r="J23" i="9"/>
  <c r="K23" i="9" s="1"/>
  <c r="M23" i="9" s="1"/>
  <c r="O26" i="6"/>
  <c r="Y29" i="4"/>
  <c r="F21" i="7"/>
  <c r="U26" i="6"/>
  <c r="T26" i="6"/>
  <c r="T23" i="6"/>
  <c r="O23" i="6"/>
  <c r="Y27" i="4"/>
  <c r="J20" i="9"/>
  <c r="K20" i="9" s="1"/>
  <c r="M20" i="9" s="1"/>
  <c r="F11" i="8"/>
  <c r="U23" i="6"/>
  <c r="O9" i="6"/>
  <c r="Y21" i="4"/>
  <c r="F10" i="7"/>
  <c r="U9" i="6"/>
  <c r="T9" i="6"/>
  <c r="O16" i="6"/>
  <c r="Y23" i="4"/>
  <c r="F8" i="8"/>
  <c r="U16" i="6"/>
  <c r="T16" i="6"/>
  <c r="O6" i="6"/>
  <c r="Y20" i="4"/>
  <c r="F6" i="8"/>
  <c r="U6" i="6"/>
  <c r="T6" i="6"/>
  <c r="O18" i="6"/>
  <c r="Y25" i="4"/>
  <c r="F9" i="8"/>
  <c r="U18" i="6"/>
  <c r="T18" i="6"/>
  <c r="O28" i="6"/>
  <c r="Y30" i="4"/>
  <c r="F13" i="8"/>
  <c r="U28" i="6"/>
  <c r="T28" i="6"/>
  <c r="O29" i="6"/>
  <c r="Y31" i="4"/>
  <c r="F14" i="8"/>
  <c r="U29" i="6"/>
  <c r="T29" i="6"/>
  <c r="O30" i="6"/>
  <c r="Y19" i="4"/>
  <c r="F23" i="7"/>
  <c r="U30" i="6"/>
  <c r="T30" i="6"/>
  <c r="O11" i="6"/>
  <c r="Y22" i="4"/>
  <c r="F7" i="8"/>
  <c r="U11" i="6"/>
  <c r="T11" i="6"/>
  <c r="L31" i="6"/>
  <c r="M31" i="6" s="1"/>
  <c r="K31" i="6"/>
  <c r="J31" i="6"/>
  <c r="S31" i="6"/>
  <c r="S19" i="6"/>
  <c r="K19" i="6"/>
  <c r="M19" i="6" s="1"/>
  <c r="L19" i="6"/>
  <c r="J19" i="6"/>
  <c r="L14" i="6"/>
  <c r="M14" i="6" s="1"/>
  <c r="K14" i="6"/>
  <c r="J14" i="6"/>
  <c r="S14" i="6"/>
  <c r="M8" i="6"/>
  <c r="L8" i="6"/>
  <c r="K8" i="6"/>
  <c r="J8" i="6"/>
  <c r="S8" i="6"/>
  <c r="M7" i="6"/>
  <c r="L7" i="6"/>
  <c r="K7" i="6"/>
  <c r="J7" i="6"/>
  <c r="S7" i="6"/>
  <c r="I4" i="6"/>
  <c r="D116" i="5"/>
  <c r="I17" i="6"/>
  <c r="I15" i="6"/>
  <c r="I13" i="6"/>
  <c r="I12" i="6"/>
  <c r="I10" i="6"/>
  <c r="I5" i="6"/>
  <c r="I18" i="7" l="1"/>
  <c r="L18" i="7" s="1"/>
  <c r="J18" i="7"/>
  <c r="I10" i="8"/>
  <c r="L10" i="8" s="1"/>
  <c r="J10" i="8"/>
  <c r="K10" i="8"/>
  <c r="G10" i="8" s="1"/>
  <c r="H10" i="8" s="1"/>
  <c r="G20" i="7"/>
  <c r="H20" i="7" s="1"/>
  <c r="I20" i="7"/>
  <c r="L20" i="7" s="1"/>
  <c r="J20" i="7"/>
  <c r="K20" i="7"/>
  <c r="G19" i="7"/>
  <c r="H19" i="7" s="1"/>
  <c r="I19" i="7"/>
  <c r="L19" i="7" s="1"/>
  <c r="J19" i="7"/>
  <c r="K19" i="7"/>
  <c r="I12" i="8"/>
  <c r="L12" i="8" s="1"/>
  <c r="J12" i="8"/>
  <c r="K12" i="8"/>
  <c r="G12" i="8" s="1"/>
  <c r="H12" i="8" s="1"/>
  <c r="I22" i="7"/>
  <c r="L22" i="7" s="1"/>
  <c r="J22" i="7"/>
  <c r="I21" i="7"/>
  <c r="L21" i="7" s="1"/>
  <c r="J21" i="7"/>
  <c r="I11" i="8"/>
  <c r="L11" i="8" s="1"/>
  <c r="J11" i="8"/>
  <c r="K11" i="8"/>
  <c r="I10" i="7"/>
  <c r="J10" i="7"/>
  <c r="I8" i="8"/>
  <c r="L8" i="8" s="1"/>
  <c r="J8" i="8"/>
  <c r="K8" i="8"/>
  <c r="G8" i="8" s="1"/>
  <c r="H8" i="8" s="1"/>
  <c r="I6" i="8"/>
  <c r="J6" i="8"/>
  <c r="K6" i="8"/>
  <c r="I9" i="8"/>
  <c r="L9" i="8" s="1"/>
  <c r="J9" i="8"/>
  <c r="K9" i="8"/>
  <c r="G9" i="8" s="1"/>
  <c r="H9" i="8" s="1"/>
  <c r="I13" i="8"/>
  <c r="L13" i="8" s="1"/>
  <c r="J13" i="8"/>
  <c r="K13" i="8"/>
  <c r="G13" i="8" s="1"/>
  <c r="H13" i="8" s="1"/>
  <c r="I14" i="8"/>
  <c r="L14" i="8" s="1"/>
  <c r="J14" i="8"/>
  <c r="K14" i="8"/>
  <c r="G14" i="8" s="1"/>
  <c r="H14" i="8" s="1"/>
  <c r="I23" i="7"/>
  <c r="L23" i="7" s="1"/>
  <c r="J23" i="7"/>
  <c r="G7" i="8"/>
  <c r="H7" i="8" s="1"/>
  <c r="I7" i="8"/>
  <c r="L7" i="8" s="1"/>
  <c r="J7" i="8"/>
  <c r="K7" i="8"/>
  <c r="J27" i="9"/>
  <c r="K27" i="9" s="1"/>
  <c r="M27" i="9" s="1"/>
  <c r="O31" i="6"/>
  <c r="Y32" i="4"/>
  <c r="F15" i="8"/>
  <c r="U31" i="6"/>
  <c r="T31" i="6"/>
  <c r="O19" i="6"/>
  <c r="J16" i="9"/>
  <c r="K16" i="9" s="1"/>
  <c r="M16" i="9" s="1"/>
  <c r="Y14" i="4"/>
  <c r="F17" i="7"/>
  <c r="U19" i="6"/>
  <c r="T19" i="6"/>
  <c r="J11" i="9"/>
  <c r="K11" i="9" s="1"/>
  <c r="M11" i="9" s="1"/>
  <c r="O14" i="6"/>
  <c r="Y11" i="4"/>
  <c r="F14" i="7"/>
  <c r="U14" i="6"/>
  <c r="T14" i="6"/>
  <c r="O8" i="6"/>
  <c r="Y7" i="4"/>
  <c r="F9" i="7"/>
  <c r="U8" i="6"/>
  <c r="T8" i="6"/>
  <c r="J7" i="9"/>
  <c r="K7" i="9" s="1"/>
  <c r="M7" i="9" s="1"/>
  <c r="O7" i="6"/>
  <c r="Y6" i="4"/>
  <c r="F8" i="7"/>
  <c r="U7" i="6"/>
  <c r="T7" i="6"/>
  <c r="S4" i="6"/>
  <c r="L4" i="6"/>
  <c r="M4" i="6" s="1"/>
  <c r="K4" i="6"/>
  <c r="J4" i="6"/>
  <c r="S17" i="6"/>
  <c r="J17" i="6"/>
  <c r="K17" i="6"/>
  <c r="L17" i="6"/>
  <c r="M17" i="6" s="1"/>
  <c r="S15" i="6"/>
  <c r="J15" i="6"/>
  <c r="K15" i="6"/>
  <c r="L15" i="6"/>
  <c r="M15" i="6" s="1"/>
  <c r="S13" i="6"/>
  <c r="J13" i="6"/>
  <c r="K13" i="6"/>
  <c r="L13" i="6"/>
  <c r="M13" i="6"/>
  <c r="S12" i="6"/>
  <c r="J12" i="6"/>
  <c r="K12" i="6"/>
  <c r="L12" i="6"/>
  <c r="M12" i="6" s="1"/>
  <c r="S10" i="6"/>
  <c r="J10" i="6"/>
  <c r="K10" i="6"/>
  <c r="L10" i="6"/>
  <c r="M10" i="6" s="1"/>
  <c r="S5" i="6"/>
  <c r="J5" i="6"/>
  <c r="K5" i="6"/>
  <c r="L5" i="6"/>
  <c r="M5" i="6" s="1"/>
  <c r="C8" i="1"/>
  <c r="L6" i="8" l="1"/>
  <c r="I15" i="8"/>
  <c r="J15" i="8"/>
  <c r="K15" i="8"/>
  <c r="G15" i="8" s="1"/>
  <c r="H15" i="8" s="1"/>
  <c r="G17" i="7"/>
  <c r="H17" i="7" s="1"/>
  <c r="I17" i="7"/>
  <c r="L17" i="7" s="1"/>
  <c r="J17" i="7"/>
  <c r="K17" i="7"/>
  <c r="I14" i="7"/>
  <c r="L14" i="7" s="1"/>
  <c r="J14" i="7"/>
  <c r="G9" i="7"/>
  <c r="H9" i="7" s="1"/>
  <c r="I9" i="7"/>
  <c r="L9" i="7" s="1"/>
  <c r="J9" i="7"/>
  <c r="K9" i="7"/>
  <c r="G8" i="7"/>
  <c r="H8" i="7" s="1"/>
  <c r="I8" i="7"/>
  <c r="L8" i="7" s="1"/>
  <c r="J8" i="7"/>
  <c r="K8" i="7"/>
  <c r="J4" i="9"/>
  <c r="K4" i="9" s="1"/>
  <c r="T4" i="6"/>
  <c r="U4" i="6"/>
  <c r="D35" i="6"/>
  <c r="B23" i="1" s="1"/>
  <c r="F6" i="7"/>
  <c r="K14" i="7" s="1"/>
  <c r="Y4" i="4"/>
  <c r="O4" i="6"/>
  <c r="J14" i="9"/>
  <c r="K14" i="9" s="1"/>
  <c r="M14" i="9" s="1"/>
  <c r="O17" i="6"/>
  <c r="Y24" i="4"/>
  <c r="Y13" i="4"/>
  <c r="F16" i="7"/>
  <c r="U17" i="6"/>
  <c r="T17" i="6"/>
  <c r="J12" i="9"/>
  <c r="K12" i="9" s="1"/>
  <c r="M12" i="9" s="1"/>
  <c r="O15" i="6"/>
  <c r="Y12" i="4"/>
  <c r="F15" i="7"/>
  <c r="U15" i="6"/>
  <c r="T15" i="6"/>
  <c r="O13" i="6"/>
  <c r="Y10" i="4"/>
  <c r="F13" i="7"/>
  <c r="U13" i="6"/>
  <c r="T13" i="6"/>
  <c r="J10" i="9"/>
  <c r="K10" i="9" s="1"/>
  <c r="M10" i="9" s="1"/>
  <c r="O12" i="6"/>
  <c r="Y9" i="4"/>
  <c r="F12" i="7"/>
  <c r="U12" i="6"/>
  <c r="T12" i="6"/>
  <c r="J8" i="9"/>
  <c r="K8" i="9" s="1"/>
  <c r="M8" i="9" s="1"/>
  <c r="O10" i="6"/>
  <c r="Y8" i="4"/>
  <c r="F11" i="7"/>
  <c r="U10" i="6"/>
  <c r="T10" i="6"/>
  <c r="J5" i="9"/>
  <c r="K5" i="9" s="1"/>
  <c r="M5" i="9" s="1"/>
  <c r="O5" i="6"/>
  <c r="Y5" i="4"/>
  <c r="F7" i="7"/>
  <c r="U5" i="6"/>
  <c r="T5" i="6"/>
  <c r="G11" i="8"/>
  <c r="H11" i="8" s="1"/>
  <c r="G6" i="8"/>
  <c r="B18" i="8"/>
  <c r="C9" i="1" s="1"/>
  <c r="B17" i="8"/>
  <c r="C7" i="1" s="1"/>
  <c r="B22" i="8" l="1"/>
  <c r="B23" i="8"/>
  <c r="B24" i="8"/>
  <c r="D31" i="9"/>
  <c r="B19" i="1" s="1"/>
  <c r="M4" i="9"/>
  <c r="N4" i="9" s="1"/>
  <c r="N5" i="9" s="1"/>
  <c r="N6" i="9" s="1"/>
  <c r="N7" i="9" s="1"/>
  <c r="K23" i="7"/>
  <c r="K10" i="7"/>
  <c r="K21" i="7"/>
  <c r="K22" i="7"/>
  <c r="K18" i="7"/>
  <c r="G18" i="7" s="1"/>
  <c r="H18" i="7" s="1"/>
  <c r="G6" i="7"/>
  <c r="I6" i="7"/>
  <c r="J6" i="7"/>
  <c r="K6" i="7"/>
  <c r="B25" i="7"/>
  <c r="B7" i="1" s="1"/>
  <c r="B26" i="7"/>
  <c r="B9" i="1" s="1"/>
  <c r="B8" i="1"/>
  <c r="B21" i="1"/>
  <c r="I16" i="7"/>
  <c r="L16" i="7" s="1"/>
  <c r="J16" i="7"/>
  <c r="K16" i="7"/>
  <c r="G16" i="7" s="1"/>
  <c r="H16" i="7" s="1"/>
  <c r="I15" i="7"/>
  <c r="L15" i="7" s="1"/>
  <c r="J15" i="7"/>
  <c r="K15" i="7"/>
  <c r="G15" i="7" s="1"/>
  <c r="H15" i="7" s="1"/>
  <c r="G13" i="7"/>
  <c r="H13" i="7" s="1"/>
  <c r="I13" i="7"/>
  <c r="L13" i="7" s="1"/>
  <c r="J13" i="7"/>
  <c r="K13" i="7"/>
  <c r="I12" i="7"/>
  <c r="L12" i="7" s="1"/>
  <c r="J12" i="7"/>
  <c r="K12" i="7"/>
  <c r="G12" i="7" s="1"/>
  <c r="H12" i="7" s="1"/>
  <c r="I11" i="7"/>
  <c r="J11" i="7"/>
  <c r="K11" i="7"/>
  <c r="G11" i="7" s="1"/>
  <c r="H11" i="7" s="1"/>
  <c r="I7" i="7"/>
  <c r="L7" i="7" s="1"/>
  <c r="J7" i="7"/>
  <c r="K7" i="7"/>
  <c r="G7" i="7" s="1"/>
  <c r="H7" i="7" s="1"/>
  <c r="B20" i="8"/>
  <c r="C11" i="1" s="1"/>
  <c r="H6" i="8"/>
  <c r="B19" i="8" s="1"/>
  <c r="D34" i="6"/>
  <c r="B22" i="1" s="1"/>
  <c r="N8" i="9"/>
  <c r="N9" i="9" s="1"/>
  <c r="N10" i="9" s="1"/>
  <c r="N11" i="9" s="1"/>
  <c r="N12" i="9" s="1"/>
  <c r="N13" i="9" s="1"/>
  <c r="N14" i="9" s="1"/>
  <c r="N15" i="9" s="1"/>
  <c r="N16" i="9" s="1"/>
  <c r="N17" i="9" s="1"/>
  <c r="N18" i="9" s="1"/>
  <c r="N19" i="9" s="1"/>
  <c r="N20" i="9" s="1"/>
  <c r="N21" i="9" s="1"/>
  <c r="N22" i="9" s="1"/>
  <c r="N23" i="9" s="1"/>
  <c r="N24" i="9" s="1"/>
  <c r="N25" i="9" s="1"/>
  <c r="N26" i="9" s="1"/>
  <c r="N27" i="9" s="1"/>
  <c r="N28" i="9" s="1"/>
  <c r="D32" i="9" s="1"/>
  <c r="B20" i="1" s="1"/>
  <c r="L15" i="8"/>
  <c r="B21" i="8"/>
  <c r="H6" i="7" l="1"/>
  <c r="B27" i="7" s="1"/>
  <c r="B28" i="7"/>
  <c r="B11" i="1" s="1"/>
  <c r="L10" i="7"/>
  <c r="L6" i="7"/>
  <c r="B29" i="7"/>
  <c r="B26" i="8"/>
  <c r="C14" i="1" s="1"/>
  <c r="C10" i="1"/>
  <c r="C12" i="1"/>
  <c r="C15" i="1" s="1"/>
  <c r="B25" i="8"/>
  <c r="C13" i="1" s="1"/>
  <c r="G23" i="7"/>
  <c r="H23" i="7" s="1"/>
  <c r="G10" i="7"/>
  <c r="H10" i="7" s="1"/>
  <c r="G21" i="7"/>
  <c r="H21" i="7" s="1"/>
  <c r="G22" i="7"/>
  <c r="H22" i="7" s="1"/>
  <c r="G14" i="7"/>
  <c r="H14" i="7" s="1"/>
  <c r="L11" i="7"/>
  <c r="B34" i="7" l="1"/>
  <c r="B14" i="1" s="1"/>
  <c r="B10" i="1"/>
  <c r="B30" i="7"/>
  <c r="B31" i="7"/>
  <c r="B32" i="7"/>
  <c r="B33" i="7"/>
  <c r="B13" i="1" s="1"/>
  <c r="B12" i="1"/>
  <c r="B15" i="1" l="1"/>
</calcChain>
</file>

<file path=xl/sharedStrings.xml><?xml version="1.0" encoding="utf-8"?>
<sst xmlns="http://schemas.openxmlformats.org/spreadsheetml/2006/main" count="1718" uniqueCount="704">
  <si>
    <t>Concrete acceptance summary, project 2417, Harbor View Parking Structure, placements of August and September 2026</t>
  </si>
  <si>
    <t>Prepared for the engineer of record and the owner's representative under Section 03 30 00, 3.12.1; summary prepared October 21, 2026</t>
  </si>
  <si>
    <t>Finding</t>
  </si>
  <si>
    <t>M-4000</t>
  </si>
  <si>
    <t>M-6000</t>
  </si>
  <si>
    <t>Read from</t>
  </si>
  <si>
    <t>Project number</t>
  </si>
  <si>
    <t>Placement log and break record</t>
  </si>
  <si>
    <t>Specified strength f'c (psi)</t>
  </si>
  <si>
    <t>Parameters</t>
  </si>
  <si>
    <t>Strength tests used for acceptance</t>
  </si>
  <si>
    <t>Acceptance tabs</t>
  </si>
  <si>
    <t>Sets cast and not used for acceptance</t>
  </si>
  <si>
    <t>Samples and Tests</t>
  </si>
  <si>
    <t>Lowest strength test (psi)</t>
  </si>
  <si>
    <t>Moving averages of three below f'c, criterion (a)</t>
  </si>
  <si>
    <t>Lowest moving average of three (psi)</t>
  </si>
  <si>
    <t>Tests below f'c by more than the allowance, criterion (b)</t>
  </si>
  <si>
    <t>Placements with a test failing criterion (b)</t>
  </si>
  <si>
    <t>Acceptance under 3.11.1</t>
  </si>
  <si>
    <t>What 3.11.2 calls for next</t>
  </si>
  <si>
    <t>3.11.2</t>
  </si>
  <si>
    <t>Core average floor, 85 percent of f'c (psi)</t>
  </si>
  <si>
    <t>Core single floor, 75 percent of f'c (psi)</t>
  </si>
  <si>
    <t>Sampling, sets and notes, both mixtures</t>
  </si>
  <si>
    <t>Days on which a mixture was sampled short of 3.10.1</t>
  </si>
  <si>
    <t>Sampling</t>
  </si>
  <si>
    <t>Days short, listed</t>
  </si>
  <si>
    <t>Sets cast and not used, both mixtures</t>
  </si>
  <si>
    <t>Tests with a within-test range note</t>
  </si>
  <si>
    <t>Tests</t>
  </si>
  <si>
    <t>Tests used that carry a curing note</t>
  </si>
  <si>
    <t>Samples outside a fresh concrete limit</t>
  </si>
  <si>
    <t>Cylinders on the break record</t>
  </si>
  <si>
    <t>Cylinders</t>
  </si>
  <si>
    <t>Every value on this page reads from the tab named beside it. The Cylinders tab computes each cylinder strength and age from the break record and the field sampling log, and the Tests, Acceptance and Sampling tabs read from it.</t>
  </si>
  <si>
    <t>Parameters and conventions the summary applies, from Section 03 30 00, LP-07 and the project file</t>
  </si>
  <si>
    <t>Parameter</t>
  </si>
  <si>
    <t>Source</t>
  </si>
  <si>
    <t>Section 03 30 00, 2.4</t>
  </si>
  <si>
    <t>Criterion (b) allowance below f'c (psi)</t>
  </si>
  <si>
    <t>3.11.1(b)</t>
  </si>
  <si>
    <t>Slump, low limit (in)</t>
  </si>
  <si>
    <t>2.4</t>
  </si>
  <si>
    <t>Slump, high limit (in)</t>
  </si>
  <si>
    <t>Air content, low limit (percent)</t>
  </si>
  <si>
    <t>Air content, high limit (percent)</t>
  </si>
  <si>
    <t>Maximum concrete temperature (F)</t>
  </si>
  <si>
    <t>Approved mix design, Kolstad Ready Mix</t>
  </si>
  <si>
    <t>4A317</t>
  </si>
  <si>
    <t>6S224</t>
  </si>
  <si>
    <t>Value</t>
  </si>
  <si>
    <t>Cubic yards per strength test</t>
  </si>
  <si>
    <t>3.10.1</t>
  </si>
  <si>
    <t>Square feet of slab or wall surface per strength test</t>
  </si>
  <si>
    <t>Cylinders per test, 6 by 12</t>
  </si>
  <si>
    <t>3.10.2</t>
  </si>
  <si>
    <t>Cylinders per test, 4 by 8</t>
  </si>
  <si>
    <t>Test age (hours), 28 days</t>
  </si>
  <si>
    <t>3.10.3</t>
  </si>
  <si>
    <t>Age tolerance (hours) either side</t>
  </si>
  <si>
    <t>3.10.3; LP-07 1.2</t>
  </si>
  <si>
    <t>Range limit, two 6 by 12 cylinders (percent)</t>
  </si>
  <si>
    <t>3.10.4; LP-07 2.3</t>
  </si>
  <si>
    <t>Range limit, three 4 by 8 cylinders (percent)</t>
  </si>
  <si>
    <t>Initial curing, low limit (F)</t>
  </si>
  <si>
    <t>3.10.6</t>
  </si>
  <si>
    <t>Initial curing, high limit (F)</t>
  </si>
  <si>
    <t>Initial curing, longest period (hours)</t>
  </si>
  <si>
    <t>Rounding unit for strengths (psi)</t>
  </si>
  <si>
    <t>3.10.3; LP-07 2.2</t>
  </si>
  <si>
    <t>Hours in a day</t>
  </si>
  <si>
    <t>Age and curing period conversion</t>
  </si>
  <si>
    <t>Minutes in a day</t>
  </si>
  <si>
    <t>Earliest age reported for information (days)</t>
  </si>
  <si>
    <t>Cylinders broken near 28 days</t>
  </si>
  <si>
    <t>Latest age reported for information (days)</t>
  </si>
  <si>
    <t>Conventions the figures rest on</t>
  </si>
  <si>
    <t>Age is reckoned in hours from the time of molding on the field sampling log to the time of the break, and a cylinder counts at 28 days when it is within 20 hours of 672 hours.</t>
  </si>
  <si>
    <t>Each cylinder strength is the load over the area from the average of the two measured diameters, with pi carried in full and the average diameter carried without rounding.</t>
  </si>
  <si>
    <t>3.10.3; LP-07 2.1</t>
  </si>
  <si>
    <t>A cylinder with a defect written on the break record is discarded, and the reserve cylinder broken at 28 days enters the test in its place.</t>
  </si>
  <si>
    <t>3.10.5</t>
  </si>
  <si>
    <t>Sets molded from one delivery ticket are one sample and make one strength test, and one truck batched at one time is one delivery ticket whatever number was written on the line.</t>
  </si>
  <si>
    <t>L. Brandvold's lines are on the 12 hour clock, and each time is read into the hours the placement log gives for the placement.</t>
  </si>
  <si>
    <t>LP-07 1.4; placement log</t>
  </si>
  <si>
    <t>The cast date of a set is the date the placement log gives for the placement it was molded from.</t>
  </si>
  <si>
    <t>Placement log; laboratory memo item 3</t>
  </si>
  <si>
    <t>The box thermometer is read as a low and a high, whichever was written first.</t>
  </si>
  <si>
    <t>LP-07 1.5</t>
  </si>
  <si>
    <t>Field cured cylinders are reported apart and are not strength tests.</t>
  </si>
  <si>
    <t>A test is set aside only on the written direction of the engineer of record.</t>
  </si>
  <si>
    <t>3.10.7</t>
  </si>
  <si>
    <t>Tests run in the order their samples were molded, by date and time, and the first two averages of each mixture take in the last two July tests used for acceptance, as corrected by the laboratory's letter of September 15.</t>
  </si>
  <si>
    <t>3.11.3; July transmittal</t>
  </si>
  <si>
    <t>A moving average equal to f'c meets criterion (a), and a test below f'c by exactly the allowance meets criterion (b).</t>
  </si>
  <si>
    <t>3.11.1</t>
  </si>
  <si>
    <t>The 10 percent allowance of criterion (b) applies to M-6000, because its f'c exceeds 5,000 psi.</t>
  </si>
  <si>
    <t>Sampling is judged on the day's total of each mixture across every placement of the day, and it is met only by strength tests used for acceptance.</t>
  </si>
  <si>
    <t>Placement log, placement_log_2417.csv, line for line, with the mixture of each placement</t>
  </si>
  <si>
    <t>PLACEMENT_ID</t>
  </si>
  <si>
    <t>DATE</t>
  </si>
  <si>
    <t>ELEMENT</t>
  </si>
  <si>
    <t>MIX_DESIGN</t>
  </si>
  <si>
    <t>CUBIC_YARDS</t>
  </si>
  <si>
    <t>SURFACE_AREA_SF</t>
  </si>
  <si>
    <t>START</t>
  </si>
  <si>
    <t>FINISH</t>
  </si>
  <si>
    <t>MIXTURE</t>
  </si>
  <si>
    <t>P-01</t>
  </si>
  <si>
    <t>08/03/2026</t>
  </si>
  <si>
    <t>Level 2 deck bay A</t>
  </si>
  <si>
    <t>06:40</t>
  </si>
  <si>
    <t>11:25</t>
  </si>
  <si>
    <t>P-02</t>
  </si>
  <si>
    <t>08/05/2026</t>
  </si>
  <si>
    <t>Level 2 deck bay B</t>
  </si>
  <si>
    <t>06:55</t>
  </si>
  <si>
    <t>11:10</t>
  </si>
  <si>
    <t>P-03</t>
  </si>
  <si>
    <t>Level 2 stair landings</t>
  </si>
  <si>
    <t>11:30</t>
  </si>
  <si>
    <t>12:20</t>
  </si>
  <si>
    <t>P-04</t>
  </si>
  <si>
    <t>08/06/2026</t>
  </si>
  <si>
    <t>Columns Level 2 grid 1 to 4</t>
  </si>
  <si>
    <t>08:50</t>
  </si>
  <si>
    <t>12:05</t>
  </si>
  <si>
    <t>P-05</t>
  </si>
  <si>
    <t>08/10/2026</t>
  </si>
  <si>
    <t>Level 2 deck bays C and D</t>
  </si>
  <si>
    <t>05:50</t>
  </si>
  <si>
    <t>16:10</t>
  </si>
  <si>
    <t>P-06</t>
  </si>
  <si>
    <t>08/12/2026</t>
  </si>
  <si>
    <t>Level 3 deck bay A</t>
  </si>
  <si>
    <t>06:45</t>
  </si>
  <si>
    <t>11:35</t>
  </si>
  <si>
    <t>P-07</t>
  </si>
  <si>
    <t>08/13/2026</t>
  </si>
  <si>
    <t>Columns Level 2 grid 5 to 8</t>
  </si>
  <si>
    <t>08:20</t>
  </si>
  <si>
    <t>11:50</t>
  </si>
  <si>
    <t>P-08</t>
  </si>
  <si>
    <t>08/14/2026</t>
  </si>
  <si>
    <t>Level 3 deck bay B</t>
  </si>
  <si>
    <t>06:30</t>
  </si>
  <si>
    <t>11:55</t>
  </si>
  <si>
    <t>P-09</t>
  </si>
  <si>
    <t>08/15/2026</t>
  </si>
  <si>
    <t>Ramp slab south lower run</t>
  </si>
  <si>
    <t>05:55</t>
  </si>
  <si>
    <t>12:40</t>
  </si>
  <si>
    <t>P-10</t>
  </si>
  <si>
    <t>08/17/2026</t>
  </si>
  <si>
    <t>Level 3 deck bay C</t>
  </si>
  <si>
    <t>06:35</t>
  </si>
  <si>
    <t>13:05</t>
  </si>
  <si>
    <t>P-11</t>
  </si>
  <si>
    <t>08/18/2026</t>
  </si>
  <si>
    <t>Columns Level 3 grid 1 to 4</t>
  </si>
  <si>
    <t>09:05</t>
  </si>
  <si>
    <t>12:15</t>
  </si>
  <si>
    <t>P-12</t>
  </si>
  <si>
    <t>08/19/2026</t>
  </si>
  <si>
    <t>Level 3 deck bay D</t>
  </si>
  <si>
    <t>06:50</t>
  </si>
  <si>
    <t>11:45</t>
  </si>
  <si>
    <t>P-13</t>
  </si>
  <si>
    <t>08/20/2026</t>
  </si>
  <si>
    <t>Columns Level 3 grid 5 to 8</t>
  </si>
  <si>
    <t>08:40</t>
  </si>
  <si>
    <t>P-14</t>
  </si>
  <si>
    <t>08/21/2026</t>
  </si>
  <si>
    <t>Ramp slab north</t>
  </si>
  <si>
    <t>07:10</t>
  </si>
  <si>
    <t>11:20</t>
  </si>
  <si>
    <t>P-15</t>
  </si>
  <si>
    <t>08/24/2026</t>
  </si>
  <si>
    <t>Level 4 deck bay A</t>
  </si>
  <si>
    <t>09:30</t>
  </si>
  <si>
    <t>14:50</t>
  </si>
  <si>
    <t>P-16</t>
  </si>
  <si>
    <t>Columns Level 3 grid 9 to 12</t>
  </si>
  <si>
    <t>15:35</t>
  </si>
  <si>
    <t>P-17</t>
  </si>
  <si>
    <t>08/26/2026</t>
  </si>
  <si>
    <t>Level 4 deck bay B</t>
  </si>
  <si>
    <t>11:15</t>
  </si>
  <si>
    <t>P-18</t>
  </si>
  <si>
    <t>Columns Level 4 grid 1 to 4</t>
  </si>
  <si>
    <t>09:50</t>
  </si>
  <si>
    <t>13:10</t>
  </si>
  <si>
    <t>P-19</t>
  </si>
  <si>
    <t>08/27/2026</t>
  </si>
  <si>
    <t>Shear walls stair 2 lifts 1 and 2</t>
  </si>
  <si>
    <t>07:30</t>
  </si>
  <si>
    <t>12:30</t>
  </si>
  <si>
    <t>P-20</t>
  </si>
  <si>
    <t>08/29/2026</t>
  </si>
  <si>
    <t>Level 4 deck bay C</t>
  </si>
  <si>
    <t>07:45</t>
  </si>
  <si>
    <t>13:20</t>
  </si>
  <si>
    <t>P-21</t>
  </si>
  <si>
    <t>08/31/2026</t>
  </si>
  <si>
    <t>Level 4 deck bay D and crossover</t>
  </si>
  <si>
    <t>06:10</t>
  </si>
  <si>
    <t>14:35</t>
  </si>
  <si>
    <t>P-22</t>
  </si>
  <si>
    <t>09/02/2026</t>
  </si>
  <si>
    <t>Columns Level 4 grid 5 to 8</t>
  </si>
  <si>
    <t>08:35</t>
  </si>
  <si>
    <t>11:40</t>
  </si>
  <si>
    <t>P-23</t>
  </si>
  <si>
    <t>09/03/2026</t>
  </si>
  <si>
    <t>Shear walls stair 2 lifts 3 and 4</t>
  </si>
  <si>
    <t>07:20</t>
  </si>
  <si>
    <t>12:10</t>
  </si>
  <si>
    <t>P-24</t>
  </si>
  <si>
    <t>09/08/2026</t>
  </si>
  <si>
    <t>Ramp slab south upper run</t>
  </si>
  <si>
    <t>07:35</t>
  </si>
  <si>
    <t>P-25</t>
  </si>
  <si>
    <t>09/10/2026</t>
  </si>
  <si>
    <t>Shear walls stair 1 lifts 1 and 2</t>
  </si>
  <si>
    <t>07:05</t>
  </si>
  <si>
    <t>P-26</t>
  </si>
  <si>
    <t>Columns Level 4 grid 9 to 12</t>
  </si>
  <si>
    <t>15:20</t>
  </si>
  <si>
    <t>P-27</t>
  </si>
  <si>
    <t>09/11/2026</t>
  </si>
  <si>
    <t>Level 4 curbs and islands</t>
  </si>
  <si>
    <t>08:10</t>
  </si>
  <si>
    <t>10:05</t>
  </si>
  <si>
    <t>Field sampling log, field_sampling_log_2417.csv, one line per set, as read against the placement log and the project file</t>
  </si>
  <si>
    <t>SET_NO</t>
  </si>
  <si>
    <t>FIELD_TECH</t>
  </si>
  <si>
    <t>DATE_CAST</t>
  </si>
  <si>
    <t>TIME_MOLDED</t>
  </si>
  <si>
    <t>LOCATION</t>
  </si>
  <si>
    <t>TICKET_NO</t>
  </si>
  <si>
    <t>SLUMP_IN</t>
  </si>
  <si>
    <t>AIR_PCT</t>
  </si>
  <si>
    <t>CONC_TEMP_F</t>
  </si>
  <si>
    <t>FRESH_CONCRETE</t>
  </si>
  <si>
    <t>CYL_SIZE</t>
  </si>
  <si>
    <t>INITIAL_CURING</t>
  </si>
  <si>
    <t>CURING_CLASS</t>
  </si>
  <si>
    <t>BOX_LOW_F</t>
  </si>
  <si>
    <t>BOX_HIGH_F</t>
  </si>
  <si>
    <t>PICKED_UP_DATE</t>
  </si>
  <si>
    <t>PICKED_UP_TIME</t>
  </si>
  <si>
    <t>HOURS_IN_BOX</t>
  </si>
  <si>
    <t>CURING_NOTE</t>
  </si>
  <si>
    <t>ENGINEER_DIRECTION</t>
  </si>
  <si>
    <t>MOLDED_SERIAL</t>
  </si>
  <si>
    <t>USED</t>
  </si>
  <si>
    <t>READING_OF_THE_FIELD_LOG</t>
  </si>
  <si>
    <t>S-101</t>
  </si>
  <si>
    <t>R. Okafor</t>
  </si>
  <si>
    <t>07:23</t>
  </si>
  <si>
    <t>L2 deck bay A at pump</t>
  </si>
  <si>
    <t>6x12</t>
  </si>
  <si>
    <t>Box 1</t>
  </si>
  <si>
    <t>Standard</t>
  </si>
  <si>
    <t>08/04/2026</t>
  </si>
  <si>
    <t>07:52</t>
  </si>
  <si>
    <t>S-102</t>
  </si>
  <si>
    <t>08:12</t>
  </si>
  <si>
    <t>L2 deck bay B at pump</t>
  </si>
  <si>
    <t>07:34</t>
  </si>
  <si>
    <t>S-103</t>
  </si>
  <si>
    <t>06:52</t>
  </si>
  <si>
    <t>L2 deck C/D north pump</t>
  </si>
  <si>
    <t>08/11/2026</t>
  </si>
  <si>
    <t>06:56</t>
  </si>
  <si>
    <t>S-104</t>
  </si>
  <si>
    <t>10:18</t>
  </si>
  <si>
    <t>S-105</t>
  </si>
  <si>
    <t>07:38</t>
  </si>
  <si>
    <t>L3 deck bay A at pump</t>
  </si>
  <si>
    <t>07:47</t>
  </si>
  <si>
    <t>S-106</t>
  </si>
  <si>
    <t>07:17</t>
  </si>
  <si>
    <t>L3 deck bay B at pump</t>
  </si>
  <si>
    <t>09:41</t>
  </si>
  <si>
    <t>S-107</t>
  </si>
  <si>
    <t>09:48</t>
  </si>
  <si>
    <t>On L3 deck at bay B under burlap and poly</t>
  </si>
  <si>
    <t>Field</t>
  </si>
  <si>
    <t>06:41</t>
  </si>
  <si>
    <t>S-108</t>
  </si>
  <si>
    <t>06:43</t>
  </si>
  <si>
    <t>South ramp lower run at chute</t>
  </si>
  <si>
    <t>Box 2</t>
  </si>
  <si>
    <t>08/16/2026</t>
  </si>
  <si>
    <t>07:36</t>
  </si>
  <si>
    <t>S-109</t>
  </si>
  <si>
    <t>08:06</t>
  </si>
  <si>
    <t>L3 deck bay C at pump</t>
  </si>
  <si>
    <t>07:51</t>
  </si>
  <si>
    <t>S-110</t>
  </si>
  <si>
    <t>08:21</t>
  </si>
  <si>
    <t>L3 deck bay D at pump</t>
  </si>
  <si>
    <t>07:18</t>
  </si>
  <si>
    <t>S-111</t>
  </si>
  <si>
    <t>09:13</t>
  </si>
  <si>
    <t>North ramp at chute</t>
  </si>
  <si>
    <t>4x8</t>
  </si>
  <si>
    <t>08/22/2026</t>
  </si>
  <si>
    <t>08:16</t>
  </si>
  <si>
    <t>S-112</t>
  </si>
  <si>
    <t>13:44</t>
  </si>
  <si>
    <t>L4 deck bay A at pump</t>
  </si>
  <si>
    <t>08/25/2026</t>
  </si>
  <si>
    <t>07:29</t>
  </si>
  <si>
    <t>S-113</t>
  </si>
  <si>
    <t>07:19</t>
  </si>
  <si>
    <t>L4 deck bay B at pump</t>
  </si>
  <si>
    <t>16:22</t>
  </si>
  <si>
    <t>Set aside, letter of October 2, 2026</t>
  </si>
  <si>
    <t>S-114</t>
  </si>
  <si>
    <t>11:32</t>
  </si>
  <si>
    <t>L4 deck bay C at pump</t>
  </si>
  <si>
    <t>06:33</t>
  </si>
  <si>
    <t>Date written 08/28/2026. The placement log has bay C on 08/29/2026, a Saturday, and the memo counts it among the Saturday placements.</t>
  </si>
  <si>
    <t>S-115</t>
  </si>
  <si>
    <t>11:22</t>
  </si>
  <si>
    <t>L4 deck bay D at pump</t>
  </si>
  <si>
    <t>09/01/2026</t>
  </si>
  <si>
    <t>07:14</t>
  </si>
  <si>
    <t>S-116</t>
  </si>
  <si>
    <t>08:31</t>
  </si>
  <si>
    <t>South ramp upper run at chute</t>
  </si>
  <si>
    <t>09/09/2026</t>
  </si>
  <si>
    <t>07:42</t>
  </si>
  <si>
    <t>S-201</t>
  </si>
  <si>
    <t>L. Brandvold</t>
  </si>
  <si>
    <t>09:36</t>
  </si>
  <si>
    <t>Cols L2 grid 1-4 at bucket</t>
  </si>
  <si>
    <t>08/07/2026</t>
  </si>
  <si>
    <t>07:06</t>
  </si>
  <si>
    <t>S-202</t>
  </si>
  <si>
    <t>14:37</t>
  </si>
  <si>
    <t>L2 deck C/D south pump</t>
  </si>
  <si>
    <t>07:11</t>
  </si>
  <si>
    <t>Written 2:37 with the batch at 1:47. The placement ran 05:50 to 16:10, which puts the molding at 14:37.</t>
  </si>
  <si>
    <t>S-203</t>
  </si>
  <si>
    <t>09:04</t>
  </si>
  <si>
    <t>Cols L2 grid 5-8 at bucket</t>
  </si>
  <si>
    <t>07:27</t>
  </si>
  <si>
    <t>S-204</t>
  </si>
  <si>
    <t>09:53</t>
  </si>
  <si>
    <t>Cols L3 grid 1-4 at bucket</t>
  </si>
  <si>
    <t>08:04</t>
  </si>
  <si>
    <t>Thermometer written 77/60 with the high first. The low of 60 F is inside the range.</t>
  </si>
  <si>
    <t>S-205</t>
  </si>
  <si>
    <t>08:27</t>
  </si>
  <si>
    <t>Ticket written 772017. Truck 33 batched at 07:33 is the load of ticket 772071 on the S-110 line.</t>
  </si>
  <si>
    <t>S-206</t>
  </si>
  <si>
    <t>09:26</t>
  </si>
  <si>
    <t>Cols L3 grid 5-8 at bucket</t>
  </si>
  <si>
    <t>07:39</t>
  </si>
  <si>
    <t>S-207</t>
  </si>
  <si>
    <t>13:52</t>
  </si>
  <si>
    <t>Cols L3 grid 9-12 at bucket</t>
  </si>
  <si>
    <t>07:43</t>
  </si>
  <si>
    <t>Written 1:52 with the batch at 1:09. The placement ran 12:40 to 15:35, which puts the molding at 13:52.</t>
  </si>
  <si>
    <t>S-208</t>
  </si>
  <si>
    <t>10:41</t>
  </si>
  <si>
    <t>Cols L4 grid 1-4 at bucket</t>
  </si>
  <si>
    <t>Thermometer written 91/66 with the high first. Picked up with S-113 at 16:22, written 4:22.</t>
  </si>
  <si>
    <t>S-209</t>
  </si>
  <si>
    <t>08:14</t>
  </si>
  <si>
    <t>Stair 2 shear walls lift 1 at pump</t>
  </si>
  <si>
    <t>08/28/2026</t>
  </si>
  <si>
    <t>07:09</t>
  </si>
  <si>
    <t>S-210</t>
  </si>
  <si>
    <t>06:57</t>
  </si>
  <si>
    <t>S-211</t>
  </si>
  <si>
    <t>09:19</t>
  </si>
  <si>
    <t>Cols L4 grid 5-8 at bucket</t>
  </si>
  <si>
    <t>07:01</t>
  </si>
  <si>
    <t>S-212</t>
  </si>
  <si>
    <t>08:07</t>
  </si>
  <si>
    <t>Stair 2 shear walls lift 3 at pump</t>
  </si>
  <si>
    <t>09/04/2026</t>
  </si>
  <si>
    <t>07:32</t>
  </si>
  <si>
    <t>S-213</t>
  </si>
  <si>
    <t>12:52</t>
  </si>
  <si>
    <t>Cols L4 grid 9-12 at bucket</t>
  </si>
  <si>
    <t>07:21</t>
  </si>
  <si>
    <t>Written 12:52 and read as 12:52 in the afternoon, inside the placement hours of 12:15 to 15:20.</t>
  </si>
  <si>
    <t>Every cylinder on the break record, cylinder_breaks_2417.csv, one line per cylinder, with its age and computed strength</t>
  </si>
  <si>
    <t>CYLINDER</t>
  </si>
  <si>
    <t>MARK</t>
  </si>
  <si>
    <t>TEST_DATE</t>
  </si>
  <si>
    <t>TEST_TIME</t>
  </si>
  <si>
    <t>DIA1_IN</t>
  </si>
  <si>
    <t>DIA2_IN</t>
  </si>
  <si>
    <t>MAX_LOAD_LBF</t>
  </si>
  <si>
    <t>FRACTURE</t>
  </si>
  <si>
    <t>DEFECT_ON_RECORD</t>
  </si>
  <si>
    <t>AGE_HOURS</t>
  </si>
  <si>
    <t>AGE_DAYS</t>
  </si>
  <si>
    <t>WITHIN_20_HOURS_OF_28_DAYS</t>
  </si>
  <si>
    <t>AREA_SQ_IN</t>
  </si>
  <si>
    <t>STRENGTH_PSI</t>
  </si>
  <si>
    <t>ENTERS_TEST</t>
  </si>
  <si>
    <t>S-101-A</t>
  </si>
  <si>
    <t>A</t>
  </si>
  <si>
    <t>09:09</t>
  </si>
  <si>
    <t>Type 2</t>
  </si>
  <si>
    <t>No</t>
  </si>
  <si>
    <t>S-101-B</t>
  </si>
  <si>
    <t>B</t>
  </si>
  <si>
    <t>10:12</t>
  </si>
  <si>
    <t>Type 4</t>
  </si>
  <si>
    <t>S-101-C</t>
  </si>
  <si>
    <t>C</t>
  </si>
  <si>
    <t>10:19</t>
  </si>
  <si>
    <t>S-101-D</t>
  </si>
  <si>
    <t>D</t>
  </si>
  <si>
    <t>09/28/2026</t>
  </si>
  <si>
    <t>14:06</t>
  </si>
  <si>
    <t>Type 3</t>
  </si>
  <si>
    <t>S-102-A</t>
  </si>
  <si>
    <t>08:36</t>
  </si>
  <si>
    <t>S-102-B</t>
  </si>
  <si>
    <t>S-102-C</t>
  </si>
  <si>
    <t>09:57</t>
  </si>
  <si>
    <t>S-102-D</t>
  </si>
  <si>
    <t>09/30/2026</t>
  </si>
  <si>
    <t>14:33</t>
  </si>
  <si>
    <t>S-103-A</t>
  </si>
  <si>
    <t>08:44</t>
  </si>
  <si>
    <t>S-103-B</t>
  </si>
  <si>
    <t>S-103-C</t>
  </si>
  <si>
    <t>08:42</t>
  </si>
  <si>
    <t>S-103-D</t>
  </si>
  <si>
    <t>10/05/2026</t>
  </si>
  <si>
    <t>S-104-A</t>
  </si>
  <si>
    <t>10:10</t>
  </si>
  <si>
    <t>S-104-B</t>
  </si>
  <si>
    <t>Type 1</t>
  </si>
  <si>
    <t>S-104-C</t>
  </si>
  <si>
    <t>08:57</t>
  </si>
  <si>
    <t>S-104-D</t>
  </si>
  <si>
    <t>09:34</t>
  </si>
  <si>
    <t>S-105-A</t>
  </si>
  <si>
    <t>08:32</t>
  </si>
  <si>
    <t>S-105-B</t>
  </si>
  <si>
    <t>10:31</t>
  </si>
  <si>
    <t>S-105-C</t>
  </si>
  <si>
    <t>10:38</t>
  </si>
  <si>
    <t>S-105-D</t>
  </si>
  <si>
    <t>10/07/2026</t>
  </si>
  <si>
    <t>10:34</t>
  </si>
  <si>
    <t>S-106-A</t>
  </si>
  <si>
    <t>S-106-B</t>
  </si>
  <si>
    <t>09:22</t>
  </si>
  <si>
    <t>S-106-C</t>
  </si>
  <si>
    <t>S-106-D</t>
  </si>
  <si>
    <t>10/09/2026</t>
  </si>
  <si>
    <t>S-107-A</t>
  </si>
  <si>
    <t>S-107-B</t>
  </si>
  <si>
    <t>08:19</t>
  </si>
  <si>
    <t>S-107-C</t>
  </si>
  <si>
    <t>S-107-D</t>
  </si>
  <si>
    <t>S-108-A</t>
  </si>
  <si>
    <t>14:32</t>
  </si>
  <si>
    <t>S-108-B</t>
  </si>
  <si>
    <t>15:10</t>
  </si>
  <si>
    <t>S-108-C</t>
  </si>
  <si>
    <t>15:18</t>
  </si>
  <si>
    <t>S-109-A</t>
  </si>
  <si>
    <t>14:43</t>
  </si>
  <si>
    <t>S-109-B</t>
  </si>
  <si>
    <t>09/14/2026</t>
  </si>
  <si>
    <t>10:03</t>
  </si>
  <si>
    <t>S-109-C</t>
  </si>
  <si>
    <t>S-110-A</t>
  </si>
  <si>
    <t>13:49</t>
  </si>
  <si>
    <t>S-110-B</t>
  </si>
  <si>
    <t>09/16/2026</t>
  </si>
  <si>
    <t>09:37</t>
  </si>
  <si>
    <t>S-110-C</t>
  </si>
  <si>
    <t>09:44</t>
  </si>
  <si>
    <t>S-111-A</t>
  </si>
  <si>
    <t>10:33</t>
  </si>
  <si>
    <t>S-111-B</t>
  </si>
  <si>
    <t>09/18/2026</t>
  </si>
  <si>
    <t>10:44</t>
  </si>
  <si>
    <t>S-111-C</t>
  </si>
  <si>
    <t>10:52</t>
  </si>
  <si>
    <t>S-111-D</t>
  </si>
  <si>
    <t>10:58</t>
  </si>
  <si>
    <t>Type 6</t>
  </si>
  <si>
    <t>Yes</t>
  </si>
  <si>
    <t>S-111-E</t>
  </si>
  <si>
    <t>E</t>
  </si>
  <si>
    <t>S-112-A</t>
  </si>
  <si>
    <t>13:16</t>
  </si>
  <si>
    <t>S-112-B</t>
  </si>
  <si>
    <t>09/22/2026</t>
  </si>
  <si>
    <t>08:02</t>
  </si>
  <si>
    <t>S-112-C</t>
  </si>
  <si>
    <t>08:08</t>
  </si>
  <si>
    <t>S-113-A</t>
  </si>
  <si>
    <t>10:53</t>
  </si>
  <si>
    <t>S-113-B</t>
  </si>
  <si>
    <t>09/23/2026</t>
  </si>
  <si>
    <t>09:16</t>
  </si>
  <si>
    <t>S-113-C</t>
  </si>
  <si>
    <t>09:25</t>
  </si>
  <si>
    <t>S-114-A</t>
  </si>
  <si>
    <t>08:17</t>
  </si>
  <si>
    <t>S-114-B</t>
  </si>
  <si>
    <t>09/25/2026</t>
  </si>
  <si>
    <t>09:15</t>
  </si>
  <si>
    <t>S-114-C</t>
  </si>
  <si>
    <t>09:21</t>
  </si>
  <si>
    <t>S-115-A</t>
  </si>
  <si>
    <t>10:54</t>
  </si>
  <si>
    <t>S-115-B</t>
  </si>
  <si>
    <t>13:24</t>
  </si>
  <si>
    <t>S-115-C</t>
  </si>
  <si>
    <t>13:30</t>
  </si>
  <si>
    <t>S-116-A</t>
  </si>
  <si>
    <t>09/15/2026</t>
  </si>
  <si>
    <t>08:24</t>
  </si>
  <si>
    <t>S-116-B</t>
  </si>
  <si>
    <t>10/06/2026</t>
  </si>
  <si>
    <t>09:52</t>
  </si>
  <si>
    <t>S-116-C</t>
  </si>
  <si>
    <t>09:59</t>
  </si>
  <si>
    <t>S-201-A</t>
  </si>
  <si>
    <t>09:43</t>
  </si>
  <si>
    <t>S-201-B</t>
  </si>
  <si>
    <t>11:08</t>
  </si>
  <si>
    <t>S-201-C</t>
  </si>
  <si>
    <t>S-201-D</t>
  </si>
  <si>
    <t>11:21</t>
  </si>
  <si>
    <t>S-201-E</t>
  </si>
  <si>
    <t>10/01/2026</t>
  </si>
  <si>
    <t>10:17</t>
  </si>
  <si>
    <t>S-202-A</t>
  </si>
  <si>
    <t>10:30</t>
  </si>
  <si>
    <t>S-202-B</t>
  </si>
  <si>
    <t>S-202-C</t>
  </si>
  <si>
    <t>09:14</t>
  </si>
  <si>
    <t>S-202-D</t>
  </si>
  <si>
    <t>10:29</t>
  </si>
  <si>
    <t>S-203-A</t>
  </si>
  <si>
    <t>10:09</t>
  </si>
  <si>
    <t>S-203-B</t>
  </si>
  <si>
    <t>10:26</t>
  </si>
  <si>
    <t>S-203-C</t>
  </si>
  <si>
    <t>10:35</t>
  </si>
  <si>
    <t>S-203-D</t>
  </si>
  <si>
    <t>10:43</t>
  </si>
  <si>
    <t>S-203-E</t>
  </si>
  <si>
    <t>10/08/2026</t>
  </si>
  <si>
    <t>S-204-A</t>
  </si>
  <si>
    <t>14:31</t>
  </si>
  <si>
    <t>S-204-B</t>
  </si>
  <si>
    <t>11:17</t>
  </si>
  <si>
    <t>S-204-C</t>
  </si>
  <si>
    <t>11:24</t>
  </si>
  <si>
    <t>S-204-D</t>
  </si>
  <si>
    <t>S-205-A</t>
  </si>
  <si>
    <t>13:27</t>
  </si>
  <si>
    <t>S-205-B</t>
  </si>
  <si>
    <t>S-205-C</t>
  </si>
  <si>
    <t>10:01</t>
  </si>
  <si>
    <t>S-206-A</t>
  </si>
  <si>
    <t>10:11</t>
  </si>
  <si>
    <t>S-206-B</t>
  </si>
  <si>
    <t>09/17/2026</t>
  </si>
  <si>
    <t>S-206-C</t>
  </si>
  <si>
    <t>10:13</t>
  </si>
  <si>
    <t>Type 5</t>
  </si>
  <si>
    <t>S-206-D</t>
  </si>
  <si>
    <t>10:20</t>
  </si>
  <si>
    <t>S-206-E</t>
  </si>
  <si>
    <t>10:55</t>
  </si>
  <si>
    <t>S-207-A</t>
  </si>
  <si>
    <t>09:27</t>
  </si>
  <si>
    <t>S-207-B</t>
  </si>
  <si>
    <t>S-207-C</t>
  </si>
  <si>
    <t>08:26</t>
  </si>
  <si>
    <t>S-207-D</t>
  </si>
  <si>
    <t>S-208-A</t>
  </si>
  <si>
    <t>13:19</t>
  </si>
  <si>
    <t>S-208-B</t>
  </si>
  <si>
    <t>S-208-C</t>
  </si>
  <si>
    <t>10:42</t>
  </si>
  <si>
    <t>S-208-D</t>
  </si>
  <si>
    <t>10:48</t>
  </si>
  <si>
    <t>S-209-A</t>
  </si>
  <si>
    <t>S-209-B</t>
  </si>
  <si>
    <t>09/24/2026</t>
  </si>
  <si>
    <t>S-209-C</t>
  </si>
  <si>
    <t>11:05</t>
  </si>
  <si>
    <t>S-209-D</t>
  </si>
  <si>
    <t>11:14</t>
  </si>
  <si>
    <t>S-210-A</t>
  </si>
  <si>
    <t>09:47</t>
  </si>
  <si>
    <t>S-210-B</t>
  </si>
  <si>
    <t>09:07</t>
  </si>
  <si>
    <t>S-210-C</t>
  </si>
  <si>
    <t>S-211-A</t>
  </si>
  <si>
    <t>08:52</t>
  </si>
  <si>
    <t>S-211-B</t>
  </si>
  <si>
    <t>S-211-C</t>
  </si>
  <si>
    <t>11:27</t>
  </si>
  <si>
    <t>S-211-D</t>
  </si>
  <si>
    <t>S-212-A</t>
  </si>
  <si>
    <t>S-212-B</t>
  </si>
  <si>
    <t>S-212-C</t>
  </si>
  <si>
    <t>S-212-D</t>
  </si>
  <si>
    <t>10:25</t>
  </si>
  <si>
    <t>S-213-A</t>
  </si>
  <si>
    <t>S-213-B</t>
  </si>
  <si>
    <t>13:46</t>
  </si>
  <si>
    <t>S-213-C</t>
  </si>
  <si>
    <t>S-213-D</t>
  </si>
  <si>
    <t>13:58</t>
  </si>
  <si>
    <t>Cylinders entering a strength test</t>
  </si>
  <si>
    <t>Samples and strength tests, one line per delivery ticket, in the order the samples were molded</t>
  </si>
  <si>
    <t>SETS</t>
  </si>
  <si>
    <t>CYLINDERS_REQUIRED</t>
  </si>
  <si>
    <t>CYLINDERS_ENTERING</t>
  </si>
  <si>
    <t>STRENGTH_TEST_PSI</t>
  </si>
  <si>
    <t>LOW_PSI</t>
  </si>
  <si>
    <t>HIGH_PSI</t>
  </si>
  <si>
    <t>RANGE_PCT</t>
  </si>
  <si>
    <t>RANGE_LIMIT_PCT</t>
  </si>
  <si>
    <t>RANGE_NOTE</t>
  </si>
  <si>
    <t>USED_FOR_ACCEPTANCE</t>
  </si>
  <si>
    <t>REASON_NOT_USED</t>
  </si>
  <si>
    <t>RESULT_FOR_INFORMATION_PSI</t>
  </si>
  <si>
    <t>S-110 S-205</t>
  </si>
  <si>
    <t>Samples taken, one per delivery ticket</t>
  </si>
  <si>
    <t>M-4000, elevated decks, ramp slabs, stair landings and curbs: strength tests in the order their samples were molded</t>
  </si>
  <si>
    <t>MOVING_AVERAGE_3</t>
  </si>
  <si>
    <t>CRITERION_A</t>
  </si>
  <si>
    <t>CRITERION_B</t>
  </si>
  <si>
    <t>NOTES</t>
  </si>
  <si>
    <t>USED_ORDINAL</t>
  </si>
  <si>
    <t>B_ORDINAL</t>
  </si>
  <si>
    <t>July</t>
  </si>
  <si>
    <t>S-094</t>
  </si>
  <si>
    <t>07/28/2026</t>
  </si>
  <si>
    <t>Carried from the July summary</t>
  </si>
  <si>
    <t>S-095</t>
  </si>
  <si>
    <t>07/30/2026</t>
  </si>
  <si>
    <t>First placement with a test failing criterion (b)</t>
  </si>
  <si>
    <t>Second placement with a test failing criterion (b)</t>
  </si>
  <si>
    <t>Third placement with a test failing criterion (b)</t>
  </si>
  <si>
    <t>M-6000, columns and shear walls: strength tests in the order their samples were molded</t>
  </si>
  <si>
    <t>S-190</t>
  </si>
  <si>
    <t>07/22/2026</t>
  </si>
  <si>
    <t>S-192</t>
  </si>
  <si>
    <t>07/29/2026</t>
  </si>
  <si>
    <t>Carried from the July summary, as corrected September 15</t>
  </si>
  <si>
    <t>Sampling check under 3.10.1, one line per mixture per day of placement</t>
  </si>
  <si>
    <t>PLACEMENTS</t>
  </si>
  <si>
    <t>BY_VOLUME</t>
  </si>
  <si>
    <t>BY_AREA</t>
  </si>
  <si>
    <t>TESTS_REQUIRED</t>
  </si>
  <si>
    <t>SAMPLES_TAKEN</t>
  </si>
  <si>
    <t>TESTS_USED</t>
  </si>
  <si>
    <t>STATUS</t>
  </si>
  <si>
    <t>WHAT_THE_RECORDS_SHOW</t>
  </si>
  <si>
    <t>SHORT_DAY</t>
  </si>
  <si>
    <t>SHORT_DAYS_SO_FAR</t>
  </si>
  <si>
    <t>P-02 P-03</t>
  </si>
  <si>
    <t>No cylinders from P-03; the day's total is covered by the test from P-02</t>
  </si>
  <si>
    <t>3 samples taken, 1 test used of 3 required; S-103 outside the age tolerance; S-104 outside the age tolerance</t>
  </si>
  <si>
    <t>2 samples taken, 1 test used of 2 required; S-107 field cured</t>
  </si>
  <si>
    <t>1 sample taken, 1 test used of 2 required</t>
  </si>
  <si>
    <t>1 sample taken, 0 tests used of 1 required; S-111 incomplete test</t>
  </si>
  <si>
    <t>1 sample taken, 0 tests used of 1 required; S-113 set aside by the engineer</t>
  </si>
  <si>
    <t>1 sample taken, 0 tests used of 1 required; S-114 outside the age tolerance</t>
  </si>
  <si>
    <t>P-25 P-26</t>
  </si>
  <si>
    <t>No cylinders from P-25; the day's total is covered by the test from P-26</t>
  </si>
  <si>
    <t>No sample taken on the day</t>
  </si>
  <si>
    <t>Mixture days of placement in the period</t>
  </si>
  <si>
    <t>Note to Gunnar Brekke on the project 2417 acceptance summary</t>
  </si>
  <si>
    <t>Gunnar, this is the acceptance summary for the August and September placements on project 2417. Every cylinder strength is computed on the Cylinders tab from the load and the two measured diameters on the break record, and every figure on the first tab reads from the tabs behind it. Neither mixture meets 3.11.1 for the period. The records differ from your memo and from the correspondence in several places, and each is set out below.</t>
  </si>
  <si>
    <t>M-4000 has 12 strength tests used for acceptance. Two fail criterion (b), where the allowance is 500 psi. Set S-202 from P-05, the Level 2 bays C and D deck cast August 10, tested at 3,460 psi. Set S-105 from P-06, the Level 3 bay A deck cast August 12, tested at 3,480 psi. Under 3.11.2 both placements go to the engineer of record, and the contractor investigates under ACI 318-19 section 26.12.6. For cores the floors are 3,400 psi on the average of three and 3,000 psi on a single core.</t>
  </si>
  <si>
    <t>The moving average of three on M-4000 is below 4,000 psi three times: 3,790.0 psi at S-105, 3,706.7 psi at S-106 and 3,996.7 psi at S-210, the first of the two August 31 samples. The average at S-108 is 4,000.0 psi, which equals f'c and meets criterion (a). The first two averages take in the last two July tests used for acceptance, 4,310 and 4,150 psi.</t>
  </si>
  <si>
    <t>M-6000 has 10 strength tests used for acceptance, and none fails criterion (b), where the allowance is 600 psi. The lowest test is 5,400 psi on S-212 from P-23, which is below f'c by exactly the allowance. The moving average is below 6,000 psi five times: 5,993.3 psi at S-201, 5,973.3 psi at S-206, 5,940.0 psi at S-207, 5,860.0 psi at S-212 and 5,896.7 psi at S-213. Under 3.11.2 the contractor takes steps to increase the average, and no column or wall placement goes to cores.</t>
  </si>
  <si>
    <t>The first two averages of each mixture take in the last two July tests used for acceptance. For M-6000 those are 6,190 psi on S-190 and 5,870 psi on S-192, the second as corrected by your letter of September 15. The July table still prints 5,960 psi for S-192. With the printed figure the average at S-201 would read 6,023.3 psi and meet criterion (a), so the correction decides that average.</t>
  </si>
  <si>
    <t>The Level 3 grid 5 to 8 columns, P-13, do not fail. Cylinder C of set S-206 broke at 4,700 psi with a Type 5 fracture, and the break record says the cap lifted on one side. Under 3.10.5 that cylinder is discarded and reserve cylinder E, broken the same morning, enters the test. The test is 5,590 psi on cylinders B, D and E.</t>
  </si>
  <si>
    <t>L. Brandvold's lines in the field sampling log are on the 12 hour clock. Set S-202 is written at 2:37 and set S-207 at 1:52, and the placement log puts both in the afternoon, at 14:37 and 13:52. Read that way both sets were broken inside the age tolerance, at 28.77 and 28.77 days. S-202 is the test that fails on P-05. The line for S-114 is dated 08/28/2026, but the placement log has Level 4 bay C on 08/29/2026, a Saturday, as your memo does.</t>
  </si>
  <si>
    <t>The age tolerance cost us three sets, which your memo did not expect. Reckoned in hours from the time of molding, S-103 and S-104 from the Labor Day group were broken at 29.07 and 28.94 days, and S-114 from the Saturday placement at 26.91 days. Each is more than 20 hours from 28 days. S-202, S-112, S-207 and S-108 were broken on the same days and are inside the tolerance.</t>
  </si>
  <si>
    <t>The contractor's note of September 10 asks that the Level 3 bay A set, S-105, be voided. The break record shows no defect on either cylinder, and the engineer's letter of October 2 gives no direction on that result, so the test stands at 3,480 psi. Its within-test range is 8.05 percent against the 6.6 percent of 3.10.4, and the field report shows water added before the sample and a slump of 5.25 inches. The contractor's statement that the deck mixture has no test under the line is not borne out.</t>
  </si>
  <si>
    <t>Set S-113 from P-17 is set aside under 3.10.7 on the engineer's letter of October 2, and its 4,390 psi is reported for information. Your memo says no other set has a curing excursion, and the field sampling log shows three. S-208 was in box 2 on the same day, and its thermometer reads 91 F, written high first. S-116 reads 57 F. S-106 stayed in the box 74.4 hours. All three are counted under 3.10.6 with the excursion noted.</t>
  </si>
  <si>
    <t>Sets S-110 and S-205 are one sample. Both lines show truck 33 batched at 07:33 with the same slump, air and temperature, and the ticket on the S-205 line, 772017, is 772071 with two digits turned. The test is 3,500 psi on four cylinders, which is below f'c by exactly 500 psi and meets criterion (b). Set S-107 was left on the deck for the contractor and is field cured, and its 28 day cylinders averaged 3,390 psi. Set S-111 lost cylinder D to a spalled edge after its reserve had gone at 7 days, so it is an incomplete test.</t>
  </si>
  <si>
    <t>Sampling fell short of 3.10.1 on 7 mixture days, all of them on M-4000 and listed on the first tab. On August 10 three samples were taken from the 318 cubic yard placement and three tests were required, but only S-202 gave a test used for acceptance. The owner's representative should be told that the day was short. August 14 needed two tests for 5,180 square feet and has one. August 17 needed two for 151 cubic yards and has one. August 21, 26 and 29 each lost their only test.</t>
  </si>
  <si>
    <t>Your memo carries September 10 and September 11 as sampled short, and the records bear out only the second. The curbs, P-27, were the only M-4000 placed on September 11, and no sample was taken that day. No cylinders were made from the stair 1 shear walls, P-25, on September 10, but the day's M-6000 was 86 cubic yards across P-25 and P-26. One test was required, and S-213 from P-26 provides it. The same holds for the stair landings, P-03, on August 5.</t>
  </si>
  <si>
    <t>For the owner's representative's second question, 3 samples were outside a limit of 2.4: S-105 at a slump of 5.25 inches, S-106 at 7.8 percent air and S-211 at 4.2 percent air. They are noted under 3.12.2 and do not change the acceptance. For the transmittal, please raise the two criterion (b) placements with the engineer, ask the contractor what it is changing on both mixtures to lift the averages, and tell the contractor in writing that S-105 stays in the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</si>
</sst>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
    <numFmt numFmtId="166" formatCode="0.0"/>
  </numFmts>
  <fonts count="4" x14ac:knownFonts="1">
    <font>
      <sz val="11"/>
      <color theme="1"/>
      <name val="Calibri"/>
      <family val="2"/>
      <scheme val="minor"/>
    </font>
    <font>
      <b/>
      <sz val="13"/>
      <name val="Calibri"/>
      <family val="2"/>
    </font>
    <font>
      <b/>
      <sz val="11"/>
      <name val="Calibri"/>
      <family val="2"/>
    </font>
    <font>
      <sz val="11"/>
      <name val="Calibri"/>
      <family val="2"/>
    </font>
  </fonts>
  <fills count="3">
    <fill>
      <patternFill patternType="none"/>
    </fill>
    <fill>
      <patternFill patternType="gray125"/>
    </fill>
    <fill>
      <patternFill patternType="solid">
        <fgColor rgb="FFE7E6E6"/>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3" fillId="0" borderId="0" xfId="0" applyFont="1"/>
    <xf numFmtId="0" fontId="2" fillId="2" borderId="0" xfId="0" applyFont="1" applyFill="1" applyAlignment="1">
      <alignment vertical="top" wrapText="1"/>
    </xf>
    <xf numFmtId="0" fontId="3" fillId="0" borderId="0" xfId="0" applyFont="1" applyAlignment="1">
      <alignment vertical="top" wrapText="1"/>
    </xf>
    <xf numFmtId="166" fontId="3" fillId="0" borderId="0" xfId="0" applyNumberFormat="1" applyFont="1" applyAlignment="1">
      <alignment vertical="top" wrapText="1"/>
    </xf>
    <xf numFmtId="0" fontId="2" fillId="0" borderId="0" xfId="0" applyFont="1"/>
    <xf numFmtId="2" fontId="3" fillId="0" borderId="0" xfId="0" applyNumberFormat="1" applyFont="1"/>
    <xf numFmtId="164" fontId="3" fillId="0" borderId="0" xfId="0" applyNumberFormat="1" applyFont="1"/>
    <xf numFmtId="165" fontId="3" fillId="0" borderId="0" xfId="0" applyNumberFormat="1" applyFont="1"/>
    <xf numFmtId="166"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heetViews>
  <sheetFormatPr baseColWidth="10" defaultColWidth="8.83203125" defaultRowHeight="15" x14ac:dyDescent="0.2"/>
  <cols>
    <col min="1" max="1" width="58" customWidth="1"/>
    <col min="2" max="3" width="40" customWidth="1"/>
    <col min="4" max="4" width="30" customWidth="1"/>
  </cols>
  <sheetData>
    <row r="1" spans="1:4" ht="17" x14ac:dyDescent="0.2">
      <c r="A1" s="1" t="s">
        <v>0</v>
      </c>
    </row>
    <row r="2" spans="1:4" x14ac:dyDescent="0.2">
      <c r="A2" s="2" t="s">
        <v>1</v>
      </c>
    </row>
    <row r="4" spans="1:4" ht="16" x14ac:dyDescent="0.2">
      <c r="A4" s="3" t="s">
        <v>2</v>
      </c>
      <c r="B4" s="3" t="s">
        <v>3</v>
      </c>
      <c r="C4" s="3" t="s">
        <v>4</v>
      </c>
      <c r="D4" s="3" t="s">
        <v>5</v>
      </c>
    </row>
    <row r="5" spans="1:4" x14ac:dyDescent="0.2">
      <c r="A5" s="2" t="s">
        <v>6</v>
      </c>
      <c r="B5" s="4">
        <v>2417</v>
      </c>
      <c r="C5" s="4">
        <v>2417</v>
      </c>
      <c r="D5" s="2" t="s">
        <v>7</v>
      </c>
    </row>
    <row r="6" spans="1:4" ht="16" x14ac:dyDescent="0.2">
      <c r="A6" s="2" t="s">
        <v>8</v>
      </c>
      <c r="B6" s="4">
        <f>Parameters!B4</f>
        <v>4000</v>
      </c>
      <c r="C6" s="4">
        <f>Parameters!C4</f>
        <v>6000</v>
      </c>
      <c r="D6" s="2" t="s">
        <v>9</v>
      </c>
    </row>
    <row r="7" spans="1:4" ht="16" x14ac:dyDescent="0.2">
      <c r="A7" s="2" t="s">
        <v>10</v>
      </c>
      <c r="B7" s="4">
        <f>'Acceptance decks'!B25</f>
        <v>12</v>
      </c>
      <c r="C7" s="4">
        <f>'Acceptance columns'!B17</f>
        <v>10</v>
      </c>
      <c r="D7" s="2" t="s">
        <v>11</v>
      </c>
    </row>
    <row r="8" spans="1:4" ht="16" x14ac:dyDescent="0.2">
      <c r="A8" s="2" t="s">
        <v>12</v>
      </c>
      <c r="B8" s="4">
        <f>COUNTIFS(Samples!$H$4:$H$32,B4,Samples!$Y$4:$Y$32,"No")</f>
        <v>6</v>
      </c>
      <c r="C8" s="4">
        <f>COUNTIFS(Samples!$H$4:$H$32,C4,Samples!$Y$4:$Y$32,"No")</f>
        <v>0</v>
      </c>
      <c r="D8" s="2" t="s">
        <v>13</v>
      </c>
    </row>
    <row r="9" spans="1:4" ht="16" x14ac:dyDescent="0.2">
      <c r="A9" s="2" t="s">
        <v>14</v>
      </c>
      <c r="B9" s="4">
        <f>'Acceptance decks'!B26</f>
        <v>3460</v>
      </c>
      <c r="C9" s="4">
        <f>'Acceptance columns'!B18</f>
        <v>5400</v>
      </c>
      <c r="D9" s="2" t="s">
        <v>11</v>
      </c>
    </row>
    <row r="10" spans="1:4" ht="16" x14ac:dyDescent="0.2">
      <c r="A10" s="2" t="s">
        <v>15</v>
      </c>
      <c r="B10" s="4">
        <f>'Acceptance decks'!B27</f>
        <v>3</v>
      </c>
      <c r="C10" s="4">
        <f>'Acceptance columns'!B19</f>
        <v>5</v>
      </c>
      <c r="D10" s="2" t="s">
        <v>11</v>
      </c>
    </row>
    <row r="11" spans="1:4" ht="16" x14ac:dyDescent="0.2">
      <c r="A11" s="2" t="s">
        <v>16</v>
      </c>
      <c r="B11" s="5">
        <f>'Acceptance decks'!B28</f>
        <v>3706.7</v>
      </c>
      <c r="C11" s="5">
        <f>'Acceptance columns'!B20</f>
        <v>5860</v>
      </c>
      <c r="D11" s="2" t="s">
        <v>11</v>
      </c>
    </row>
    <row r="12" spans="1:4" ht="16" x14ac:dyDescent="0.2">
      <c r="A12" s="2" t="s">
        <v>17</v>
      </c>
      <c r="B12" s="4">
        <f>'Acceptance decks'!B29</f>
        <v>2</v>
      </c>
      <c r="C12" s="4">
        <f>'Acceptance columns'!B21</f>
        <v>0</v>
      </c>
      <c r="D12" s="2" t="s">
        <v>11</v>
      </c>
    </row>
    <row r="13" spans="1:4" ht="16" x14ac:dyDescent="0.2">
      <c r="A13" s="2" t="s">
        <v>18</v>
      </c>
      <c r="B13" s="4" t="str">
        <f>'Acceptance decks'!B33</f>
        <v>P-05 P-06</v>
      </c>
      <c r="C13" s="4" t="str">
        <f>'Acceptance columns'!B25</f>
        <v>None</v>
      </c>
      <c r="D13" s="2" t="s">
        <v>11</v>
      </c>
    </row>
    <row r="14" spans="1:4" ht="16" x14ac:dyDescent="0.2">
      <c r="A14" s="2" t="s">
        <v>19</v>
      </c>
      <c r="B14" s="4" t="str">
        <f>'Acceptance decks'!B34</f>
        <v>Does not meet 3.11.1</v>
      </c>
      <c r="C14" s="4" t="str">
        <f>'Acceptance columns'!B26</f>
        <v>Does not meet 3.11.1</v>
      </c>
      <c r="D14" s="2" t="s">
        <v>11</v>
      </c>
    </row>
    <row r="15" spans="1:4" ht="110" customHeight="1" x14ac:dyDescent="0.2">
      <c r="A15" s="2" t="s">
        <v>20</v>
      </c>
      <c r="B15" s="4" t="str">
        <f>IF(AND(B12&gt;0,B10&gt;0),"Report each placement to the engineer of record; the contractor investigates under ACI 318-19 section 26.12.6, which may include cores under ASTM C42, and takes steps to increase the average of subsequent strength tests",IF(B12&gt;0,"Report each placement to the engineer of record; the contractor investigates under ACI 318-19 section 26.12.6, which may include cores under ASTM C42",IF(B10&gt;0,"The contractor takes steps to increase the average of subsequent strength tests; no placement goes to investigation","No action")))</f>
        <v>Report each placement to the engineer of record; the contractor investigates under ACI 318-19 section 26.12.6, which may include cores under ASTM C42, and takes steps to increase the average of subsequent strength tests</v>
      </c>
      <c r="C15" s="4" t="str">
        <f>IF(AND(C12&gt;0,C10&gt;0),"Report each placement to the engineer of record; the contractor investigates under ACI 318-19 section 26.12.6, which may include cores under ASTM C42, and takes steps to increase the average of subsequent strength tests",IF(C12&gt;0,"Report each placement to the engineer of record; the contractor investigates under ACI 318-19 section 26.12.6, which may include cores under ASTM C42",IF(C10&gt;0,"The contractor takes steps to increase the average of subsequent strength tests; no placement goes to investigation","No action")))</f>
        <v>The contractor takes steps to increase the average of subsequent strength tests; no placement goes to investigation</v>
      </c>
      <c r="D15" s="2" t="s">
        <v>21</v>
      </c>
    </row>
    <row r="16" spans="1:4" ht="16" x14ac:dyDescent="0.2">
      <c r="A16" s="2" t="s">
        <v>22</v>
      </c>
      <c r="B16" s="4">
        <f>Parameters!B6</f>
        <v>3400</v>
      </c>
      <c r="C16" s="4">
        <f>Parameters!C6</f>
        <v>5100</v>
      </c>
      <c r="D16" s="2" t="s">
        <v>9</v>
      </c>
    </row>
    <row r="17" spans="1:4" ht="16" x14ac:dyDescent="0.2">
      <c r="A17" s="2" t="s">
        <v>23</v>
      </c>
      <c r="B17" s="4">
        <f>Parameters!B7</f>
        <v>3000</v>
      </c>
      <c r="C17" s="4">
        <f>Parameters!C7</f>
        <v>4500</v>
      </c>
      <c r="D17" s="2" t="s">
        <v>9</v>
      </c>
    </row>
    <row r="18" spans="1:4" x14ac:dyDescent="0.2">
      <c r="A18" s="6" t="s">
        <v>24</v>
      </c>
    </row>
    <row r="19" spans="1:4" ht="16" x14ac:dyDescent="0.2">
      <c r="A19" s="2" t="s">
        <v>25</v>
      </c>
      <c r="B19" s="4">
        <f>Sampling!D31</f>
        <v>7</v>
      </c>
      <c r="D19" s="2" t="s">
        <v>26</v>
      </c>
    </row>
    <row r="20" spans="1:4" ht="64" customHeight="1" x14ac:dyDescent="0.2">
      <c r="A20" s="2" t="s">
        <v>27</v>
      </c>
      <c r="B20" s="4" t="str">
        <f>Sampling!D32</f>
        <v>08/10 M-4000; 08/14 M-4000; 08/17 M-4000; 08/21 M-4000; 08/26 M-4000; 08/29 M-4000; 09/11 M-4000</v>
      </c>
      <c r="D20" s="2" t="s">
        <v>26</v>
      </c>
    </row>
    <row r="21" spans="1:4" ht="16" x14ac:dyDescent="0.2">
      <c r="A21" s="2" t="s">
        <v>28</v>
      </c>
      <c r="B21" s="4">
        <f>COUNTIF(Samples!$Y$4:$Y$32,"No")</f>
        <v>6</v>
      </c>
      <c r="D21" s="2" t="s">
        <v>13</v>
      </c>
    </row>
    <row r="22" spans="1:4" ht="16" x14ac:dyDescent="0.2">
      <c r="A22" s="2" t="s">
        <v>29</v>
      </c>
      <c r="B22" s="4">
        <f>Tests!D34</f>
        <v>2</v>
      </c>
      <c r="D22" s="2" t="s">
        <v>30</v>
      </c>
    </row>
    <row r="23" spans="1:4" ht="16" x14ac:dyDescent="0.2">
      <c r="A23" s="2" t="s">
        <v>31</v>
      </c>
      <c r="B23" s="4">
        <f>Tests!D35</f>
        <v>3</v>
      </c>
      <c r="D23" s="2" t="s">
        <v>30</v>
      </c>
    </row>
    <row r="24" spans="1:4" ht="16" x14ac:dyDescent="0.2">
      <c r="A24" s="2" t="s">
        <v>32</v>
      </c>
      <c r="B24" s="4">
        <f>Tests!D36</f>
        <v>3</v>
      </c>
      <c r="D24" s="2" t="s">
        <v>30</v>
      </c>
    </row>
    <row r="25" spans="1:4" ht="16" x14ac:dyDescent="0.2">
      <c r="A25" s="2" t="s">
        <v>33</v>
      </c>
      <c r="B25" s="4">
        <f>Cylinders!D115</f>
        <v>110</v>
      </c>
      <c r="D25" s="2" t="s">
        <v>34</v>
      </c>
    </row>
    <row r="27" spans="1:4" x14ac:dyDescent="0.2">
      <c r="A27" s="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
  <sheetViews>
    <sheetView workbookViewId="0"/>
  </sheetViews>
  <sheetFormatPr baseColWidth="10" defaultColWidth="8.83203125" defaultRowHeight="15" x14ac:dyDescent="0.2"/>
  <cols>
    <col min="1" max="1" width="58" customWidth="1"/>
    <col min="2" max="3" width="14" customWidth="1"/>
    <col min="4" max="4" width="52" customWidth="1"/>
  </cols>
  <sheetData>
    <row r="1" spans="1:4" ht="17" x14ac:dyDescent="0.2">
      <c r="A1" s="1" t="s">
        <v>36</v>
      </c>
    </row>
    <row r="3" spans="1:4" ht="16" x14ac:dyDescent="0.2">
      <c r="A3" s="3" t="s">
        <v>37</v>
      </c>
      <c r="B3" s="3" t="s">
        <v>3</v>
      </c>
      <c r="C3" s="3" t="s">
        <v>4</v>
      </c>
      <c r="D3" s="3" t="s">
        <v>38</v>
      </c>
    </row>
    <row r="4" spans="1:4" x14ac:dyDescent="0.2">
      <c r="A4" s="2" t="s">
        <v>8</v>
      </c>
      <c r="B4" s="2">
        <v>4000</v>
      </c>
      <c r="C4" s="2">
        <v>6000</v>
      </c>
      <c r="D4" s="2" t="s">
        <v>39</v>
      </c>
    </row>
    <row r="5" spans="1:4" x14ac:dyDescent="0.2">
      <c r="A5" s="2" t="s">
        <v>40</v>
      </c>
      <c r="B5" s="2">
        <f>IF(B4&lt;=5000,500,B4*0.1)</f>
        <v>500</v>
      </c>
      <c r="C5" s="2">
        <f>IF(C4&lt;=5000,500,C4*0.1)</f>
        <v>600</v>
      </c>
      <c r="D5" s="2" t="s">
        <v>41</v>
      </c>
    </row>
    <row r="6" spans="1:4" x14ac:dyDescent="0.2">
      <c r="A6" s="2" t="s">
        <v>22</v>
      </c>
      <c r="B6" s="2">
        <f>B4*0.85</f>
        <v>3400</v>
      </c>
      <c r="C6" s="2">
        <f>C4*0.85</f>
        <v>5100</v>
      </c>
      <c r="D6" s="2" t="s">
        <v>21</v>
      </c>
    </row>
    <row r="7" spans="1:4" x14ac:dyDescent="0.2">
      <c r="A7" s="2" t="s">
        <v>23</v>
      </c>
      <c r="B7" s="2">
        <f>B4*0.75</f>
        <v>3000</v>
      </c>
      <c r="C7" s="2">
        <f>C4*0.75</f>
        <v>4500</v>
      </c>
      <c r="D7" s="2" t="s">
        <v>21</v>
      </c>
    </row>
    <row r="8" spans="1:4" x14ac:dyDescent="0.2">
      <c r="A8" s="2" t="s">
        <v>42</v>
      </c>
      <c r="B8" s="2">
        <v>3</v>
      </c>
      <c r="C8" s="2">
        <v>5</v>
      </c>
      <c r="D8" s="2" t="s">
        <v>43</v>
      </c>
    </row>
    <row r="9" spans="1:4" x14ac:dyDescent="0.2">
      <c r="A9" s="2" t="s">
        <v>44</v>
      </c>
      <c r="B9" s="2">
        <v>5</v>
      </c>
      <c r="C9" s="2">
        <v>7</v>
      </c>
      <c r="D9" s="2" t="s">
        <v>43</v>
      </c>
    </row>
    <row r="10" spans="1:4" x14ac:dyDescent="0.2">
      <c r="A10" s="2" t="s">
        <v>45</v>
      </c>
      <c r="B10" s="2">
        <v>4.5</v>
      </c>
      <c r="C10" s="2">
        <v>2</v>
      </c>
      <c r="D10" s="2" t="s">
        <v>43</v>
      </c>
    </row>
    <row r="11" spans="1:4" x14ac:dyDescent="0.2">
      <c r="A11" s="2" t="s">
        <v>46</v>
      </c>
      <c r="B11" s="2">
        <v>7.5</v>
      </c>
      <c r="C11" s="2">
        <v>4</v>
      </c>
      <c r="D11" s="2" t="s">
        <v>43</v>
      </c>
    </row>
    <row r="12" spans="1:4" x14ac:dyDescent="0.2">
      <c r="A12" s="2" t="s">
        <v>47</v>
      </c>
      <c r="B12" s="2">
        <v>90</v>
      </c>
      <c r="C12" s="2">
        <v>90</v>
      </c>
      <c r="D12" s="2" t="s">
        <v>43</v>
      </c>
    </row>
    <row r="13" spans="1:4" x14ac:dyDescent="0.2">
      <c r="A13" s="2" t="s">
        <v>48</v>
      </c>
      <c r="B13" s="2" t="s">
        <v>49</v>
      </c>
      <c r="C13" s="2" t="s">
        <v>50</v>
      </c>
      <c r="D13" s="2" t="s">
        <v>43</v>
      </c>
    </row>
    <row r="15" spans="1:4" ht="16" x14ac:dyDescent="0.2">
      <c r="A15" s="3" t="s">
        <v>37</v>
      </c>
      <c r="B15" s="3" t="s">
        <v>51</v>
      </c>
      <c r="C15" s="3"/>
      <c r="D15" s="3" t="s">
        <v>38</v>
      </c>
    </row>
    <row r="16" spans="1:4" x14ac:dyDescent="0.2">
      <c r="A16" s="2" t="s">
        <v>52</v>
      </c>
      <c r="B16" s="2">
        <v>150</v>
      </c>
      <c r="D16" s="2" t="s">
        <v>53</v>
      </c>
    </row>
    <row r="17" spans="1:4" x14ac:dyDescent="0.2">
      <c r="A17" s="2" t="s">
        <v>54</v>
      </c>
      <c r="B17" s="2">
        <v>5000</v>
      </c>
      <c r="D17" s="2" t="s">
        <v>53</v>
      </c>
    </row>
    <row r="18" spans="1:4" x14ac:dyDescent="0.2">
      <c r="A18" s="2" t="s">
        <v>55</v>
      </c>
      <c r="B18" s="2">
        <v>2</v>
      </c>
      <c r="D18" s="2" t="s">
        <v>56</v>
      </c>
    </row>
    <row r="19" spans="1:4" x14ac:dyDescent="0.2">
      <c r="A19" s="2" t="s">
        <v>57</v>
      </c>
      <c r="B19" s="2">
        <v>3</v>
      </c>
      <c r="D19" s="2" t="s">
        <v>56</v>
      </c>
    </row>
    <row r="20" spans="1:4" x14ac:dyDescent="0.2">
      <c r="A20" s="2" t="s">
        <v>58</v>
      </c>
      <c r="B20" s="2">
        <v>672</v>
      </c>
      <c r="D20" s="2" t="s">
        <v>59</v>
      </c>
    </row>
    <row r="21" spans="1:4" x14ac:dyDescent="0.2">
      <c r="A21" s="2" t="s">
        <v>60</v>
      </c>
      <c r="B21" s="2">
        <v>20</v>
      </c>
      <c r="D21" s="2" t="s">
        <v>61</v>
      </c>
    </row>
    <row r="22" spans="1:4" x14ac:dyDescent="0.2">
      <c r="A22" s="2" t="s">
        <v>62</v>
      </c>
      <c r="B22" s="2">
        <v>6.6</v>
      </c>
      <c r="D22" s="2" t="s">
        <v>63</v>
      </c>
    </row>
    <row r="23" spans="1:4" x14ac:dyDescent="0.2">
      <c r="A23" s="2" t="s">
        <v>64</v>
      </c>
      <c r="B23" s="2">
        <v>10.6</v>
      </c>
      <c r="D23" s="2" t="s">
        <v>63</v>
      </c>
    </row>
    <row r="24" spans="1:4" x14ac:dyDescent="0.2">
      <c r="A24" s="2" t="s">
        <v>65</v>
      </c>
      <c r="B24" s="2">
        <v>60</v>
      </c>
      <c r="D24" s="2" t="s">
        <v>66</v>
      </c>
    </row>
    <row r="25" spans="1:4" x14ac:dyDescent="0.2">
      <c r="A25" s="2" t="s">
        <v>67</v>
      </c>
      <c r="B25" s="2">
        <v>80</v>
      </c>
      <c r="D25" s="2" t="s">
        <v>66</v>
      </c>
    </row>
    <row r="26" spans="1:4" x14ac:dyDescent="0.2">
      <c r="A26" s="2" t="s">
        <v>68</v>
      </c>
      <c r="B26" s="2">
        <v>48</v>
      </c>
      <c r="D26" s="2" t="s">
        <v>66</v>
      </c>
    </row>
    <row r="27" spans="1:4" x14ac:dyDescent="0.2">
      <c r="A27" s="2" t="s">
        <v>69</v>
      </c>
      <c r="B27" s="2">
        <v>10</v>
      </c>
      <c r="D27" s="2" t="s">
        <v>70</v>
      </c>
    </row>
    <row r="28" spans="1:4" x14ac:dyDescent="0.2">
      <c r="A28" s="2" t="s">
        <v>71</v>
      </c>
      <c r="B28" s="2">
        <v>24</v>
      </c>
      <c r="D28" s="2" t="s">
        <v>72</v>
      </c>
    </row>
    <row r="29" spans="1:4" x14ac:dyDescent="0.2">
      <c r="A29" s="2" t="s">
        <v>73</v>
      </c>
      <c r="B29" s="2">
        <v>1440</v>
      </c>
      <c r="D29" s="2" t="s">
        <v>72</v>
      </c>
    </row>
    <row r="30" spans="1:4" x14ac:dyDescent="0.2">
      <c r="A30" s="2" t="s">
        <v>74</v>
      </c>
      <c r="B30" s="2">
        <v>25</v>
      </c>
      <c r="D30" s="2" t="s">
        <v>75</v>
      </c>
    </row>
    <row r="31" spans="1:4" x14ac:dyDescent="0.2">
      <c r="A31" s="2" t="s">
        <v>76</v>
      </c>
      <c r="B31" s="2">
        <v>31</v>
      </c>
      <c r="D31" s="2" t="s">
        <v>75</v>
      </c>
    </row>
    <row r="33" spans="1:4" ht="16" x14ac:dyDescent="0.2">
      <c r="A33" s="3" t="s">
        <v>77</v>
      </c>
      <c r="B33" s="3"/>
      <c r="C33" s="3"/>
      <c r="D33" s="3" t="s">
        <v>38</v>
      </c>
    </row>
    <row r="34" spans="1:4" ht="64" customHeight="1" x14ac:dyDescent="0.2">
      <c r="A34" s="4" t="s">
        <v>78</v>
      </c>
      <c r="D34" s="2" t="s">
        <v>61</v>
      </c>
    </row>
    <row r="35" spans="1:4" ht="64" customHeight="1" x14ac:dyDescent="0.2">
      <c r="A35" s="4" t="s">
        <v>79</v>
      </c>
      <c r="D35" s="2" t="s">
        <v>80</v>
      </c>
    </row>
    <row r="36" spans="1:4" ht="64" customHeight="1" x14ac:dyDescent="0.2">
      <c r="A36" s="4" t="s">
        <v>81</v>
      </c>
      <c r="D36" s="2" t="s">
        <v>82</v>
      </c>
    </row>
    <row r="37" spans="1:4" ht="64" customHeight="1" x14ac:dyDescent="0.2">
      <c r="A37" s="4" t="s">
        <v>83</v>
      </c>
      <c r="D37" s="2" t="s">
        <v>56</v>
      </c>
    </row>
    <row r="38" spans="1:4" ht="64" customHeight="1" x14ac:dyDescent="0.2">
      <c r="A38" s="4" t="s">
        <v>84</v>
      </c>
      <c r="D38" s="2" t="s">
        <v>85</v>
      </c>
    </row>
    <row r="39" spans="1:4" ht="64" customHeight="1" x14ac:dyDescent="0.2">
      <c r="A39" s="4" t="s">
        <v>86</v>
      </c>
      <c r="D39" s="2" t="s">
        <v>87</v>
      </c>
    </row>
    <row r="40" spans="1:4" ht="64" customHeight="1" x14ac:dyDescent="0.2">
      <c r="A40" s="4" t="s">
        <v>88</v>
      </c>
      <c r="D40" s="2" t="s">
        <v>89</v>
      </c>
    </row>
    <row r="41" spans="1:4" ht="64" customHeight="1" x14ac:dyDescent="0.2">
      <c r="A41" s="4" t="s">
        <v>90</v>
      </c>
      <c r="D41" s="2" t="s">
        <v>66</v>
      </c>
    </row>
    <row r="42" spans="1:4" ht="64" customHeight="1" x14ac:dyDescent="0.2">
      <c r="A42" s="4" t="s">
        <v>91</v>
      </c>
      <c r="D42" s="2" t="s">
        <v>92</v>
      </c>
    </row>
    <row r="43" spans="1:4" ht="64" customHeight="1" x14ac:dyDescent="0.2">
      <c r="A43" s="4" t="s">
        <v>93</v>
      </c>
      <c r="D43" s="2" t="s">
        <v>94</v>
      </c>
    </row>
    <row r="44" spans="1:4" ht="64" customHeight="1" x14ac:dyDescent="0.2">
      <c r="A44" s="4" t="s">
        <v>95</v>
      </c>
      <c r="D44" s="2" t="s">
        <v>96</v>
      </c>
    </row>
    <row r="45" spans="1:4" ht="64" customHeight="1" x14ac:dyDescent="0.2">
      <c r="A45" s="4" t="s">
        <v>97</v>
      </c>
      <c r="D45" s="2" t="s">
        <v>41</v>
      </c>
    </row>
    <row r="46" spans="1:4" ht="64" customHeight="1" x14ac:dyDescent="0.2">
      <c r="A46" s="4" t="s">
        <v>98</v>
      </c>
      <c r="D46" s="2"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
  <sheetViews>
    <sheetView workbookViewId="0"/>
  </sheetViews>
  <sheetFormatPr baseColWidth="10" defaultColWidth="8.83203125" defaultRowHeight="15" x14ac:dyDescent="0.2"/>
  <cols>
    <col min="1" max="1" width="14" customWidth="1"/>
    <col min="2" max="2" width="12" customWidth="1"/>
    <col min="3" max="3" width="36" customWidth="1"/>
    <col min="4" max="4" width="12" customWidth="1"/>
    <col min="5" max="5" width="13" customWidth="1"/>
    <col min="6" max="6" width="17" customWidth="1"/>
    <col min="7" max="8" width="9" customWidth="1"/>
    <col min="9" max="9" width="11" customWidth="1"/>
  </cols>
  <sheetData>
    <row r="1" spans="1:9" ht="17" x14ac:dyDescent="0.2">
      <c r="A1" s="1" t="s">
        <v>99</v>
      </c>
    </row>
    <row r="3" spans="1:9" ht="16" x14ac:dyDescent="0.2">
      <c r="A3" s="3" t="s">
        <v>100</v>
      </c>
      <c r="B3" s="3" t="s">
        <v>101</v>
      </c>
      <c r="C3" s="3" t="s">
        <v>102</v>
      </c>
      <c r="D3" s="3" t="s">
        <v>103</v>
      </c>
      <c r="E3" s="3" t="s">
        <v>104</v>
      </c>
      <c r="F3" s="3" t="s">
        <v>105</v>
      </c>
      <c r="G3" s="3" t="s">
        <v>106</v>
      </c>
      <c r="H3" s="3" t="s">
        <v>107</v>
      </c>
      <c r="I3" s="3" t="s">
        <v>108</v>
      </c>
    </row>
    <row r="4" spans="1:9" x14ac:dyDescent="0.2">
      <c r="A4" s="2" t="s">
        <v>109</v>
      </c>
      <c r="B4" s="2" t="s">
        <v>110</v>
      </c>
      <c r="C4" s="2" t="s">
        <v>111</v>
      </c>
      <c r="D4" s="2" t="s">
        <v>49</v>
      </c>
      <c r="E4" s="2">
        <v>104</v>
      </c>
      <c r="F4" s="2">
        <v>4810</v>
      </c>
      <c r="G4" s="2" t="s">
        <v>112</v>
      </c>
      <c r="H4" s="2" t="s">
        <v>113</v>
      </c>
      <c r="I4" s="2" t="str">
        <f>IF(D4=Parameters!$B$13,Parameters!$B$3,Parameters!$C$3)</f>
        <v>M-4000</v>
      </c>
    </row>
    <row r="5" spans="1:9" x14ac:dyDescent="0.2">
      <c r="A5" s="2" t="s">
        <v>114</v>
      </c>
      <c r="B5" s="2" t="s">
        <v>115</v>
      </c>
      <c r="C5" s="2" t="s">
        <v>116</v>
      </c>
      <c r="D5" s="2" t="s">
        <v>49</v>
      </c>
      <c r="E5" s="2">
        <v>98</v>
      </c>
      <c r="F5" s="2">
        <v>4540</v>
      </c>
      <c r="G5" s="2" t="s">
        <v>117</v>
      </c>
      <c r="H5" s="2" t="s">
        <v>118</v>
      </c>
      <c r="I5" s="2" t="str">
        <f>IF(D5=Parameters!$B$13,Parameters!$B$3,Parameters!$C$3)</f>
        <v>M-4000</v>
      </c>
    </row>
    <row r="6" spans="1:9" x14ac:dyDescent="0.2">
      <c r="A6" s="2" t="s">
        <v>119</v>
      </c>
      <c r="B6" s="2" t="s">
        <v>115</v>
      </c>
      <c r="C6" s="2" t="s">
        <v>120</v>
      </c>
      <c r="D6" s="2" t="s">
        <v>49</v>
      </c>
      <c r="E6" s="2">
        <v>9</v>
      </c>
      <c r="F6" s="2">
        <v>410</v>
      </c>
      <c r="G6" s="2" t="s">
        <v>121</v>
      </c>
      <c r="H6" s="2" t="s">
        <v>122</v>
      </c>
      <c r="I6" s="2" t="str">
        <f>IF(D6=Parameters!$B$13,Parameters!$B$3,Parameters!$C$3)</f>
        <v>M-4000</v>
      </c>
    </row>
    <row r="7" spans="1:9" x14ac:dyDescent="0.2">
      <c r="A7" s="2" t="s">
        <v>123</v>
      </c>
      <c r="B7" s="2" t="s">
        <v>124</v>
      </c>
      <c r="C7" s="2" t="s">
        <v>125</v>
      </c>
      <c r="D7" s="2" t="s">
        <v>50</v>
      </c>
      <c r="E7" s="2">
        <v>38</v>
      </c>
      <c r="F7" s="2"/>
      <c r="G7" s="2" t="s">
        <v>126</v>
      </c>
      <c r="H7" s="2" t="s">
        <v>127</v>
      </c>
      <c r="I7" s="2" t="str">
        <f>IF(D7=Parameters!$B$13,Parameters!$B$3,Parameters!$C$3)</f>
        <v>M-6000</v>
      </c>
    </row>
    <row r="8" spans="1:9" x14ac:dyDescent="0.2">
      <c r="A8" s="2" t="s">
        <v>128</v>
      </c>
      <c r="B8" s="2" t="s">
        <v>129</v>
      </c>
      <c r="C8" s="2" t="s">
        <v>130</v>
      </c>
      <c r="D8" s="2" t="s">
        <v>49</v>
      </c>
      <c r="E8" s="2">
        <v>318</v>
      </c>
      <c r="F8" s="2">
        <v>14720</v>
      </c>
      <c r="G8" s="2" t="s">
        <v>131</v>
      </c>
      <c r="H8" s="2" t="s">
        <v>132</v>
      </c>
      <c r="I8" s="2" t="str">
        <f>IF(D8=Parameters!$B$13,Parameters!$B$3,Parameters!$C$3)</f>
        <v>M-4000</v>
      </c>
    </row>
    <row r="9" spans="1:9" x14ac:dyDescent="0.2">
      <c r="A9" s="2" t="s">
        <v>133</v>
      </c>
      <c r="B9" s="2" t="s">
        <v>134</v>
      </c>
      <c r="C9" s="2" t="s">
        <v>135</v>
      </c>
      <c r="D9" s="2" t="s">
        <v>49</v>
      </c>
      <c r="E9" s="2">
        <v>101</v>
      </c>
      <c r="F9" s="2">
        <v>4670</v>
      </c>
      <c r="G9" s="2" t="s">
        <v>136</v>
      </c>
      <c r="H9" s="2" t="s">
        <v>137</v>
      </c>
      <c r="I9" s="2" t="str">
        <f>IF(D9=Parameters!$B$13,Parameters!$B$3,Parameters!$C$3)</f>
        <v>M-4000</v>
      </c>
    </row>
    <row r="10" spans="1:9" x14ac:dyDescent="0.2">
      <c r="A10" s="2" t="s">
        <v>138</v>
      </c>
      <c r="B10" s="2" t="s">
        <v>139</v>
      </c>
      <c r="C10" s="2" t="s">
        <v>140</v>
      </c>
      <c r="D10" s="2" t="s">
        <v>50</v>
      </c>
      <c r="E10" s="2">
        <v>41</v>
      </c>
      <c r="F10" s="2"/>
      <c r="G10" s="2" t="s">
        <v>141</v>
      </c>
      <c r="H10" s="2" t="s">
        <v>142</v>
      </c>
      <c r="I10" s="2" t="str">
        <f>IF(D10=Parameters!$B$13,Parameters!$B$3,Parameters!$C$3)</f>
        <v>M-6000</v>
      </c>
    </row>
    <row r="11" spans="1:9" x14ac:dyDescent="0.2">
      <c r="A11" s="2" t="s">
        <v>143</v>
      </c>
      <c r="B11" s="2" t="s">
        <v>144</v>
      </c>
      <c r="C11" s="2" t="s">
        <v>145</v>
      </c>
      <c r="D11" s="2" t="s">
        <v>49</v>
      </c>
      <c r="E11" s="2">
        <v>112</v>
      </c>
      <c r="F11" s="2">
        <v>5180</v>
      </c>
      <c r="G11" s="2" t="s">
        <v>146</v>
      </c>
      <c r="H11" s="2" t="s">
        <v>147</v>
      </c>
      <c r="I11" s="2" t="str">
        <f>IF(D11=Parameters!$B$13,Parameters!$B$3,Parameters!$C$3)</f>
        <v>M-4000</v>
      </c>
    </row>
    <row r="12" spans="1:9" x14ac:dyDescent="0.2">
      <c r="A12" s="2" t="s">
        <v>148</v>
      </c>
      <c r="B12" s="2" t="s">
        <v>149</v>
      </c>
      <c r="C12" s="2" t="s">
        <v>150</v>
      </c>
      <c r="D12" s="2" t="s">
        <v>49</v>
      </c>
      <c r="E12" s="2">
        <v>150</v>
      </c>
      <c r="F12" s="2">
        <v>4860</v>
      </c>
      <c r="G12" s="2" t="s">
        <v>151</v>
      </c>
      <c r="H12" s="2" t="s">
        <v>152</v>
      </c>
      <c r="I12" s="2" t="str">
        <f>IF(D12=Parameters!$B$13,Parameters!$B$3,Parameters!$C$3)</f>
        <v>M-4000</v>
      </c>
    </row>
    <row r="13" spans="1:9" x14ac:dyDescent="0.2">
      <c r="A13" s="2" t="s">
        <v>153</v>
      </c>
      <c r="B13" s="2" t="s">
        <v>154</v>
      </c>
      <c r="C13" s="2" t="s">
        <v>155</v>
      </c>
      <c r="D13" s="2" t="s">
        <v>49</v>
      </c>
      <c r="E13" s="2">
        <v>151</v>
      </c>
      <c r="F13" s="2">
        <v>6990</v>
      </c>
      <c r="G13" s="2" t="s">
        <v>156</v>
      </c>
      <c r="H13" s="2" t="s">
        <v>157</v>
      </c>
      <c r="I13" s="2" t="str">
        <f>IF(D13=Parameters!$B$13,Parameters!$B$3,Parameters!$C$3)</f>
        <v>M-4000</v>
      </c>
    </row>
    <row r="14" spans="1:9" x14ac:dyDescent="0.2">
      <c r="A14" s="2" t="s">
        <v>158</v>
      </c>
      <c r="B14" s="2" t="s">
        <v>159</v>
      </c>
      <c r="C14" s="2" t="s">
        <v>160</v>
      </c>
      <c r="D14" s="2" t="s">
        <v>50</v>
      </c>
      <c r="E14" s="2">
        <v>36</v>
      </c>
      <c r="F14" s="2"/>
      <c r="G14" s="2" t="s">
        <v>161</v>
      </c>
      <c r="H14" s="2" t="s">
        <v>162</v>
      </c>
      <c r="I14" s="2" t="str">
        <f>IF(D14=Parameters!$B$13,Parameters!$B$3,Parameters!$C$3)</f>
        <v>M-6000</v>
      </c>
    </row>
    <row r="15" spans="1:9" x14ac:dyDescent="0.2">
      <c r="A15" s="2" t="s">
        <v>163</v>
      </c>
      <c r="B15" s="2" t="s">
        <v>164</v>
      </c>
      <c r="C15" s="2" t="s">
        <v>165</v>
      </c>
      <c r="D15" s="2" t="s">
        <v>49</v>
      </c>
      <c r="E15" s="2">
        <v>106</v>
      </c>
      <c r="F15" s="2">
        <v>4905</v>
      </c>
      <c r="G15" s="2" t="s">
        <v>166</v>
      </c>
      <c r="H15" s="2" t="s">
        <v>167</v>
      </c>
      <c r="I15" s="2" t="str">
        <f>IF(D15=Parameters!$B$13,Parameters!$B$3,Parameters!$C$3)</f>
        <v>M-4000</v>
      </c>
    </row>
    <row r="16" spans="1:9" x14ac:dyDescent="0.2">
      <c r="A16" s="2" t="s">
        <v>168</v>
      </c>
      <c r="B16" s="2" t="s">
        <v>169</v>
      </c>
      <c r="C16" s="2" t="s">
        <v>170</v>
      </c>
      <c r="D16" s="2" t="s">
        <v>50</v>
      </c>
      <c r="E16" s="2">
        <v>37</v>
      </c>
      <c r="F16" s="2"/>
      <c r="G16" s="2" t="s">
        <v>171</v>
      </c>
      <c r="H16" s="2" t="s">
        <v>147</v>
      </c>
      <c r="I16" s="2" t="str">
        <f>IF(D16=Parameters!$B$13,Parameters!$B$3,Parameters!$C$3)</f>
        <v>M-6000</v>
      </c>
    </row>
    <row r="17" spans="1:9" x14ac:dyDescent="0.2">
      <c r="A17" s="2" t="s">
        <v>172</v>
      </c>
      <c r="B17" s="2" t="s">
        <v>173</v>
      </c>
      <c r="C17" s="2" t="s">
        <v>174</v>
      </c>
      <c r="D17" s="2" t="s">
        <v>49</v>
      </c>
      <c r="E17" s="2">
        <v>96</v>
      </c>
      <c r="F17" s="2">
        <v>3110</v>
      </c>
      <c r="G17" s="2" t="s">
        <v>175</v>
      </c>
      <c r="H17" s="2" t="s">
        <v>176</v>
      </c>
      <c r="I17" s="2" t="str">
        <f>IF(D17=Parameters!$B$13,Parameters!$B$3,Parameters!$C$3)</f>
        <v>M-4000</v>
      </c>
    </row>
    <row r="18" spans="1:9" x14ac:dyDescent="0.2">
      <c r="A18" s="2" t="s">
        <v>177</v>
      </c>
      <c r="B18" s="2" t="s">
        <v>178</v>
      </c>
      <c r="C18" s="2" t="s">
        <v>179</v>
      </c>
      <c r="D18" s="2" t="s">
        <v>49</v>
      </c>
      <c r="E18" s="2">
        <v>103</v>
      </c>
      <c r="F18" s="2">
        <v>4770</v>
      </c>
      <c r="G18" s="2" t="s">
        <v>180</v>
      </c>
      <c r="H18" s="2" t="s">
        <v>181</v>
      </c>
      <c r="I18" s="2" t="str">
        <f>IF(D18=Parameters!$B$13,Parameters!$B$3,Parameters!$C$3)</f>
        <v>M-4000</v>
      </c>
    </row>
    <row r="19" spans="1:9" x14ac:dyDescent="0.2">
      <c r="A19" s="2" t="s">
        <v>182</v>
      </c>
      <c r="B19" s="2" t="s">
        <v>178</v>
      </c>
      <c r="C19" s="2" t="s">
        <v>183</v>
      </c>
      <c r="D19" s="2" t="s">
        <v>50</v>
      </c>
      <c r="E19" s="2">
        <v>39</v>
      </c>
      <c r="F19" s="2"/>
      <c r="G19" s="2" t="s">
        <v>152</v>
      </c>
      <c r="H19" s="2" t="s">
        <v>184</v>
      </c>
      <c r="I19" s="2" t="str">
        <f>IF(D19=Parameters!$B$13,Parameters!$B$3,Parameters!$C$3)</f>
        <v>M-6000</v>
      </c>
    </row>
    <row r="20" spans="1:9" x14ac:dyDescent="0.2">
      <c r="A20" s="2" t="s">
        <v>185</v>
      </c>
      <c r="B20" s="2" t="s">
        <v>186</v>
      </c>
      <c r="C20" s="2" t="s">
        <v>187</v>
      </c>
      <c r="D20" s="2" t="s">
        <v>49</v>
      </c>
      <c r="E20" s="2">
        <v>99</v>
      </c>
      <c r="F20" s="2">
        <v>4580</v>
      </c>
      <c r="G20" s="2" t="s">
        <v>156</v>
      </c>
      <c r="H20" s="2" t="s">
        <v>188</v>
      </c>
      <c r="I20" s="2" t="str">
        <f>IF(D20=Parameters!$B$13,Parameters!$B$3,Parameters!$C$3)</f>
        <v>M-4000</v>
      </c>
    </row>
    <row r="21" spans="1:9" x14ac:dyDescent="0.2">
      <c r="A21" s="2" t="s">
        <v>189</v>
      </c>
      <c r="B21" s="2" t="s">
        <v>186</v>
      </c>
      <c r="C21" s="2" t="s">
        <v>190</v>
      </c>
      <c r="D21" s="2" t="s">
        <v>50</v>
      </c>
      <c r="E21" s="2">
        <v>40</v>
      </c>
      <c r="F21" s="2"/>
      <c r="G21" s="2" t="s">
        <v>191</v>
      </c>
      <c r="H21" s="2" t="s">
        <v>192</v>
      </c>
      <c r="I21" s="2" t="str">
        <f>IF(D21=Parameters!$B$13,Parameters!$B$3,Parameters!$C$3)</f>
        <v>M-6000</v>
      </c>
    </row>
    <row r="22" spans="1:9" x14ac:dyDescent="0.2">
      <c r="A22" s="2" t="s">
        <v>193</v>
      </c>
      <c r="B22" s="2" t="s">
        <v>194</v>
      </c>
      <c r="C22" s="2" t="s">
        <v>195</v>
      </c>
      <c r="D22" s="2" t="s">
        <v>50</v>
      </c>
      <c r="E22" s="2">
        <v>52</v>
      </c>
      <c r="F22" s="2">
        <v>1390</v>
      </c>
      <c r="G22" s="2" t="s">
        <v>196</v>
      </c>
      <c r="H22" s="2" t="s">
        <v>197</v>
      </c>
      <c r="I22" s="2" t="str">
        <f>IF(D22=Parameters!$B$13,Parameters!$B$3,Parameters!$C$3)</f>
        <v>M-6000</v>
      </c>
    </row>
    <row r="23" spans="1:9" x14ac:dyDescent="0.2">
      <c r="A23" s="2" t="s">
        <v>198</v>
      </c>
      <c r="B23" s="2" t="s">
        <v>199</v>
      </c>
      <c r="C23" s="2" t="s">
        <v>200</v>
      </c>
      <c r="D23" s="2" t="s">
        <v>49</v>
      </c>
      <c r="E23" s="2">
        <v>107</v>
      </c>
      <c r="F23" s="2">
        <v>4950</v>
      </c>
      <c r="G23" s="2" t="s">
        <v>201</v>
      </c>
      <c r="H23" s="2" t="s">
        <v>202</v>
      </c>
      <c r="I23" s="2" t="str">
        <f>IF(D23=Parameters!$B$13,Parameters!$B$3,Parameters!$C$3)</f>
        <v>M-4000</v>
      </c>
    </row>
    <row r="24" spans="1:9" x14ac:dyDescent="0.2">
      <c r="A24" s="2" t="s">
        <v>203</v>
      </c>
      <c r="B24" s="2" t="s">
        <v>204</v>
      </c>
      <c r="C24" s="2" t="s">
        <v>205</v>
      </c>
      <c r="D24" s="2" t="s">
        <v>49</v>
      </c>
      <c r="E24" s="2">
        <v>212</v>
      </c>
      <c r="F24" s="2">
        <v>9810</v>
      </c>
      <c r="G24" s="2" t="s">
        <v>206</v>
      </c>
      <c r="H24" s="2" t="s">
        <v>207</v>
      </c>
      <c r="I24" s="2" t="str">
        <f>IF(D24=Parameters!$B$13,Parameters!$B$3,Parameters!$C$3)</f>
        <v>M-4000</v>
      </c>
    </row>
    <row r="25" spans="1:9" x14ac:dyDescent="0.2">
      <c r="A25" s="2" t="s">
        <v>208</v>
      </c>
      <c r="B25" s="2" t="s">
        <v>209</v>
      </c>
      <c r="C25" s="2" t="s">
        <v>210</v>
      </c>
      <c r="D25" s="2" t="s">
        <v>50</v>
      </c>
      <c r="E25" s="2">
        <v>38</v>
      </c>
      <c r="F25" s="2"/>
      <c r="G25" s="2" t="s">
        <v>211</v>
      </c>
      <c r="H25" s="2" t="s">
        <v>212</v>
      </c>
      <c r="I25" s="2" t="str">
        <f>IF(D25=Parameters!$B$13,Parameters!$B$3,Parameters!$C$3)</f>
        <v>M-6000</v>
      </c>
    </row>
    <row r="26" spans="1:9" x14ac:dyDescent="0.2">
      <c r="A26" s="2" t="s">
        <v>213</v>
      </c>
      <c r="B26" s="2" t="s">
        <v>214</v>
      </c>
      <c r="C26" s="2" t="s">
        <v>215</v>
      </c>
      <c r="D26" s="2" t="s">
        <v>50</v>
      </c>
      <c r="E26" s="2">
        <v>49</v>
      </c>
      <c r="F26" s="2">
        <v>1310</v>
      </c>
      <c r="G26" s="2" t="s">
        <v>216</v>
      </c>
      <c r="H26" s="2" t="s">
        <v>217</v>
      </c>
      <c r="I26" s="2" t="str">
        <f>IF(D26=Parameters!$B$13,Parameters!$B$3,Parameters!$C$3)</f>
        <v>M-6000</v>
      </c>
    </row>
    <row r="27" spans="1:9" x14ac:dyDescent="0.2">
      <c r="A27" s="2" t="s">
        <v>218</v>
      </c>
      <c r="B27" s="2" t="s">
        <v>219</v>
      </c>
      <c r="C27" s="2" t="s">
        <v>220</v>
      </c>
      <c r="D27" s="2" t="s">
        <v>49</v>
      </c>
      <c r="E27" s="2">
        <v>88</v>
      </c>
      <c r="F27" s="2">
        <v>2850</v>
      </c>
      <c r="G27" s="2" t="s">
        <v>221</v>
      </c>
      <c r="H27" s="2" t="s">
        <v>142</v>
      </c>
      <c r="I27" s="2" t="str">
        <f>IF(D27=Parameters!$B$13,Parameters!$B$3,Parameters!$C$3)</f>
        <v>M-4000</v>
      </c>
    </row>
    <row r="28" spans="1:9" x14ac:dyDescent="0.2">
      <c r="A28" s="2" t="s">
        <v>222</v>
      </c>
      <c r="B28" s="2" t="s">
        <v>223</v>
      </c>
      <c r="C28" s="2" t="s">
        <v>224</v>
      </c>
      <c r="D28" s="2" t="s">
        <v>50</v>
      </c>
      <c r="E28" s="2">
        <v>49</v>
      </c>
      <c r="F28" s="2">
        <v>1310</v>
      </c>
      <c r="G28" s="2" t="s">
        <v>225</v>
      </c>
      <c r="H28" s="2" t="s">
        <v>121</v>
      </c>
      <c r="I28" s="2" t="str">
        <f>IF(D28=Parameters!$B$13,Parameters!$B$3,Parameters!$C$3)</f>
        <v>M-6000</v>
      </c>
    </row>
    <row r="29" spans="1:9" x14ac:dyDescent="0.2">
      <c r="A29" s="2" t="s">
        <v>226</v>
      </c>
      <c r="B29" s="2" t="s">
        <v>223</v>
      </c>
      <c r="C29" s="2" t="s">
        <v>227</v>
      </c>
      <c r="D29" s="2" t="s">
        <v>50</v>
      </c>
      <c r="E29" s="2">
        <v>37</v>
      </c>
      <c r="F29" s="2"/>
      <c r="G29" s="2" t="s">
        <v>162</v>
      </c>
      <c r="H29" s="2" t="s">
        <v>228</v>
      </c>
      <c r="I29" s="2" t="str">
        <f>IF(D29=Parameters!$B$13,Parameters!$B$3,Parameters!$C$3)</f>
        <v>M-6000</v>
      </c>
    </row>
    <row r="30" spans="1:9" x14ac:dyDescent="0.2">
      <c r="A30" s="2" t="s">
        <v>229</v>
      </c>
      <c r="B30" s="2" t="s">
        <v>230</v>
      </c>
      <c r="C30" s="2" t="s">
        <v>231</v>
      </c>
      <c r="D30" s="2" t="s">
        <v>49</v>
      </c>
      <c r="E30" s="2">
        <v>14</v>
      </c>
      <c r="F30" s="2">
        <v>640</v>
      </c>
      <c r="G30" s="2" t="s">
        <v>232</v>
      </c>
      <c r="H30" s="2" t="s">
        <v>233</v>
      </c>
      <c r="I30" s="2" t="str">
        <f>IF(D30=Parameters!$B$13,Parameters!$B$3,Parameters!$C$3)</f>
        <v>M-4000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2"/>
  <sheetViews>
    <sheetView workbookViewId="0"/>
  </sheetViews>
  <sheetFormatPr baseColWidth="10" defaultColWidth="8.83203125" defaultRowHeight="15" x14ac:dyDescent="0.2"/>
  <cols>
    <col min="1" max="1" width="8" customWidth="1"/>
    <col min="2" max="2" width="13" customWidth="1"/>
    <col min="3" max="3" width="12" customWidth="1"/>
    <col min="4" max="4" width="9" customWidth="1"/>
    <col min="5" max="5" width="34" customWidth="1"/>
    <col min="6" max="6" width="10" customWidth="1"/>
    <col min="7" max="7" width="9" customWidth="1"/>
    <col min="8" max="9" width="10" customWidth="1"/>
    <col min="10" max="12" width="8" customWidth="1"/>
    <col min="13" max="13" width="16" customWidth="1"/>
    <col min="14" max="14" width="9" customWidth="1"/>
    <col min="15" max="15" width="40" customWidth="1"/>
    <col min="16" max="16" width="12" customWidth="1"/>
    <col min="17" max="18" width="9" customWidth="1"/>
    <col min="19" max="19" width="12" customWidth="1"/>
    <col min="20" max="20" width="9" customWidth="1"/>
    <col min="21" max="21" width="10" customWidth="1"/>
    <col min="22" max="22" width="40" customWidth="1"/>
    <col min="23" max="23" width="38" customWidth="1"/>
    <col min="24" max="24" width="13" customWidth="1"/>
    <col min="25" max="25" width="8" customWidth="1"/>
    <col min="26" max="26" width="100" customWidth="1"/>
  </cols>
  <sheetData>
    <row r="1" spans="1:26" ht="17" x14ac:dyDescent="0.2">
      <c r="A1" s="1" t="s">
        <v>234</v>
      </c>
    </row>
    <row r="3" spans="1:26" ht="32" x14ac:dyDescent="0.2">
      <c r="A3" s="3" t="s">
        <v>235</v>
      </c>
      <c r="B3" s="3" t="s">
        <v>236</v>
      </c>
      <c r="C3" s="3" t="s">
        <v>237</v>
      </c>
      <c r="D3" s="3" t="s">
        <v>238</v>
      </c>
      <c r="E3" s="3" t="s">
        <v>239</v>
      </c>
      <c r="F3" s="3" t="s">
        <v>240</v>
      </c>
      <c r="G3" s="3" t="s">
        <v>103</v>
      </c>
      <c r="H3" s="3" t="s">
        <v>108</v>
      </c>
      <c r="I3" s="3" t="s">
        <v>100</v>
      </c>
      <c r="J3" s="3" t="s">
        <v>241</v>
      </c>
      <c r="K3" s="3" t="s">
        <v>242</v>
      </c>
      <c r="L3" s="3" t="s">
        <v>243</v>
      </c>
      <c r="M3" s="3" t="s">
        <v>244</v>
      </c>
      <c r="N3" s="3" t="s">
        <v>245</v>
      </c>
      <c r="O3" s="3" t="s">
        <v>246</v>
      </c>
      <c r="P3" s="3" t="s">
        <v>247</v>
      </c>
      <c r="Q3" s="3" t="s">
        <v>248</v>
      </c>
      <c r="R3" s="3" t="s">
        <v>249</v>
      </c>
      <c r="S3" s="3" t="s">
        <v>250</v>
      </c>
      <c r="T3" s="3" t="s">
        <v>251</v>
      </c>
      <c r="U3" s="3" t="s">
        <v>252</v>
      </c>
      <c r="V3" s="3" t="s">
        <v>253</v>
      </c>
      <c r="W3" s="3" t="s">
        <v>254</v>
      </c>
      <c r="X3" s="3" t="s">
        <v>255</v>
      </c>
      <c r="Y3" s="3" t="s">
        <v>256</v>
      </c>
      <c r="Z3" s="3" t="s">
        <v>257</v>
      </c>
    </row>
    <row r="4" spans="1:26" x14ac:dyDescent="0.2">
      <c r="A4" s="2" t="s">
        <v>258</v>
      </c>
      <c r="B4" s="2" t="s">
        <v>259</v>
      </c>
      <c r="C4" s="2" t="s">
        <v>110</v>
      </c>
      <c r="D4" s="2" t="s">
        <v>260</v>
      </c>
      <c r="E4" s="2" t="s">
        <v>261</v>
      </c>
      <c r="F4" s="2">
        <v>770418</v>
      </c>
      <c r="G4" s="2" t="s">
        <v>49</v>
      </c>
      <c r="H4" s="2" t="str">
        <f>IF(G4=Parameters!$B$13,Parameters!$B$3,Parameters!$C$3)</f>
        <v>M-4000</v>
      </c>
      <c r="I4" s="2" t="s">
        <v>109</v>
      </c>
      <c r="J4" s="2">
        <v>4.25</v>
      </c>
      <c r="K4" s="2">
        <v>6.2</v>
      </c>
      <c r="L4" s="2">
        <v>74</v>
      </c>
      <c r="M4" s="2" t="str">
        <f>IF(AND(J4&gt;=IF(H4=Parameters!$B$3,Parameters!$B$8,Parameters!$C$8),J4&lt;=IF(H4=Parameters!$B$3,Parameters!$B$9,Parameters!$C$9),K4&gt;=IF(H4=Parameters!$B$3,Parameters!$B$10,Parameters!$C$10),K4&lt;=IF(H4=Parameters!$B$3,Parameters!$B$11,Parameters!$C$11),L4&lt;=IF(H4=Parameters!$B$3,Parameters!$B$12,Parameters!$C$12)),"Within 2.4","Outside 2.4")</f>
        <v>Within 2.4</v>
      </c>
      <c r="N4" s="2" t="s">
        <v>262</v>
      </c>
      <c r="O4" s="2" t="s">
        <v>263</v>
      </c>
      <c r="P4" s="2" t="s">
        <v>264</v>
      </c>
      <c r="Q4" s="2">
        <v>63</v>
      </c>
      <c r="R4" s="2">
        <v>77</v>
      </c>
      <c r="S4" s="2" t="s">
        <v>265</v>
      </c>
      <c r="T4" s="2" t="s">
        <v>266</v>
      </c>
      <c r="U4" s="7">
        <f>IF(P4="Standard",ROUND((DATE(VALUE(RIGHT(S4,4)),VALUE(LEFT(S4,2)),VALUE(MID(S4,4,2)))+VALUE(LEFT(T4,2))/Parameters!$B$28+VALUE(RIGHT(T4,2))/Parameters!$B$29-X4)*Parameters!$B$28,2),"")</f>
        <v>24.48</v>
      </c>
      <c r="V4" s="2" t="str">
        <f>IF(P4&lt;&gt;"Standard","",IF(OR(Q4&lt;Parameters!$B$24,R4&gt;Parameters!$B$25),"Initial curing temperature outside 60 to 80 F",IF(U4&gt;Parameters!$B$26,"Initial curing period over 48 hours","")))</f>
        <v/>
      </c>
      <c r="W4" s="2"/>
      <c r="X4" s="8">
        <f>ROUND(DATE(VALUE(RIGHT(C4,4)),VALUE(LEFT(C4,2)),VALUE(MID(C4,4,2)))+VALUE(LEFT(D4,2))/Parameters!$B$28+VALUE(RIGHT(D4,2))/Parameters!$B$29,5)</f>
        <v>46237.3076</v>
      </c>
      <c r="Y4" s="2" t="str">
        <f>INDEX(Tests!$S$4:$S$31,MATCH(F4,Tests!$A$4:$A$31,0))</f>
        <v>Yes</v>
      </c>
      <c r="Z4" s="2"/>
    </row>
    <row r="5" spans="1:26" x14ac:dyDescent="0.2">
      <c r="A5" s="2" t="s">
        <v>267</v>
      </c>
      <c r="B5" s="2" t="s">
        <v>259</v>
      </c>
      <c r="C5" s="2" t="s">
        <v>115</v>
      </c>
      <c r="D5" s="2" t="s">
        <v>268</v>
      </c>
      <c r="E5" s="2" t="s">
        <v>269</v>
      </c>
      <c r="F5" s="2">
        <v>770653</v>
      </c>
      <c r="G5" s="2" t="s">
        <v>49</v>
      </c>
      <c r="H5" s="2" t="str">
        <f>IF(G5=Parameters!$B$13,Parameters!$B$3,Parameters!$C$3)</f>
        <v>M-4000</v>
      </c>
      <c r="I5" s="2" t="s">
        <v>114</v>
      </c>
      <c r="J5" s="2">
        <v>5</v>
      </c>
      <c r="K5" s="2">
        <v>5.8</v>
      </c>
      <c r="L5" s="2">
        <v>76</v>
      </c>
      <c r="M5" s="2" t="str">
        <f>IF(AND(J5&gt;=IF(H5=Parameters!$B$3,Parameters!$B$8,Parameters!$C$8),J5&lt;=IF(H5=Parameters!$B$3,Parameters!$B$9,Parameters!$C$9),K5&gt;=IF(H5=Parameters!$B$3,Parameters!$B$10,Parameters!$C$10),K5&lt;=IF(H5=Parameters!$B$3,Parameters!$B$11,Parameters!$C$11),L5&lt;=IF(H5=Parameters!$B$3,Parameters!$B$12,Parameters!$C$12)),"Within 2.4","Outside 2.4")</f>
        <v>Within 2.4</v>
      </c>
      <c r="N5" s="2" t="s">
        <v>262</v>
      </c>
      <c r="O5" s="2" t="s">
        <v>263</v>
      </c>
      <c r="P5" s="2" t="s">
        <v>264</v>
      </c>
      <c r="Q5" s="2">
        <v>64</v>
      </c>
      <c r="R5" s="2">
        <v>78</v>
      </c>
      <c r="S5" s="2" t="s">
        <v>124</v>
      </c>
      <c r="T5" s="2" t="s">
        <v>270</v>
      </c>
      <c r="U5" s="7">
        <f>IF(P5="Standard",ROUND((DATE(VALUE(RIGHT(S5,4)),VALUE(LEFT(S5,2)),VALUE(MID(S5,4,2)))+VALUE(LEFT(T5,2))/Parameters!$B$28+VALUE(RIGHT(T5,2))/Parameters!$B$29-X5)*Parameters!$B$28,2),"")</f>
        <v>23.37</v>
      </c>
      <c r="V5" s="2" t="str">
        <f>IF(P5&lt;&gt;"Standard","",IF(OR(Q5&lt;Parameters!$B$24,R5&gt;Parameters!$B$25),"Initial curing temperature outside 60 to 80 F",IF(U5&gt;Parameters!$B$26,"Initial curing period over 48 hours","")))</f>
        <v/>
      </c>
      <c r="W5" s="2"/>
      <c r="X5" s="8">
        <f>ROUND(DATE(VALUE(RIGHT(C5,4)),VALUE(LEFT(C5,2)),VALUE(MID(C5,4,2)))+VALUE(LEFT(D5,2))/Parameters!$B$28+VALUE(RIGHT(D5,2))/Parameters!$B$29,5)</f>
        <v>46239.3417</v>
      </c>
      <c r="Y5" s="2" t="str">
        <f>INDEX(Tests!$S$4:$S$31,MATCH(F5,Tests!$A$4:$A$31,0))</f>
        <v>Yes</v>
      </c>
      <c r="Z5" s="2"/>
    </row>
    <row r="6" spans="1:26" x14ac:dyDescent="0.2">
      <c r="A6" s="2" t="s">
        <v>271</v>
      </c>
      <c r="B6" s="2" t="s">
        <v>259</v>
      </c>
      <c r="C6" s="2" t="s">
        <v>129</v>
      </c>
      <c r="D6" s="2" t="s">
        <v>272</v>
      </c>
      <c r="E6" s="2" t="s">
        <v>273</v>
      </c>
      <c r="F6" s="2">
        <v>771106</v>
      </c>
      <c r="G6" s="2" t="s">
        <v>49</v>
      </c>
      <c r="H6" s="2" t="str">
        <f>IF(G6=Parameters!$B$13,Parameters!$B$3,Parameters!$C$3)</f>
        <v>M-4000</v>
      </c>
      <c r="I6" s="2" t="s">
        <v>128</v>
      </c>
      <c r="J6" s="2">
        <v>4</v>
      </c>
      <c r="K6" s="2">
        <v>6.4</v>
      </c>
      <c r="L6" s="2">
        <v>71</v>
      </c>
      <c r="M6" s="2" t="str">
        <f>IF(AND(J6&gt;=IF(H6=Parameters!$B$3,Parameters!$B$8,Parameters!$C$8),J6&lt;=IF(H6=Parameters!$B$3,Parameters!$B$9,Parameters!$C$9),K6&gt;=IF(H6=Parameters!$B$3,Parameters!$B$10,Parameters!$C$10),K6&lt;=IF(H6=Parameters!$B$3,Parameters!$B$11,Parameters!$C$11),L6&lt;=IF(H6=Parameters!$B$3,Parameters!$B$12,Parameters!$C$12)),"Within 2.4","Outside 2.4")</f>
        <v>Within 2.4</v>
      </c>
      <c r="N6" s="2" t="s">
        <v>262</v>
      </c>
      <c r="O6" s="2" t="s">
        <v>263</v>
      </c>
      <c r="P6" s="2" t="s">
        <v>264</v>
      </c>
      <c r="Q6" s="2">
        <v>62</v>
      </c>
      <c r="R6" s="2">
        <v>76</v>
      </c>
      <c r="S6" s="2" t="s">
        <v>274</v>
      </c>
      <c r="T6" s="2" t="s">
        <v>275</v>
      </c>
      <c r="U6" s="7">
        <f>IF(P6="Standard",ROUND((DATE(VALUE(RIGHT(S6,4)),VALUE(LEFT(S6,2)),VALUE(MID(S6,4,2)))+VALUE(LEFT(T6,2))/Parameters!$B$28+VALUE(RIGHT(T6,2))/Parameters!$B$29-X6)*Parameters!$B$28,2),"")</f>
        <v>24.07</v>
      </c>
      <c r="V6" s="2" t="str">
        <f>IF(P6&lt;&gt;"Standard","",IF(OR(Q6&lt;Parameters!$B$24,R6&gt;Parameters!$B$25),"Initial curing temperature outside 60 to 80 F",IF(U6&gt;Parameters!$B$26,"Initial curing period over 48 hours","")))</f>
        <v/>
      </c>
      <c r="W6" s="2"/>
      <c r="X6" s="8">
        <f>ROUND(DATE(VALUE(RIGHT(C6,4)),VALUE(LEFT(C6,2)),VALUE(MID(C6,4,2)))+VALUE(LEFT(D6,2))/Parameters!$B$28+VALUE(RIGHT(D6,2))/Parameters!$B$29,5)</f>
        <v>46244.2861</v>
      </c>
      <c r="Y6" s="2" t="str">
        <f>INDEX(Tests!$S$4:$S$31,MATCH(F6,Tests!$A$4:$A$31,0))</f>
        <v>No</v>
      </c>
      <c r="Z6" s="2"/>
    </row>
    <row r="7" spans="1:26" x14ac:dyDescent="0.2">
      <c r="A7" s="2" t="s">
        <v>276</v>
      </c>
      <c r="B7" s="2" t="s">
        <v>259</v>
      </c>
      <c r="C7" s="2" t="s">
        <v>129</v>
      </c>
      <c r="D7" s="2" t="s">
        <v>277</v>
      </c>
      <c r="E7" s="2" t="s">
        <v>273</v>
      </c>
      <c r="F7" s="2">
        <v>771131</v>
      </c>
      <c r="G7" s="2" t="s">
        <v>49</v>
      </c>
      <c r="H7" s="2" t="str">
        <f>IF(G7=Parameters!$B$13,Parameters!$B$3,Parameters!$C$3)</f>
        <v>M-4000</v>
      </c>
      <c r="I7" s="2" t="s">
        <v>128</v>
      </c>
      <c r="J7" s="2">
        <v>4.25</v>
      </c>
      <c r="K7" s="2">
        <v>6.7</v>
      </c>
      <c r="L7" s="2">
        <v>77</v>
      </c>
      <c r="M7" s="2" t="str">
        <f>IF(AND(J7&gt;=IF(H7=Parameters!$B$3,Parameters!$B$8,Parameters!$C$8),J7&lt;=IF(H7=Parameters!$B$3,Parameters!$B$9,Parameters!$C$9),K7&gt;=IF(H7=Parameters!$B$3,Parameters!$B$10,Parameters!$C$10),K7&lt;=IF(H7=Parameters!$B$3,Parameters!$B$11,Parameters!$C$11),L7&lt;=IF(H7=Parameters!$B$3,Parameters!$B$12,Parameters!$C$12)),"Within 2.4","Outside 2.4")</f>
        <v>Within 2.4</v>
      </c>
      <c r="N7" s="2" t="s">
        <v>262</v>
      </c>
      <c r="O7" s="2" t="s">
        <v>263</v>
      </c>
      <c r="P7" s="2" t="s">
        <v>264</v>
      </c>
      <c r="Q7" s="2">
        <v>62</v>
      </c>
      <c r="R7" s="2">
        <v>76</v>
      </c>
      <c r="S7" s="2" t="s">
        <v>274</v>
      </c>
      <c r="T7" s="2" t="s">
        <v>275</v>
      </c>
      <c r="U7" s="7">
        <f>IF(P7="Standard",ROUND((DATE(VALUE(RIGHT(S7,4)),VALUE(LEFT(S7,2)),VALUE(MID(S7,4,2)))+VALUE(LEFT(T7,2))/Parameters!$B$28+VALUE(RIGHT(T7,2))/Parameters!$B$29-X7)*Parameters!$B$28,2),"")</f>
        <v>20.63</v>
      </c>
      <c r="V7" s="2" t="str">
        <f>IF(P7&lt;&gt;"Standard","",IF(OR(Q7&lt;Parameters!$B$24,R7&gt;Parameters!$B$25),"Initial curing temperature outside 60 to 80 F",IF(U7&gt;Parameters!$B$26,"Initial curing period over 48 hours","")))</f>
        <v/>
      </c>
      <c r="W7" s="2"/>
      <c r="X7" s="8">
        <f>ROUND(DATE(VALUE(RIGHT(C7,4)),VALUE(LEFT(C7,2)),VALUE(MID(C7,4,2)))+VALUE(LEFT(D7,2))/Parameters!$B$28+VALUE(RIGHT(D7,2))/Parameters!$B$29,5)</f>
        <v>46244.4292</v>
      </c>
      <c r="Y7" s="2" t="str">
        <f>INDEX(Tests!$S$4:$S$31,MATCH(F7,Tests!$A$4:$A$31,0))</f>
        <v>No</v>
      </c>
      <c r="Z7" s="2"/>
    </row>
    <row r="8" spans="1:26" x14ac:dyDescent="0.2">
      <c r="A8" s="2" t="s">
        <v>278</v>
      </c>
      <c r="B8" s="2" t="s">
        <v>259</v>
      </c>
      <c r="C8" s="2" t="s">
        <v>134</v>
      </c>
      <c r="D8" s="2" t="s">
        <v>279</v>
      </c>
      <c r="E8" s="2" t="s">
        <v>280</v>
      </c>
      <c r="F8" s="2">
        <v>771342</v>
      </c>
      <c r="G8" s="2" t="s">
        <v>49</v>
      </c>
      <c r="H8" s="2" t="str">
        <f>IF(G8=Parameters!$B$13,Parameters!$B$3,Parameters!$C$3)</f>
        <v>M-4000</v>
      </c>
      <c r="I8" s="2" t="s">
        <v>133</v>
      </c>
      <c r="J8" s="2">
        <v>5.25</v>
      </c>
      <c r="K8" s="2">
        <v>5.9</v>
      </c>
      <c r="L8" s="2">
        <v>81</v>
      </c>
      <c r="M8" s="2" t="str">
        <f>IF(AND(J8&gt;=IF(H8=Parameters!$B$3,Parameters!$B$8,Parameters!$C$8),J8&lt;=IF(H8=Parameters!$B$3,Parameters!$B$9,Parameters!$C$9),K8&gt;=IF(H8=Parameters!$B$3,Parameters!$B$10,Parameters!$C$10),K8&lt;=IF(H8=Parameters!$B$3,Parameters!$B$11,Parameters!$C$11),L8&lt;=IF(H8=Parameters!$B$3,Parameters!$B$12,Parameters!$C$12)),"Within 2.4","Outside 2.4")</f>
        <v>Outside 2.4</v>
      </c>
      <c r="N8" s="2" t="s">
        <v>262</v>
      </c>
      <c r="O8" s="2" t="s">
        <v>263</v>
      </c>
      <c r="P8" s="2" t="s">
        <v>264</v>
      </c>
      <c r="Q8" s="2">
        <v>64</v>
      </c>
      <c r="R8" s="2">
        <v>78</v>
      </c>
      <c r="S8" s="2" t="s">
        <v>139</v>
      </c>
      <c r="T8" s="2" t="s">
        <v>281</v>
      </c>
      <c r="U8" s="7">
        <f>IF(P8="Standard",ROUND((DATE(VALUE(RIGHT(S8,4)),VALUE(LEFT(S8,2)),VALUE(MID(S8,4,2)))+VALUE(LEFT(T8,2))/Parameters!$B$28+VALUE(RIGHT(T8,2))/Parameters!$B$29-X8)*Parameters!$B$28,2),"")</f>
        <v>24.15</v>
      </c>
      <c r="V8" s="2" t="str">
        <f>IF(P8&lt;&gt;"Standard","",IF(OR(Q8&lt;Parameters!$B$24,R8&gt;Parameters!$B$25),"Initial curing temperature outside 60 to 80 F",IF(U8&gt;Parameters!$B$26,"Initial curing period over 48 hours","")))</f>
        <v/>
      </c>
      <c r="W8" s="2"/>
      <c r="X8" s="8">
        <f>ROUND(DATE(VALUE(RIGHT(C8,4)),VALUE(LEFT(C8,2)),VALUE(MID(C8,4,2)))+VALUE(LEFT(D8,2))/Parameters!$B$28+VALUE(RIGHT(D8,2))/Parameters!$B$29,5)</f>
        <v>46246.3181</v>
      </c>
      <c r="Y8" s="2" t="str">
        <f>INDEX(Tests!$S$4:$S$31,MATCH(F8,Tests!$A$4:$A$31,0))</f>
        <v>Yes</v>
      </c>
      <c r="Z8" s="2"/>
    </row>
    <row r="9" spans="1:26" x14ac:dyDescent="0.2">
      <c r="A9" s="2" t="s">
        <v>282</v>
      </c>
      <c r="B9" s="2" t="s">
        <v>259</v>
      </c>
      <c r="C9" s="2" t="s">
        <v>144</v>
      </c>
      <c r="D9" s="2" t="s">
        <v>283</v>
      </c>
      <c r="E9" s="2" t="s">
        <v>284</v>
      </c>
      <c r="F9" s="2">
        <v>771587</v>
      </c>
      <c r="G9" s="2" t="s">
        <v>49</v>
      </c>
      <c r="H9" s="2" t="str">
        <f>IF(G9=Parameters!$B$13,Parameters!$B$3,Parameters!$C$3)</f>
        <v>M-4000</v>
      </c>
      <c r="I9" s="2" t="s">
        <v>143</v>
      </c>
      <c r="J9" s="2">
        <v>4.75</v>
      </c>
      <c r="K9" s="2">
        <v>7.8</v>
      </c>
      <c r="L9" s="2">
        <v>80</v>
      </c>
      <c r="M9" s="2" t="str">
        <f>IF(AND(J9&gt;=IF(H9=Parameters!$B$3,Parameters!$B$8,Parameters!$C$8),J9&lt;=IF(H9=Parameters!$B$3,Parameters!$B$9,Parameters!$C$9),K9&gt;=IF(H9=Parameters!$B$3,Parameters!$B$10,Parameters!$C$10),K9&lt;=IF(H9=Parameters!$B$3,Parameters!$B$11,Parameters!$C$11),L9&lt;=IF(H9=Parameters!$B$3,Parameters!$B$12,Parameters!$C$12)),"Within 2.4","Outside 2.4")</f>
        <v>Outside 2.4</v>
      </c>
      <c r="N9" s="2" t="s">
        <v>262</v>
      </c>
      <c r="O9" s="2" t="s">
        <v>263</v>
      </c>
      <c r="P9" s="2" t="s">
        <v>264</v>
      </c>
      <c r="Q9" s="2">
        <v>63</v>
      </c>
      <c r="R9" s="2">
        <v>79</v>
      </c>
      <c r="S9" s="2" t="s">
        <v>154</v>
      </c>
      <c r="T9" s="2" t="s">
        <v>285</v>
      </c>
      <c r="U9" s="7">
        <f>IF(P9="Standard",ROUND((DATE(VALUE(RIGHT(S9,4)),VALUE(LEFT(S9,2)),VALUE(MID(S9,4,2)))+VALUE(LEFT(T9,2))/Parameters!$B$28+VALUE(RIGHT(T9,2))/Parameters!$B$29-X9)*Parameters!$B$28,2),"")</f>
        <v>74.4</v>
      </c>
      <c r="V9" s="2" t="str">
        <f>IF(P9&lt;&gt;"Standard","",IF(OR(Q9&lt;Parameters!$B$24,R9&gt;Parameters!$B$25),"Initial curing temperature outside 60 to 80 F",IF(U9&gt;Parameters!$B$26,"Initial curing period over 48 hours","")))</f>
        <v>Initial curing period over 48 hours</v>
      </c>
      <c r="W9" s="2"/>
      <c r="X9" s="8">
        <f>ROUND(DATE(VALUE(RIGHT(C9,4)),VALUE(LEFT(C9,2)),VALUE(MID(C9,4,2)))+VALUE(LEFT(D9,2))/Parameters!$B$28+VALUE(RIGHT(D9,2))/Parameters!$B$29,5)</f>
        <v>46248.3035</v>
      </c>
      <c r="Y9" s="2" t="str">
        <f>INDEX(Tests!$S$4:$S$31,MATCH(F9,Tests!$A$4:$A$31,0))</f>
        <v>Yes</v>
      </c>
      <c r="Z9" s="2"/>
    </row>
    <row r="10" spans="1:26" x14ac:dyDescent="0.2">
      <c r="A10" s="2" t="s">
        <v>286</v>
      </c>
      <c r="B10" s="2" t="s">
        <v>259</v>
      </c>
      <c r="C10" s="2" t="s">
        <v>144</v>
      </c>
      <c r="D10" s="2" t="s">
        <v>287</v>
      </c>
      <c r="E10" s="2" t="s">
        <v>284</v>
      </c>
      <c r="F10" s="2">
        <v>771604</v>
      </c>
      <c r="G10" s="2" t="s">
        <v>49</v>
      </c>
      <c r="H10" s="2" t="str">
        <f>IF(G10=Parameters!$B$13,Parameters!$B$3,Parameters!$C$3)</f>
        <v>M-4000</v>
      </c>
      <c r="I10" s="2" t="s">
        <v>143</v>
      </c>
      <c r="J10" s="2">
        <v>4.5</v>
      </c>
      <c r="K10" s="2">
        <v>6.6</v>
      </c>
      <c r="L10" s="2">
        <v>82</v>
      </c>
      <c r="M10" s="2" t="str">
        <f>IF(AND(J10&gt;=IF(H10=Parameters!$B$3,Parameters!$B$8,Parameters!$C$8),J10&lt;=IF(H10=Parameters!$B$3,Parameters!$B$9,Parameters!$C$9),K10&gt;=IF(H10=Parameters!$B$3,Parameters!$B$10,Parameters!$C$10),K10&lt;=IF(H10=Parameters!$B$3,Parameters!$B$11,Parameters!$C$11),L10&lt;=IF(H10=Parameters!$B$3,Parameters!$B$12,Parameters!$C$12)),"Within 2.4","Outside 2.4")</f>
        <v>Within 2.4</v>
      </c>
      <c r="N10" s="2" t="s">
        <v>262</v>
      </c>
      <c r="O10" s="2" t="s">
        <v>288</v>
      </c>
      <c r="P10" s="2" t="s">
        <v>289</v>
      </c>
      <c r="Q10" s="2"/>
      <c r="R10" s="2"/>
      <c r="S10" s="2" t="s">
        <v>230</v>
      </c>
      <c r="T10" s="2" t="s">
        <v>290</v>
      </c>
      <c r="U10" s="7" t="str">
        <f>IF(P10="Standard",ROUND((DATE(VALUE(RIGHT(S10,4)),VALUE(LEFT(S10,2)),VALUE(MID(S10,4,2)))+VALUE(LEFT(T10,2))/Parameters!$B$28+VALUE(RIGHT(T10,2))/Parameters!$B$29-X10)*Parameters!$B$28,2),"")</f>
        <v/>
      </c>
      <c r="V10" s="2" t="str">
        <f>IF(P10&lt;&gt;"Standard","",IF(OR(Q10&lt;Parameters!$B$24,R10&gt;Parameters!$B$25),"Initial curing temperature outside 60 to 80 F",IF(U10&gt;Parameters!$B$26,"Initial curing period over 48 hours","")))</f>
        <v/>
      </c>
      <c r="W10" s="2"/>
      <c r="X10" s="8">
        <f>ROUND(DATE(VALUE(RIGHT(C10,4)),VALUE(LEFT(C10,2)),VALUE(MID(C10,4,2)))+VALUE(LEFT(D10,2))/Parameters!$B$28+VALUE(RIGHT(D10,2))/Parameters!$B$29,5)</f>
        <v>46248.4083</v>
      </c>
      <c r="Y10" s="2" t="str">
        <f>INDEX(Tests!$S$4:$S$31,MATCH(F10,Tests!$A$4:$A$31,0))</f>
        <v>No</v>
      </c>
      <c r="Z10" s="2"/>
    </row>
    <row r="11" spans="1:26" x14ac:dyDescent="0.2">
      <c r="A11" s="2" t="s">
        <v>291</v>
      </c>
      <c r="B11" s="2" t="s">
        <v>259</v>
      </c>
      <c r="C11" s="2" t="s">
        <v>149</v>
      </c>
      <c r="D11" s="2" t="s">
        <v>292</v>
      </c>
      <c r="E11" s="2" t="s">
        <v>293</v>
      </c>
      <c r="F11" s="2">
        <v>771688</v>
      </c>
      <c r="G11" s="2" t="s">
        <v>49</v>
      </c>
      <c r="H11" s="2" t="str">
        <f>IF(G11=Parameters!$B$13,Parameters!$B$3,Parameters!$C$3)</f>
        <v>M-4000</v>
      </c>
      <c r="I11" s="2" t="s">
        <v>148</v>
      </c>
      <c r="J11" s="2">
        <v>4</v>
      </c>
      <c r="K11" s="2">
        <v>6.1</v>
      </c>
      <c r="L11" s="2">
        <v>69</v>
      </c>
      <c r="M11" s="2" t="str">
        <f>IF(AND(J11&gt;=IF(H11=Parameters!$B$3,Parameters!$B$8,Parameters!$C$8),J11&lt;=IF(H11=Parameters!$B$3,Parameters!$B$9,Parameters!$C$9),K11&gt;=IF(H11=Parameters!$B$3,Parameters!$B$10,Parameters!$C$10),K11&lt;=IF(H11=Parameters!$B$3,Parameters!$B$11,Parameters!$C$11),L11&lt;=IF(H11=Parameters!$B$3,Parameters!$B$12,Parameters!$C$12)),"Within 2.4","Outside 2.4")</f>
        <v>Within 2.4</v>
      </c>
      <c r="N11" s="2" t="s">
        <v>262</v>
      </c>
      <c r="O11" s="2" t="s">
        <v>294</v>
      </c>
      <c r="P11" s="2" t="s">
        <v>264</v>
      </c>
      <c r="Q11" s="2">
        <v>62</v>
      </c>
      <c r="R11" s="2">
        <v>75</v>
      </c>
      <c r="S11" s="2" t="s">
        <v>295</v>
      </c>
      <c r="T11" s="2" t="s">
        <v>296</v>
      </c>
      <c r="U11" s="7">
        <f>IF(P11="Standard",ROUND((DATE(VALUE(RIGHT(S11,4)),VALUE(LEFT(S11,2)),VALUE(MID(S11,4,2)))+VALUE(LEFT(T11,2))/Parameters!$B$28+VALUE(RIGHT(T11,2))/Parameters!$B$29-X11)*Parameters!$B$28,2),"")</f>
        <v>24.88</v>
      </c>
      <c r="V11" s="2" t="str">
        <f>IF(P11&lt;&gt;"Standard","",IF(OR(Q11&lt;Parameters!$B$24,R11&gt;Parameters!$B$25),"Initial curing temperature outside 60 to 80 F",IF(U11&gt;Parameters!$B$26,"Initial curing period over 48 hours","")))</f>
        <v/>
      </c>
      <c r="W11" s="2"/>
      <c r="X11" s="8">
        <f>ROUND(DATE(VALUE(RIGHT(C11,4)),VALUE(LEFT(C11,2)),VALUE(MID(C11,4,2)))+VALUE(LEFT(D11,2))/Parameters!$B$28+VALUE(RIGHT(D11,2))/Parameters!$B$29,5)</f>
        <v>46249.2799</v>
      </c>
      <c r="Y11" s="2" t="str">
        <f>INDEX(Tests!$S$4:$S$31,MATCH(F11,Tests!$A$4:$A$31,0))</f>
        <v>Yes</v>
      </c>
      <c r="Z11" s="2"/>
    </row>
    <row r="12" spans="1:26" x14ac:dyDescent="0.2">
      <c r="A12" s="2" t="s">
        <v>297</v>
      </c>
      <c r="B12" s="2" t="s">
        <v>259</v>
      </c>
      <c r="C12" s="2" t="s">
        <v>154</v>
      </c>
      <c r="D12" s="2" t="s">
        <v>298</v>
      </c>
      <c r="E12" s="2" t="s">
        <v>299</v>
      </c>
      <c r="F12" s="2">
        <v>771842</v>
      </c>
      <c r="G12" s="2" t="s">
        <v>49</v>
      </c>
      <c r="H12" s="2" t="str">
        <f>IF(G12=Parameters!$B$13,Parameters!$B$3,Parameters!$C$3)</f>
        <v>M-4000</v>
      </c>
      <c r="I12" s="2" t="s">
        <v>153</v>
      </c>
      <c r="J12" s="2">
        <v>4.25</v>
      </c>
      <c r="K12" s="2">
        <v>7.5</v>
      </c>
      <c r="L12" s="2">
        <v>75</v>
      </c>
      <c r="M12" s="2" t="str">
        <f>IF(AND(J12&gt;=IF(H12=Parameters!$B$3,Parameters!$B$8,Parameters!$C$8),J12&lt;=IF(H12=Parameters!$B$3,Parameters!$B$9,Parameters!$C$9),K12&gt;=IF(H12=Parameters!$B$3,Parameters!$B$10,Parameters!$C$10),K12&lt;=IF(H12=Parameters!$B$3,Parameters!$B$11,Parameters!$C$11),L12&lt;=IF(H12=Parameters!$B$3,Parameters!$B$12,Parameters!$C$12)),"Within 2.4","Outside 2.4")</f>
        <v>Within 2.4</v>
      </c>
      <c r="N12" s="2" t="s">
        <v>262</v>
      </c>
      <c r="O12" s="2" t="s">
        <v>263</v>
      </c>
      <c r="P12" s="2" t="s">
        <v>264</v>
      </c>
      <c r="Q12" s="2">
        <v>63</v>
      </c>
      <c r="R12" s="2">
        <v>77</v>
      </c>
      <c r="S12" s="2" t="s">
        <v>164</v>
      </c>
      <c r="T12" s="2" t="s">
        <v>300</v>
      </c>
      <c r="U12" s="7">
        <f>IF(P12="Standard",ROUND((DATE(VALUE(RIGHT(S12,4)),VALUE(LEFT(S12,2)),VALUE(MID(S12,4,2)))+VALUE(LEFT(T12,2))/Parameters!$B$28+VALUE(RIGHT(T12,2))/Parameters!$B$29-X12)*Parameters!$B$28,2),"")</f>
        <v>47.75</v>
      </c>
      <c r="V12" s="2" t="str">
        <f>IF(P12&lt;&gt;"Standard","",IF(OR(Q12&lt;Parameters!$B$24,R12&gt;Parameters!$B$25),"Initial curing temperature outside 60 to 80 F",IF(U12&gt;Parameters!$B$26,"Initial curing period over 48 hours","")))</f>
        <v/>
      </c>
      <c r="W12" s="2"/>
      <c r="X12" s="8">
        <f>ROUND(DATE(VALUE(RIGHT(C12,4)),VALUE(LEFT(C12,2)),VALUE(MID(C12,4,2)))+VALUE(LEFT(D12,2))/Parameters!$B$28+VALUE(RIGHT(D12,2))/Parameters!$B$29,5)</f>
        <v>46251.3375</v>
      </c>
      <c r="Y12" s="2" t="str">
        <f>INDEX(Tests!$S$4:$S$31,MATCH(F12,Tests!$A$4:$A$31,0))</f>
        <v>Yes</v>
      </c>
      <c r="Z12" s="2"/>
    </row>
    <row r="13" spans="1:26" x14ac:dyDescent="0.2">
      <c r="A13" s="2" t="s">
        <v>301</v>
      </c>
      <c r="B13" s="2" t="s">
        <v>259</v>
      </c>
      <c r="C13" s="2" t="s">
        <v>164</v>
      </c>
      <c r="D13" s="2" t="s">
        <v>302</v>
      </c>
      <c r="E13" s="2" t="s">
        <v>303</v>
      </c>
      <c r="F13" s="2">
        <v>772071</v>
      </c>
      <c r="G13" s="2" t="s">
        <v>49</v>
      </c>
      <c r="H13" s="2" t="str">
        <f>IF(G13=Parameters!$B$13,Parameters!$B$3,Parameters!$C$3)</f>
        <v>M-4000</v>
      </c>
      <c r="I13" s="2" t="s">
        <v>163</v>
      </c>
      <c r="J13" s="2">
        <v>4.5</v>
      </c>
      <c r="K13" s="2">
        <v>5.6</v>
      </c>
      <c r="L13" s="2">
        <v>73</v>
      </c>
      <c r="M13" s="2" t="str">
        <f>IF(AND(J13&gt;=IF(H13=Parameters!$B$3,Parameters!$B$8,Parameters!$C$8),J13&lt;=IF(H13=Parameters!$B$3,Parameters!$B$9,Parameters!$C$9),K13&gt;=IF(H13=Parameters!$B$3,Parameters!$B$10,Parameters!$C$10),K13&lt;=IF(H13=Parameters!$B$3,Parameters!$B$11,Parameters!$C$11),L13&lt;=IF(H13=Parameters!$B$3,Parameters!$B$12,Parameters!$C$12)),"Within 2.4","Outside 2.4")</f>
        <v>Within 2.4</v>
      </c>
      <c r="N13" s="2" t="s">
        <v>262</v>
      </c>
      <c r="O13" s="2" t="s">
        <v>263</v>
      </c>
      <c r="P13" s="2" t="s">
        <v>264</v>
      </c>
      <c r="Q13" s="2">
        <v>62</v>
      </c>
      <c r="R13" s="2">
        <v>74</v>
      </c>
      <c r="S13" s="2" t="s">
        <v>169</v>
      </c>
      <c r="T13" s="2" t="s">
        <v>304</v>
      </c>
      <c r="U13" s="7">
        <f>IF(P13="Standard",ROUND((DATE(VALUE(RIGHT(S13,4)),VALUE(LEFT(S13,2)),VALUE(MID(S13,4,2)))+VALUE(LEFT(T13,2))/Parameters!$B$28+VALUE(RIGHT(T13,2))/Parameters!$B$29-X13)*Parameters!$B$28,2),"")</f>
        <v>22.95</v>
      </c>
      <c r="V13" s="2" t="str">
        <f>IF(P13&lt;&gt;"Standard","",IF(OR(Q13&lt;Parameters!$B$24,R13&gt;Parameters!$B$25),"Initial curing temperature outside 60 to 80 F",IF(U13&gt;Parameters!$B$26,"Initial curing period over 48 hours","")))</f>
        <v/>
      </c>
      <c r="W13" s="2"/>
      <c r="X13" s="8">
        <f>ROUND(DATE(VALUE(RIGHT(C13,4)),VALUE(LEFT(C13,2)),VALUE(MID(C13,4,2)))+VALUE(LEFT(D13,2))/Parameters!$B$28+VALUE(RIGHT(D13,2))/Parameters!$B$29,5)</f>
        <v>46253.34792</v>
      </c>
      <c r="Y13" s="2" t="str">
        <f>INDEX(Tests!$S$4:$S$31,MATCH(F13,Tests!$A$4:$A$31,0))</f>
        <v>Yes</v>
      </c>
      <c r="Z13" s="2"/>
    </row>
    <row r="14" spans="1:26" x14ac:dyDescent="0.2">
      <c r="A14" s="2" t="s">
        <v>305</v>
      </c>
      <c r="B14" s="2" t="s">
        <v>259</v>
      </c>
      <c r="C14" s="2" t="s">
        <v>173</v>
      </c>
      <c r="D14" s="2" t="s">
        <v>306</v>
      </c>
      <c r="E14" s="2" t="s">
        <v>307</v>
      </c>
      <c r="F14" s="2">
        <v>772316</v>
      </c>
      <c r="G14" s="2" t="s">
        <v>49</v>
      </c>
      <c r="H14" s="2" t="str">
        <f>IF(G14=Parameters!$B$13,Parameters!$B$3,Parameters!$C$3)</f>
        <v>M-4000</v>
      </c>
      <c r="I14" s="2" t="s">
        <v>172</v>
      </c>
      <c r="J14" s="2">
        <v>4</v>
      </c>
      <c r="K14" s="2">
        <v>6</v>
      </c>
      <c r="L14" s="2">
        <v>72</v>
      </c>
      <c r="M14" s="2" t="str">
        <f>IF(AND(J14&gt;=IF(H14=Parameters!$B$3,Parameters!$B$8,Parameters!$C$8),J14&lt;=IF(H14=Parameters!$B$3,Parameters!$B$9,Parameters!$C$9),K14&gt;=IF(H14=Parameters!$B$3,Parameters!$B$10,Parameters!$C$10),K14&lt;=IF(H14=Parameters!$B$3,Parameters!$B$11,Parameters!$C$11),L14&lt;=IF(H14=Parameters!$B$3,Parameters!$B$12,Parameters!$C$12)),"Within 2.4","Outside 2.4")</f>
        <v>Within 2.4</v>
      </c>
      <c r="N14" s="2" t="s">
        <v>308</v>
      </c>
      <c r="O14" s="2" t="s">
        <v>294</v>
      </c>
      <c r="P14" s="2" t="s">
        <v>264</v>
      </c>
      <c r="Q14" s="2">
        <v>61</v>
      </c>
      <c r="R14" s="2">
        <v>73</v>
      </c>
      <c r="S14" s="2" t="s">
        <v>309</v>
      </c>
      <c r="T14" s="2" t="s">
        <v>310</v>
      </c>
      <c r="U14" s="7">
        <f>IF(P14="Standard",ROUND((DATE(VALUE(RIGHT(S14,4)),VALUE(LEFT(S14,2)),VALUE(MID(S14,4,2)))+VALUE(LEFT(T14,2))/Parameters!$B$28+VALUE(RIGHT(T14,2))/Parameters!$B$29-X14)*Parameters!$B$28,2),"")</f>
        <v>23.05</v>
      </c>
      <c r="V14" s="2" t="str">
        <f>IF(P14&lt;&gt;"Standard","",IF(OR(Q14&lt;Parameters!$B$24,R14&gt;Parameters!$B$25),"Initial curing temperature outside 60 to 80 F",IF(U14&gt;Parameters!$B$26,"Initial curing period over 48 hours","")))</f>
        <v/>
      </c>
      <c r="W14" s="2"/>
      <c r="X14" s="8">
        <f>ROUND(DATE(VALUE(RIGHT(C14,4)),VALUE(LEFT(C14,2)),VALUE(MID(C14,4,2)))+VALUE(LEFT(D14,2))/Parameters!$B$28+VALUE(RIGHT(D14,2))/Parameters!$B$29,5)</f>
        <v>46255.384</v>
      </c>
      <c r="Y14" s="2" t="str">
        <f>INDEX(Tests!$S$4:$S$31,MATCH(F14,Tests!$A$4:$A$31,0))</f>
        <v>No</v>
      </c>
      <c r="Z14" s="2"/>
    </row>
    <row r="15" spans="1:26" x14ac:dyDescent="0.2">
      <c r="A15" s="2" t="s">
        <v>311</v>
      </c>
      <c r="B15" s="2" t="s">
        <v>259</v>
      </c>
      <c r="C15" s="2" t="s">
        <v>178</v>
      </c>
      <c r="D15" s="2" t="s">
        <v>312</v>
      </c>
      <c r="E15" s="2" t="s">
        <v>313</v>
      </c>
      <c r="F15" s="2">
        <v>772569</v>
      </c>
      <c r="G15" s="2" t="s">
        <v>49</v>
      </c>
      <c r="H15" s="2" t="str">
        <f>IF(G15=Parameters!$B$13,Parameters!$B$3,Parameters!$C$3)</f>
        <v>M-4000</v>
      </c>
      <c r="I15" s="2" t="s">
        <v>177</v>
      </c>
      <c r="J15" s="2">
        <v>4.5</v>
      </c>
      <c r="K15" s="2">
        <v>6.3</v>
      </c>
      <c r="L15" s="2">
        <v>79</v>
      </c>
      <c r="M15" s="2" t="str">
        <f>IF(AND(J15&gt;=IF(H15=Parameters!$B$3,Parameters!$B$8,Parameters!$C$8),J15&lt;=IF(H15=Parameters!$B$3,Parameters!$B$9,Parameters!$C$9),K15&gt;=IF(H15=Parameters!$B$3,Parameters!$B$10,Parameters!$C$10),K15&lt;=IF(H15=Parameters!$B$3,Parameters!$B$11,Parameters!$C$11),L15&lt;=IF(H15=Parameters!$B$3,Parameters!$B$12,Parameters!$C$12)),"Within 2.4","Outside 2.4")</f>
        <v>Within 2.4</v>
      </c>
      <c r="N15" s="2" t="s">
        <v>262</v>
      </c>
      <c r="O15" s="2" t="s">
        <v>263</v>
      </c>
      <c r="P15" s="2" t="s">
        <v>264</v>
      </c>
      <c r="Q15" s="2">
        <v>63</v>
      </c>
      <c r="R15" s="2">
        <v>80</v>
      </c>
      <c r="S15" s="2" t="s">
        <v>314</v>
      </c>
      <c r="T15" s="2" t="s">
        <v>315</v>
      </c>
      <c r="U15" s="7">
        <f>IF(P15="Standard",ROUND((DATE(VALUE(RIGHT(S15,4)),VALUE(LEFT(S15,2)),VALUE(MID(S15,4,2)))+VALUE(LEFT(T15,2))/Parameters!$B$28+VALUE(RIGHT(T15,2))/Parameters!$B$29-X15)*Parameters!$B$28,2),"")</f>
        <v>17.75</v>
      </c>
      <c r="V15" s="2" t="str">
        <f>IF(P15&lt;&gt;"Standard","",IF(OR(Q15&lt;Parameters!$B$24,R15&gt;Parameters!$B$25),"Initial curing temperature outside 60 to 80 F",IF(U15&gt;Parameters!$B$26,"Initial curing period over 48 hours","")))</f>
        <v/>
      </c>
      <c r="W15" s="2"/>
      <c r="X15" s="8">
        <f>ROUND(DATE(VALUE(RIGHT(C15,4)),VALUE(LEFT(C15,2)),VALUE(MID(C15,4,2)))+VALUE(LEFT(D15,2))/Parameters!$B$28+VALUE(RIGHT(D15,2))/Parameters!$B$29,5)</f>
        <v>46258.5722</v>
      </c>
      <c r="Y15" s="2" t="str">
        <f>INDEX(Tests!$S$4:$S$31,MATCH(F15,Tests!$A$4:$A$31,0))</f>
        <v>Yes</v>
      </c>
      <c r="Z15" s="2"/>
    </row>
    <row r="16" spans="1:26" x14ac:dyDescent="0.2">
      <c r="A16" s="2" t="s">
        <v>316</v>
      </c>
      <c r="B16" s="2" t="s">
        <v>259</v>
      </c>
      <c r="C16" s="2" t="s">
        <v>186</v>
      </c>
      <c r="D16" s="2" t="s">
        <v>317</v>
      </c>
      <c r="E16" s="2" t="s">
        <v>318</v>
      </c>
      <c r="F16" s="2">
        <v>772784</v>
      </c>
      <c r="G16" s="2" t="s">
        <v>49</v>
      </c>
      <c r="H16" s="2" t="str">
        <f>IF(G16=Parameters!$B$13,Parameters!$B$3,Parameters!$C$3)</f>
        <v>M-4000</v>
      </c>
      <c r="I16" s="2" t="s">
        <v>185</v>
      </c>
      <c r="J16" s="2">
        <v>3.75</v>
      </c>
      <c r="K16" s="2">
        <v>5.7</v>
      </c>
      <c r="L16" s="2">
        <v>71</v>
      </c>
      <c r="M16" s="2" t="str">
        <f>IF(AND(J16&gt;=IF(H16=Parameters!$B$3,Parameters!$B$8,Parameters!$C$8),J16&lt;=IF(H16=Parameters!$B$3,Parameters!$B$9,Parameters!$C$9),K16&gt;=IF(H16=Parameters!$B$3,Parameters!$B$10,Parameters!$C$10),K16&lt;=IF(H16=Parameters!$B$3,Parameters!$B$11,Parameters!$C$11),L16&lt;=IF(H16=Parameters!$B$3,Parameters!$B$12,Parameters!$C$12)),"Within 2.4","Outside 2.4")</f>
        <v>Within 2.4</v>
      </c>
      <c r="N16" s="2" t="s">
        <v>262</v>
      </c>
      <c r="O16" s="2" t="s">
        <v>294</v>
      </c>
      <c r="P16" s="2" t="s">
        <v>264</v>
      </c>
      <c r="Q16" s="2">
        <v>66</v>
      </c>
      <c r="R16" s="2">
        <v>91</v>
      </c>
      <c r="S16" s="2" t="s">
        <v>194</v>
      </c>
      <c r="T16" s="2" t="s">
        <v>319</v>
      </c>
      <c r="U16" s="7">
        <f>IF(P16="Standard",ROUND((DATE(VALUE(RIGHT(S16,4)),VALUE(LEFT(S16,2)),VALUE(MID(S16,4,2)))+VALUE(LEFT(T16,2))/Parameters!$B$28+VALUE(RIGHT(T16,2))/Parameters!$B$29-X16)*Parameters!$B$28,2),"")</f>
        <v>33.05</v>
      </c>
      <c r="V16" s="2" t="str">
        <f>IF(P16&lt;&gt;"Standard","",IF(OR(Q16&lt;Parameters!$B$24,R16&gt;Parameters!$B$25),"Initial curing temperature outside 60 to 80 F",IF(U16&gt;Parameters!$B$26,"Initial curing period over 48 hours","")))</f>
        <v>Initial curing temperature outside 60 to 80 F</v>
      </c>
      <c r="W16" s="2" t="s">
        <v>320</v>
      </c>
      <c r="X16" s="8">
        <f>ROUND(DATE(VALUE(RIGHT(C16,4)),VALUE(LEFT(C16,2)),VALUE(MID(C16,4,2)))+VALUE(LEFT(D16,2))/Parameters!$B$28+VALUE(RIGHT(D16,2))/Parameters!$B$29,5)</f>
        <v>46260.3049</v>
      </c>
      <c r="Y16" s="2" t="str">
        <f>INDEX(Tests!$S$4:$S$31,MATCH(F16,Tests!$A$4:$A$31,0))</f>
        <v>No</v>
      </c>
      <c r="Z16" s="2"/>
    </row>
    <row r="17" spans="1:26" x14ac:dyDescent="0.2">
      <c r="A17" s="2" t="s">
        <v>321</v>
      </c>
      <c r="B17" s="2" t="s">
        <v>259</v>
      </c>
      <c r="C17" s="2" t="s">
        <v>199</v>
      </c>
      <c r="D17" s="2" t="s">
        <v>322</v>
      </c>
      <c r="E17" s="2" t="s">
        <v>323</v>
      </c>
      <c r="F17" s="2">
        <v>773127</v>
      </c>
      <c r="G17" s="2" t="s">
        <v>49</v>
      </c>
      <c r="H17" s="2" t="str">
        <f>IF(G17=Parameters!$B$13,Parameters!$B$3,Parameters!$C$3)</f>
        <v>M-4000</v>
      </c>
      <c r="I17" s="2" t="s">
        <v>198</v>
      </c>
      <c r="J17" s="2">
        <v>4.25</v>
      </c>
      <c r="K17" s="2">
        <v>6.5</v>
      </c>
      <c r="L17" s="2">
        <v>90</v>
      </c>
      <c r="M17" s="2" t="str">
        <f>IF(AND(J17&gt;=IF(H17=Parameters!$B$3,Parameters!$B$8,Parameters!$C$8),J17&lt;=IF(H17=Parameters!$B$3,Parameters!$B$9,Parameters!$C$9),K17&gt;=IF(H17=Parameters!$B$3,Parameters!$B$10,Parameters!$C$10),K17&lt;=IF(H17=Parameters!$B$3,Parameters!$B$11,Parameters!$C$11),L17&lt;=IF(H17=Parameters!$B$3,Parameters!$B$12,Parameters!$C$12)),"Within 2.4","Outside 2.4")</f>
        <v>Within 2.4</v>
      </c>
      <c r="N17" s="2" t="s">
        <v>262</v>
      </c>
      <c r="O17" s="2" t="s">
        <v>263</v>
      </c>
      <c r="P17" s="2" t="s">
        <v>264</v>
      </c>
      <c r="Q17" s="2">
        <v>66</v>
      </c>
      <c r="R17" s="2">
        <v>79</v>
      </c>
      <c r="S17" s="2" t="s">
        <v>204</v>
      </c>
      <c r="T17" s="2" t="s">
        <v>324</v>
      </c>
      <c r="U17" s="7">
        <f>IF(P17="Standard",ROUND((DATE(VALUE(RIGHT(S17,4)),VALUE(LEFT(S17,2)),VALUE(MID(S17,4,2)))+VALUE(LEFT(T17,2))/Parameters!$B$28+VALUE(RIGHT(T17,2))/Parameters!$B$29-X17)*Parameters!$B$28,2),"")</f>
        <v>43.02</v>
      </c>
      <c r="V17" s="2" t="str">
        <f>IF(P17&lt;&gt;"Standard","",IF(OR(Q17&lt;Parameters!$B$24,R17&gt;Parameters!$B$25),"Initial curing temperature outside 60 to 80 F",IF(U17&gt;Parameters!$B$26,"Initial curing period over 48 hours","")))</f>
        <v/>
      </c>
      <c r="W17" s="2"/>
      <c r="X17" s="8">
        <f>ROUND(DATE(VALUE(RIGHT(C17,4)),VALUE(LEFT(C17,2)),VALUE(MID(C17,4,2)))+VALUE(LEFT(D17,2))/Parameters!$B$28+VALUE(RIGHT(D17,2))/Parameters!$B$29,5)</f>
        <v>46263.4806</v>
      </c>
      <c r="Y17" s="2" t="str">
        <f>INDEX(Tests!$S$4:$S$31,MATCH(F17,Tests!$A$4:$A$31,0))</f>
        <v>No</v>
      </c>
      <c r="Z17" s="2" t="s">
        <v>325</v>
      </c>
    </row>
    <row r="18" spans="1:26" x14ac:dyDescent="0.2">
      <c r="A18" s="2" t="s">
        <v>326</v>
      </c>
      <c r="B18" s="2" t="s">
        <v>259</v>
      </c>
      <c r="C18" s="2" t="s">
        <v>204</v>
      </c>
      <c r="D18" s="2" t="s">
        <v>327</v>
      </c>
      <c r="E18" s="2" t="s">
        <v>328</v>
      </c>
      <c r="F18" s="2">
        <v>773295</v>
      </c>
      <c r="G18" s="2" t="s">
        <v>49</v>
      </c>
      <c r="H18" s="2" t="str">
        <f>IF(G18=Parameters!$B$13,Parameters!$B$3,Parameters!$C$3)</f>
        <v>M-4000</v>
      </c>
      <c r="I18" s="2" t="s">
        <v>203</v>
      </c>
      <c r="J18" s="2">
        <v>4.5</v>
      </c>
      <c r="K18" s="2">
        <v>6</v>
      </c>
      <c r="L18" s="2">
        <v>77</v>
      </c>
      <c r="M18" s="2" t="str">
        <f>IF(AND(J18&gt;=IF(H18=Parameters!$B$3,Parameters!$B$8,Parameters!$C$8),J18&lt;=IF(H18=Parameters!$B$3,Parameters!$B$9,Parameters!$C$9),K18&gt;=IF(H18=Parameters!$B$3,Parameters!$B$10,Parameters!$C$10),K18&lt;=IF(H18=Parameters!$B$3,Parameters!$B$11,Parameters!$C$11),L18&lt;=IF(H18=Parameters!$B$3,Parameters!$B$12,Parameters!$C$12)),"Within 2.4","Outside 2.4")</f>
        <v>Within 2.4</v>
      </c>
      <c r="N18" s="2" t="s">
        <v>262</v>
      </c>
      <c r="O18" s="2" t="s">
        <v>263</v>
      </c>
      <c r="P18" s="2" t="s">
        <v>264</v>
      </c>
      <c r="Q18" s="2">
        <v>64</v>
      </c>
      <c r="R18" s="2">
        <v>78</v>
      </c>
      <c r="S18" s="2" t="s">
        <v>329</v>
      </c>
      <c r="T18" s="2" t="s">
        <v>330</v>
      </c>
      <c r="U18" s="7">
        <f>IF(P18="Standard",ROUND((DATE(VALUE(RIGHT(S18,4)),VALUE(LEFT(S18,2)),VALUE(MID(S18,4,2)))+VALUE(LEFT(T18,2))/Parameters!$B$28+VALUE(RIGHT(T18,2))/Parameters!$B$29-X18)*Parameters!$B$28,2),"")</f>
        <v>19.87</v>
      </c>
      <c r="V18" s="2" t="str">
        <f>IF(P18&lt;&gt;"Standard","",IF(OR(Q18&lt;Parameters!$B$24,R18&gt;Parameters!$B$25),"Initial curing temperature outside 60 to 80 F",IF(U18&gt;Parameters!$B$26,"Initial curing period over 48 hours","")))</f>
        <v/>
      </c>
      <c r="W18" s="2"/>
      <c r="X18" s="8">
        <f>ROUND(DATE(VALUE(RIGHT(C18,4)),VALUE(LEFT(C18,2)),VALUE(MID(C18,4,2)))+VALUE(LEFT(D18,2))/Parameters!$B$28+VALUE(RIGHT(D18,2))/Parameters!$B$29,5)</f>
        <v>46265.4736</v>
      </c>
      <c r="Y18" s="2" t="str">
        <f>INDEX(Tests!$S$4:$S$31,MATCH(F18,Tests!$A$4:$A$31,0))</f>
        <v>Yes</v>
      </c>
      <c r="Z18" s="2"/>
    </row>
    <row r="19" spans="1:26" x14ac:dyDescent="0.2">
      <c r="A19" s="2" t="s">
        <v>331</v>
      </c>
      <c r="B19" s="2" t="s">
        <v>259</v>
      </c>
      <c r="C19" s="2" t="s">
        <v>219</v>
      </c>
      <c r="D19" s="2" t="s">
        <v>332</v>
      </c>
      <c r="E19" s="2" t="s">
        <v>333</v>
      </c>
      <c r="F19" s="2">
        <v>773902</v>
      </c>
      <c r="G19" s="2" t="s">
        <v>49</v>
      </c>
      <c r="H19" s="2" t="str">
        <f>IF(G19=Parameters!$B$13,Parameters!$B$3,Parameters!$C$3)</f>
        <v>M-4000</v>
      </c>
      <c r="I19" s="2" t="s">
        <v>218</v>
      </c>
      <c r="J19" s="2">
        <v>3.5</v>
      </c>
      <c r="K19" s="2">
        <v>5.5</v>
      </c>
      <c r="L19" s="2">
        <v>64</v>
      </c>
      <c r="M19" s="2" t="str">
        <f>IF(AND(J19&gt;=IF(H19=Parameters!$B$3,Parameters!$B$8,Parameters!$C$8),J19&lt;=IF(H19=Parameters!$B$3,Parameters!$B$9,Parameters!$C$9),K19&gt;=IF(H19=Parameters!$B$3,Parameters!$B$10,Parameters!$C$10),K19&lt;=IF(H19=Parameters!$B$3,Parameters!$B$11,Parameters!$C$11),L19&lt;=IF(H19=Parameters!$B$3,Parameters!$B$12,Parameters!$C$12)),"Within 2.4","Outside 2.4")</f>
        <v>Within 2.4</v>
      </c>
      <c r="N19" s="2" t="s">
        <v>262</v>
      </c>
      <c r="O19" s="2" t="s">
        <v>294</v>
      </c>
      <c r="P19" s="2" t="s">
        <v>264</v>
      </c>
      <c r="Q19" s="2">
        <v>57</v>
      </c>
      <c r="R19" s="2">
        <v>74</v>
      </c>
      <c r="S19" s="2" t="s">
        <v>334</v>
      </c>
      <c r="T19" s="2" t="s">
        <v>335</v>
      </c>
      <c r="U19" s="7">
        <f>IF(P19="Standard",ROUND((DATE(VALUE(RIGHT(S19,4)),VALUE(LEFT(S19,2)),VALUE(MID(S19,4,2)))+VALUE(LEFT(T19,2))/Parameters!$B$28+VALUE(RIGHT(T19,2))/Parameters!$B$29-X19)*Parameters!$B$28,2),"")</f>
        <v>23.18</v>
      </c>
      <c r="V19" s="2" t="str">
        <f>IF(P19&lt;&gt;"Standard","",IF(OR(Q19&lt;Parameters!$B$24,R19&gt;Parameters!$B$25),"Initial curing temperature outside 60 to 80 F",IF(U19&gt;Parameters!$B$26,"Initial curing period over 48 hours","")))</f>
        <v>Initial curing temperature outside 60 to 80 F</v>
      </c>
      <c r="W19" s="2"/>
      <c r="X19" s="8">
        <f>ROUND(DATE(VALUE(RIGHT(C19,4)),VALUE(LEFT(C19,2)),VALUE(MID(C19,4,2)))+VALUE(LEFT(D19,2))/Parameters!$B$28+VALUE(RIGHT(D19,2))/Parameters!$B$29,5)</f>
        <v>46273.3549</v>
      </c>
      <c r="Y19" s="2" t="str">
        <f>INDEX(Tests!$S$4:$S$31,MATCH(F19,Tests!$A$4:$A$31,0))</f>
        <v>Yes</v>
      </c>
      <c r="Z19" s="2"/>
    </row>
    <row r="20" spans="1:26" x14ac:dyDescent="0.2">
      <c r="A20" s="2" t="s">
        <v>336</v>
      </c>
      <c r="B20" s="2" t="s">
        <v>337</v>
      </c>
      <c r="C20" s="2" t="s">
        <v>124</v>
      </c>
      <c r="D20" s="2" t="s">
        <v>338</v>
      </c>
      <c r="E20" s="2" t="s">
        <v>339</v>
      </c>
      <c r="F20" s="2">
        <v>770812</v>
      </c>
      <c r="G20" s="2" t="s">
        <v>50</v>
      </c>
      <c r="H20" s="2" t="str">
        <f>IF(G20=Parameters!$B$13,Parameters!$B$3,Parameters!$C$3)</f>
        <v>M-6000</v>
      </c>
      <c r="I20" s="2" t="s">
        <v>123</v>
      </c>
      <c r="J20" s="2">
        <v>6</v>
      </c>
      <c r="K20" s="2">
        <v>3.1</v>
      </c>
      <c r="L20" s="2">
        <v>78</v>
      </c>
      <c r="M20" s="2" t="str">
        <f>IF(AND(J20&gt;=IF(H20=Parameters!$B$3,Parameters!$B$8,Parameters!$C$8),J20&lt;=IF(H20=Parameters!$B$3,Parameters!$B$9,Parameters!$C$9),K20&gt;=IF(H20=Parameters!$B$3,Parameters!$B$10,Parameters!$C$10),K20&lt;=IF(H20=Parameters!$B$3,Parameters!$B$11,Parameters!$C$11),L20&lt;=IF(H20=Parameters!$B$3,Parameters!$B$12,Parameters!$C$12)),"Within 2.4","Outside 2.4")</f>
        <v>Within 2.4</v>
      </c>
      <c r="N20" s="2" t="s">
        <v>308</v>
      </c>
      <c r="O20" s="2" t="s">
        <v>294</v>
      </c>
      <c r="P20" s="2" t="s">
        <v>264</v>
      </c>
      <c r="Q20" s="2">
        <v>65</v>
      </c>
      <c r="R20" s="2">
        <v>78</v>
      </c>
      <c r="S20" s="2" t="s">
        <v>340</v>
      </c>
      <c r="T20" s="2" t="s">
        <v>341</v>
      </c>
      <c r="U20" s="7">
        <f>IF(P20="Standard",ROUND((DATE(VALUE(RIGHT(S20,4)),VALUE(LEFT(S20,2)),VALUE(MID(S20,4,2)))+VALUE(LEFT(T20,2))/Parameters!$B$28+VALUE(RIGHT(T20,2))/Parameters!$B$29-X20)*Parameters!$B$28,2),"")</f>
        <v>21.5</v>
      </c>
      <c r="V20" s="2" t="str">
        <f>IF(P20&lt;&gt;"Standard","",IF(OR(Q20&lt;Parameters!$B$24,R20&gt;Parameters!$B$25),"Initial curing temperature outside 60 to 80 F",IF(U20&gt;Parameters!$B$26,"Initial curing period over 48 hours","")))</f>
        <v/>
      </c>
      <c r="W20" s="2"/>
      <c r="X20" s="8">
        <f>ROUND(DATE(VALUE(RIGHT(C20,4)),VALUE(LEFT(C20,2)),VALUE(MID(C20,4,2)))+VALUE(LEFT(D20,2))/Parameters!$B$28+VALUE(RIGHT(D20,2))/Parameters!$B$29,5)</f>
        <v>46240.4</v>
      </c>
      <c r="Y20" s="2" t="str">
        <f>INDEX(Tests!$S$4:$S$31,MATCH(F20,Tests!$A$4:$A$31,0))</f>
        <v>Yes</v>
      </c>
      <c r="Z20" s="2"/>
    </row>
    <row r="21" spans="1:26" x14ac:dyDescent="0.2">
      <c r="A21" s="2" t="s">
        <v>342</v>
      </c>
      <c r="B21" s="2" t="s">
        <v>337</v>
      </c>
      <c r="C21" s="2" t="s">
        <v>129</v>
      </c>
      <c r="D21" s="2" t="s">
        <v>343</v>
      </c>
      <c r="E21" s="2" t="s">
        <v>344</v>
      </c>
      <c r="F21" s="2">
        <v>771163</v>
      </c>
      <c r="G21" s="2" t="s">
        <v>49</v>
      </c>
      <c r="H21" s="2" t="str">
        <f>IF(G21=Parameters!$B$13,Parameters!$B$3,Parameters!$C$3)</f>
        <v>M-4000</v>
      </c>
      <c r="I21" s="2" t="s">
        <v>128</v>
      </c>
      <c r="J21" s="2">
        <v>4.75</v>
      </c>
      <c r="K21" s="2">
        <v>5.4</v>
      </c>
      <c r="L21" s="2">
        <v>83</v>
      </c>
      <c r="M21" s="2" t="str">
        <f>IF(AND(J21&gt;=IF(H21=Parameters!$B$3,Parameters!$B$8,Parameters!$C$8),J21&lt;=IF(H21=Parameters!$B$3,Parameters!$B$9,Parameters!$C$9),K21&gt;=IF(H21=Parameters!$B$3,Parameters!$B$10,Parameters!$C$10),K21&lt;=IF(H21=Parameters!$B$3,Parameters!$B$11,Parameters!$C$11),L21&lt;=IF(H21=Parameters!$B$3,Parameters!$B$12,Parameters!$C$12)),"Within 2.4","Outside 2.4")</f>
        <v>Within 2.4</v>
      </c>
      <c r="N21" s="2" t="s">
        <v>262</v>
      </c>
      <c r="O21" s="2" t="s">
        <v>294</v>
      </c>
      <c r="P21" s="2" t="s">
        <v>264</v>
      </c>
      <c r="Q21" s="2">
        <v>65</v>
      </c>
      <c r="R21" s="2">
        <v>79</v>
      </c>
      <c r="S21" s="2" t="s">
        <v>274</v>
      </c>
      <c r="T21" s="2" t="s">
        <v>345</v>
      </c>
      <c r="U21" s="7">
        <f>IF(P21="Standard",ROUND((DATE(VALUE(RIGHT(S21,4)),VALUE(LEFT(S21,2)),VALUE(MID(S21,4,2)))+VALUE(LEFT(T21,2))/Parameters!$B$28+VALUE(RIGHT(T21,2))/Parameters!$B$29-X21)*Parameters!$B$28,2),"")</f>
        <v>16.57</v>
      </c>
      <c r="V21" s="2" t="str">
        <f>IF(P21&lt;&gt;"Standard","",IF(OR(Q21&lt;Parameters!$B$24,R21&gt;Parameters!$B$25),"Initial curing temperature outside 60 to 80 F",IF(U21&gt;Parameters!$B$26,"Initial curing period over 48 hours","")))</f>
        <v/>
      </c>
      <c r="W21" s="2"/>
      <c r="X21" s="8">
        <f>ROUND(DATE(VALUE(RIGHT(C21,4)),VALUE(LEFT(C21,2)),VALUE(MID(C21,4,2)))+VALUE(LEFT(D21,2))/Parameters!$B$28+VALUE(RIGHT(D21,2))/Parameters!$B$29,5)</f>
        <v>46244.60903</v>
      </c>
      <c r="Y21" s="2" t="str">
        <f>INDEX(Tests!$S$4:$S$31,MATCH(F21,Tests!$A$4:$A$31,0))</f>
        <v>Yes</v>
      </c>
      <c r="Z21" s="2" t="s">
        <v>346</v>
      </c>
    </row>
    <row r="22" spans="1:26" x14ac:dyDescent="0.2">
      <c r="A22" s="2" t="s">
        <v>347</v>
      </c>
      <c r="B22" s="2" t="s">
        <v>337</v>
      </c>
      <c r="C22" s="2" t="s">
        <v>139</v>
      </c>
      <c r="D22" s="2" t="s">
        <v>348</v>
      </c>
      <c r="E22" s="2" t="s">
        <v>349</v>
      </c>
      <c r="F22" s="2">
        <v>771469</v>
      </c>
      <c r="G22" s="2" t="s">
        <v>50</v>
      </c>
      <c r="H22" s="2" t="str">
        <f>IF(G22=Parameters!$B$13,Parameters!$B$3,Parameters!$C$3)</f>
        <v>M-6000</v>
      </c>
      <c r="I22" s="2" t="s">
        <v>138</v>
      </c>
      <c r="J22" s="2">
        <v>5.5</v>
      </c>
      <c r="K22" s="2">
        <v>2.8</v>
      </c>
      <c r="L22" s="2">
        <v>77</v>
      </c>
      <c r="M22" s="2" t="str">
        <f>IF(AND(J22&gt;=IF(H22=Parameters!$B$3,Parameters!$B$8,Parameters!$C$8),J22&lt;=IF(H22=Parameters!$B$3,Parameters!$B$9,Parameters!$C$9),K22&gt;=IF(H22=Parameters!$B$3,Parameters!$B$10,Parameters!$C$10),K22&lt;=IF(H22=Parameters!$B$3,Parameters!$B$11,Parameters!$C$11),L22&lt;=IF(H22=Parameters!$B$3,Parameters!$B$12,Parameters!$C$12)),"Within 2.4","Outside 2.4")</f>
        <v>Within 2.4</v>
      </c>
      <c r="N22" s="2" t="s">
        <v>308</v>
      </c>
      <c r="O22" s="2" t="s">
        <v>294</v>
      </c>
      <c r="P22" s="2" t="s">
        <v>264</v>
      </c>
      <c r="Q22" s="2">
        <v>64</v>
      </c>
      <c r="R22" s="2">
        <v>77</v>
      </c>
      <c r="S22" s="2" t="s">
        <v>144</v>
      </c>
      <c r="T22" s="2" t="s">
        <v>350</v>
      </c>
      <c r="U22" s="7">
        <f>IF(P22="Standard",ROUND((DATE(VALUE(RIGHT(S22,4)),VALUE(LEFT(S22,2)),VALUE(MID(S22,4,2)))+VALUE(LEFT(T22,2))/Parameters!$B$28+VALUE(RIGHT(T22,2))/Parameters!$B$29-X22)*Parameters!$B$28,2),"")</f>
        <v>22.38</v>
      </c>
      <c r="V22" s="2" t="str">
        <f>IF(P22&lt;&gt;"Standard","",IF(OR(Q22&lt;Parameters!$B$24,R22&gt;Parameters!$B$25),"Initial curing temperature outside 60 to 80 F",IF(U22&gt;Parameters!$B$26,"Initial curing period over 48 hours","")))</f>
        <v/>
      </c>
      <c r="W22" s="2"/>
      <c r="X22" s="8">
        <f>ROUND(DATE(VALUE(RIGHT(C22,4)),VALUE(LEFT(C22,2)),VALUE(MID(C22,4,2)))+VALUE(LEFT(D22,2))/Parameters!$B$28+VALUE(RIGHT(D22,2))/Parameters!$B$29,5)</f>
        <v>46247.3778</v>
      </c>
      <c r="Y22" s="2" t="str">
        <f>INDEX(Tests!$S$4:$S$31,MATCH(F22,Tests!$A$4:$A$31,0))</f>
        <v>Yes</v>
      </c>
      <c r="Z22" s="2"/>
    </row>
    <row r="23" spans="1:26" x14ac:dyDescent="0.2">
      <c r="A23" s="2" t="s">
        <v>351</v>
      </c>
      <c r="B23" s="2" t="s">
        <v>337</v>
      </c>
      <c r="C23" s="2" t="s">
        <v>159</v>
      </c>
      <c r="D23" s="2" t="s">
        <v>352</v>
      </c>
      <c r="E23" s="2" t="s">
        <v>353</v>
      </c>
      <c r="F23" s="2">
        <v>771955</v>
      </c>
      <c r="G23" s="2" t="s">
        <v>50</v>
      </c>
      <c r="H23" s="2" t="str">
        <f>IF(G23=Parameters!$B$13,Parameters!$B$3,Parameters!$C$3)</f>
        <v>M-6000</v>
      </c>
      <c r="I23" s="2" t="s">
        <v>158</v>
      </c>
      <c r="J23" s="2">
        <v>7</v>
      </c>
      <c r="K23" s="2">
        <v>3.3</v>
      </c>
      <c r="L23" s="2">
        <v>79</v>
      </c>
      <c r="M23" s="2" t="str">
        <f>IF(AND(J23&gt;=IF(H23=Parameters!$B$3,Parameters!$B$8,Parameters!$C$8),J23&lt;=IF(H23=Parameters!$B$3,Parameters!$B$9,Parameters!$C$9),K23&gt;=IF(H23=Parameters!$B$3,Parameters!$B$10,Parameters!$C$10),K23&lt;=IF(H23=Parameters!$B$3,Parameters!$B$11,Parameters!$C$11),L23&lt;=IF(H23=Parameters!$B$3,Parameters!$B$12,Parameters!$C$12)),"Within 2.4","Outside 2.4")</f>
        <v>Within 2.4</v>
      </c>
      <c r="N23" s="2" t="s">
        <v>308</v>
      </c>
      <c r="O23" s="2" t="s">
        <v>294</v>
      </c>
      <c r="P23" s="2" t="s">
        <v>264</v>
      </c>
      <c r="Q23" s="2">
        <v>60</v>
      </c>
      <c r="R23" s="2">
        <v>77</v>
      </c>
      <c r="S23" s="2" t="s">
        <v>164</v>
      </c>
      <c r="T23" s="2" t="s">
        <v>354</v>
      </c>
      <c r="U23" s="7">
        <f>IF(P23="Standard",ROUND((DATE(VALUE(RIGHT(S23,4)),VALUE(LEFT(S23,2)),VALUE(MID(S23,4,2)))+VALUE(LEFT(T23,2))/Parameters!$B$28+VALUE(RIGHT(T23,2))/Parameters!$B$29-X23)*Parameters!$B$28,2),"")</f>
        <v>22.18</v>
      </c>
      <c r="V23" s="2" t="str">
        <f>IF(P23&lt;&gt;"Standard","",IF(OR(Q23&lt;Parameters!$B$24,R23&gt;Parameters!$B$25),"Initial curing temperature outside 60 to 80 F",IF(U23&gt;Parameters!$B$26,"Initial curing period over 48 hours","")))</f>
        <v/>
      </c>
      <c r="W23" s="2"/>
      <c r="X23" s="8">
        <f>ROUND(DATE(VALUE(RIGHT(C23,4)),VALUE(LEFT(C23,2)),VALUE(MID(C23,4,2)))+VALUE(LEFT(D23,2))/Parameters!$B$28+VALUE(RIGHT(D23,2))/Parameters!$B$29,5)</f>
        <v>46252.4118</v>
      </c>
      <c r="Y23" s="2" t="str">
        <f>INDEX(Tests!$S$4:$S$31,MATCH(F23,Tests!$A$4:$A$31,0))</f>
        <v>Yes</v>
      </c>
      <c r="Z23" s="2" t="s">
        <v>355</v>
      </c>
    </row>
    <row r="24" spans="1:26" x14ac:dyDescent="0.2">
      <c r="A24" s="2" t="s">
        <v>356</v>
      </c>
      <c r="B24" s="2" t="s">
        <v>337</v>
      </c>
      <c r="C24" s="2" t="s">
        <v>164</v>
      </c>
      <c r="D24" s="2" t="s">
        <v>357</v>
      </c>
      <c r="E24" s="2" t="s">
        <v>303</v>
      </c>
      <c r="F24" s="2">
        <v>772071</v>
      </c>
      <c r="G24" s="2" t="s">
        <v>49</v>
      </c>
      <c r="H24" s="2" t="str">
        <f>IF(G24=Parameters!$B$13,Parameters!$B$3,Parameters!$C$3)</f>
        <v>M-4000</v>
      </c>
      <c r="I24" s="2" t="s">
        <v>163</v>
      </c>
      <c r="J24" s="2">
        <v>4.5</v>
      </c>
      <c r="K24" s="2">
        <v>5.6</v>
      </c>
      <c r="L24" s="2">
        <v>73</v>
      </c>
      <c r="M24" s="2" t="str">
        <f>IF(AND(J24&gt;=IF(H24=Parameters!$B$3,Parameters!$B$8,Parameters!$C$8),J24&lt;=IF(H24=Parameters!$B$3,Parameters!$B$9,Parameters!$C$9),K24&gt;=IF(H24=Parameters!$B$3,Parameters!$B$10,Parameters!$C$10),K24&lt;=IF(H24=Parameters!$B$3,Parameters!$B$11,Parameters!$C$11),L24&lt;=IF(H24=Parameters!$B$3,Parameters!$B$12,Parameters!$C$12)),"Within 2.4","Outside 2.4")</f>
        <v>Within 2.4</v>
      </c>
      <c r="N24" s="2" t="s">
        <v>262</v>
      </c>
      <c r="O24" s="2" t="s">
        <v>263</v>
      </c>
      <c r="P24" s="2" t="s">
        <v>264</v>
      </c>
      <c r="Q24" s="2">
        <v>62</v>
      </c>
      <c r="R24" s="2">
        <v>74</v>
      </c>
      <c r="S24" s="2" t="s">
        <v>169</v>
      </c>
      <c r="T24" s="2" t="s">
        <v>304</v>
      </c>
      <c r="U24" s="7">
        <f>IF(P24="Standard",ROUND((DATE(VALUE(RIGHT(S24,4)),VALUE(LEFT(S24,2)),VALUE(MID(S24,4,2)))+VALUE(LEFT(T24,2))/Parameters!$B$28+VALUE(RIGHT(T24,2))/Parameters!$B$29-X24)*Parameters!$B$28,2),"")</f>
        <v>22.85</v>
      </c>
      <c r="V24" s="2" t="str">
        <f>IF(P24&lt;&gt;"Standard","",IF(OR(Q24&lt;Parameters!$B$24,R24&gt;Parameters!$B$25),"Initial curing temperature outside 60 to 80 F",IF(U24&gt;Parameters!$B$26,"Initial curing period over 48 hours","")))</f>
        <v/>
      </c>
      <c r="W24" s="2"/>
      <c r="X24" s="8">
        <f>ROUND(DATE(VALUE(RIGHT(C24,4)),VALUE(LEFT(C24,2)),VALUE(MID(C24,4,2)))+VALUE(LEFT(D24,2))/Parameters!$B$28+VALUE(RIGHT(D24,2))/Parameters!$B$29,5)</f>
        <v>46253.3521</v>
      </c>
      <c r="Y24" s="2" t="str">
        <f>INDEX(Tests!$S$4:$S$31,MATCH(F24,Tests!$A$4:$A$31,0))</f>
        <v>Yes</v>
      </c>
      <c r="Z24" s="2" t="s">
        <v>358</v>
      </c>
    </row>
    <row r="25" spans="1:26" x14ac:dyDescent="0.2">
      <c r="A25" s="2" t="s">
        <v>359</v>
      </c>
      <c r="B25" s="2" t="s">
        <v>337</v>
      </c>
      <c r="C25" s="2" t="s">
        <v>169</v>
      </c>
      <c r="D25" s="2" t="s">
        <v>360</v>
      </c>
      <c r="E25" s="2" t="s">
        <v>361</v>
      </c>
      <c r="F25" s="2">
        <v>772203</v>
      </c>
      <c r="G25" s="2" t="s">
        <v>50</v>
      </c>
      <c r="H25" s="2" t="str">
        <f>IF(G25=Parameters!$B$13,Parameters!$B$3,Parameters!$C$3)</f>
        <v>M-6000</v>
      </c>
      <c r="I25" s="2" t="s">
        <v>168</v>
      </c>
      <c r="J25" s="2">
        <v>6.5</v>
      </c>
      <c r="K25" s="2">
        <v>3.4</v>
      </c>
      <c r="L25" s="2">
        <v>78</v>
      </c>
      <c r="M25" s="2" t="str">
        <f>IF(AND(J25&gt;=IF(H25=Parameters!$B$3,Parameters!$B$8,Parameters!$C$8),J25&lt;=IF(H25=Parameters!$B$3,Parameters!$B$9,Parameters!$C$9),K25&gt;=IF(H25=Parameters!$B$3,Parameters!$B$10,Parameters!$C$10),K25&lt;=IF(H25=Parameters!$B$3,Parameters!$B$11,Parameters!$C$11),L25&lt;=IF(H25=Parameters!$B$3,Parameters!$B$12,Parameters!$C$12)),"Within 2.4","Outside 2.4")</f>
        <v>Within 2.4</v>
      </c>
      <c r="N25" s="2" t="s">
        <v>308</v>
      </c>
      <c r="O25" s="2" t="s">
        <v>294</v>
      </c>
      <c r="P25" s="2" t="s">
        <v>264</v>
      </c>
      <c r="Q25" s="2">
        <v>63</v>
      </c>
      <c r="R25" s="2">
        <v>76</v>
      </c>
      <c r="S25" s="2" t="s">
        <v>173</v>
      </c>
      <c r="T25" s="2" t="s">
        <v>362</v>
      </c>
      <c r="U25" s="7">
        <f>IF(P25="Standard",ROUND((DATE(VALUE(RIGHT(S25,4)),VALUE(LEFT(S25,2)),VALUE(MID(S25,4,2)))+VALUE(LEFT(T25,2))/Parameters!$B$28+VALUE(RIGHT(T25,2))/Parameters!$B$29-X25)*Parameters!$B$28,2),"")</f>
        <v>22.22</v>
      </c>
      <c r="V25" s="2" t="str">
        <f>IF(P25&lt;&gt;"Standard","",IF(OR(Q25&lt;Parameters!$B$24,R25&gt;Parameters!$B$25),"Initial curing temperature outside 60 to 80 F",IF(U25&gt;Parameters!$B$26,"Initial curing period over 48 hours","")))</f>
        <v/>
      </c>
      <c r="W25" s="2"/>
      <c r="X25" s="8">
        <f>ROUND(DATE(VALUE(RIGHT(C25,4)),VALUE(LEFT(C25,2)),VALUE(MID(C25,4,2)))+VALUE(LEFT(D25,2))/Parameters!$B$28+VALUE(RIGHT(D25,2))/Parameters!$B$29,5)</f>
        <v>46254.3931</v>
      </c>
      <c r="Y25" s="2" t="str">
        <f>INDEX(Tests!$S$4:$S$31,MATCH(F25,Tests!$A$4:$A$31,0))</f>
        <v>Yes</v>
      </c>
      <c r="Z25" s="2"/>
    </row>
    <row r="26" spans="1:26" x14ac:dyDescent="0.2">
      <c r="A26" s="2" t="s">
        <v>363</v>
      </c>
      <c r="B26" s="2" t="s">
        <v>337</v>
      </c>
      <c r="C26" s="2" t="s">
        <v>178</v>
      </c>
      <c r="D26" s="2" t="s">
        <v>364</v>
      </c>
      <c r="E26" s="2" t="s">
        <v>365</v>
      </c>
      <c r="F26" s="2">
        <v>772531</v>
      </c>
      <c r="G26" s="2" t="s">
        <v>50</v>
      </c>
      <c r="H26" s="2" t="str">
        <f>IF(G26=Parameters!$B$13,Parameters!$B$3,Parameters!$C$3)</f>
        <v>M-6000</v>
      </c>
      <c r="I26" s="2" t="s">
        <v>182</v>
      </c>
      <c r="J26" s="2">
        <v>6.25</v>
      </c>
      <c r="K26" s="2">
        <v>2.9</v>
      </c>
      <c r="L26" s="2">
        <v>81</v>
      </c>
      <c r="M26" s="2" t="str">
        <f>IF(AND(J26&gt;=IF(H26=Parameters!$B$3,Parameters!$B$8,Parameters!$C$8),J26&lt;=IF(H26=Parameters!$B$3,Parameters!$B$9,Parameters!$C$9),K26&gt;=IF(H26=Parameters!$B$3,Parameters!$B$10,Parameters!$C$10),K26&lt;=IF(H26=Parameters!$B$3,Parameters!$B$11,Parameters!$C$11),L26&lt;=IF(H26=Parameters!$B$3,Parameters!$B$12,Parameters!$C$12)),"Within 2.4","Outside 2.4")</f>
        <v>Within 2.4</v>
      </c>
      <c r="N26" s="2" t="s">
        <v>308</v>
      </c>
      <c r="O26" s="2" t="s">
        <v>294</v>
      </c>
      <c r="P26" s="2" t="s">
        <v>264</v>
      </c>
      <c r="Q26" s="2">
        <v>62</v>
      </c>
      <c r="R26" s="2">
        <v>75</v>
      </c>
      <c r="S26" s="2" t="s">
        <v>314</v>
      </c>
      <c r="T26" s="2" t="s">
        <v>366</v>
      </c>
      <c r="U26" s="7">
        <f>IF(P26="Standard",ROUND((DATE(VALUE(RIGHT(S26,4)),VALUE(LEFT(S26,2)),VALUE(MID(S26,4,2)))+VALUE(LEFT(T26,2))/Parameters!$B$28+VALUE(RIGHT(T26,2))/Parameters!$B$29-X26)*Parameters!$B$28,2),"")</f>
        <v>17.85</v>
      </c>
      <c r="V26" s="2" t="str">
        <f>IF(P26&lt;&gt;"Standard","",IF(OR(Q26&lt;Parameters!$B$24,R26&gt;Parameters!$B$25),"Initial curing temperature outside 60 to 80 F",IF(U26&gt;Parameters!$B$26,"Initial curing period over 48 hours","")))</f>
        <v/>
      </c>
      <c r="W26" s="2"/>
      <c r="X26" s="8">
        <f>ROUND(DATE(VALUE(RIGHT(C26,4)),VALUE(LEFT(C26,2)),VALUE(MID(C26,4,2)))+VALUE(LEFT(D26,2))/Parameters!$B$28+VALUE(RIGHT(D26,2))/Parameters!$B$29,5)</f>
        <v>46258.57778</v>
      </c>
      <c r="Y26" s="2" t="str">
        <f>INDEX(Tests!$S$4:$S$31,MATCH(F26,Tests!$A$4:$A$31,0))</f>
        <v>Yes</v>
      </c>
      <c r="Z26" s="2" t="s">
        <v>367</v>
      </c>
    </row>
    <row r="27" spans="1:26" x14ac:dyDescent="0.2">
      <c r="A27" s="2" t="s">
        <v>368</v>
      </c>
      <c r="B27" s="2" t="s">
        <v>337</v>
      </c>
      <c r="C27" s="2" t="s">
        <v>186</v>
      </c>
      <c r="D27" s="2" t="s">
        <v>369</v>
      </c>
      <c r="E27" s="2" t="s">
        <v>370</v>
      </c>
      <c r="F27" s="2">
        <v>772809</v>
      </c>
      <c r="G27" s="2" t="s">
        <v>50</v>
      </c>
      <c r="H27" s="2" t="str">
        <f>IF(G27=Parameters!$B$13,Parameters!$B$3,Parameters!$C$3)</f>
        <v>M-6000</v>
      </c>
      <c r="I27" s="2" t="s">
        <v>189</v>
      </c>
      <c r="J27" s="2">
        <v>5.75</v>
      </c>
      <c r="K27" s="2">
        <v>3</v>
      </c>
      <c r="L27" s="2">
        <v>76</v>
      </c>
      <c r="M27" s="2" t="str">
        <f>IF(AND(J27&gt;=IF(H27=Parameters!$B$3,Parameters!$B$8,Parameters!$C$8),J27&lt;=IF(H27=Parameters!$B$3,Parameters!$B$9,Parameters!$C$9),K27&gt;=IF(H27=Parameters!$B$3,Parameters!$B$10,Parameters!$C$10),K27&lt;=IF(H27=Parameters!$B$3,Parameters!$B$11,Parameters!$C$11),L27&lt;=IF(H27=Parameters!$B$3,Parameters!$B$12,Parameters!$C$12)),"Within 2.4","Outside 2.4")</f>
        <v>Within 2.4</v>
      </c>
      <c r="N27" s="2" t="s">
        <v>308</v>
      </c>
      <c r="O27" s="2" t="s">
        <v>294</v>
      </c>
      <c r="P27" s="2" t="s">
        <v>264</v>
      </c>
      <c r="Q27" s="2">
        <v>66</v>
      </c>
      <c r="R27" s="2">
        <v>91</v>
      </c>
      <c r="S27" s="2" t="s">
        <v>194</v>
      </c>
      <c r="T27" s="2" t="s">
        <v>319</v>
      </c>
      <c r="U27" s="7">
        <f>IF(P27="Standard",ROUND((DATE(VALUE(RIGHT(S27,4)),VALUE(LEFT(S27,2)),VALUE(MID(S27,4,2)))+VALUE(LEFT(T27,2))/Parameters!$B$28+VALUE(RIGHT(T27,2))/Parameters!$B$29-X27)*Parameters!$B$28,2),"")</f>
        <v>29.68</v>
      </c>
      <c r="V27" s="2" t="str">
        <f>IF(P27&lt;&gt;"Standard","",IF(OR(Q27&lt;Parameters!$B$24,R27&gt;Parameters!$B$25),"Initial curing temperature outside 60 to 80 F",IF(U27&gt;Parameters!$B$26,"Initial curing period over 48 hours","")))</f>
        <v>Initial curing temperature outside 60 to 80 F</v>
      </c>
      <c r="W27" s="2"/>
      <c r="X27" s="8">
        <f>ROUND(DATE(VALUE(RIGHT(C27,4)),VALUE(LEFT(C27,2)),VALUE(MID(C27,4,2)))+VALUE(LEFT(D27,2))/Parameters!$B$28+VALUE(RIGHT(D27,2))/Parameters!$B$29,5)</f>
        <v>46260.4451</v>
      </c>
      <c r="Y27" s="2" t="str">
        <f>INDEX(Tests!$S$4:$S$31,MATCH(F27,Tests!$A$4:$A$31,0))</f>
        <v>Yes</v>
      </c>
      <c r="Z27" s="2" t="s">
        <v>371</v>
      </c>
    </row>
    <row r="28" spans="1:26" x14ac:dyDescent="0.2">
      <c r="A28" s="2" t="s">
        <v>372</v>
      </c>
      <c r="B28" s="2" t="s">
        <v>337</v>
      </c>
      <c r="C28" s="2" t="s">
        <v>194</v>
      </c>
      <c r="D28" s="2" t="s">
        <v>373</v>
      </c>
      <c r="E28" s="2" t="s">
        <v>374</v>
      </c>
      <c r="F28" s="2">
        <v>772934</v>
      </c>
      <c r="G28" s="2" t="s">
        <v>50</v>
      </c>
      <c r="H28" s="2" t="str">
        <f>IF(G28=Parameters!$B$13,Parameters!$B$3,Parameters!$C$3)</f>
        <v>M-6000</v>
      </c>
      <c r="I28" s="2" t="s">
        <v>193</v>
      </c>
      <c r="J28" s="2">
        <v>6.25</v>
      </c>
      <c r="K28" s="2">
        <v>2.6</v>
      </c>
      <c r="L28" s="2">
        <v>70</v>
      </c>
      <c r="M28" s="2" t="str">
        <f>IF(AND(J28&gt;=IF(H28=Parameters!$B$3,Parameters!$B$8,Parameters!$C$8),J28&lt;=IF(H28=Parameters!$B$3,Parameters!$B$9,Parameters!$C$9),K28&gt;=IF(H28=Parameters!$B$3,Parameters!$B$10,Parameters!$C$10),K28&lt;=IF(H28=Parameters!$B$3,Parameters!$B$11,Parameters!$C$11),L28&lt;=IF(H28=Parameters!$B$3,Parameters!$B$12,Parameters!$C$12)),"Within 2.4","Outside 2.4")</f>
        <v>Within 2.4</v>
      </c>
      <c r="N28" s="2" t="s">
        <v>308</v>
      </c>
      <c r="O28" s="2" t="s">
        <v>263</v>
      </c>
      <c r="P28" s="2" t="s">
        <v>264</v>
      </c>
      <c r="Q28" s="2">
        <v>63</v>
      </c>
      <c r="R28" s="2">
        <v>76</v>
      </c>
      <c r="S28" s="2" t="s">
        <v>375</v>
      </c>
      <c r="T28" s="2" t="s">
        <v>376</v>
      </c>
      <c r="U28" s="7">
        <f>IF(P28="Standard",ROUND((DATE(VALUE(RIGHT(S28,4)),VALUE(LEFT(S28,2)),VALUE(MID(S28,4,2)))+VALUE(LEFT(T28,2))/Parameters!$B$28+VALUE(RIGHT(T28,2))/Parameters!$B$29-X28)*Parameters!$B$28,2),"")</f>
        <v>22.92</v>
      </c>
      <c r="V28" s="2" t="str">
        <f>IF(P28&lt;&gt;"Standard","",IF(OR(Q28&lt;Parameters!$B$24,R28&gt;Parameters!$B$25),"Initial curing temperature outside 60 to 80 F",IF(U28&gt;Parameters!$B$26,"Initial curing period over 48 hours","")))</f>
        <v/>
      </c>
      <c r="W28" s="2"/>
      <c r="X28" s="8">
        <f>ROUND(DATE(VALUE(RIGHT(C28,4)),VALUE(LEFT(C28,2)),VALUE(MID(C28,4,2)))+VALUE(LEFT(D28,2))/Parameters!$B$28+VALUE(RIGHT(D28,2))/Parameters!$B$29,5)</f>
        <v>46261.3431</v>
      </c>
      <c r="Y28" s="2" t="str">
        <f>INDEX(Tests!$S$4:$S$31,MATCH(F28,Tests!$A$4:$A$31,0))</f>
        <v>Yes</v>
      </c>
      <c r="Z28" s="2"/>
    </row>
    <row r="29" spans="1:26" x14ac:dyDescent="0.2">
      <c r="A29" s="2" t="s">
        <v>377</v>
      </c>
      <c r="B29" s="2" t="s">
        <v>337</v>
      </c>
      <c r="C29" s="2" t="s">
        <v>204</v>
      </c>
      <c r="D29" s="2" t="s">
        <v>378</v>
      </c>
      <c r="E29" s="2" t="s">
        <v>328</v>
      </c>
      <c r="F29" s="2">
        <v>773248</v>
      </c>
      <c r="G29" s="2" t="s">
        <v>49</v>
      </c>
      <c r="H29" s="2" t="str">
        <f>IF(G29=Parameters!$B$13,Parameters!$B$3,Parameters!$C$3)</f>
        <v>M-4000</v>
      </c>
      <c r="I29" s="2" t="s">
        <v>203</v>
      </c>
      <c r="J29" s="2">
        <v>4</v>
      </c>
      <c r="K29" s="2">
        <v>6.2</v>
      </c>
      <c r="L29" s="2">
        <v>68</v>
      </c>
      <c r="M29" s="2" t="str">
        <f>IF(AND(J29&gt;=IF(H29=Parameters!$B$3,Parameters!$B$8,Parameters!$C$8),J29&lt;=IF(H29=Parameters!$B$3,Parameters!$B$9,Parameters!$C$9),K29&gt;=IF(H29=Parameters!$B$3,Parameters!$B$10,Parameters!$C$10),K29&lt;=IF(H29=Parameters!$B$3,Parameters!$B$11,Parameters!$C$11),L29&lt;=IF(H29=Parameters!$B$3,Parameters!$B$12,Parameters!$C$12)),"Within 2.4","Outside 2.4")</f>
        <v>Within 2.4</v>
      </c>
      <c r="N29" s="2" t="s">
        <v>262</v>
      </c>
      <c r="O29" s="2" t="s">
        <v>263</v>
      </c>
      <c r="P29" s="2" t="s">
        <v>264</v>
      </c>
      <c r="Q29" s="2">
        <v>64</v>
      </c>
      <c r="R29" s="2">
        <v>78</v>
      </c>
      <c r="S29" s="2" t="s">
        <v>329</v>
      </c>
      <c r="T29" s="2" t="s">
        <v>330</v>
      </c>
      <c r="U29" s="7">
        <f>IF(P29="Standard",ROUND((DATE(VALUE(RIGHT(S29,4)),VALUE(LEFT(S29,2)),VALUE(MID(S29,4,2)))+VALUE(LEFT(T29,2))/Parameters!$B$28+VALUE(RIGHT(T29,2))/Parameters!$B$29-X29)*Parameters!$B$28,2),"")</f>
        <v>24.28</v>
      </c>
      <c r="V29" s="2" t="str">
        <f>IF(P29&lt;&gt;"Standard","",IF(OR(Q29&lt;Parameters!$B$24,R29&gt;Parameters!$B$25),"Initial curing temperature outside 60 to 80 F",IF(U29&gt;Parameters!$B$26,"Initial curing period over 48 hours","")))</f>
        <v/>
      </c>
      <c r="W29" s="2"/>
      <c r="X29" s="8">
        <f>ROUND(DATE(VALUE(RIGHT(C29,4)),VALUE(LEFT(C29,2)),VALUE(MID(C29,4,2)))+VALUE(LEFT(D29,2))/Parameters!$B$28+VALUE(RIGHT(D29,2))/Parameters!$B$29,5)</f>
        <v>46265.2896</v>
      </c>
      <c r="Y29" s="2" t="str">
        <f>INDEX(Tests!$S$4:$S$31,MATCH(F29,Tests!$A$4:$A$31,0))</f>
        <v>Yes</v>
      </c>
      <c r="Z29" s="2"/>
    </row>
    <row r="30" spans="1:26" x14ac:dyDescent="0.2">
      <c r="A30" s="2" t="s">
        <v>379</v>
      </c>
      <c r="B30" s="2" t="s">
        <v>337</v>
      </c>
      <c r="C30" s="2" t="s">
        <v>209</v>
      </c>
      <c r="D30" s="2" t="s">
        <v>380</v>
      </c>
      <c r="E30" s="2" t="s">
        <v>381</v>
      </c>
      <c r="F30" s="2">
        <v>773471</v>
      </c>
      <c r="G30" s="2" t="s">
        <v>50</v>
      </c>
      <c r="H30" s="2" t="str">
        <f>IF(G30=Parameters!$B$13,Parameters!$B$3,Parameters!$C$3)</f>
        <v>M-6000</v>
      </c>
      <c r="I30" s="2" t="s">
        <v>208</v>
      </c>
      <c r="J30" s="2">
        <v>6</v>
      </c>
      <c r="K30" s="2">
        <v>4.2</v>
      </c>
      <c r="L30" s="2">
        <v>75</v>
      </c>
      <c r="M30" s="2" t="str">
        <f>IF(AND(J30&gt;=IF(H30=Parameters!$B$3,Parameters!$B$8,Parameters!$C$8),J30&lt;=IF(H30=Parameters!$B$3,Parameters!$B$9,Parameters!$C$9),K30&gt;=IF(H30=Parameters!$B$3,Parameters!$B$10,Parameters!$C$10),K30&lt;=IF(H30=Parameters!$B$3,Parameters!$B$11,Parameters!$C$11),L30&lt;=IF(H30=Parameters!$B$3,Parameters!$B$12,Parameters!$C$12)),"Within 2.4","Outside 2.4")</f>
        <v>Outside 2.4</v>
      </c>
      <c r="N30" s="2" t="s">
        <v>308</v>
      </c>
      <c r="O30" s="2" t="s">
        <v>294</v>
      </c>
      <c r="P30" s="2" t="s">
        <v>264</v>
      </c>
      <c r="Q30" s="2">
        <v>62</v>
      </c>
      <c r="R30" s="2">
        <v>74</v>
      </c>
      <c r="S30" s="2" t="s">
        <v>214</v>
      </c>
      <c r="T30" s="2" t="s">
        <v>382</v>
      </c>
      <c r="U30" s="7">
        <f>IF(P30="Standard",ROUND((DATE(VALUE(RIGHT(S30,4)),VALUE(LEFT(S30,2)),VALUE(MID(S30,4,2)))+VALUE(LEFT(T30,2))/Parameters!$B$28+VALUE(RIGHT(T30,2))/Parameters!$B$29-X30)*Parameters!$B$28,2),"")</f>
        <v>21.7</v>
      </c>
      <c r="V30" s="2" t="str">
        <f>IF(P30&lt;&gt;"Standard","",IF(OR(Q30&lt;Parameters!$B$24,R30&gt;Parameters!$B$25),"Initial curing temperature outside 60 to 80 F",IF(U30&gt;Parameters!$B$26,"Initial curing period over 48 hours","")))</f>
        <v/>
      </c>
      <c r="W30" s="2"/>
      <c r="X30" s="8">
        <f>ROUND(DATE(VALUE(RIGHT(C30,4)),VALUE(LEFT(C30,2)),VALUE(MID(C30,4,2)))+VALUE(LEFT(D30,2))/Parameters!$B$28+VALUE(RIGHT(D30,2))/Parameters!$B$29,5)</f>
        <v>46267.3882</v>
      </c>
      <c r="Y30" s="2" t="str">
        <f>INDEX(Tests!$S$4:$S$31,MATCH(F30,Tests!$A$4:$A$31,0))</f>
        <v>Yes</v>
      </c>
      <c r="Z30" s="2"/>
    </row>
    <row r="31" spans="1:26" x14ac:dyDescent="0.2">
      <c r="A31" s="2" t="s">
        <v>383</v>
      </c>
      <c r="B31" s="2" t="s">
        <v>337</v>
      </c>
      <c r="C31" s="2" t="s">
        <v>214</v>
      </c>
      <c r="D31" s="2" t="s">
        <v>384</v>
      </c>
      <c r="E31" s="2" t="s">
        <v>385</v>
      </c>
      <c r="F31" s="2">
        <v>773586</v>
      </c>
      <c r="G31" s="2" t="s">
        <v>50</v>
      </c>
      <c r="H31" s="2" t="str">
        <f>IF(G31=Parameters!$B$13,Parameters!$B$3,Parameters!$C$3)</f>
        <v>M-6000</v>
      </c>
      <c r="I31" s="2" t="s">
        <v>213</v>
      </c>
      <c r="J31" s="2">
        <v>6.75</v>
      </c>
      <c r="K31" s="2">
        <v>3.6</v>
      </c>
      <c r="L31" s="2">
        <v>71</v>
      </c>
      <c r="M31" s="2" t="str">
        <f>IF(AND(J31&gt;=IF(H31=Parameters!$B$3,Parameters!$B$8,Parameters!$C$8),J31&lt;=IF(H31=Parameters!$B$3,Parameters!$B$9,Parameters!$C$9),K31&gt;=IF(H31=Parameters!$B$3,Parameters!$B$10,Parameters!$C$10),K31&lt;=IF(H31=Parameters!$B$3,Parameters!$B$11,Parameters!$C$11),L31&lt;=IF(H31=Parameters!$B$3,Parameters!$B$12,Parameters!$C$12)),"Within 2.4","Outside 2.4")</f>
        <v>Within 2.4</v>
      </c>
      <c r="N31" s="2" t="s">
        <v>308</v>
      </c>
      <c r="O31" s="2" t="s">
        <v>263</v>
      </c>
      <c r="P31" s="2" t="s">
        <v>264</v>
      </c>
      <c r="Q31" s="2">
        <v>61</v>
      </c>
      <c r="R31" s="2">
        <v>73</v>
      </c>
      <c r="S31" s="2" t="s">
        <v>386</v>
      </c>
      <c r="T31" s="2" t="s">
        <v>387</v>
      </c>
      <c r="U31" s="7">
        <f>IF(P31="Standard",ROUND((DATE(VALUE(RIGHT(S31,4)),VALUE(LEFT(S31,2)),VALUE(MID(S31,4,2)))+VALUE(LEFT(T31,2))/Parameters!$B$28+VALUE(RIGHT(T31,2))/Parameters!$B$29-X31)*Parameters!$B$28,2),"")</f>
        <v>23.42</v>
      </c>
      <c r="V31" s="2" t="str">
        <f>IF(P31&lt;&gt;"Standard","",IF(OR(Q31&lt;Parameters!$B$24,R31&gt;Parameters!$B$25),"Initial curing temperature outside 60 to 80 F",IF(U31&gt;Parameters!$B$26,"Initial curing period over 48 hours","")))</f>
        <v/>
      </c>
      <c r="W31" s="2"/>
      <c r="X31" s="8">
        <f>ROUND(DATE(VALUE(RIGHT(C31,4)),VALUE(LEFT(C31,2)),VALUE(MID(C31,4,2)))+VALUE(LEFT(D31,2))/Parameters!$B$28+VALUE(RIGHT(D31,2))/Parameters!$B$29,5)</f>
        <v>46268.3382</v>
      </c>
      <c r="Y31" s="2" t="str">
        <f>INDEX(Tests!$S$4:$S$31,MATCH(F31,Tests!$A$4:$A$31,0))</f>
        <v>Yes</v>
      </c>
      <c r="Z31" s="2"/>
    </row>
    <row r="32" spans="1:26" x14ac:dyDescent="0.2">
      <c r="A32" s="2" t="s">
        <v>388</v>
      </c>
      <c r="B32" s="2" t="s">
        <v>337</v>
      </c>
      <c r="C32" s="2" t="s">
        <v>223</v>
      </c>
      <c r="D32" s="2" t="s">
        <v>389</v>
      </c>
      <c r="E32" s="2" t="s">
        <v>390</v>
      </c>
      <c r="F32" s="2">
        <v>774119</v>
      </c>
      <c r="G32" s="2" t="s">
        <v>50</v>
      </c>
      <c r="H32" s="2" t="str">
        <f>IF(G32=Parameters!$B$13,Parameters!$B$3,Parameters!$C$3)</f>
        <v>M-6000</v>
      </c>
      <c r="I32" s="2" t="s">
        <v>226</v>
      </c>
      <c r="J32" s="2">
        <v>5.75</v>
      </c>
      <c r="K32" s="2">
        <v>2.7</v>
      </c>
      <c r="L32" s="2">
        <v>69</v>
      </c>
      <c r="M32" s="2" t="str">
        <f>IF(AND(J32&gt;=IF(H32=Parameters!$B$3,Parameters!$B$8,Parameters!$C$8),J32&lt;=IF(H32=Parameters!$B$3,Parameters!$B$9,Parameters!$C$9),K32&gt;=IF(H32=Parameters!$B$3,Parameters!$B$10,Parameters!$C$10),K32&lt;=IF(H32=Parameters!$B$3,Parameters!$B$11,Parameters!$C$11),L32&lt;=IF(H32=Parameters!$B$3,Parameters!$B$12,Parameters!$C$12)),"Within 2.4","Outside 2.4")</f>
        <v>Within 2.4</v>
      </c>
      <c r="N32" s="2" t="s">
        <v>308</v>
      </c>
      <c r="O32" s="2" t="s">
        <v>294</v>
      </c>
      <c r="P32" s="2" t="s">
        <v>264</v>
      </c>
      <c r="Q32" s="2">
        <v>61</v>
      </c>
      <c r="R32" s="2">
        <v>72</v>
      </c>
      <c r="S32" s="2" t="s">
        <v>230</v>
      </c>
      <c r="T32" s="2" t="s">
        <v>391</v>
      </c>
      <c r="U32" s="7">
        <f>IF(P32="Standard",ROUND((DATE(VALUE(RIGHT(S32,4)),VALUE(LEFT(S32,2)),VALUE(MID(S32,4,2)))+VALUE(LEFT(T32,2))/Parameters!$B$28+VALUE(RIGHT(T32,2))/Parameters!$B$29-X32)*Parameters!$B$28,2),"")</f>
        <v>18.48</v>
      </c>
      <c r="V32" s="2" t="str">
        <f>IF(P32&lt;&gt;"Standard","",IF(OR(Q32&lt;Parameters!$B$24,R32&gt;Parameters!$B$25),"Initial curing temperature outside 60 to 80 F",IF(U32&gt;Parameters!$B$26,"Initial curing period over 48 hours","")))</f>
        <v/>
      </c>
      <c r="W32" s="2"/>
      <c r="X32" s="8">
        <f>ROUND(DATE(VALUE(RIGHT(C32,4)),VALUE(LEFT(C32,2)),VALUE(MID(C32,4,2)))+VALUE(LEFT(D32,2))/Parameters!$B$28+VALUE(RIGHT(D32,2))/Parameters!$B$29,5)</f>
        <v>46275.5361</v>
      </c>
      <c r="Y32" s="2" t="str">
        <f>INDEX(Tests!$S$4:$S$31,MATCH(F32,Tests!$A$4:$A$31,0))</f>
        <v>Yes</v>
      </c>
      <c r="Z32" s="2" t="s">
        <v>392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16"/>
  <sheetViews>
    <sheetView workbookViewId="0"/>
  </sheetViews>
  <sheetFormatPr baseColWidth="10" defaultColWidth="8.83203125" defaultRowHeight="15" x14ac:dyDescent="0.2"/>
  <cols>
    <col min="1" max="1" width="11" customWidth="1"/>
    <col min="2" max="2" width="8" customWidth="1"/>
    <col min="3" max="3" width="6" customWidth="1"/>
    <col min="4" max="4" width="10" customWidth="1"/>
    <col min="5" max="5" width="12" customWidth="1"/>
    <col min="6" max="6" width="9" customWidth="1"/>
    <col min="7" max="8" width="7" customWidth="1"/>
    <col min="9" max="9" width="12" customWidth="1"/>
    <col min="10" max="12" width="10" customWidth="1"/>
    <col min="13" max="13" width="9" customWidth="1"/>
    <col min="14" max="14" width="12" customWidth="1"/>
    <col min="15" max="15" width="11" customWidth="1"/>
    <col min="16" max="16" width="10" customWidth="1"/>
    <col min="17" max="17" width="11" customWidth="1"/>
    <col min="18" max="18" width="9" customWidth="1"/>
  </cols>
  <sheetData>
    <row r="1" spans="1:18" ht="17" x14ac:dyDescent="0.2">
      <c r="A1" s="1" t="s">
        <v>393</v>
      </c>
    </row>
    <row r="3" spans="1:18" ht="48" x14ac:dyDescent="0.2">
      <c r="A3" s="3" t="s">
        <v>394</v>
      </c>
      <c r="B3" s="3" t="s">
        <v>235</v>
      </c>
      <c r="C3" s="3" t="s">
        <v>395</v>
      </c>
      <c r="D3" s="3" t="s">
        <v>240</v>
      </c>
      <c r="E3" s="3" t="s">
        <v>396</v>
      </c>
      <c r="F3" s="3" t="s">
        <v>397</v>
      </c>
      <c r="G3" s="3" t="s">
        <v>398</v>
      </c>
      <c r="H3" s="3" t="s">
        <v>399</v>
      </c>
      <c r="I3" s="3" t="s">
        <v>400</v>
      </c>
      <c r="J3" s="3" t="s">
        <v>401</v>
      </c>
      <c r="K3" s="3" t="s">
        <v>402</v>
      </c>
      <c r="L3" s="3" t="s">
        <v>403</v>
      </c>
      <c r="M3" s="3" t="s">
        <v>404</v>
      </c>
      <c r="N3" s="3" t="s">
        <v>405</v>
      </c>
      <c r="O3" s="3" t="s">
        <v>247</v>
      </c>
      <c r="P3" s="3" t="s">
        <v>406</v>
      </c>
      <c r="Q3" s="3" t="s">
        <v>407</v>
      </c>
      <c r="R3" s="3" t="s">
        <v>408</v>
      </c>
    </row>
    <row r="4" spans="1:18" x14ac:dyDescent="0.2">
      <c r="A4" s="2" t="s">
        <v>409</v>
      </c>
      <c r="B4" s="2" t="s">
        <v>258</v>
      </c>
      <c r="C4" s="2" t="s">
        <v>410</v>
      </c>
      <c r="D4" s="2">
        <f>INDEX(Samples!$F$4:$F$32,MATCH(B4,Samples!$A$4:$A$32,0))</f>
        <v>770418</v>
      </c>
      <c r="E4" s="2" t="s">
        <v>129</v>
      </c>
      <c r="F4" s="2" t="s">
        <v>411</v>
      </c>
      <c r="G4" s="7">
        <v>5.98</v>
      </c>
      <c r="H4" s="7">
        <v>6</v>
      </c>
      <c r="I4" s="2">
        <v>85971</v>
      </c>
      <c r="J4" s="2" t="s">
        <v>412</v>
      </c>
      <c r="K4" s="2" t="s">
        <v>413</v>
      </c>
      <c r="L4" s="7">
        <f>ROUND((DATE(VALUE(RIGHT(E4,4)),VALUE(LEFT(E4,2)),VALUE(MID(E4,4,2)))+VALUE(LEFT(F4,2))/Parameters!$B$28+VALUE(RIGHT(F4,2))/Parameters!$B$29-INDEX(Samples!$X$4:$X$32,MATCH(B4,Samples!$A$4:$A$32,0)))*Parameters!$B$28,2)</f>
        <v>169.77</v>
      </c>
      <c r="M4" s="7">
        <f>ROUND(L4/Parameters!$B$28,2)</f>
        <v>7.07</v>
      </c>
      <c r="N4" s="2" t="str">
        <f>IF(ABS(L4-Parameters!$B$20)&lt;=Parameters!$B$21,"Yes","No")</f>
        <v>No</v>
      </c>
      <c r="O4" s="2" t="str">
        <f>INDEX(Samples!$P$4:$P$32,MATCH(B4,Samples!$A$4:$A$32,0))</f>
        <v>Standard</v>
      </c>
      <c r="P4" s="9">
        <f t="shared" ref="P4:P35" si="0">ROUND(PI()*((G4+H4)/2)^2/4,4)</f>
        <v>28.1802</v>
      </c>
      <c r="Q4" s="2">
        <f>ROUND(I4/(PI()*((G4+H4)/2)^2/4)/Parameters!$B$27,0)*Parameters!$B$27</f>
        <v>3050</v>
      </c>
      <c r="R4" s="2" t="str">
        <f t="shared" ref="R4:R35" si="1">IF(AND(N4="Yes",O4="Standard",K4="No"),"Yes","No")</f>
        <v>No</v>
      </c>
    </row>
    <row r="5" spans="1:18" x14ac:dyDescent="0.2">
      <c r="A5" s="2" t="s">
        <v>414</v>
      </c>
      <c r="B5" s="2" t="s">
        <v>258</v>
      </c>
      <c r="C5" s="2" t="s">
        <v>415</v>
      </c>
      <c r="D5" s="2">
        <f>INDEX(Samples!$F$4:$F$32,MATCH(B5,Samples!$A$4:$A$32,0))</f>
        <v>770418</v>
      </c>
      <c r="E5" s="2" t="s">
        <v>204</v>
      </c>
      <c r="F5" s="2" t="s">
        <v>416</v>
      </c>
      <c r="G5" s="7">
        <v>6.02</v>
      </c>
      <c r="H5" s="7">
        <v>6.04</v>
      </c>
      <c r="I5" s="2">
        <v>125397</v>
      </c>
      <c r="J5" s="2" t="s">
        <v>417</v>
      </c>
      <c r="K5" s="2" t="s">
        <v>413</v>
      </c>
      <c r="L5" s="7">
        <f>ROUND((DATE(VALUE(RIGHT(E5,4)),VALUE(LEFT(E5,2)),VALUE(MID(E5,4,2)))+VALUE(LEFT(F5,2))/Parameters!$B$28+VALUE(RIGHT(F5,2))/Parameters!$B$29-INDEX(Samples!$X$4:$X$32,MATCH(B5,Samples!$A$4:$A$32,0)))*Parameters!$B$28,2)</f>
        <v>674.82</v>
      </c>
      <c r="M5" s="7">
        <f>ROUND(L5/Parameters!$B$28,2)</f>
        <v>28.12</v>
      </c>
      <c r="N5" s="2" t="str">
        <f>IF(ABS(L5-Parameters!$B$20)&lt;=Parameters!$B$21,"Yes","No")</f>
        <v>Yes</v>
      </c>
      <c r="O5" s="2" t="str">
        <f>INDEX(Samples!$P$4:$P$32,MATCH(B5,Samples!$A$4:$A$32,0))</f>
        <v>Standard</v>
      </c>
      <c r="P5" s="9">
        <f t="shared" si="0"/>
        <v>28.5578</v>
      </c>
      <c r="Q5" s="2">
        <f>ROUND(I5/(PI()*((G5+H5)/2)^2/4)/Parameters!$B$27,0)*Parameters!$B$27</f>
        <v>4390</v>
      </c>
      <c r="R5" s="2" t="str">
        <f t="shared" si="1"/>
        <v>Yes</v>
      </c>
    </row>
    <row r="6" spans="1:18" x14ac:dyDescent="0.2">
      <c r="A6" s="2" t="s">
        <v>418</v>
      </c>
      <c r="B6" s="2" t="s">
        <v>258</v>
      </c>
      <c r="C6" s="2" t="s">
        <v>419</v>
      </c>
      <c r="D6" s="2">
        <f>INDEX(Samples!$F$4:$F$32,MATCH(B6,Samples!$A$4:$A$32,0))</f>
        <v>770418</v>
      </c>
      <c r="E6" s="2" t="s">
        <v>204</v>
      </c>
      <c r="F6" s="2" t="s">
        <v>420</v>
      </c>
      <c r="G6" s="7">
        <v>6.01</v>
      </c>
      <c r="H6" s="7">
        <v>6.01</v>
      </c>
      <c r="I6" s="2">
        <v>116595</v>
      </c>
      <c r="J6" s="2" t="s">
        <v>412</v>
      </c>
      <c r="K6" s="2" t="s">
        <v>413</v>
      </c>
      <c r="L6" s="7">
        <f>ROUND((DATE(VALUE(RIGHT(E6,4)),VALUE(LEFT(E6,2)),VALUE(MID(E6,4,2)))+VALUE(LEFT(F6,2))/Parameters!$B$28+VALUE(RIGHT(F6,2))/Parameters!$B$29-INDEX(Samples!$X$4:$X$32,MATCH(B6,Samples!$A$4:$A$32,0)))*Parameters!$B$28,2)</f>
        <v>674.93</v>
      </c>
      <c r="M6" s="7">
        <f>ROUND(L6/Parameters!$B$28,2)</f>
        <v>28.12</v>
      </c>
      <c r="N6" s="2" t="str">
        <f>IF(ABS(L6-Parameters!$B$20)&lt;=Parameters!$B$21,"Yes","No")</f>
        <v>Yes</v>
      </c>
      <c r="O6" s="2" t="str">
        <f>INDEX(Samples!$P$4:$P$32,MATCH(B6,Samples!$A$4:$A$32,0))</f>
        <v>Standard</v>
      </c>
      <c r="P6" s="9">
        <f t="shared" si="0"/>
        <v>28.3687</v>
      </c>
      <c r="Q6" s="2">
        <f>ROUND(I6/(PI()*((G6+H6)/2)^2/4)/Parameters!$B$27,0)*Parameters!$B$27</f>
        <v>4110</v>
      </c>
      <c r="R6" s="2" t="str">
        <f t="shared" si="1"/>
        <v>Yes</v>
      </c>
    </row>
    <row r="7" spans="1:18" x14ac:dyDescent="0.2">
      <c r="A7" s="2" t="s">
        <v>421</v>
      </c>
      <c r="B7" s="2" t="s">
        <v>258</v>
      </c>
      <c r="C7" s="2" t="s">
        <v>422</v>
      </c>
      <c r="D7" s="2">
        <f>INDEX(Samples!$F$4:$F$32,MATCH(B7,Samples!$A$4:$A$32,0))</f>
        <v>770418</v>
      </c>
      <c r="E7" s="2" t="s">
        <v>423</v>
      </c>
      <c r="F7" s="2" t="s">
        <v>424</v>
      </c>
      <c r="G7" s="7">
        <v>6.01</v>
      </c>
      <c r="H7" s="7">
        <v>6.01</v>
      </c>
      <c r="I7" s="2">
        <v>131625</v>
      </c>
      <c r="J7" s="2" t="s">
        <v>425</v>
      </c>
      <c r="K7" s="2" t="s">
        <v>413</v>
      </c>
      <c r="L7" s="7">
        <f>ROUND((DATE(VALUE(RIGHT(E7,4)),VALUE(LEFT(E7,2)),VALUE(MID(E7,4,2)))+VALUE(LEFT(F7,2))/Parameters!$B$28+VALUE(RIGHT(F7,2))/Parameters!$B$29-INDEX(Samples!$X$4:$X$32,MATCH(B7,Samples!$A$4:$A$32,0)))*Parameters!$B$28,2)</f>
        <v>1350.72</v>
      </c>
      <c r="M7" s="7">
        <f>ROUND(L7/Parameters!$B$28,2)</f>
        <v>56.28</v>
      </c>
      <c r="N7" s="2" t="str">
        <f>IF(ABS(L7-Parameters!$B$20)&lt;=Parameters!$B$21,"Yes","No")</f>
        <v>No</v>
      </c>
      <c r="O7" s="2" t="str">
        <f>INDEX(Samples!$P$4:$P$32,MATCH(B7,Samples!$A$4:$A$32,0))</f>
        <v>Standard</v>
      </c>
      <c r="P7" s="9">
        <f t="shared" si="0"/>
        <v>28.3687</v>
      </c>
      <c r="Q7" s="2">
        <f>ROUND(I7/(PI()*((G7+H7)/2)^2/4)/Parameters!$B$27,0)*Parameters!$B$27</f>
        <v>4640</v>
      </c>
      <c r="R7" s="2" t="str">
        <f t="shared" si="1"/>
        <v>No</v>
      </c>
    </row>
    <row r="8" spans="1:18" x14ac:dyDescent="0.2">
      <c r="A8" s="2" t="s">
        <v>426</v>
      </c>
      <c r="B8" s="2" t="s">
        <v>267</v>
      </c>
      <c r="C8" s="2" t="s">
        <v>410</v>
      </c>
      <c r="D8" s="2">
        <f>INDEX(Samples!$F$4:$F$32,MATCH(B8,Samples!$A$4:$A$32,0))</f>
        <v>770653</v>
      </c>
      <c r="E8" s="2" t="s">
        <v>134</v>
      </c>
      <c r="F8" s="2" t="s">
        <v>427</v>
      </c>
      <c r="G8" s="7">
        <v>6</v>
      </c>
      <c r="H8" s="7">
        <v>6</v>
      </c>
      <c r="I8" s="2">
        <v>88767</v>
      </c>
      <c r="J8" s="2" t="s">
        <v>425</v>
      </c>
      <c r="K8" s="2" t="s">
        <v>413</v>
      </c>
      <c r="L8" s="7">
        <f>ROUND((DATE(VALUE(RIGHT(E8,4)),VALUE(LEFT(E8,2)),VALUE(MID(E8,4,2)))+VALUE(LEFT(F8,2))/Parameters!$B$28+VALUE(RIGHT(F8,2))/Parameters!$B$29-INDEX(Samples!$X$4:$X$32,MATCH(B8,Samples!$A$4:$A$32,0)))*Parameters!$B$28,2)</f>
        <v>168.4</v>
      </c>
      <c r="M8" s="7">
        <f>ROUND(L8/Parameters!$B$28,2)</f>
        <v>7.02</v>
      </c>
      <c r="N8" s="2" t="str">
        <f>IF(ABS(L8-Parameters!$B$20)&lt;=Parameters!$B$21,"Yes","No")</f>
        <v>No</v>
      </c>
      <c r="O8" s="2" t="str">
        <f>INDEX(Samples!$P$4:$P$32,MATCH(B8,Samples!$A$4:$A$32,0))</f>
        <v>Standard</v>
      </c>
      <c r="P8" s="9">
        <f t="shared" si="0"/>
        <v>28.2743</v>
      </c>
      <c r="Q8" s="2">
        <f>ROUND(I8/(PI()*((G8+H8)/2)^2/4)/Parameters!$B$27,0)*Parameters!$B$27</f>
        <v>3140</v>
      </c>
      <c r="R8" s="2" t="str">
        <f t="shared" si="1"/>
        <v>No</v>
      </c>
    </row>
    <row r="9" spans="1:18" x14ac:dyDescent="0.2">
      <c r="A9" s="2" t="s">
        <v>428</v>
      </c>
      <c r="B9" s="2" t="s">
        <v>267</v>
      </c>
      <c r="C9" s="2" t="s">
        <v>415</v>
      </c>
      <c r="D9" s="2">
        <f>INDEX(Samples!$F$4:$F$32,MATCH(B9,Samples!$A$4:$A$32,0))</f>
        <v>770653</v>
      </c>
      <c r="E9" s="2" t="s">
        <v>209</v>
      </c>
      <c r="F9" s="2" t="s">
        <v>287</v>
      </c>
      <c r="G9" s="7">
        <v>6.01</v>
      </c>
      <c r="H9" s="7">
        <v>6.01</v>
      </c>
      <c r="I9" s="2">
        <v>126828</v>
      </c>
      <c r="J9" s="2" t="s">
        <v>412</v>
      </c>
      <c r="K9" s="2" t="s">
        <v>413</v>
      </c>
      <c r="L9" s="7">
        <f>ROUND((DATE(VALUE(RIGHT(E9,4)),VALUE(LEFT(E9,2)),VALUE(MID(E9,4,2)))+VALUE(LEFT(F9,2))/Parameters!$B$28+VALUE(RIGHT(F9,2))/Parameters!$B$29-INDEX(Samples!$X$4:$X$32,MATCH(B9,Samples!$A$4:$A$32,0)))*Parameters!$B$28,2)</f>
        <v>673.6</v>
      </c>
      <c r="M9" s="7">
        <f>ROUND(L9/Parameters!$B$28,2)</f>
        <v>28.07</v>
      </c>
      <c r="N9" s="2" t="str">
        <f>IF(ABS(L9-Parameters!$B$20)&lt;=Parameters!$B$21,"Yes","No")</f>
        <v>Yes</v>
      </c>
      <c r="O9" s="2" t="str">
        <f>INDEX(Samples!$P$4:$P$32,MATCH(B9,Samples!$A$4:$A$32,0))</f>
        <v>Standard</v>
      </c>
      <c r="P9" s="9">
        <f t="shared" si="0"/>
        <v>28.3687</v>
      </c>
      <c r="Q9" s="2">
        <f>ROUND(I9/(PI()*((G9+H9)/2)^2/4)/Parameters!$B$27,0)*Parameters!$B$27</f>
        <v>4470</v>
      </c>
      <c r="R9" s="2" t="str">
        <f t="shared" si="1"/>
        <v>Yes</v>
      </c>
    </row>
    <row r="10" spans="1:18" x14ac:dyDescent="0.2">
      <c r="A10" s="2" t="s">
        <v>429</v>
      </c>
      <c r="B10" s="2" t="s">
        <v>267</v>
      </c>
      <c r="C10" s="2" t="s">
        <v>419</v>
      </c>
      <c r="D10" s="2">
        <f>INDEX(Samples!$F$4:$F$32,MATCH(B10,Samples!$A$4:$A$32,0))</f>
        <v>770653</v>
      </c>
      <c r="E10" s="2" t="s">
        <v>209</v>
      </c>
      <c r="F10" s="2" t="s">
        <v>430</v>
      </c>
      <c r="G10" s="7">
        <v>6</v>
      </c>
      <c r="H10" s="7">
        <v>5.98</v>
      </c>
      <c r="I10" s="2">
        <v>123712</v>
      </c>
      <c r="J10" s="2" t="s">
        <v>425</v>
      </c>
      <c r="K10" s="2" t="s">
        <v>413</v>
      </c>
      <c r="L10" s="7">
        <f>ROUND((DATE(VALUE(RIGHT(E10,4)),VALUE(LEFT(E10,2)),VALUE(MID(E10,4,2)))+VALUE(LEFT(F10,2))/Parameters!$B$28+VALUE(RIGHT(F10,2))/Parameters!$B$29-INDEX(Samples!$X$4:$X$32,MATCH(B10,Samples!$A$4:$A$32,0)))*Parameters!$B$28,2)</f>
        <v>673.75</v>
      </c>
      <c r="M10" s="7">
        <f>ROUND(L10/Parameters!$B$28,2)</f>
        <v>28.07</v>
      </c>
      <c r="N10" s="2" t="str">
        <f>IF(ABS(L10-Parameters!$B$20)&lt;=Parameters!$B$21,"Yes","No")</f>
        <v>Yes</v>
      </c>
      <c r="O10" s="2" t="str">
        <f>INDEX(Samples!$P$4:$P$32,MATCH(B10,Samples!$A$4:$A$32,0))</f>
        <v>Standard</v>
      </c>
      <c r="P10" s="9">
        <f t="shared" si="0"/>
        <v>28.1802</v>
      </c>
      <c r="Q10" s="2">
        <f>ROUND(I10/(PI()*((G10+H10)/2)^2/4)/Parameters!$B$27,0)*Parameters!$B$27</f>
        <v>4390</v>
      </c>
      <c r="R10" s="2" t="str">
        <f t="shared" si="1"/>
        <v>Yes</v>
      </c>
    </row>
    <row r="11" spans="1:18" x14ac:dyDescent="0.2">
      <c r="A11" s="2" t="s">
        <v>431</v>
      </c>
      <c r="B11" s="2" t="s">
        <v>267</v>
      </c>
      <c r="C11" s="2" t="s">
        <v>422</v>
      </c>
      <c r="D11" s="2">
        <f>INDEX(Samples!$F$4:$F$32,MATCH(B11,Samples!$A$4:$A$32,0))</f>
        <v>770653</v>
      </c>
      <c r="E11" s="2" t="s">
        <v>432</v>
      </c>
      <c r="F11" s="2" t="s">
        <v>433</v>
      </c>
      <c r="G11" s="7">
        <v>6.02</v>
      </c>
      <c r="H11" s="7">
        <v>5.98</v>
      </c>
      <c r="I11" s="2">
        <v>134586</v>
      </c>
      <c r="J11" s="2" t="s">
        <v>412</v>
      </c>
      <c r="K11" s="2" t="s">
        <v>413</v>
      </c>
      <c r="L11" s="7">
        <f>ROUND((DATE(VALUE(RIGHT(E11,4)),VALUE(LEFT(E11,2)),VALUE(MID(E11,4,2)))+VALUE(LEFT(F11,2))/Parameters!$B$28+VALUE(RIGHT(F11,2))/Parameters!$B$29-INDEX(Samples!$X$4:$X$32,MATCH(B11,Samples!$A$4:$A$32,0)))*Parameters!$B$28,2)</f>
        <v>1350.35</v>
      </c>
      <c r="M11" s="7">
        <f>ROUND(L11/Parameters!$B$28,2)</f>
        <v>56.26</v>
      </c>
      <c r="N11" s="2" t="str">
        <f>IF(ABS(L11-Parameters!$B$20)&lt;=Parameters!$B$21,"Yes","No")</f>
        <v>No</v>
      </c>
      <c r="O11" s="2" t="str">
        <f>INDEX(Samples!$P$4:$P$32,MATCH(B11,Samples!$A$4:$A$32,0))</f>
        <v>Standard</v>
      </c>
      <c r="P11" s="9">
        <f t="shared" si="0"/>
        <v>28.2743</v>
      </c>
      <c r="Q11" s="2">
        <f>ROUND(I11/(PI()*((G11+H11)/2)^2/4)/Parameters!$B$27,0)*Parameters!$B$27</f>
        <v>4760</v>
      </c>
      <c r="R11" s="2" t="str">
        <f t="shared" si="1"/>
        <v>No</v>
      </c>
    </row>
    <row r="12" spans="1:18" x14ac:dyDescent="0.2">
      <c r="A12" s="2" t="s">
        <v>434</v>
      </c>
      <c r="B12" s="2" t="s">
        <v>271</v>
      </c>
      <c r="C12" s="2" t="s">
        <v>410</v>
      </c>
      <c r="D12" s="2">
        <f>INDEX(Samples!$F$4:$F$32,MATCH(B12,Samples!$A$4:$A$32,0))</f>
        <v>771106</v>
      </c>
      <c r="E12" s="2" t="s">
        <v>154</v>
      </c>
      <c r="F12" s="2" t="s">
        <v>435</v>
      </c>
      <c r="G12" s="7">
        <v>5.98</v>
      </c>
      <c r="H12" s="7">
        <v>6</v>
      </c>
      <c r="I12" s="2">
        <v>83429</v>
      </c>
      <c r="J12" s="2" t="s">
        <v>412</v>
      </c>
      <c r="K12" s="2" t="s">
        <v>413</v>
      </c>
      <c r="L12" s="7">
        <f>ROUND((DATE(VALUE(RIGHT(E12,4)),VALUE(LEFT(E12,2)),VALUE(MID(E12,4,2)))+VALUE(LEFT(F12,2))/Parameters!$B$28+VALUE(RIGHT(F12,2))/Parameters!$B$29-INDEX(Samples!$X$4:$X$32,MATCH(B12,Samples!$A$4:$A$32,0)))*Parameters!$B$28,2)</f>
        <v>169.87</v>
      </c>
      <c r="M12" s="7">
        <f>ROUND(L12/Parameters!$B$28,2)</f>
        <v>7.08</v>
      </c>
      <c r="N12" s="2" t="str">
        <f>IF(ABS(L12-Parameters!$B$20)&lt;=Parameters!$B$21,"Yes","No")</f>
        <v>No</v>
      </c>
      <c r="O12" s="2" t="str">
        <f>INDEX(Samples!$P$4:$P$32,MATCH(B12,Samples!$A$4:$A$32,0))</f>
        <v>Standard</v>
      </c>
      <c r="P12" s="9">
        <f t="shared" si="0"/>
        <v>28.1802</v>
      </c>
      <c r="Q12" s="2">
        <f>ROUND(I12/(PI()*((G12+H12)/2)^2/4)/Parameters!$B$27,0)*Parameters!$B$27</f>
        <v>2960</v>
      </c>
      <c r="R12" s="2" t="str">
        <f t="shared" si="1"/>
        <v>No</v>
      </c>
    </row>
    <row r="13" spans="1:18" x14ac:dyDescent="0.2">
      <c r="A13" s="2" t="s">
        <v>436</v>
      </c>
      <c r="B13" s="2" t="s">
        <v>271</v>
      </c>
      <c r="C13" s="2" t="s">
        <v>415</v>
      </c>
      <c r="D13" s="2">
        <f>INDEX(Samples!$F$4:$F$32,MATCH(B13,Samples!$A$4:$A$32,0))</f>
        <v>771106</v>
      </c>
      <c r="E13" s="2" t="s">
        <v>219</v>
      </c>
      <c r="F13" s="2" t="s">
        <v>211</v>
      </c>
      <c r="G13" s="7">
        <v>5.99</v>
      </c>
      <c r="H13" s="7">
        <v>5.97</v>
      </c>
      <c r="I13" s="2">
        <v>116854</v>
      </c>
      <c r="J13" s="2" t="s">
        <v>412</v>
      </c>
      <c r="K13" s="2" t="s">
        <v>413</v>
      </c>
      <c r="L13" s="7">
        <f>ROUND((DATE(VALUE(RIGHT(E13,4)),VALUE(LEFT(E13,2)),VALUE(MID(E13,4,2)))+VALUE(LEFT(F13,2))/Parameters!$B$28+VALUE(RIGHT(F13,2))/Parameters!$B$29-INDEX(Samples!$X$4:$X$32,MATCH(B13,Samples!$A$4:$A$32,0)))*Parameters!$B$28,2)</f>
        <v>697.72</v>
      </c>
      <c r="M13" s="7">
        <f>ROUND(L13/Parameters!$B$28,2)</f>
        <v>29.07</v>
      </c>
      <c r="N13" s="2" t="str">
        <f>IF(ABS(L13-Parameters!$B$20)&lt;=Parameters!$B$21,"Yes","No")</f>
        <v>No</v>
      </c>
      <c r="O13" s="2" t="str">
        <f>INDEX(Samples!$P$4:$P$32,MATCH(B13,Samples!$A$4:$A$32,0))</f>
        <v>Standard</v>
      </c>
      <c r="P13" s="9">
        <f t="shared" si="0"/>
        <v>28.0862</v>
      </c>
      <c r="Q13" s="2">
        <f>ROUND(I13/(PI()*((G13+H13)/2)^2/4)/Parameters!$B$27,0)*Parameters!$B$27</f>
        <v>4160</v>
      </c>
      <c r="R13" s="2" t="str">
        <f t="shared" si="1"/>
        <v>No</v>
      </c>
    </row>
    <row r="14" spans="1:18" x14ac:dyDescent="0.2">
      <c r="A14" s="2" t="s">
        <v>437</v>
      </c>
      <c r="B14" s="2" t="s">
        <v>271</v>
      </c>
      <c r="C14" s="2" t="s">
        <v>419</v>
      </c>
      <c r="D14" s="2">
        <f>INDEX(Samples!$F$4:$F$32,MATCH(B14,Samples!$A$4:$A$32,0))</f>
        <v>771106</v>
      </c>
      <c r="E14" s="2" t="s">
        <v>219</v>
      </c>
      <c r="F14" s="2" t="s">
        <v>438</v>
      </c>
      <c r="G14" s="7">
        <v>6.02</v>
      </c>
      <c r="H14" s="7">
        <v>6</v>
      </c>
      <c r="I14" s="2">
        <v>115719</v>
      </c>
      <c r="J14" s="2" t="s">
        <v>412</v>
      </c>
      <c r="K14" s="2" t="s">
        <v>413</v>
      </c>
      <c r="L14" s="7">
        <f>ROUND((DATE(VALUE(RIGHT(E14,4)),VALUE(LEFT(E14,2)),VALUE(MID(E14,4,2)))+VALUE(LEFT(F14,2))/Parameters!$B$28+VALUE(RIGHT(F14,2))/Parameters!$B$29-INDEX(Samples!$X$4:$X$32,MATCH(B14,Samples!$A$4:$A$32,0)))*Parameters!$B$28,2)</f>
        <v>697.83</v>
      </c>
      <c r="M14" s="7">
        <f>ROUND(L14/Parameters!$B$28,2)</f>
        <v>29.08</v>
      </c>
      <c r="N14" s="2" t="str">
        <f>IF(ABS(L14-Parameters!$B$20)&lt;=Parameters!$B$21,"Yes","No")</f>
        <v>No</v>
      </c>
      <c r="O14" s="2" t="str">
        <f>INDEX(Samples!$P$4:$P$32,MATCH(B14,Samples!$A$4:$A$32,0))</f>
        <v>Standard</v>
      </c>
      <c r="P14" s="9">
        <f t="shared" si="0"/>
        <v>28.3687</v>
      </c>
      <c r="Q14" s="2">
        <f>ROUND(I14/(PI()*((G14+H14)/2)^2/4)/Parameters!$B$27,0)*Parameters!$B$27</f>
        <v>4080</v>
      </c>
      <c r="R14" s="2" t="str">
        <f t="shared" si="1"/>
        <v>No</v>
      </c>
    </row>
    <row r="15" spans="1:18" x14ac:dyDescent="0.2">
      <c r="A15" s="2" t="s">
        <v>439</v>
      </c>
      <c r="B15" s="2" t="s">
        <v>271</v>
      </c>
      <c r="C15" s="2" t="s">
        <v>422</v>
      </c>
      <c r="D15" s="2">
        <f>INDEX(Samples!$F$4:$F$32,MATCH(B15,Samples!$A$4:$A$32,0))</f>
        <v>771106</v>
      </c>
      <c r="E15" s="2" t="s">
        <v>440</v>
      </c>
      <c r="F15" s="2" t="s">
        <v>137</v>
      </c>
      <c r="G15" s="7">
        <v>5.97</v>
      </c>
      <c r="H15" s="7">
        <v>5.97</v>
      </c>
      <c r="I15" s="2">
        <v>125131</v>
      </c>
      <c r="J15" s="2" t="s">
        <v>412</v>
      </c>
      <c r="K15" s="2" t="s">
        <v>413</v>
      </c>
      <c r="L15" s="7">
        <f>ROUND((DATE(VALUE(RIGHT(E15,4)),VALUE(LEFT(E15,2)),VALUE(MID(E15,4,2)))+VALUE(LEFT(F15,2))/Parameters!$B$28+VALUE(RIGHT(F15,2))/Parameters!$B$29-INDEX(Samples!$X$4:$X$32,MATCH(B15,Samples!$A$4:$A$32,0)))*Parameters!$B$28,2)</f>
        <v>1348.72</v>
      </c>
      <c r="M15" s="7">
        <f>ROUND(L15/Parameters!$B$28,2)</f>
        <v>56.2</v>
      </c>
      <c r="N15" s="2" t="str">
        <f>IF(ABS(L15-Parameters!$B$20)&lt;=Parameters!$B$21,"Yes","No")</f>
        <v>No</v>
      </c>
      <c r="O15" s="2" t="str">
        <f>INDEX(Samples!$P$4:$P$32,MATCH(B15,Samples!$A$4:$A$32,0))</f>
        <v>Standard</v>
      </c>
      <c r="P15" s="9">
        <f t="shared" si="0"/>
        <v>27.9923</v>
      </c>
      <c r="Q15" s="2">
        <f>ROUND(I15/(PI()*((G15+H15)/2)^2/4)/Parameters!$B$27,0)*Parameters!$B$27</f>
        <v>4470</v>
      </c>
      <c r="R15" s="2" t="str">
        <f t="shared" si="1"/>
        <v>No</v>
      </c>
    </row>
    <row r="16" spans="1:18" x14ac:dyDescent="0.2">
      <c r="A16" s="2" t="s">
        <v>441</v>
      </c>
      <c r="B16" s="2" t="s">
        <v>276</v>
      </c>
      <c r="C16" s="2" t="s">
        <v>410</v>
      </c>
      <c r="D16" s="2">
        <f>INDEX(Samples!$F$4:$F$32,MATCH(B16,Samples!$A$4:$A$32,0))</f>
        <v>771131</v>
      </c>
      <c r="E16" s="2" t="s">
        <v>154</v>
      </c>
      <c r="F16" s="2" t="s">
        <v>442</v>
      </c>
      <c r="G16" s="7">
        <v>6</v>
      </c>
      <c r="H16" s="7">
        <v>6</v>
      </c>
      <c r="I16" s="2">
        <v>84560</v>
      </c>
      <c r="J16" s="2" t="s">
        <v>412</v>
      </c>
      <c r="K16" s="2" t="s">
        <v>413</v>
      </c>
      <c r="L16" s="7">
        <f>ROUND((DATE(VALUE(RIGHT(E16,4)),VALUE(LEFT(E16,2)),VALUE(MID(E16,4,2)))+VALUE(LEFT(F16,2))/Parameters!$B$28+VALUE(RIGHT(F16,2))/Parameters!$B$29-INDEX(Samples!$X$4:$X$32,MATCH(B16,Samples!$A$4:$A$32,0)))*Parameters!$B$28,2)</f>
        <v>167.87</v>
      </c>
      <c r="M16" s="7">
        <f>ROUND(L16/Parameters!$B$28,2)</f>
        <v>6.99</v>
      </c>
      <c r="N16" s="2" t="str">
        <f>IF(ABS(L16-Parameters!$B$20)&lt;=Parameters!$B$21,"Yes","No")</f>
        <v>No</v>
      </c>
      <c r="O16" s="2" t="str">
        <f>INDEX(Samples!$P$4:$P$32,MATCH(B16,Samples!$A$4:$A$32,0))</f>
        <v>Standard</v>
      </c>
      <c r="P16" s="9">
        <f t="shared" si="0"/>
        <v>28.2743</v>
      </c>
      <c r="Q16" s="2">
        <f>ROUND(I16/(PI()*((G16+H16)/2)^2/4)/Parameters!$B$27,0)*Parameters!$B$27</f>
        <v>2990</v>
      </c>
      <c r="R16" s="2" t="str">
        <f t="shared" si="1"/>
        <v>No</v>
      </c>
    </row>
    <row r="17" spans="1:18" x14ac:dyDescent="0.2">
      <c r="A17" s="2" t="s">
        <v>443</v>
      </c>
      <c r="B17" s="2" t="s">
        <v>276</v>
      </c>
      <c r="C17" s="2" t="s">
        <v>415</v>
      </c>
      <c r="D17" s="2">
        <f>INDEX(Samples!$F$4:$F$32,MATCH(B17,Samples!$A$4:$A$32,0))</f>
        <v>771131</v>
      </c>
      <c r="E17" s="2" t="s">
        <v>219</v>
      </c>
      <c r="F17" s="2" t="s">
        <v>126</v>
      </c>
      <c r="G17" s="7">
        <v>5.99</v>
      </c>
      <c r="H17" s="7">
        <v>6.01</v>
      </c>
      <c r="I17" s="2">
        <v>113697</v>
      </c>
      <c r="J17" s="2" t="s">
        <v>444</v>
      </c>
      <c r="K17" s="2" t="s">
        <v>413</v>
      </c>
      <c r="L17" s="7">
        <f>ROUND((DATE(VALUE(RIGHT(E17,4)),VALUE(LEFT(E17,2)),VALUE(MID(E17,4,2)))+VALUE(LEFT(F17,2))/Parameters!$B$28+VALUE(RIGHT(F17,2))/Parameters!$B$29-INDEX(Samples!$X$4:$X$32,MATCH(B17,Samples!$A$4:$A$32,0)))*Parameters!$B$28,2)</f>
        <v>694.53</v>
      </c>
      <c r="M17" s="7">
        <f>ROUND(L17/Parameters!$B$28,2)</f>
        <v>28.94</v>
      </c>
      <c r="N17" s="2" t="str">
        <f>IF(ABS(L17-Parameters!$B$20)&lt;=Parameters!$B$21,"Yes","No")</f>
        <v>No</v>
      </c>
      <c r="O17" s="2" t="str">
        <f>INDEX(Samples!$P$4:$P$32,MATCH(B17,Samples!$A$4:$A$32,0))</f>
        <v>Standard</v>
      </c>
      <c r="P17" s="9">
        <f t="shared" si="0"/>
        <v>28.2743</v>
      </c>
      <c r="Q17" s="2">
        <f>ROUND(I17/(PI()*((G17+H17)/2)^2/4)/Parameters!$B$27,0)*Parameters!$B$27</f>
        <v>4020</v>
      </c>
      <c r="R17" s="2" t="str">
        <f t="shared" si="1"/>
        <v>No</v>
      </c>
    </row>
    <row r="18" spans="1:18" x14ac:dyDescent="0.2">
      <c r="A18" s="2" t="s">
        <v>445</v>
      </c>
      <c r="B18" s="2" t="s">
        <v>276</v>
      </c>
      <c r="C18" s="2" t="s">
        <v>419</v>
      </c>
      <c r="D18" s="2">
        <f>INDEX(Samples!$F$4:$F$32,MATCH(B18,Samples!$A$4:$A$32,0))</f>
        <v>771131</v>
      </c>
      <c r="E18" s="2" t="s">
        <v>219</v>
      </c>
      <c r="F18" s="2" t="s">
        <v>446</v>
      </c>
      <c r="G18" s="7">
        <v>6.01</v>
      </c>
      <c r="H18" s="7">
        <v>6.01</v>
      </c>
      <c r="I18" s="2">
        <v>116281</v>
      </c>
      <c r="J18" s="2" t="s">
        <v>444</v>
      </c>
      <c r="K18" s="2" t="s">
        <v>413</v>
      </c>
      <c r="L18" s="7">
        <f>ROUND((DATE(VALUE(RIGHT(E18,4)),VALUE(LEFT(E18,2)),VALUE(MID(E18,4,2)))+VALUE(LEFT(F18,2))/Parameters!$B$28+VALUE(RIGHT(F18,2))/Parameters!$B$29-INDEX(Samples!$X$4:$X$32,MATCH(B18,Samples!$A$4:$A$32,0)))*Parameters!$B$28,2)</f>
        <v>694.65</v>
      </c>
      <c r="M18" s="7">
        <f>ROUND(L18/Parameters!$B$28,2)</f>
        <v>28.94</v>
      </c>
      <c r="N18" s="2" t="str">
        <f>IF(ABS(L18-Parameters!$B$20)&lt;=Parameters!$B$21,"Yes","No")</f>
        <v>No</v>
      </c>
      <c r="O18" s="2" t="str">
        <f>INDEX(Samples!$P$4:$P$32,MATCH(B18,Samples!$A$4:$A$32,0))</f>
        <v>Standard</v>
      </c>
      <c r="P18" s="9">
        <f t="shared" si="0"/>
        <v>28.3687</v>
      </c>
      <c r="Q18" s="2">
        <f>ROUND(I18/(PI()*((G18+H18)/2)^2/4)/Parameters!$B$27,0)*Parameters!$B$27</f>
        <v>4100</v>
      </c>
      <c r="R18" s="2" t="str">
        <f t="shared" si="1"/>
        <v>No</v>
      </c>
    </row>
    <row r="19" spans="1:18" x14ac:dyDescent="0.2">
      <c r="A19" s="2" t="s">
        <v>447</v>
      </c>
      <c r="B19" s="2" t="s">
        <v>276</v>
      </c>
      <c r="C19" s="2" t="s">
        <v>422</v>
      </c>
      <c r="D19" s="2">
        <f>INDEX(Samples!$F$4:$F$32,MATCH(B19,Samples!$A$4:$A$32,0))</f>
        <v>771131</v>
      </c>
      <c r="E19" s="2" t="s">
        <v>440</v>
      </c>
      <c r="F19" s="2" t="s">
        <v>448</v>
      </c>
      <c r="G19" s="7">
        <v>6.01</v>
      </c>
      <c r="H19" s="7">
        <v>6.01</v>
      </c>
      <c r="I19" s="2">
        <v>125919</v>
      </c>
      <c r="J19" s="2" t="s">
        <v>425</v>
      </c>
      <c r="K19" s="2" t="s">
        <v>413</v>
      </c>
      <c r="L19" s="7">
        <f>ROUND((DATE(VALUE(RIGHT(E19,4)),VALUE(LEFT(E19,2)),VALUE(MID(E19,4,2)))+VALUE(LEFT(F19,2))/Parameters!$B$28+VALUE(RIGHT(F19,2))/Parameters!$B$29-INDEX(Samples!$X$4:$X$32,MATCH(B19,Samples!$A$4:$A$32,0)))*Parameters!$B$28,2)</f>
        <v>1343.27</v>
      </c>
      <c r="M19" s="7">
        <f>ROUND(L19/Parameters!$B$28,2)</f>
        <v>55.97</v>
      </c>
      <c r="N19" s="2" t="str">
        <f>IF(ABS(L19-Parameters!$B$20)&lt;=Parameters!$B$21,"Yes","No")</f>
        <v>No</v>
      </c>
      <c r="O19" s="2" t="str">
        <f>INDEX(Samples!$P$4:$P$32,MATCH(B19,Samples!$A$4:$A$32,0))</f>
        <v>Standard</v>
      </c>
      <c r="P19" s="9">
        <f t="shared" si="0"/>
        <v>28.3687</v>
      </c>
      <c r="Q19" s="2">
        <f>ROUND(I19/(PI()*((G19+H19)/2)^2/4)/Parameters!$B$27,0)*Parameters!$B$27</f>
        <v>4440</v>
      </c>
      <c r="R19" s="2" t="str">
        <f t="shared" si="1"/>
        <v>No</v>
      </c>
    </row>
    <row r="20" spans="1:18" x14ac:dyDescent="0.2">
      <c r="A20" s="2" t="s">
        <v>449</v>
      </c>
      <c r="B20" s="2" t="s">
        <v>278</v>
      </c>
      <c r="C20" s="2" t="s">
        <v>410</v>
      </c>
      <c r="D20" s="2">
        <f>INDEX(Samples!$F$4:$F$32,MATCH(B20,Samples!$A$4:$A$32,0))</f>
        <v>771342</v>
      </c>
      <c r="E20" s="2" t="s">
        <v>164</v>
      </c>
      <c r="F20" s="2" t="s">
        <v>450</v>
      </c>
      <c r="G20" s="7">
        <v>6</v>
      </c>
      <c r="H20" s="7">
        <v>6.02</v>
      </c>
      <c r="I20" s="2">
        <v>70091</v>
      </c>
      <c r="J20" s="2" t="s">
        <v>412</v>
      </c>
      <c r="K20" s="2" t="s">
        <v>413</v>
      </c>
      <c r="L20" s="7">
        <f>ROUND((DATE(VALUE(RIGHT(E20,4)),VALUE(LEFT(E20,2)),VALUE(MID(E20,4,2)))+VALUE(LEFT(F20,2))/Parameters!$B$28+VALUE(RIGHT(F20,2))/Parameters!$B$29-INDEX(Samples!$X$4:$X$32,MATCH(B20,Samples!$A$4:$A$32,0)))*Parameters!$B$28,2)</f>
        <v>168.9</v>
      </c>
      <c r="M20" s="7">
        <f>ROUND(L20/Parameters!$B$28,2)</f>
        <v>7.04</v>
      </c>
      <c r="N20" s="2" t="str">
        <f>IF(ABS(L20-Parameters!$B$20)&lt;=Parameters!$B$21,"Yes","No")</f>
        <v>No</v>
      </c>
      <c r="O20" s="2" t="str">
        <f>INDEX(Samples!$P$4:$P$32,MATCH(B20,Samples!$A$4:$A$32,0))</f>
        <v>Standard</v>
      </c>
      <c r="P20" s="9">
        <f t="shared" si="0"/>
        <v>28.3687</v>
      </c>
      <c r="Q20" s="2">
        <f>ROUND(I20/(PI()*((G20+H20)/2)^2/4)/Parameters!$B$27,0)*Parameters!$B$27</f>
        <v>2470</v>
      </c>
      <c r="R20" s="2" t="str">
        <f t="shared" si="1"/>
        <v>No</v>
      </c>
    </row>
    <row r="21" spans="1:18" x14ac:dyDescent="0.2">
      <c r="A21" s="2" t="s">
        <v>451</v>
      </c>
      <c r="B21" s="2" t="s">
        <v>278</v>
      </c>
      <c r="C21" s="2" t="s">
        <v>415</v>
      </c>
      <c r="D21" s="2">
        <f>INDEX(Samples!$F$4:$F$32,MATCH(B21,Samples!$A$4:$A$32,0))</f>
        <v>771342</v>
      </c>
      <c r="E21" s="2" t="s">
        <v>334</v>
      </c>
      <c r="F21" s="2" t="s">
        <v>452</v>
      </c>
      <c r="G21" s="7">
        <v>5.99</v>
      </c>
      <c r="H21" s="7">
        <v>5.97</v>
      </c>
      <c r="I21" s="2">
        <v>101657</v>
      </c>
      <c r="J21" s="2" t="s">
        <v>425</v>
      </c>
      <c r="K21" s="2" t="s">
        <v>413</v>
      </c>
      <c r="L21" s="7">
        <f>ROUND((DATE(VALUE(RIGHT(E21,4)),VALUE(LEFT(E21,2)),VALUE(MID(E21,4,2)))+VALUE(LEFT(F21,2))/Parameters!$B$28+VALUE(RIGHT(F21,2))/Parameters!$B$29-INDEX(Samples!$X$4:$X$32,MATCH(B21,Samples!$A$4:$A$32,0)))*Parameters!$B$28,2)</f>
        <v>674.88</v>
      </c>
      <c r="M21" s="7">
        <f>ROUND(L21/Parameters!$B$28,2)</f>
        <v>28.12</v>
      </c>
      <c r="N21" s="2" t="str">
        <f>IF(ABS(L21-Parameters!$B$20)&lt;=Parameters!$B$21,"Yes","No")</f>
        <v>Yes</v>
      </c>
      <c r="O21" s="2" t="str">
        <f>INDEX(Samples!$P$4:$P$32,MATCH(B21,Samples!$A$4:$A$32,0))</f>
        <v>Standard</v>
      </c>
      <c r="P21" s="9">
        <f t="shared" si="0"/>
        <v>28.0862</v>
      </c>
      <c r="Q21" s="2">
        <f>ROUND(I21/(PI()*((G21+H21)/2)^2/4)/Parameters!$B$27,0)*Parameters!$B$27</f>
        <v>3620</v>
      </c>
      <c r="R21" s="2" t="str">
        <f t="shared" si="1"/>
        <v>Yes</v>
      </c>
    </row>
    <row r="22" spans="1:18" x14ac:dyDescent="0.2">
      <c r="A22" s="2" t="s">
        <v>453</v>
      </c>
      <c r="B22" s="2" t="s">
        <v>278</v>
      </c>
      <c r="C22" s="2" t="s">
        <v>419</v>
      </c>
      <c r="D22" s="2">
        <f>INDEX(Samples!$F$4:$F$32,MATCH(B22,Samples!$A$4:$A$32,0))</f>
        <v>771342</v>
      </c>
      <c r="E22" s="2" t="s">
        <v>334</v>
      </c>
      <c r="F22" s="2" t="s">
        <v>454</v>
      </c>
      <c r="G22" s="7">
        <v>5.99</v>
      </c>
      <c r="H22" s="7">
        <v>5.97</v>
      </c>
      <c r="I22" s="2">
        <v>93827</v>
      </c>
      <c r="J22" s="2" t="s">
        <v>425</v>
      </c>
      <c r="K22" s="2" t="s">
        <v>413</v>
      </c>
      <c r="L22" s="7">
        <f>ROUND((DATE(VALUE(RIGHT(E22,4)),VALUE(LEFT(E22,2)),VALUE(MID(E22,4,2)))+VALUE(LEFT(F22,2))/Parameters!$B$28+VALUE(RIGHT(F22,2))/Parameters!$B$29-INDEX(Samples!$X$4:$X$32,MATCH(B22,Samples!$A$4:$A$32,0)))*Parameters!$B$28,2)</f>
        <v>675</v>
      </c>
      <c r="M22" s="7">
        <f>ROUND(L22/Parameters!$B$28,2)</f>
        <v>28.13</v>
      </c>
      <c r="N22" s="2" t="str">
        <f>IF(ABS(L22-Parameters!$B$20)&lt;=Parameters!$B$21,"Yes","No")</f>
        <v>Yes</v>
      </c>
      <c r="O22" s="2" t="str">
        <f>INDEX(Samples!$P$4:$P$32,MATCH(B22,Samples!$A$4:$A$32,0))</f>
        <v>Standard</v>
      </c>
      <c r="P22" s="9">
        <f t="shared" si="0"/>
        <v>28.0862</v>
      </c>
      <c r="Q22" s="2">
        <f>ROUND(I22/(PI()*((G22+H22)/2)^2/4)/Parameters!$B$27,0)*Parameters!$B$27</f>
        <v>3340</v>
      </c>
      <c r="R22" s="2" t="str">
        <f t="shared" si="1"/>
        <v>Yes</v>
      </c>
    </row>
    <row r="23" spans="1:18" x14ac:dyDescent="0.2">
      <c r="A23" s="2" t="s">
        <v>455</v>
      </c>
      <c r="B23" s="2" t="s">
        <v>278</v>
      </c>
      <c r="C23" s="2" t="s">
        <v>422</v>
      </c>
      <c r="D23" s="2">
        <f>INDEX(Samples!$F$4:$F$32,MATCH(B23,Samples!$A$4:$A$32,0))</f>
        <v>771342</v>
      </c>
      <c r="E23" s="2" t="s">
        <v>456</v>
      </c>
      <c r="F23" s="2" t="s">
        <v>457</v>
      </c>
      <c r="G23" s="7">
        <v>5.99</v>
      </c>
      <c r="H23" s="7">
        <v>6.01</v>
      </c>
      <c r="I23" s="2">
        <v>104650</v>
      </c>
      <c r="J23" s="2" t="s">
        <v>412</v>
      </c>
      <c r="K23" s="2" t="s">
        <v>413</v>
      </c>
      <c r="L23" s="7">
        <f>ROUND((DATE(VALUE(RIGHT(E23,4)),VALUE(LEFT(E23,2)),VALUE(MID(E23,4,2)))+VALUE(LEFT(F23,2))/Parameters!$B$28+VALUE(RIGHT(F23,2))/Parameters!$B$29-INDEX(Samples!$X$4:$X$32,MATCH(B23,Samples!$A$4:$A$32,0)))*Parameters!$B$28,2)</f>
        <v>1346.93</v>
      </c>
      <c r="M23" s="7">
        <f>ROUND(L23/Parameters!$B$28,2)</f>
        <v>56.12</v>
      </c>
      <c r="N23" s="2" t="str">
        <f>IF(ABS(L23-Parameters!$B$20)&lt;=Parameters!$B$21,"Yes","No")</f>
        <v>No</v>
      </c>
      <c r="O23" s="2" t="str">
        <f>INDEX(Samples!$P$4:$P$32,MATCH(B23,Samples!$A$4:$A$32,0))</f>
        <v>Standard</v>
      </c>
      <c r="P23" s="9">
        <f t="shared" si="0"/>
        <v>28.2743</v>
      </c>
      <c r="Q23" s="2">
        <f>ROUND(I23/(PI()*((G23+H23)/2)^2/4)/Parameters!$B$27,0)*Parameters!$B$27</f>
        <v>3700</v>
      </c>
      <c r="R23" s="2" t="str">
        <f t="shared" si="1"/>
        <v>No</v>
      </c>
    </row>
    <row r="24" spans="1:18" x14ac:dyDescent="0.2">
      <c r="A24" s="2" t="s">
        <v>458</v>
      </c>
      <c r="B24" s="2" t="s">
        <v>282</v>
      </c>
      <c r="C24" s="2" t="s">
        <v>410</v>
      </c>
      <c r="D24" s="2">
        <f>INDEX(Samples!$F$4:$F$32,MATCH(B24,Samples!$A$4:$A$32,0))</f>
        <v>771587</v>
      </c>
      <c r="E24" s="2" t="s">
        <v>173</v>
      </c>
      <c r="F24" s="2" t="s">
        <v>430</v>
      </c>
      <c r="G24" s="7">
        <v>5.99</v>
      </c>
      <c r="H24" s="7">
        <v>6.01</v>
      </c>
      <c r="I24" s="2">
        <v>87058</v>
      </c>
      <c r="J24" s="2" t="s">
        <v>417</v>
      </c>
      <c r="K24" s="2" t="s">
        <v>413</v>
      </c>
      <c r="L24" s="7">
        <f>ROUND((DATE(VALUE(RIGHT(E24,4)),VALUE(LEFT(E24,2)),VALUE(MID(E24,4,2)))+VALUE(LEFT(F24,2))/Parameters!$B$28+VALUE(RIGHT(F24,2))/Parameters!$B$29-INDEX(Samples!$X$4:$X$32,MATCH(B24,Samples!$A$4:$A$32,0)))*Parameters!$B$28,2)</f>
        <v>170.67</v>
      </c>
      <c r="M24" s="7">
        <f>ROUND(L24/Parameters!$B$28,2)</f>
        <v>7.11</v>
      </c>
      <c r="N24" s="2" t="str">
        <f>IF(ABS(L24-Parameters!$B$20)&lt;=Parameters!$B$21,"Yes","No")</f>
        <v>No</v>
      </c>
      <c r="O24" s="2" t="str">
        <f>INDEX(Samples!$P$4:$P$32,MATCH(B24,Samples!$A$4:$A$32,0))</f>
        <v>Standard</v>
      </c>
      <c r="P24" s="9">
        <f t="shared" si="0"/>
        <v>28.2743</v>
      </c>
      <c r="Q24" s="2">
        <f>ROUND(I24/(PI()*((G24+H24)/2)^2/4)/Parameters!$B$27,0)*Parameters!$B$27</f>
        <v>3080</v>
      </c>
      <c r="R24" s="2" t="str">
        <f t="shared" si="1"/>
        <v>No</v>
      </c>
    </row>
    <row r="25" spans="1:18" x14ac:dyDescent="0.2">
      <c r="A25" s="2" t="s">
        <v>459</v>
      </c>
      <c r="B25" s="2" t="s">
        <v>282</v>
      </c>
      <c r="C25" s="2" t="s">
        <v>415</v>
      </c>
      <c r="D25" s="2">
        <f>INDEX(Samples!$F$4:$F$32,MATCH(B25,Samples!$A$4:$A$32,0))</f>
        <v>771587</v>
      </c>
      <c r="E25" s="2" t="s">
        <v>230</v>
      </c>
      <c r="F25" s="2" t="s">
        <v>460</v>
      </c>
      <c r="G25" s="7">
        <v>6.02</v>
      </c>
      <c r="H25" s="7">
        <v>5.98</v>
      </c>
      <c r="I25" s="2">
        <v>119562</v>
      </c>
      <c r="J25" s="2" t="s">
        <v>412</v>
      </c>
      <c r="K25" s="2" t="s">
        <v>413</v>
      </c>
      <c r="L25" s="7">
        <f>ROUND((DATE(VALUE(RIGHT(E25,4)),VALUE(LEFT(E25,2)),VALUE(MID(E25,4,2)))+VALUE(LEFT(F25,2))/Parameters!$B$28+VALUE(RIGHT(F25,2))/Parameters!$B$29-INDEX(Samples!$X$4:$X$32,MATCH(B25,Samples!$A$4:$A$32,0)))*Parameters!$B$28,2)</f>
        <v>674.08</v>
      </c>
      <c r="M25" s="7">
        <f>ROUND(L25/Parameters!$B$28,2)</f>
        <v>28.09</v>
      </c>
      <c r="N25" s="2" t="str">
        <f>IF(ABS(L25-Parameters!$B$20)&lt;=Parameters!$B$21,"Yes","No")</f>
        <v>Yes</v>
      </c>
      <c r="O25" s="2" t="str">
        <f>INDEX(Samples!$P$4:$P$32,MATCH(B25,Samples!$A$4:$A$32,0))</f>
        <v>Standard</v>
      </c>
      <c r="P25" s="9">
        <f t="shared" si="0"/>
        <v>28.2743</v>
      </c>
      <c r="Q25" s="2">
        <f>ROUND(I25/(PI()*((G25+H25)/2)^2/4)/Parameters!$B$27,0)*Parameters!$B$27</f>
        <v>4230</v>
      </c>
      <c r="R25" s="2" t="str">
        <f t="shared" si="1"/>
        <v>Yes</v>
      </c>
    </row>
    <row r="26" spans="1:18" x14ac:dyDescent="0.2">
      <c r="A26" s="2" t="s">
        <v>461</v>
      </c>
      <c r="B26" s="2" t="s">
        <v>282</v>
      </c>
      <c r="C26" s="2" t="s">
        <v>419</v>
      </c>
      <c r="D26" s="2">
        <f>INDEX(Samples!$F$4:$F$32,MATCH(B26,Samples!$A$4:$A$32,0))</f>
        <v>771587</v>
      </c>
      <c r="E26" s="2" t="s">
        <v>230</v>
      </c>
      <c r="F26" s="2" t="s">
        <v>180</v>
      </c>
      <c r="G26" s="7">
        <v>5.97</v>
      </c>
      <c r="H26" s="7">
        <v>5.99</v>
      </c>
      <c r="I26" s="2">
        <v>116034</v>
      </c>
      <c r="J26" s="2" t="s">
        <v>444</v>
      </c>
      <c r="K26" s="2" t="s">
        <v>413</v>
      </c>
      <c r="L26" s="7">
        <f>ROUND((DATE(VALUE(RIGHT(E26,4)),VALUE(LEFT(E26,2)),VALUE(MID(E26,4,2)))+VALUE(LEFT(F26,2))/Parameters!$B$28+VALUE(RIGHT(F26,2))/Parameters!$B$29-INDEX(Samples!$X$4:$X$32,MATCH(B26,Samples!$A$4:$A$32,0)))*Parameters!$B$28,2)</f>
        <v>674.22</v>
      </c>
      <c r="M26" s="7">
        <f>ROUND(L26/Parameters!$B$28,2)</f>
        <v>28.09</v>
      </c>
      <c r="N26" s="2" t="str">
        <f>IF(ABS(L26-Parameters!$B$20)&lt;=Parameters!$B$21,"Yes","No")</f>
        <v>Yes</v>
      </c>
      <c r="O26" s="2" t="str">
        <f>INDEX(Samples!$P$4:$P$32,MATCH(B26,Samples!$A$4:$A$32,0))</f>
        <v>Standard</v>
      </c>
      <c r="P26" s="9">
        <f t="shared" si="0"/>
        <v>28.0862</v>
      </c>
      <c r="Q26" s="2">
        <f>ROUND(I26/(PI()*((G26+H26)/2)^2/4)/Parameters!$B$27,0)*Parameters!$B$27</f>
        <v>4130</v>
      </c>
      <c r="R26" s="2" t="str">
        <f t="shared" si="1"/>
        <v>Yes</v>
      </c>
    </row>
    <row r="27" spans="1:18" x14ac:dyDescent="0.2">
      <c r="A27" s="2" t="s">
        <v>462</v>
      </c>
      <c r="B27" s="2" t="s">
        <v>282</v>
      </c>
      <c r="C27" s="2" t="s">
        <v>422</v>
      </c>
      <c r="D27" s="2">
        <f>INDEX(Samples!$F$4:$F$32,MATCH(B27,Samples!$A$4:$A$32,0))</f>
        <v>771587</v>
      </c>
      <c r="E27" s="2" t="s">
        <v>463</v>
      </c>
      <c r="F27" s="2" t="s">
        <v>457</v>
      </c>
      <c r="G27" s="7">
        <v>6</v>
      </c>
      <c r="H27" s="7">
        <v>6</v>
      </c>
      <c r="I27" s="2">
        <v>128388</v>
      </c>
      <c r="J27" s="2" t="s">
        <v>444</v>
      </c>
      <c r="K27" s="2" t="s">
        <v>413</v>
      </c>
      <c r="L27" s="7">
        <f>ROUND((DATE(VALUE(RIGHT(E27,4)),VALUE(LEFT(E27,2)),VALUE(MID(E27,4,2)))+VALUE(LEFT(F27,2))/Parameters!$B$28+VALUE(RIGHT(F27,2))/Parameters!$B$29-INDEX(Samples!$X$4:$X$32,MATCH(B27,Samples!$A$4:$A$32,0)))*Parameters!$B$28,2)</f>
        <v>1347.28</v>
      </c>
      <c r="M27" s="7">
        <f>ROUND(L27/Parameters!$B$28,2)</f>
        <v>56.14</v>
      </c>
      <c r="N27" s="2" t="str">
        <f>IF(ABS(L27-Parameters!$B$20)&lt;=Parameters!$B$21,"Yes","No")</f>
        <v>No</v>
      </c>
      <c r="O27" s="2" t="str">
        <f>INDEX(Samples!$P$4:$P$32,MATCH(B27,Samples!$A$4:$A$32,0))</f>
        <v>Standard</v>
      </c>
      <c r="P27" s="9">
        <f t="shared" si="0"/>
        <v>28.2743</v>
      </c>
      <c r="Q27" s="2">
        <f>ROUND(I27/(PI()*((G27+H27)/2)^2/4)/Parameters!$B$27,0)*Parameters!$B$27</f>
        <v>4540</v>
      </c>
      <c r="R27" s="2" t="str">
        <f t="shared" si="1"/>
        <v>No</v>
      </c>
    </row>
    <row r="28" spans="1:18" x14ac:dyDescent="0.2">
      <c r="A28" s="2" t="s">
        <v>464</v>
      </c>
      <c r="B28" s="2" t="s">
        <v>286</v>
      </c>
      <c r="C28" s="2" t="s">
        <v>410</v>
      </c>
      <c r="D28" s="2">
        <f>INDEX(Samples!$F$4:$F$32,MATCH(B28,Samples!$A$4:$A$32,0))</f>
        <v>771604</v>
      </c>
      <c r="E28" s="2" t="s">
        <v>154</v>
      </c>
      <c r="F28" s="2" t="s">
        <v>268</v>
      </c>
      <c r="G28" s="7">
        <v>6</v>
      </c>
      <c r="H28" s="7">
        <v>6</v>
      </c>
      <c r="I28" s="2">
        <v>81741</v>
      </c>
      <c r="J28" s="2" t="s">
        <v>444</v>
      </c>
      <c r="K28" s="2" t="s">
        <v>413</v>
      </c>
      <c r="L28" s="7">
        <f>ROUND((DATE(VALUE(RIGHT(E28,4)),VALUE(LEFT(E28,2)),VALUE(MID(E28,4,2)))+VALUE(LEFT(F28,2))/Parameters!$B$28+VALUE(RIGHT(F28,2))/Parameters!$B$29-INDEX(Samples!$X$4:$X$32,MATCH(B28,Samples!$A$4:$A$32,0)))*Parameters!$B$28,2)</f>
        <v>70.4</v>
      </c>
      <c r="M28" s="7">
        <f>ROUND(L28/Parameters!$B$28,2)</f>
        <v>2.93</v>
      </c>
      <c r="N28" s="2" t="str">
        <f>IF(ABS(L28-Parameters!$B$20)&lt;=Parameters!$B$21,"Yes","No")</f>
        <v>No</v>
      </c>
      <c r="O28" s="2" t="str">
        <f>INDEX(Samples!$P$4:$P$32,MATCH(B28,Samples!$A$4:$A$32,0))</f>
        <v>Field</v>
      </c>
      <c r="P28" s="9">
        <f t="shared" si="0"/>
        <v>28.2743</v>
      </c>
      <c r="Q28" s="2">
        <f>ROUND(I28/(PI()*((G28+H28)/2)^2/4)/Parameters!$B$27,0)*Parameters!$B$27</f>
        <v>2890</v>
      </c>
      <c r="R28" s="2" t="str">
        <f t="shared" si="1"/>
        <v>No</v>
      </c>
    </row>
    <row r="29" spans="1:18" x14ac:dyDescent="0.2">
      <c r="A29" s="2" t="s">
        <v>465</v>
      </c>
      <c r="B29" s="2" t="s">
        <v>286</v>
      </c>
      <c r="C29" s="2" t="s">
        <v>415</v>
      </c>
      <c r="D29" s="2">
        <f>INDEX(Samples!$F$4:$F$32,MATCH(B29,Samples!$A$4:$A$32,0))</f>
        <v>771604</v>
      </c>
      <c r="E29" s="2" t="s">
        <v>154</v>
      </c>
      <c r="F29" s="2" t="s">
        <v>466</v>
      </c>
      <c r="G29" s="7">
        <v>6.01</v>
      </c>
      <c r="H29" s="7">
        <v>6.01</v>
      </c>
      <c r="I29" s="2">
        <v>83696</v>
      </c>
      <c r="J29" s="2" t="s">
        <v>412</v>
      </c>
      <c r="K29" s="2" t="s">
        <v>413</v>
      </c>
      <c r="L29" s="7">
        <f>ROUND((DATE(VALUE(RIGHT(E29,4)),VALUE(LEFT(E29,2)),VALUE(MID(E29,4,2)))+VALUE(LEFT(F29,2))/Parameters!$B$28+VALUE(RIGHT(F29,2))/Parameters!$B$29-INDEX(Samples!$X$4:$X$32,MATCH(B29,Samples!$A$4:$A$32,0)))*Parameters!$B$28,2)</f>
        <v>70.52</v>
      </c>
      <c r="M29" s="7">
        <f>ROUND(L29/Parameters!$B$28,2)</f>
        <v>2.94</v>
      </c>
      <c r="N29" s="2" t="str">
        <f>IF(ABS(L29-Parameters!$B$20)&lt;=Parameters!$B$21,"Yes","No")</f>
        <v>No</v>
      </c>
      <c r="O29" s="2" t="str">
        <f>INDEX(Samples!$P$4:$P$32,MATCH(B29,Samples!$A$4:$A$32,0))</f>
        <v>Field</v>
      </c>
      <c r="P29" s="9">
        <f t="shared" si="0"/>
        <v>28.3687</v>
      </c>
      <c r="Q29" s="2">
        <f>ROUND(I29/(PI()*((G29+H29)/2)^2/4)/Parameters!$B$27,0)*Parameters!$B$27</f>
        <v>2950</v>
      </c>
      <c r="R29" s="2" t="str">
        <f t="shared" si="1"/>
        <v>No</v>
      </c>
    </row>
    <row r="30" spans="1:18" x14ac:dyDescent="0.2">
      <c r="A30" s="2" t="s">
        <v>467</v>
      </c>
      <c r="B30" s="2" t="s">
        <v>286</v>
      </c>
      <c r="C30" s="2" t="s">
        <v>419</v>
      </c>
      <c r="D30" s="2">
        <f>INDEX(Samples!$F$4:$F$32,MATCH(B30,Samples!$A$4:$A$32,0))</f>
        <v>771604</v>
      </c>
      <c r="E30" s="2" t="s">
        <v>230</v>
      </c>
      <c r="F30" s="2" t="s">
        <v>285</v>
      </c>
      <c r="G30" s="7">
        <v>6.01</v>
      </c>
      <c r="H30" s="7">
        <v>6.01</v>
      </c>
      <c r="I30" s="2">
        <v>97278</v>
      </c>
      <c r="J30" s="2" t="s">
        <v>412</v>
      </c>
      <c r="K30" s="2" t="s">
        <v>413</v>
      </c>
      <c r="L30" s="7">
        <f>ROUND((DATE(VALUE(RIGHT(E30,4)),VALUE(LEFT(E30,2)),VALUE(MID(E30,4,2)))+VALUE(LEFT(F30,2))/Parameters!$B$28+VALUE(RIGHT(F30,2))/Parameters!$B$29-INDEX(Samples!$X$4:$X$32,MATCH(B30,Samples!$A$4:$A$32,0)))*Parameters!$B$28,2)</f>
        <v>671.88</v>
      </c>
      <c r="M30" s="7">
        <f>ROUND(L30/Parameters!$B$28,2)</f>
        <v>28</v>
      </c>
      <c r="N30" s="2" t="str">
        <f>IF(ABS(L30-Parameters!$B$20)&lt;=Parameters!$B$21,"Yes","No")</f>
        <v>Yes</v>
      </c>
      <c r="O30" s="2" t="str">
        <f>INDEX(Samples!$P$4:$P$32,MATCH(B30,Samples!$A$4:$A$32,0))</f>
        <v>Field</v>
      </c>
      <c r="P30" s="9">
        <f t="shared" si="0"/>
        <v>28.3687</v>
      </c>
      <c r="Q30" s="2">
        <f>ROUND(I30/(PI()*((G30+H30)/2)^2/4)/Parameters!$B$27,0)*Parameters!$B$27</f>
        <v>3430</v>
      </c>
      <c r="R30" s="2" t="str">
        <f t="shared" si="1"/>
        <v>No</v>
      </c>
    </row>
    <row r="31" spans="1:18" x14ac:dyDescent="0.2">
      <c r="A31" s="2" t="s">
        <v>468</v>
      </c>
      <c r="B31" s="2" t="s">
        <v>286</v>
      </c>
      <c r="C31" s="2" t="s">
        <v>422</v>
      </c>
      <c r="D31" s="2">
        <f>INDEX(Samples!$F$4:$F$32,MATCH(B31,Samples!$A$4:$A$32,0))</f>
        <v>771604</v>
      </c>
      <c r="E31" s="2" t="s">
        <v>230</v>
      </c>
      <c r="F31" s="2" t="s">
        <v>287</v>
      </c>
      <c r="G31" s="7">
        <v>6.02</v>
      </c>
      <c r="H31" s="7">
        <v>5.98</v>
      </c>
      <c r="I31" s="2">
        <v>94739</v>
      </c>
      <c r="J31" s="2" t="s">
        <v>417</v>
      </c>
      <c r="K31" s="2" t="s">
        <v>413</v>
      </c>
      <c r="L31" s="7">
        <f>ROUND((DATE(VALUE(RIGHT(E31,4)),VALUE(LEFT(E31,2)),VALUE(MID(E31,4,2)))+VALUE(LEFT(F31,2))/Parameters!$B$28+VALUE(RIGHT(F31,2))/Parameters!$B$29-INDEX(Samples!$X$4:$X$32,MATCH(B31,Samples!$A$4:$A$32,0)))*Parameters!$B$28,2)</f>
        <v>672</v>
      </c>
      <c r="M31" s="7">
        <f>ROUND(L31/Parameters!$B$28,2)</f>
        <v>28</v>
      </c>
      <c r="N31" s="2" t="str">
        <f>IF(ABS(L31-Parameters!$B$20)&lt;=Parameters!$B$21,"Yes","No")</f>
        <v>Yes</v>
      </c>
      <c r="O31" s="2" t="str">
        <f>INDEX(Samples!$P$4:$P$32,MATCH(B31,Samples!$A$4:$A$32,0))</f>
        <v>Field</v>
      </c>
      <c r="P31" s="9">
        <f t="shared" si="0"/>
        <v>28.2743</v>
      </c>
      <c r="Q31" s="2">
        <f>ROUND(I31/(PI()*((G31+H31)/2)^2/4)/Parameters!$B$27,0)*Parameters!$B$27</f>
        <v>3350</v>
      </c>
      <c r="R31" s="2" t="str">
        <f t="shared" si="1"/>
        <v>No</v>
      </c>
    </row>
    <row r="32" spans="1:18" x14ac:dyDescent="0.2">
      <c r="A32" s="2" t="s">
        <v>469</v>
      </c>
      <c r="B32" s="2" t="s">
        <v>291</v>
      </c>
      <c r="C32" s="2" t="s">
        <v>410</v>
      </c>
      <c r="D32" s="2">
        <f>INDEX(Samples!$F$4:$F$32,MATCH(B32,Samples!$A$4:$A$32,0))</f>
        <v>771688</v>
      </c>
      <c r="E32" s="2" t="s">
        <v>173</v>
      </c>
      <c r="F32" s="2" t="s">
        <v>470</v>
      </c>
      <c r="G32" s="7">
        <v>6.01</v>
      </c>
      <c r="H32" s="7">
        <v>6.03</v>
      </c>
      <c r="I32" s="2">
        <v>85366</v>
      </c>
      <c r="J32" s="2" t="s">
        <v>412</v>
      </c>
      <c r="K32" s="2" t="s">
        <v>413</v>
      </c>
      <c r="L32" s="7">
        <f>ROUND((DATE(VALUE(RIGHT(E32,4)),VALUE(LEFT(E32,2)),VALUE(MID(E32,4,2)))+VALUE(LEFT(F32,2))/Parameters!$B$28+VALUE(RIGHT(F32,2))/Parameters!$B$29-INDEX(Samples!$X$4:$X$32,MATCH(B32,Samples!$A$4:$A$32,0)))*Parameters!$B$28,2)</f>
        <v>151.82</v>
      </c>
      <c r="M32" s="7">
        <f>ROUND(L32/Parameters!$B$28,2)</f>
        <v>6.33</v>
      </c>
      <c r="N32" s="2" t="str">
        <f>IF(ABS(L32-Parameters!$B$20)&lt;=Parameters!$B$21,"Yes","No")</f>
        <v>No</v>
      </c>
      <c r="O32" s="2" t="str">
        <f>INDEX(Samples!$P$4:$P$32,MATCH(B32,Samples!$A$4:$A$32,0))</f>
        <v>Standard</v>
      </c>
      <c r="P32" s="9">
        <f t="shared" si="0"/>
        <v>28.4631</v>
      </c>
      <c r="Q32" s="2">
        <f>ROUND(I32/(PI()*((G32+H32)/2)^2/4)/Parameters!$B$27,0)*Parameters!$B$27</f>
        <v>3000</v>
      </c>
      <c r="R32" s="2" t="str">
        <f t="shared" si="1"/>
        <v>No</v>
      </c>
    </row>
    <row r="33" spans="1:18" x14ac:dyDescent="0.2">
      <c r="A33" s="2" t="s">
        <v>471</v>
      </c>
      <c r="B33" s="2" t="s">
        <v>291</v>
      </c>
      <c r="C33" s="2" t="s">
        <v>415</v>
      </c>
      <c r="D33" s="2">
        <f>INDEX(Samples!$F$4:$F$32,MATCH(B33,Samples!$A$4:$A$32,0))</f>
        <v>771688</v>
      </c>
      <c r="E33" s="2" t="s">
        <v>230</v>
      </c>
      <c r="F33" s="2" t="s">
        <v>472</v>
      </c>
      <c r="G33" s="7">
        <v>6</v>
      </c>
      <c r="H33" s="7">
        <v>6.02</v>
      </c>
      <c r="I33" s="2">
        <v>121951</v>
      </c>
      <c r="J33" s="2" t="s">
        <v>417</v>
      </c>
      <c r="K33" s="2" t="s">
        <v>413</v>
      </c>
      <c r="L33" s="7">
        <f>ROUND((DATE(VALUE(RIGHT(E33,4)),VALUE(LEFT(E33,2)),VALUE(MID(E33,4,2)))+VALUE(LEFT(F33,2))/Parameters!$B$28+VALUE(RIGHT(F33,2))/Parameters!$B$29-INDEX(Samples!$X$4:$X$32,MATCH(B33,Samples!$A$4:$A$32,0)))*Parameters!$B$28,2)</f>
        <v>656.45</v>
      </c>
      <c r="M33" s="7">
        <f>ROUND(L33/Parameters!$B$28,2)</f>
        <v>27.35</v>
      </c>
      <c r="N33" s="2" t="str">
        <f>IF(ABS(L33-Parameters!$B$20)&lt;=Parameters!$B$21,"Yes","No")</f>
        <v>Yes</v>
      </c>
      <c r="O33" s="2" t="str">
        <f>INDEX(Samples!$P$4:$P$32,MATCH(B33,Samples!$A$4:$A$32,0))</f>
        <v>Standard</v>
      </c>
      <c r="P33" s="9">
        <f t="shared" si="0"/>
        <v>28.3687</v>
      </c>
      <c r="Q33" s="2">
        <f>ROUND(I33/(PI()*((G33+H33)/2)^2/4)/Parameters!$B$27,0)*Parameters!$B$27</f>
        <v>4300</v>
      </c>
      <c r="R33" s="2" t="str">
        <f t="shared" si="1"/>
        <v>Yes</v>
      </c>
    </row>
    <row r="34" spans="1:18" x14ac:dyDescent="0.2">
      <c r="A34" s="2" t="s">
        <v>473</v>
      </c>
      <c r="B34" s="2" t="s">
        <v>291</v>
      </c>
      <c r="C34" s="2" t="s">
        <v>419</v>
      </c>
      <c r="D34" s="2">
        <f>INDEX(Samples!$F$4:$F$32,MATCH(B34,Samples!$A$4:$A$32,0))</f>
        <v>771688</v>
      </c>
      <c r="E34" s="2" t="s">
        <v>230</v>
      </c>
      <c r="F34" s="2" t="s">
        <v>474</v>
      </c>
      <c r="G34" s="7">
        <v>5.99</v>
      </c>
      <c r="H34" s="7">
        <v>6.01</v>
      </c>
      <c r="I34" s="2">
        <v>123849</v>
      </c>
      <c r="J34" s="2" t="s">
        <v>417</v>
      </c>
      <c r="K34" s="2" t="s">
        <v>413</v>
      </c>
      <c r="L34" s="7">
        <f>ROUND((DATE(VALUE(RIGHT(E34,4)),VALUE(LEFT(E34,2)),VALUE(MID(E34,4,2)))+VALUE(LEFT(F34,2))/Parameters!$B$28+VALUE(RIGHT(F34,2))/Parameters!$B$29-INDEX(Samples!$X$4:$X$32,MATCH(B34,Samples!$A$4:$A$32,0)))*Parameters!$B$28,2)</f>
        <v>656.58</v>
      </c>
      <c r="M34" s="7">
        <f>ROUND(L34/Parameters!$B$28,2)</f>
        <v>27.36</v>
      </c>
      <c r="N34" s="2" t="str">
        <f>IF(ABS(L34-Parameters!$B$20)&lt;=Parameters!$B$21,"Yes","No")</f>
        <v>Yes</v>
      </c>
      <c r="O34" s="2" t="str">
        <f>INDEX(Samples!$P$4:$P$32,MATCH(B34,Samples!$A$4:$A$32,0))</f>
        <v>Standard</v>
      </c>
      <c r="P34" s="9">
        <f t="shared" si="0"/>
        <v>28.2743</v>
      </c>
      <c r="Q34" s="2">
        <f>ROUND(I34/(PI()*((G34+H34)/2)^2/4)/Parameters!$B$27,0)*Parameters!$B$27</f>
        <v>4380</v>
      </c>
      <c r="R34" s="2" t="str">
        <f t="shared" si="1"/>
        <v>Yes</v>
      </c>
    </row>
    <row r="35" spans="1:18" x14ac:dyDescent="0.2">
      <c r="A35" s="2" t="s">
        <v>475</v>
      </c>
      <c r="B35" s="2" t="s">
        <v>297</v>
      </c>
      <c r="C35" s="2" t="s">
        <v>410</v>
      </c>
      <c r="D35" s="2">
        <f>INDEX(Samples!$F$4:$F$32,MATCH(B35,Samples!$A$4:$A$32,0))</f>
        <v>771842</v>
      </c>
      <c r="E35" s="2" t="s">
        <v>178</v>
      </c>
      <c r="F35" s="2" t="s">
        <v>476</v>
      </c>
      <c r="G35" s="7">
        <v>6.01</v>
      </c>
      <c r="H35" s="7">
        <v>6.01</v>
      </c>
      <c r="I35" s="2">
        <v>87126</v>
      </c>
      <c r="J35" s="2" t="s">
        <v>425</v>
      </c>
      <c r="K35" s="2" t="s">
        <v>413</v>
      </c>
      <c r="L35" s="7">
        <f>ROUND((DATE(VALUE(RIGHT(E35,4)),VALUE(LEFT(E35,2)),VALUE(MID(E35,4,2)))+VALUE(LEFT(F35,2))/Parameters!$B$28+VALUE(RIGHT(F35,2))/Parameters!$B$29-INDEX(Samples!$X$4:$X$32,MATCH(B35,Samples!$A$4:$A$32,0)))*Parameters!$B$28,2)</f>
        <v>174.62</v>
      </c>
      <c r="M35" s="7">
        <f>ROUND(L35/Parameters!$B$28,2)</f>
        <v>7.28</v>
      </c>
      <c r="N35" s="2" t="str">
        <f>IF(ABS(L35-Parameters!$B$20)&lt;=Parameters!$B$21,"Yes","No")</f>
        <v>No</v>
      </c>
      <c r="O35" s="2" t="str">
        <f>INDEX(Samples!$P$4:$P$32,MATCH(B35,Samples!$A$4:$A$32,0))</f>
        <v>Standard</v>
      </c>
      <c r="P35" s="9">
        <f t="shared" si="0"/>
        <v>28.3687</v>
      </c>
      <c r="Q35" s="2">
        <f>ROUND(I35/(PI()*((G35+H35)/2)^2/4)/Parameters!$B$27,0)*Parameters!$B$27</f>
        <v>3070</v>
      </c>
      <c r="R35" s="2" t="str">
        <f t="shared" si="1"/>
        <v>No</v>
      </c>
    </row>
    <row r="36" spans="1:18" x14ac:dyDescent="0.2">
      <c r="A36" s="2" t="s">
        <v>477</v>
      </c>
      <c r="B36" s="2" t="s">
        <v>297</v>
      </c>
      <c r="C36" s="2" t="s">
        <v>415</v>
      </c>
      <c r="D36" s="2">
        <f>INDEX(Samples!$F$4:$F$32,MATCH(B36,Samples!$A$4:$A$32,0))</f>
        <v>771842</v>
      </c>
      <c r="E36" s="2" t="s">
        <v>478</v>
      </c>
      <c r="F36" s="2" t="s">
        <v>479</v>
      </c>
      <c r="G36" s="7">
        <v>6</v>
      </c>
      <c r="H36" s="7">
        <v>6.02</v>
      </c>
      <c r="I36" s="2">
        <v>120848</v>
      </c>
      <c r="J36" s="2" t="s">
        <v>417</v>
      </c>
      <c r="K36" s="2" t="s">
        <v>413</v>
      </c>
      <c r="L36" s="7">
        <f>ROUND((DATE(VALUE(RIGHT(E36,4)),VALUE(LEFT(E36,2)),VALUE(MID(E36,4,2)))+VALUE(LEFT(F36,2))/Parameters!$B$28+VALUE(RIGHT(F36,2))/Parameters!$B$29-INDEX(Samples!$X$4:$X$32,MATCH(B36,Samples!$A$4:$A$32,0)))*Parameters!$B$28,2)</f>
        <v>673.95</v>
      </c>
      <c r="M36" s="7">
        <f>ROUND(L36/Parameters!$B$28,2)</f>
        <v>28.08</v>
      </c>
      <c r="N36" s="2" t="str">
        <f>IF(ABS(L36-Parameters!$B$20)&lt;=Parameters!$B$21,"Yes","No")</f>
        <v>Yes</v>
      </c>
      <c r="O36" s="2" t="str">
        <f>INDEX(Samples!$P$4:$P$32,MATCH(B36,Samples!$A$4:$A$32,0))</f>
        <v>Standard</v>
      </c>
      <c r="P36" s="9">
        <f t="shared" ref="P36:P67" si="2">ROUND(PI()*((G36+H36)/2)^2/4,4)</f>
        <v>28.3687</v>
      </c>
      <c r="Q36" s="2">
        <f>ROUND(I36/(PI()*((G36+H36)/2)^2/4)/Parameters!$B$27,0)*Parameters!$B$27</f>
        <v>4260</v>
      </c>
      <c r="R36" s="2" t="str">
        <f t="shared" ref="R36:R67" si="3">IF(AND(N36="Yes",O36="Standard",K36="No"),"Yes","No")</f>
        <v>Yes</v>
      </c>
    </row>
    <row r="37" spans="1:18" x14ac:dyDescent="0.2">
      <c r="A37" s="2" t="s">
        <v>480</v>
      </c>
      <c r="B37" s="2" t="s">
        <v>297</v>
      </c>
      <c r="C37" s="2" t="s">
        <v>419</v>
      </c>
      <c r="D37" s="2">
        <f>INDEX(Samples!$F$4:$F$32,MATCH(B37,Samples!$A$4:$A$32,0))</f>
        <v>771842</v>
      </c>
      <c r="E37" s="2" t="s">
        <v>478</v>
      </c>
      <c r="F37" s="2" t="s">
        <v>442</v>
      </c>
      <c r="G37" s="7">
        <v>6.01</v>
      </c>
      <c r="H37" s="7">
        <v>6.01</v>
      </c>
      <c r="I37" s="2">
        <v>118580</v>
      </c>
      <c r="J37" s="2" t="s">
        <v>412</v>
      </c>
      <c r="K37" s="2" t="s">
        <v>413</v>
      </c>
      <c r="L37" s="7">
        <f>ROUND((DATE(VALUE(RIGHT(E37,4)),VALUE(LEFT(E37,2)),VALUE(MID(E37,4,2)))+VALUE(LEFT(F37,2))/Parameters!$B$28+VALUE(RIGHT(F37,2))/Parameters!$B$29-INDEX(Samples!$X$4:$X$32,MATCH(B37,Samples!$A$4:$A$32,0)))*Parameters!$B$28,2)</f>
        <v>674.07</v>
      </c>
      <c r="M37" s="7">
        <f>ROUND(L37/Parameters!$B$28,2)</f>
        <v>28.09</v>
      </c>
      <c r="N37" s="2" t="str">
        <f>IF(ABS(L37-Parameters!$B$20)&lt;=Parameters!$B$21,"Yes","No")</f>
        <v>Yes</v>
      </c>
      <c r="O37" s="2" t="str">
        <f>INDEX(Samples!$P$4:$P$32,MATCH(B37,Samples!$A$4:$A$32,0))</f>
        <v>Standard</v>
      </c>
      <c r="P37" s="9">
        <f t="shared" si="2"/>
        <v>28.3687</v>
      </c>
      <c r="Q37" s="2">
        <f>ROUND(I37/(PI()*((G37+H37)/2)^2/4)/Parameters!$B$27,0)*Parameters!$B$27</f>
        <v>4180</v>
      </c>
      <c r="R37" s="2" t="str">
        <f t="shared" si="3"/>
        <v>Yes</v>
      </c>
    </row>
    <row r="38" spans="1:18" x14ac:dyDescent="0.2">
      <c r="A38" s="2" t="s">
        <v>481</v>
      </c>
      <c r="B38" s="2" t="s">
        <v>301</v>
      </c>
      <c r="C38" s="2" t="s">
        <v>410</v>
      </c>
      <c r="D38" s="2">
        <f>INDEX(Samples!$F$4:$F$32,MATCH(B38,Samples!$A$4:$A$32,0))</f>
        <v>772071</v>
      </c>
      <c r="E38" s="2" t="s">
        <v>186</v>
      </c>
      <c r="F38" s="2" t="s">
        <v>482</v>
      </c>
      <c r="G38" s="7">
        <v>6.04</v>
      </c>
      <c r="H38" s="7">
        <v>6.02</v>
      </c>
      <c r="I38" s="2">
        <v>73361</v>
      </c>
      <c r="J38" s="2" t="s">
        <v>412</v>
      </c>
      <c r="K38" s="2" t="s">
        <v>413</v>
      </c>
      <c r="L38" s="7">
        <f>ROUND((DATE(VALUE(RIGHT(E38,4)),VALUE(LEFT(E38,2)),VALUE(MID(E38,4,2)))+VALUE(LEFT(F38,2))/Parameters!$B$28+VALUE(RIGHT(F38,2))/Parameters!$B$29-INDEX(Samples!$X$4:$X$32,MATCH(B38,Samples!$A$4:$A$32,0)))*Parameters!$B$28,2)</f>
        <v>173.47</v>
      </c>
      <c r="M38" s="7">
        <f>ROUND(L38/Parameters!$B$28,2)</f>
        <v>7.23</v>
      </c>
      <c r="N38" s="2" t="str">
        <f>IF(ABS(L38-Parameters!$B$20)&lt;=Parameters!$B$21,"Yes","No")</f>
        <v>No</v>
      </c>
      <c r="O38" s="2" t="str">
        <f>INDEX(Samples!$P$4:$P$32,MATCH(B38,Samples!$A$4:$A$32,0))</f>
        <v>Standard</v>
      </c>
      <c r="P38" s="9">
        <f t="shared" si="2"/>
        <v>28.5578</v>
      </c>
      <c r="Q38" s="2">
        <f>ROUND(I38/(PI()*((G38+H38)/2)^2/4)/Parameters!$B$27,0)*Parameters!$B$27</f>
        <v>2570</v>
      </c>
      <c r="R38" s="2" t="str">
        <f t="shared" si="3"/>
        <v>No</v>
      </c>
    </row>
    <row r="39" spans="1:18" x14ac:dyDescent="0.2">
      <c r="A39" s="2" t="s">
        <v>483</v>
      </c>
      <c r="B39" s="2" t="s">
        <v>301</v>
      </c>
      <c r="C39" s="2" t="s">
        <v>415</v>
      </c>
      <c r="D39" s="2">
        <f>INDEX(Samples!$F$4:$F$32,MATCH(B39,Samples!$A$4:$A$32,0))</f>
        <v>772071</v>
      </c>
      <c r="E39" s="2" t="s">
        <v>484</v>
      </c>
      <c r="F39" s="2" t="s">
        <v>485</v>
      </c>
      <c r="G39" s="7">
        <v>6.02</v>
      </c>
      <c r="H39" s="7">
        <v>6.04</v>
      </c>
      <c r="I39" s="2">
        <v>98538</v>
      </c>
      <c r="J39" s="2" t="s">
        <v>412</v>
      </c>
      <c r="K39" s="2" t="s">
        <v>413</v>
      </c>
      <c r="L39" s="7">
        <f>ROUND((DATE(VALUE(RIGHT(E39,4)),VALUE(LEFT(E39,2)),VALUE(MID(E39,4,2)))+VALUE(LEFT(F39,2))/Parameters!$B$28+VALUE(RIGHT(F39,2))/Parameters!$B$29-INDEX(Samples!$X$4:$X$32,MATCH(B39,Samples!$A$4:$A$32,0)))*Parameters!$B$28,2)</f>
        <v>673.27</v>
      </c>
      <c r="M39" s="7">
        <f>ROUND(L39/Parameters!$B$28,2)</f>
        <v>28.05</v>
      </c>
      <c r="N39" s="2" t="str">
        <f>IF(ABS(L39-Parameters!$B$20)&lt;=Parameters!$B$21,"Yes","No")</f>
        <v>Yes</v>
      </c>
      <c r="O39" s="2" t="str">
        <f>INDEX(Samples!$P$4:$P$32,MATCH(B39,Samples!$A$4:$A$32,0))</f>
        <v>Standard</v>
      </c>
      <c r="P39" s="9">
        <f t="shared" si="2"/>
        <v>28.5578</v>
      </c>
      <c r="Q39" s="2">
        <f>ROUND(I39/(PI()*((G39+H39)/2)^2/4)/Parameters!$B$27,0)*Parameters!$B$27</f>
        <v>3450</v>
      </c>
      <c r="R39" s="2" t="str">
        <f t="shared" si="3"/>
        <v>Yes</v>
      </c>
    </row>
    <row r="40" spans="1:18" x14ac:dyDescent="0.2">
      <c r="A40" s="2" t="s">
        <v>486</v>
      </c>
      <c r="B40" s="2" t="s">
        <v>301</v>
      </c>
      <c r="C40" s="2" t="s">
        <v>419</v>
      </c>
      <c r="D40" s="2">
        <f>INDEX(Samples!$F$4:$F$32,MATCH(B40,Samples!$A$4:$A$32,0))</f>
        <v>772071</v>
      </c>
      <c r="E40" s="2" t="s">
        <v>484</v>
      </c>
      <c r="F40" s="2" t="s">
        <v>487</v>
      </c>
      <c r="G40" s="7">
        <v>6</v>
      </c>
      <c r="H40" s="7">
        <v>6</v>
      </c>
      <c r="I40" s="2">
        <v>99208</v>
      </c>
      <c r="J40" s="2" t="s">
        <v>425</v>
      </c>
      <c r="K40" s="2" t="s">
        <v>413</v>
      </c>
      <c r="L40" s="7">
        <f>ROUND((DATE(VALUE(RIGHT(E40,4)),VALUE(LEFT(E40,2)),VALUE(MID(E40,4,2)))+VALUE(LEFT(F40,2))/Parameters!$B$28+VALUE(RIGHT(F40,2))/Parameters!$B$29-INDEX(Samples!$X$4:$X$32,MATCH(B40,Samples!$A$4:$A$32,0)))*Parameters!$B$28,2)</f>
        <v>673.38</v>
      </c>
      <c r="M40" s="7">
        <f>ROUND(L40/Parameters!$B$28,2)</f>
        <v>28.06</v>
      </c>
      <c r="N40" s="2" t="str">
        <f>IF(ABS(L40-Parameters!$B$20)&lt;=Parameters!$B$21,"Yes","No")</f>
        <v>Yes</v>
      </c>
      <c r="O40" s="2" t="str">
        <f>INDEX(Samples!$P$4:$P$32,MATCH(B40,Samples!$A$4:$A$32,0))</f>
        <v>Standard</v>
      </c>
      <c r="P40" s="9">
        <f t="shared" si="2"/>
        <v>28.2743</v>
      </c>
      <c r="Q40" s="2">
        <f>ROUND(I40/(PI()*((G40+H40)/2)^2/4)/Parameters!$B$27,0)*Parameters!$B$27</f>
        <v>3510</v>
      </c>
      <c r="R40" s="2" t="str">
        <f t="shared" si="3"/>
        <v>Yes</v>
      </c>
    </row>
    <row r="41" spans="1:18" x14ac:dyDescent="0.2">
      <c r="A41" s="2" t="s">
        <v>488</v>
      </c>
      <c r="B41" s="2" t="s">
        <v>305</v>
      </c>
      <c r="C41" s="2" t="s">
        <v>410</v>
      </c>
      <c r="D41" s="2">
        <f>INDEX(Samples!$F$4:$F$32,MATCH(B41,Samples!$A$4:$A$32,0))</f>
        <v>772316</v>
      </c>
      <c r="E41" s="2" t="s">
        <v>375</v>
      </c>
      <c r="F41" s="2" t="s">
        <v>489</v>
      </c>
      <c r="G41" s="7">
        <v>4.02</v>
      </c>
      <c r="H41" s="7">
        <v>4</v>
      </c>
      <c r="I41" s="2">
        <v>38409</v>
      </c>
      <c r="J41" s="2" t="s">
        <v>412</v>
      </c>
      <c r="K41" s="2" t="s">
        <v>413</v>
      </c>
      <c r="L41" s="7">
        <f>ROUND((DATE(VALUE(RIGHT(E41,4)),VALUE(LEFT(E41,2)),VALUE(MID(E41,4,2)))+VALUE(LEFT(F41,2))/Parameters!$B$28+VALUE(RIGHT(F41,2))/Parameters!$B$29-INDEX(Samples!$X$4:$X$32,MATCH(B41,Samples!$A$4:$A$32,0)))*Parameters!$B$28,2)</f>
        <v>169.33</v>
      </c>
      <c r="M41" s="7">
        <f>ROUND(L41/Parameters!$B$28,2)</f>
        <v>7.06</v>
      </c>
      <c r="N41" s="2" t="str">
        <f>IF(ABS(L41-Parameters!$B$20)&lt;=Parameters!$B$21,"Yes","No")</f>
        <v>No</v>
      </c>
      <c r="O41" s="2" t="str">
        <f>INDEX(Samples!$P$4:$P$32,MATCH(B41,Samples!$A$4:$A$32,0))</f>
        <v>Standard</v>
      </c>
      <c r="P41" s="9">
        <f t="shared" si="2"/>
        <v>12.6293</v>
      </c>
      <c r="Q41" s="2">
        <f>ROUND(I41/(PI()*((G41+H41)/2)^2/4)/Parameters!$B$27,0)*Parameters!$B$27</f>
        <v>3040</v>
      </c>
      <c r="R41" s="2" t="str">
        <f t="shared" si="3"/>
        <v>No</v>
      </c>
    </row>
    <row r="42" spans="1:18" x14ac:dyDescent="0.2">
      <c r="A42" s="2" t="s">
        <v>490</v>
      </c>
      <c r="B42" s="2" t="s">
        <v>305</v>
      </c>
      <c r="C42" s="2" t="s">
        <v>415</v>
      </c>
      <c r="D42" s="2">
        <f>INDEX(Samples!$F$4:$F$32,MATCH(B42,Samples!$A$4:$A$32,0))</f>
        <v>772316</v>
      </c>
      <c r="E42" s="2" t="s">
        <v>491</v>
      </c>
      <c r="F42" s="2" t="s">
        <v>492</v>
      </c>
      <c r="G42" s="7">
        <v>4.02</v>
      </c>
      <c r="H42" s="7">
        <v>4.02</v>
      </c>
      <c r="I42" s="2">
        <v>54079</v>
      </c>
      <c r="J42" s="2" t="s">
        <v>412</v>
      </c>
      <c r="K42" s="2" t="s">
        <v>413</v>
      </c>
      <c r="L42" s="7">
        <f>ROUND((DATE(VALUE(RIGHT(E42,4)),VALUE(LEFT(E42,2)),VALUE(MID(E42,4,2)))+VALUE(LEFT(F42,2))/Parameters!$B$28+VALUE(RIGHT(F42,2))/Parameters!$B$29-INDEX(Samples!$X$4:$X$32,MATCH(B42,Samples!$A$4:$A$32,0)))*Parameters!$B$28,2)</f>
        <v>673.52</v>
      </c>
      <c r="M42" s="7">
        <f>ROUND(L42/Parameters!$B$28,2)</f>
        <v>28.06</v>
      </c>
      <c r="N42" s="2" t="str">
        <f>IF(ABS(L42-Parameters!$B$20)&lt;=Parameters!$B$21,"Yes","No")</f>
        <v>Yes</v>
      </c>
      <c r="O42" s="2" t="str">
        <f>INDEX(Samples!$P$4:$P$32,MATCH(B42,Samples!$A$4:$A$32,0))</f>
        <v>Standard</v>
      </c>
      <c r="P42" s="9">
        <f t="shared" si="2"/>
        <v>12.6923</v>
      </c>
      <c r="Q42" s="2">
        <f>ROUND(I42/(PI()*((G42+H42)/2)^2/4)/Parameters!$B$27,0)*Parameters!$B$27</f>
        <v>4260</v>
      </c>
      <c r="R42" s="2" t="str">
        <f t="shared" si="3"/>
        <v>Yes</v>
      </c>
    </row>
    <row r="43" spans="1:18" x14ac:dyDescent="0.2">
      <c r="A43" s="2" t="s">
        <v>493</v>
      </c>
      <c r="B43" s="2" t="s">
        <v>305</v>
      </c>
      <c r="C43" s="2" t="s">
        <v>419</v>
      </c>
      <c r="D43" s="2">
        <f>INDEX(Samples!$F$4:$F$32,MATCH(B43,Samples!$A$4:$A$32,0))</f>
        <v>772316</v>
      </c>
      <c r="E43" s="2" t="s">
        <v>491</v>
      </c>
      <c r="F43" s="2" t="s">
        <v>494</v>
      </c>
      <c r="G43" s="7">
        <v>4</v>
      </c>
      <c r="H43" s="7">
        <v>4.02</v>
      </c>
      <c r="I43" s="2">
        <v>53295</v>
      </c>
      <c r="J43" s="2" t="s">
        <v>425</v>
      </c>
      <c r="K43" s="2" t="s">
        <v>413</v>
      </c>
      <c r="L43" s="7">
        <f>ROUND((DATE(VALUE(RIGHT(E43,4)),VALUE(LEFT(E43,2)),VALUE(MID(E43,4,2)))+VALUE(LEFT(F43,2))/Parameters!$B$28+VALUE(RIGHT(F43,2))/Parameters!$B$29-INDEX(Samples!$X$4:$X$32,MATCH(B43,Samples!$A$4:$A$32,0)))*Parameters!$B$28,2)</f>
        <v>673.65</v>
      </c>
      <c r="M43" s="7">
        <f>ROUND(L43/Parameters!$B$28,2)</f>
        <v>28.07</v>
      </c>
      <c r="N43" s="2" t="str">
        <f>IF(ABS(L43-Parameters!$B$20)&lt;=Parameters!$B$21,"Yes","No")</f>
        <v>Yes</v>
      </c>
      <c r="O43" s="2" t="str">
        <f>INDEX(Samples!$P$4:$P$32,MATCH(B43,Samples!$A$4:$A$32,0))</f>
        <v>Standard</v>
      </c>
      <c r="P43" s="9">
        <f t="shared" si="2"/>
        <v>12.6293</v>
      </c>
      <c r="Q43" s="2">
        <f>ROUND(I43/(PI()*((G43+H43)/2)^2/4)/Parameters!$B$27,0)*Parameters!$B$27</f>
        <v>4220</v>
      </c>
      <c r="R43" s="2" t="str">
        <f t="shared" si="3"/>
        <v>Yes</v>
      </c>
    </row>
    <row r="44" spans="1:18" x14ac:dyDescent="0.2">
      <c r="A44" s="2" t="s">
        <v>495</v>
      </c>
      <c r="B44" s="2" t="s">
        <v>305</v>
      </c>
      <c r="C44" s="2" t="s">
        <v>422</v>
      </c>
      <c r="D44" s="2">
        <f>INDEX(Samples!$F$4:$F$32,MATCH(B44,Samples!$A$4:$A$32,0))</f>
        <v>772316</v>
      </c>
      <c r="E44" s="2" t="s">
        <v>491</v>
      </c>
      <c r="F44" s="2" t="s">
        <v>496</v>
      </c>
      <c r="G44" s="7">
        <v>4.01</v>
      </c>
      <c r="H44" s="7">
        <v>3.99</v>
      </c>
      <c r="I44" s="2">
        <v>48885</v>
      </c>
      <c r="J44" s="2" t="s">
        <v>497</v>
      </c>
      <c r="K44" s="2" t="s">
        <v>498</v>
      </c>
      <c r="L44" s="7">
        <f>ROUND((DATE(VALUE(RIGHT(E44,4)),VALUE(LEFT(E44,2)),VALUE(MID(E44,4,2)))+VALUE(LEFT(F44,2))/Parameters!$B$28+VALUE(RIGHT(F44,2))/Parameters!$B$29-INDEX(Samples!$X$4:$X$32,MATCH(B44,Samples!$A$4:$A$32,0)))*Parameters!$B$28,2)</f>
        <v>673.75</v>
      </c>
      <c r="M44" s="7">
        <f>ROUND(L44/Parameters!$B$28,2)</f>
        <v>28.07</v>
      </c>
      <c r="N44" s="2" t="str">
        <f>IF(ABS(L44-Parameters!$B$20)&lt;=Parameters!$B$21,"Yes","No")</f>
        <v>Yes</v>
      </c>
      <c r="O44" s="2" t="str">
        <f>INDEX(Samples!$P$4:$P$32,MATCH(B44,Samples!$A$4:$A$32,0))</f>
        <v>Standard</v>
      </c>
      <c r="P44" s="9">
        <f t="shared" si="2"/>
        <v>12.5664</v>
      </c>
      <c r="Q44" s="2">
        <f>ROUND(I44/(PI()*((G44+H44)/2)^2/4)/Parameters!$B$27,0)*Parameters!$B$27</f>
        <v>3890</v>
      </c>
      <c r="R44" s="2" t="str">
        <f t="shared" si="3"/>
        <v>No</v>
      </c>
    </row>
    <row r="45" spans="1:18" x14ac:dyDescent="0.2">
      <c r="A45" s="2" t="s">
        <v>499</v>
      </c>
      <c r="B45" s="2" t="s">
        <v>305</v>
      </c>
      <c r="C45" s="2" t="s">
        <v>500</v>
      </c>
      <c r="D45" s="2">
        <f>INDEX(Samples!$F$4:$F$32,MATCH(B45,Samples!$A$4:$A$32,0))</f>
        <v>772316</v>
      </c>
      <c r="E45" s="2" t="s">
        <v>375</v>
      </c>
      <c r="F45" s="2" t="s">
        <v>369</v>
      </c>
      <c r="G45" s="7">
        <v>4.02</v>
      </c>
      <c r="H45" s="7">
        <v>4</v>
      </c>
      <c r="I45" s="2">
        <v>38506</v>
      </c>
      <c r="J45" s="2" t="s">
        <v>412</v>
      </c>
      <c r="K45" s="2" t="s">
        <v>413</v>
      </c>
      <c r="L45" s="7">
        <f>ROUND((DATE(VALUE(RIGHT(E45,4)),VALUE(LEFT(E45,2)),VALUE(MID(E45,4,2)))+VALUE(LEFT(F45,2))/Parameters!$B$28+VALUE(RIGHT(F45,2))/Parameters!$B$29-INDEX(Samples!$X$4:$X$32,MATCH(B45,Samples!$A$4:$A$32,0)))*Parameters!$B$28,2)</f>
        <v>169.47</v>
      </c>
      <c r="M45" s="7">
        <f>ROUND(L45/Parameters!$B$28,2)</f>
        <v>7.06</v>
      </c>
      <c r="N45" s="2" t="str">
        <f>IF(ABS(L45-Parameters!$B$20)&lt;=Parameters!$B$21,"Yes","No")</f>
        <v>No</v>
      </c>
      <c r="O45" s="2" t="str">
        <f>INDEX(Samples!$P$4:$P$32,MATCH(B45,Samples!$A$4:$A$32,0))</f>
        <v>Standard</v>
      </c>
      <c r="P45" s="9">
        <f t="shared" si="2"/>
        <v>12.6293</v>
      </c>
      <c r="Q45" s="2">
        <f>ROUND(I45/(PI()*((G45+H45)/2)^2/4)/Parameters!$B$27,0)*Parameters!$B$27</f>
        <v>3050</v>
      </c>
      <c r="R45" s="2" t="str">
        <f t="shared" si="3"/>
        <v>No</v>
      </c>
    </row>
    <row r="46" spans="1:18" x14ac:dyDescent="0.2">
      <c r="A46" s="2" t="s">
        <v>501</v>
      </c>
      <c r="B46" s="2" t="s">
        <v>311</v>
      </c>
      <c r="C46" s="2" t="s">
        <v>410</v>
      </c>
      <c r="D46" s="2">
        <f>INDEX(Samples!$F$4:$F$32,MATCH(B46,Samples!$A$4:$A$32,0))</f>
        <v>772569</v>
      </c>
      <c r="E46" s="2" t="s">
        <v>204</v>
      </c>
      <c r="F46" s="2" t="s">
        <v>502</v>
      </c>
      <c r="G46" s="7">
        <v>5.99</v>
      </c>
      <c r="H46" s="7">
        <v>6.01</v>
      </c>
      <c r="I46" s="2">
        <v>84271</v>
      </c>
      <c r="J46" s="2" t="s">
        <v>412</v>
      </c>
      <c r="K46" s="2" t="s">
        <v>413</v>
      </c>
      <c r="L46" s="7">
        <f>ROUND((DATE(VALUE(RIGHT(E46,4)),VALUE(LEFT(E46,2)),VALUE(MID(E46,4,2)))+VALUE(LEFT(F46,2))/Parameters!$B$28+VALUE(RIGHT(F46,2))/Parameters!$B$29-INDEX(Samples!$X$4:$X$32,MATCH(B46,Samples!$A$4:$A$32,0)))*Parameters!$B$28,2)</f>
        <v>167.53</v>
      </c>
      <c r="M46" s="7">
        <f>ROUND(L46/Parameters!$B$28,2)</f>
        <v>6.98</v>
      </c>
      <c r="N46" s="2" t="str">
        <f>IF(ABS(L46-Parameters!$B$20)&lt;=Parameters!$B$21,"Yes","No")</f>
        <v>No</v>
      </c>
      <c r="O46" s="2" t="str">
        <f>INDEX(Samples!$P$4:$P$32,MATCH(B46,Samples!$A$4:$A$32,0))</f>
        <v>Standard</v>
      </c>
      <c r="P46" s="9">
        <f t="shared" si="2"/>
        <v>28.2743</v>
      </c>
      <c r="Q46" s="2">
        <f>ROUND(I46/(PI()*((G46+H46)/2)^2/4)/Parameters!$B$27,0)*Parameters!$B$27</f>
        <v>2980</v>
      </c>
      <c r="R46" s="2" t="str">
        <f t="shared" si="3"/>
        <v>No</v>
      </c>
    </row>
    <row r="47" spans="1:18" x14ac:dyDescent="0.2">
      <c r="A47" s="2" t="s">
        <v>503</v>
      </c>
      <c r="B47" s="2" t="s">
        <v>311</v>
      </c>
      <c r="C47" s="2" t="s">
        <v>415</v>
      </c>
      <c r="D47" s="2">
        <f>INDEX(Samples!$F$4:$F$32,MATCH(B47,Samples!$A$4:$A$32,0))</f>
        <v>772569</v>
      </c>
      <c r="E47" s="2" t="s">
        <v>504</v>
      </c>
      <c r="F47" s="2" t="s">
        <v>505</v>
      </c>
      <c r="G47" s="7">
        <v>6</v>
      </c>
      <c r="H47" s="7">
        <v>6</v>
      </c>
      <c r="I47" s="2">
        <v>122447</v>
      </c>
      <c r="J47" s="2" t="s">
        <v>417</v>
      </c>
      <c r="K47" s="2" t="s">
        <v>413</v>
      </c>
      <c r="L47" s="7">
        <f>ROUND((DATE(VALUE(RIGHT(E47,4)),VALUE(LEFT(E47,2)),VALUE(MID(E47,4,2)))+VALUE(LEFT(F47,2))/Parameters!$B$28+VALUE(RIGHT(F47,2))/Parameters!$B$29-INDEX(Samples!$X$4:$X$32,MATCH(B47,Samples!$A$4:$A$32,0)))*Parameters!$B$28,2)</f>
        <v>690.3</v>
      </c>
      <c r="M47" s="7">
        <f>ROUND(L47/Parameters!$B$28,2)</f>
        <v>28.76</v>
      </c>
      <c r="N47" s="2" t="str">
        <f>IF(ABS(L47-Parameters!$B$20)&lt;=Parameters!$B$21,"Yes","No")</f>
        <v>Yes</v>
      </c>
      <c r="O47" s="2" t="str">
        <f>INDEX(Samples!$P$4:$P$32,MATCH(B47,Samples!$A$4:$A$32,0))</f>
        <v>Standard</v>
      </c>
      <c r="P47" s="9">
        <f t="shared" si="2"/>
        <v>28.2743</v>
      </c>
      <c r="Q47" s="2">
        <f>ROUND(I47/(PI()*((G47+H47)/2)^2/4)/Parameters!$B$27,0)*Parameters!$B$27</f>
        <v>4330</v>
      </c>
      <c r="R47" s="2" t="str">
        <f t="shared" si="3"/>
        <v>Yes</v>
      </c>
    </row>
    <row r="48" spans="1:18" x14ac:dyDescent="0.2">
      <c r="A48" s="2" t="s">
        <v>506</v>
      </c>
      <c r="B48" s="2" t="s">
        <v>311</v>
      </c>
      <c r="C48" s="2" t="s">
        <v>419</v>
      </c>
      <c r="D48" s="2">
        <f>INDEX(Samples!$F$4:$F$32,MATCH(B48,Samples!$A$4:$A$32,0))</f>
        <v>772569</v>
      </c>
      <c r="E48" s="2" t="s">
        <v>504</v>
      </c>
      <c r="F48" s="2" t="s">
        <v>507</v>
      </c>
      <c r="G48" s="7">
        <v>6.01</v>
      </c>
      <c r="H48" s="7">
        <v>5.99</v>
      </c>
      <c r="I48" s="2">
        <v>120139</v>
      </c>
      <c r="J48" s="2" t="s">
        <v>412</v>
      </c>
      <c r="K48" s="2" t="s">
        <v>413</v>
      </c>
      <c r="L48" s="7">
        <f>ROUND((DATE(VALUE(RIGHT(E48,4)),VALUE(LEFT(E48,2)),VALUE(MID(E48,4,2)))+VALUE(LEFT(F48,2))/Parameters!$B$28+VALUE(RIGHT(F48,2))/Parameters!$B$29-INDEX(Samples!$X$4:$X$32,MATCH(B48,Samples!$A$4:$A$32,0)))*Parameters!$B$28,2)</f>
        <v>690.4</v>
      </c>
      <c r="M48" s="7">
        <f>ROUND(L48/Parameters!$B$28,2)</f>
        <v>28.77</v>
      </c>
      <c r="N48" s="2" t="str">
        <f>IF(ABS(L48-Parameters!$B$20)&lt;=Parameters!$B$21,"Yes","No")</f>
        <v>Yes</v>
      </c>
      <c r="O48" s="2" t="str">
        <f>INDEX(Samples!$P$4:$P$32,MATCH(B48,Samples!$A$4:$A$32,0))</f>
        <v>Standard</v>
      </c>
      <c r="P48" s="9">
        <f t="shared" si="2"/>
        <v>28.2743</v>
      </c>
      <c r="Q48" s="2">
        <f>ROUND(I48/(PI()*((G48+H48)/2)^2/4)/Parameters!$B$27,0)*Parameters!$B$27</f>
        <v>4250</v>
      </c>
      <c r="R48" s="2" t="str">
        <f t="shared" si="3"/>
        <v>Yes</v>
      </c>
    </row>
    <row r="49" spans="1:18" x14ac:dyDescent="0.2">
      <c r="A49" s="2" t="s">
        <v>508</v>
      </c>
      <c r="B49" s="2" t="s">
        <v>316</v>
      </c>
      <c r="C49" s="2" t="s">
        <v>410</v>
      </c>
      <c r="D49" s="2">
        <f>INDEX(Samples!$F$4:$F$32,MATCH(B49,Samples!$A$4:$A$32,0))</f>
        <v>772784</v>
      </c>
      <c r="E49" s="2" t="s">
        <v>209</v>
      </c>
      <c r="F49" s="2" t="s">
        <v>509</v>
      </c>
      <c r="G49" s="7">
        <v>6</v>
      </c>
      <c r="H49" s="7">
        <v>6</v>
      </c>
      <c r="I49" s="2">
        <v>91317</v>
      </c>
      <c r="J49" s="2" t="s">
        <v>444</v>
      </c>
      <c r="K49" s="2" t="s">
        <v>413</v>
      </c>
      <c r="L49" s="7">
        <f>ROUND((DATE(VALUE(RIGHT(E49,4)),VALUE(LEFT(E49,2)),VALUE(MID(E49,4,2)))+VALUE(LEFT(F49,2))/Parameters!$B$28+VALUE(RIGHT(F49,2))/Parameters!$B$29-INDEX(Samples!$X$4:$X$32,MATCH(B49,Samples!$A$4:$A$32,0)))*Parameters!$B$28,2)</f>
        <v>171.57</v>
      </c>
      <c r="M49" s="7">
        <f>ROUND(L49/Parameters!$B$28,2)</f>
        <v>7.15</v>
      </c>
      <c r="N49" s="2" t="str">
        <f>IF(ABS(L49-Parameters!$B$20)&lt;=Parameters!$B$21,"Yes","No")</f>
        <v>No</v>
      </c>
      <c r="O49" s="2" t="str">
        <f>INDEX(Samples!$P$4:$P$32,MATCH(B49,Samples!$A$4:$A$32,0))</f>
        <v>Standard</v>
      </c>
      <c r="P49" s="9">
        <f t="shared" si="2"/>
        <v>28.2743</v>
      </c>
      <c r="Q49" s="2">
        <f>ROUND(I49/(PI()*((G49+H49)/2)^2/4)/Parameters!$B$27,0)*Parameters!$B$27</f>
        <v>3230</v>
      </c>
      <c r="R49" s="2" t="str">
        <f t="shared" si="3"/>
        <v>No</v>
      </c>
    </row>
    <row r="50" spans="1:18" x14ac:dyDescent="0.2">
      <c r="A50" s="2" t="s">
        <v>510</v>
      </c>
      <c r="B50" s="2" t="s">
        <v>316</v>
      </c>
      <c r="C50" s="2" t="s">
        <v>415</v>
      </c>
      <c r="D50" s="2">
        <f>INDEX(Samples!$F$4:$F$32,MATCH(B50,Samples!$A$4:$A$32,0))</f>
        <v>772784</v>
      </c>
      <c r="E50" s="2" t="s">
        <v>511</v>
      </c>
      <c r="F50" s="2" t="s">
        <v>512</v>
      </c>
      <c r="G50" s="7">
        <v>6.02</v>
      </c>
      <c r="H50" s="7">
        <v>6</v>
      </c>
      <c r="I50" s="2">
        <v>125704</v>
      </c>
      <c r="J50" s="2" t="s">
        <v>412</v>
      </c>
      <c r="K50" s="2" t="s">
        <v>413</v>
      </c>
      <c r="L50" s="7">
        <f>ROUND((DATE(VALUE(RIGHT(E50,4)),VALUE(LEFT(E50,2)),VALUE(MID(E50,4,2)))+VALUE(LEFT(F50,2))/Parameters!$B$28+VALUE(RIGHT(F50,2))/Parameters!$B$29-INDEX(Samples!$X$4:$X$32,MATCH(B50,Samples!$A$4:$A$32,0)))*Parameters!$B$28,2)</f>
        <v>673.95</v>
      </c>
      <c r="M50" s="7">
        <f>ROUND(L50/Parameters!$B$28,2)</f>
        <v>28.08</v>
      </c>
      <c r="N50" s="2" t="str">
        <f>IF(ABS(L50-Parameters!$B$20)&lt;=Parameters!$B$21,"Yes","No")</f>
        <v>Yes</v>
      </c>
      <c r="O50" s="2" t="str">
        <f>INDEX(Samples!$P$4:$P$32,MATCH(B50,Samples!$A$4:$A$32,0))</f>
        <v>Standard</v>
      </c>
      <c r="P50" s="9">
        <f t="shared" si="2"/>
        <v>28.3687</v>
      </c>
      <c r="Q50" s="2">
        <f>ROUND(I50/(PI()*((G50+H50)/2)^2/4)/Parameters!$B$27,0)*Parameters!$B$27</f>
        <v>4430</v>
      </c>
      <c r="R50" s="2" t="str">
        <f t="shared" si="3"/>
        <v>Yes</v>
      </c>
    </row>
    <row r="51" spans="1:18" x14ac:dyDescent="0.2">
      <c r="A51" s="2" t="s">
        <v>513</v>
      </c>
      <c r="B51" s="2" t="s">
        <v>316</v>
      </c>
      <c r="C51" s="2" t="s">
        <v>419</v>
      </c>
      <c r="D51" s="2">
        <f>INDEX(Samples!$F$4:$F$32,MATCH(B51,Samples!$A$4:$A$32,0))</f>
        <v>772784</v>
      </c>
      <c r="E51" s="2" t="s">
        <v>511</v>
      </c>
      <c r="F51" s="2" t="s">
        <v>514</v>
      </c>
      <c r="G51" s="7">
        <v>5.98</v>
      </c>
      <c r="H51" s="7">
        <v>6</v>
      </c>
      <c r="I51" s="2">
        <v>122561</v>
      </c>
      <c r="J51" s="2" t="s">
        <v>412</v>
      </c>
      <c r="K51" s="2" t="s">
        <v>413</v>
      </c>
      <c r="L51" s="7">
        <f>ROUND((DATE(VALUE(RIGHT(E51,4)),VALUE(LEFT(E51,2)),VALUE(MID(E51,4,2)))+VALUE(LEFT(F51,2))/Parameters!$B$28+VALUE(RIGHT(F51,2))/Parameters!$B$29-INDEX(Samples!$X$4:$X$32,MATCH(B51,Samples!$A$4:$A$32,0)))*Parameters!$B$28,2)</f>
        <v>674.1</v>
      </c>
      <c r="M51" s="7">
        <f>ROUND(L51/Parameters!$B$28,2)</f>
        <v>28.09</v>
      </c>
      <c r="N51" s="2" t="str">
        <f>IF(ABS(L51-Parameters!$B$20)&lt;=Parameters!$B$21,"Yes","No")</f>
        <v>Yes</v>
      </c>
      <c r="O51" s="2" t="str">
        <f>INDEX(Samples!$P$4:$P$32,MATCH(B51,Samples!$A$4:$A$32,0))</f>
        <v>Standard</v>
      </c>
      <c r="P51" s="9">
        <f t="shared" si="2"/>
        <v>28.1802</v>
      </c>
      <c r="Q51" s="2">
        <f>ROUND(I51/(PI()*((G51+H51)/2)^2/4)/Parameters!$B$27,0)*Parameters!$B$27</f>
        <v>4350</v>
      </c>
      <c r="R51" s="2" t="str">
        <f t="shared" si="3"/>
        <v>Yes</v>
      </c>
    </row>
    <row r="52" spans="1:18" x14ac:dyDescent="0.2">
      <c r="A52" s="2" t="s">
        <v>515</v>
      </c>
      <c r="B52" s="2" t="s">
        <v>321</v>
      </c>
      <c r="C52" s="2" t="s">
        <v>410</v>
      </c>
      <c r="D52" s="2">
        <f>INDEX(Samples!$F$4:$F$32,MATCH(B52,Samples!$A$4:$A$32,0))</f>
        <v>773127</v>
      </c>
      <c r="E52" s="2" t="s">
        <v>386</v>
      </c>
      <c r="F52" s="2" t="s">
        <v>516</v>
      </c>
      <c r="G52" s="7">
        <v>5.99</v>
      </c>
      <c r="H52" s="7">
        <v>5.99</v>
      </c>
      <c r="I52" s="2">
        <v>87075</v>
      </c>
      <c r="J52" s="2" t="s">
        <v>412</v>
      </c>
      <c r="K52" s="2" t="s">
        <v>413</v>
      </c>
      <c r="L52" s="7">
        <f>ROUND((DATE(VALUE(RIGHT(E52,4)),VALUE(LEFT(E52,2)),VALUE(MID(E52,4,2)))+VALUE(LEFT(F52,2))/Parameters!$B$28+VALUE(RIGHT(F52,2))/Parameters!$B$29-INDEX(Samples!$X$4:$X$32,MATCH(B52,Samples!$A$4:$A$32,0)))*Parameters!$B$28,2)</f>
        <v>140.75</v>
      </c>
      <c r="M52" s="7">
        <f>ROUND(L52/Parameters!$B$28,2)</f>
        <v>5.86</v>
      </c>
      <c r="N52" s="2" t="str">
        <f>IF(ABS(L52-Parameters!$B$20)&lt;=Parameters!$B$21,"Yes","No")</f>
        <v>No</v>
      </c>
      <c r="O52" s="2" t="str">
        <f>INDEX(Samples!$P$4:$P$32,MATCH(B52,Samples!$A$4:$A$32,0))</f>
        <v>Standard</v>
      </c>
      <c r="P52" s="9">
        <f t="shared" si="2"/>
        <v>28.1802</v>
      </c>
      <c r="Q52" s="2">
        <f>ROUND(I52/(PI()*((G52+H52)/2)^2/4)/Parameters!$B$27,0)*Parameters!$B$27</f>
        <v>3090</v>
      </c>
      <c r="R52" s="2" t="str">
        <f t="shared" si="3"/>
        <v>No</v>
      </c>
    </row>
    <row r="53" spans="1:18" x14ac:dyDescent="0.2">
      <c r="A53" s="2" t="s">
        <v>517</v>
      </c>
      <c r="B53" s="2" t="s">
        <v>321</v>
      </c>
      <c r="C53" s="2" t="s">
        <v>415</v>
      </c>
      <c r="D53" s="2">
        <f>INDEX(Samples!$F$4:$F$32,MATCH(B53,Samples!$A$4:$A$32,0))</f>
        <v>773127</v>
      </c>
      <c r="E53" s="2" t="s">
        <v>518</v>
      </c>
      <c r="F53" s="2" t="s">
        <v>519</v>
      </c>
      <c r="G53" s="7">
        <v>6</v>
      </c>
      <c r="H53" s="7">
        <v>6.02</v>
      </c>
      <c r="I53" s="2">
        <v>122874</v>
      </c>
      <c r="J53" s="2" t="s">
        <v>412</v>
      </c>
      <c r="K53" s="2" t="s">
        <v>413</v>
      </c>
      <c r="L53" s="7">
        <f>ROUND((DATE(VALUE(RIGHT(E53,4)),VALUE(LEFT(E53,2)),VALUE(MID(E53,4,2)))+VALUE(LEFT(F53,2))/Parameters!$B$28+VALUE(RIGHT(F53,2))/Parameters!$B$29-INDEX(Samples!$X$4:$X$32,MATCH(B53,Samples!$A$4:$A$32,0)))*Parameters!$B$28,2)</f>
        <v>645.72</v>
      </c>
      <c r="M53" s="7">
        <f>ROUND(L53/Parameters!$B$28,2)</f>
        <v>26.91</v>
      </c>
      <c r="N53" s="2" t="str">
        <f>IF(ABS(L53-Parameters!$B$20)&lt;=Parameters!$B$21,"Yes","No")</f>
        <v>No</v>
      </c>
      <c r="O53" s="2" t="str">
        <f>INDEX(Samples!$P$4:$P$32,MATCH(B53,Samples!$A$4:$A$32,0))</f>
        <v>Standard</v>
      </c>
      <c r="P53" s="9">
        <f t="shared" si="2"/>
        <v>28.3687</v>
      </c>
      <c r="Q53" s="2">
        <f>ROUND(I53/(PI()*((G53+H53)/2)^2/4)/Parameters!$B$27,0)*Parameters!$B$27</f>
        <v>4330</v>
      </c>
      <c r="R53" s="2" t="str">
        <f t="shared" si="3"/>
        <v>No</v>
      </c>
    </row>
    <row r="54" spans="1:18" x14ac:dyDescent="0.2">
      <c r="A54" s="2" t="s">
        <v>520</v>
      </c>
      <c r="B54" s="2" t="s">
        <v>321</v>
      </c>
      <c r="C54" s="2" t="s">
        <v>419</v>
      </c>
      <c r="D54" s="2">
        <f>INDEX(Samples!$F$4:$F$32,MATCH(B54,Samples!$A$4:$A$32,0))</f>
        <v>773127</v>
      </c>
      <c r="E54" s="2" t="s">
        <v>518</v>
      </c>
      <c r="F54" s="2" t="s">
        <v>521</v>
      </c>
      <c r="G54" s="7">
        <v>6.04</v>
      </c>
      <c r="H54" s="7">
        <v>6.02</v>
      </c>
      <c r="I54" s="2">
        <v>121919</v>
      </c>
      <c r="J54" s="2" t="s">
        <v>444</v>
      </c>
      <c r="K54" s="2" t="s">
        <v>413</v>
      </c>
      <c r="L54" s="7">
        <f>ROUND((DATE(VALUE(RIGHT(E54,4)),VALUE(LEFT(E54,2)),VALUE(MID(E54,4,2)))+VALUE(LEFT(F54,2))/Parameters!$B$28+VALUE(RIGHT(F54,2))/Parameters!$B$29-INDEX(Samples!$X$4:$X$32,MATCH(B54,Samples!$A$4:$A$32,0)))*Parameters!$B$28,2)</f>
        <v>645.82</v>
      </c>
      <c r="M54" s="7">
        <f>ROUND(L54/Parameters!$B$28,2)</f>
        <v>26.91</v>
      </c>
      <c r="N54" s="2" t="str">
        <f>IF(ABS(L54-Parameters!$B$20)&lt;=Parameters!$B$21,"Yes","No")</f>
        <v>No</v>
      </c>
      <c r="O54" s="2" t="str">
        <f>INDEX(Samples!$P$4:$P$32,MATCH(B54,Samples!$A$4:$A$32,0))</f>
        <v>Standard</v>
      </c>
      <c r="P54" s="9">
        <f t="shared" si="2"/>
        <v>28.5578</v>
      </c>
      <c r="Q54" s="2">
        <f>ROUND(I54/(PI()*((G54+H54)/2)^2/4)/Parameters!$B$27,0)*Parameters!$B$27</f>
        <v>4270</v>
      </c>
      <c r="R54" s="2" t="str">
        <f t="shared" si="3"/>
        <v>No</v>
      </c>
    </row>
    <row r="55" spans="1:18" x14ac:dyDescent="0.2">
      <c r="A55" s="2" t="s">
        <v>522</v>
      </c>
      <c r="B55" s="2" t="s">
        <v>326</v>
      </c>
      <c r="C55" s="2" t="s">
        <v>410</v>
      </c>
      <c r="D55" s="2">
        <f>INDEX(Samples!$F$4:$F$32,MATCH(B55,Samples!$A$4:$A$32,0))</f>
        <v>773295</v>
      </c>
      <c r="E55" s="2" t="s">
        <v>219</v>
      </c>
      <c r="F55" s="2" t="s">
        <v>523</v>
      </c>
      <c r="G55" s="7">
        <v>5.97</v>
      </c>
      <c r="H55" s="7">
        <v>5.97</v>
      </c>
      <c r="I55" s="2">
        <v>86757</v>
      </c>
      <c r="J55" s="2" t="s">
        <v>412</v>
      </c>
      <c r="K55" s="2" t="s">
        <v>413</v>
      </c>
      <c r="L55" s="7">
        <f>ROUND((DATE(VALUE(RIGHT(E55,4)),VALUE(LEFT(E55,2)),VALUE(MID(E55,4,2)))+VALUE(LEFT(F55,2))/Parameters!$B$28+VALUE(RIGHT(F55,2))/Parameters!$B$29-INDEX(Samples!$X$4:$X$32,MATCH(B55,Samples!$A$4:$A$32,0)))*Parameters!$B$28,2)</f>
        <v>191.53</v>
      </c>
      <c r="M55" s="7">
        <f>ROUND(L55/Parameters!$B$28,2)</f>
        <v>7.98</v>
      </c>
      <c r="N55" s="2" t="str">
        <f>IF(ABS(L55-Parameters!$B$20)&lt;=Parameters!$B$21,"Yes","No")</f>
        <v>No</v>
      </c>
      <c r="O55" s="2" t="str">
        <f>INDEX(Samples!$P$4:$P$32,MATCH(B55,Samples!$A$4:$A$32,0))</f>
        <v>Standard</v>
      </c>
      <c r="P55" s="9">
        <f t="shared" si="2"/>
        <v>27.9923</v>
      </c>
      <c r="Q55" s="2">
        <f>ROUND(I55/(PI()*((G55+H55)/2)^2/4)/Parameters!$B$27,0)*Parameters!$B$27</f>
        <v>3100</v>
      </c>
      <c r="R55" s="2" t="str">
        <f t="shared" si="3"/>
        <v>No</v>
      </c>
    </row>
    <row r="56" spans="1:18" x14ac:dyDescent="0.2">
      <c r="A56" s="2" t="s">
        <v>524</v>
      </c>
      <c r="B56" s="2" t="s">
        <v>326</v>
      </c>
      <c r="C56" s="2" t="s">
        <v>415</v>
      </c>
      <c r="D56" s="2">
        <f>INDEX(Samples!$F$4:$F$32,MATCH(B56,Samples!$A$4:$A$32,0))</f>
        <v>773295</v>
      </c>
      <c r="E56" s="2" t="s">
        <v>423</v>
      </c>
      <c r="F56" s="2" t="s">
        <v>525</v>
      </c>
      <c r="G56" s="7">
        <v>6</v>
      </c>
      <c r="H56" s="7">
        <v>6</v>
      </c>
      <c r="I56" s="2">
        <v>122694</v>
      </c>
      <c r="J56" s="2" t="s">
        <v>412</v>
      </c>
      <c r="K56" s="2" t="s">
        <v>413</v>
      </c>
      <c r="L56" s="7">
        <f>ROUND((DATE(VALUE(RIGHT(E56,4)),VALUE(LEFT(E56,2)),VALUE(MID(E56,4,2)))+VALUE(LEFT(F56,2))/Parameters!$B$28+VALUE(RIGHT(F56,2))/Parameters!$B$29-INDEX(Samples!$X$4:$X$32,MATCH(B56,Samples!$A$4:$A$32,0)))*Parameters!$B$28,2)</f>
        <v>674.03</v>
      </c>
      <c r="M56" s="7">
        <f>ROUND(L56/Parameters!$B$28,2)</f>
        <v>28.08</v>
      </c>
      <c r="N56" s="2" t="str">
        <f>IF(ABS(L56-Parameters!$B$20)&lt;=Parameters!$B$21,"Yes","No")</f>
        <v>Yes</v>
      </c>
      <c r="O56" s="2" t="str">
        <f>INDEX(Samples!$P$4:$P$32,MATCH(B56,Samples!$A$4:$A$32,0))</f>
        <v>Standard</v>
      </c>
      <c r="P56" s="9">
        <f t="shared" si="2"/>
        <v>28.2743</v>
      </c>
      <c r="Q56" s="2">
        <f>ROUND(I56/(PI()*((G56+H56)/2)^2/4)/Parameters!$B$27,0)*Parameters!$B$27</f>
        <v>4340</v>
      </c>
      <c r="R56" s="2" t="str">
        <f t="shared" si="3"/>
        <v>Yes</v>
      </c>
    </row>
    <row r="57" spans="1:18" x14ac:dyDescent="0.2">
      <c r="A57" s="2" t="s">
        <v>526</v>
      </c>
      <c r="B57" s="2" t="s">
        <v>326</v>
      </c>
      <c r="C57" s="2" t="s">
        <v>419</v>
      </c>
      <c r="D57" s="2">
        <f>INDEX(Samples!$F$4:$F$32,MATCH(B57,Samples!$A$4:$A$32,0))</f>
        <v>773295</v>
      </c>
      <c r="E57" s="2" t="s">
        <v>423</v>
      </c>
      <c r="F57" s="2" t="s">
        <v>527</v>
      </c>
      <c r="G57" s="7">
        <v>6.02</v>
      </c>
      <c r="H57" s="7">
        <v>6</v>
      </c>
      <c r="I57" s="2">
        <v>120871</v>
      </c>
      <c r="J57" s="2" t="s">
        <v>444</v>
      </c>
      <c r="K57" s="2" t="s">
        <v>413</v>
      </c>
      <c r="L57" s="7">
        <f>ROUND((DATE(VALUE(RIGHT(E57,4)),VALUE(LEFT(E57,2)),VALUE(MID(E57,4,2)))+VALUE(LEFT(F57,2))/Parameters!$B$28+VALUE(RIGHT(F57,2))/Parameters!$B$29-INDEX(Samples!$X$4:$X$32,MATCH(B57,Samples!$A$4:$A$32,0)))*Parameters!$B$28,2)</f>
        <v>674.13</v>
      </c>
      <c r="M57" s="7">
        <f>ROUND(L57/Parameters!$B$28,2)</f>
        <v>28.09</v>
      </c>
      <c r="N57" s="2" t="str">
        <f>IF(ABS(L57-Parameters!$B$20)&lt;=Parameters!$B$21,"Yes","No")</f>
        <v>Yes</v>
      </c>
      <c r="O57" s="2" t="str">
        <f>INDEX(Samples!$P$4:$P$32,MATCH(B57,Samples!$A$4:$A$32,0))</f>
        <v>Standard</v>
      </c>
      <c r="P57" s="9">
        <f t="shared" si="2"/>
        <v>28.3687</v>
      </c>
      <c r="Q57" s="2">
        <f>ROUND(I57/(PI()*((G57+H57)/2)^2/4)/Parameters!$B$27,0)*Parameters!$B$27</f>
        <v>4260</v>
      </c>
      <c r="R57" s="2" t="str">
        <f t="shared" si="3"/>
        <v>Yes</v>
      </c>
    </row>
    <row r="58" spans="1:18" x14ac:dyDescent="0.2">
      <c r="A58" s="2" t="s">
        <v>528</v>
      </c>
      <c r="B58" s="2" t="s">
        <v>331</v>
      </c>
      <c r="C58" s="2" t="s">
        <v>410</v>
      </c>
      <c r="D58" s="2">
        <f>INDEX(Samples!$F$4:$F$32,MATCH(B58,Samples!$A$4:$A$32,0))</f>
        <v>773902</v>
      </c>
      <c r="E58" s="2" t="s">
        <v>529</v>
      </c>
      <c r="F58" s="2" t="s">
        <v>530</v>
      </c>
      <c r="G58" s="7">
        <v>6</v>
      </c>
      <c r="H58" s="7">
        <v>6</v>
      </c>
      <c r="I58" s="2">
        <v>88789</v>
      </c>
      <c r="J58" s="2" t="s">
        <v>444</v>
      </c>
      <c r="K58" s="2" t="s">
        <v>413</v>
      </c>
      <c r="L58" s="7">
        <f>ROUND((DATE(VALUE(RIGHT(E58,4)),VALUE(LEFT(E58,2)),VALUE(MID(E58,4,2)))+VALUE(LEFT(F58,2))/Parameters!$B$28+VALUE(RIGHT(F58,2))/Parameters!$B$29-INDEX(Samples!$X$4:$X$32,MATCH(B58,Samples!$A$4:$A$32,0)))*Parameters!$B$28,2)</f>
        <v>167.88</v>
      </c>
      <c r="M58" s="7">
        <f>ROUND(L58/Parameters!$B$28,2)</f>
        <v>7</v>
      </c>
      <c r="N58" s="2" t="str">
        <f>IF(ABS(L58-Parameters!$B$20)&lt;=Parameters!$B$21,"Yes","No")</f>
        <v>No</v>
      </c>
      <c r="O58" s="2" t="str">
        <f>INDEX(Samples!$P$4:$P$32,MATCH(B58,Samples!$A$4:$A$32,0))</f>
        <v>Standard</v>
      </c>
      <c r="P58" s="9">
        <f t="shared" si="2"/>
        <v>28.2743</v>
      </c>
      <c r="Q58" s="2">
        <f>ROUND(I58/(PI()*((G58+H58)/2)^2/4)/Parameters!$B$27,0)*Parameters!$B$27</f>
        <v>3140</v>
      </c>
      <c r="R58" s="2" t="str">
        <f t="shared" si="3"/>
        <v>No</v>
      </c>
    </row>
    <row r="59" spans="1:18" x14ac:dyDescent="0.2">
      <c r="A59" s="2" t="s">
        <v>531</v>
      </c>
      <c r="B59" s="2" t="s">
        <v>331</v>
      </c>
      <c r="C59" s="2" t="s">
        <v>415</v>
      </c>
      <c r="D59" s="2">
        <f>INDEX(Samples!$F$4:$F$32,MATCH(B59,Samples!$A$4:$A$32,0))</f>
        <v>773902</v>
      </c>
      <c r="E59" s="2" t="s">
        <v>532</v>
      </c>
      <c r="F59" s="2" t="s">
        <v>533</v>
      </c>
      <c r="G59" s="7">
        <v>6.01</v>
      </c>
      <c r="H59" s="7">
        <v>5.99</v>
      </c>
      <c r="I59" s="2">
        <v>123002</v>
      </c>
      <c r="J59" s="2" t="s">
        <v>417</v>
      </c>
      <c r="K59" s="2" t="s">
        <v>413</v>
      </c>
      <c r="L59" s="7">
        <f>ROUND((DATE(VALUE(RIGHT(E59,4)),VALUE(LEFT(E59,2)),VALUE(MID(E59,4,2)))+VALUE(LEFT(F59,2))/Parameters!$B$28+VALUE(RIGHT(F59,2))/Parameters!$B$29-INDEX(Samples!$X$4:$X$32,MATCH(B59,Samples!$A$4:$A$32,0)))*Parameters!$B$28,2)</f>
        <v>673.35</v>
      </c>
      <c r="M59" s="7">
        <f>ROUND(L59/Parameters!$B$28,2)</f>
        <v>28.06</v>
      </c>
      <c r="N59" s="2" t="str">
        <f>IF(ABS(L59-Parameters!$B$20)&lt;=Parameters!$B$21,"Yes","No")</f>
        <v>Yes</v>
      </c>
      <c r="O59" s="2" t="str">
        <f>INDEX(Samples!$P$4:$P$32,MATCH(B59,Samples!$A$4:$A$32,0))</f>
        <v>Standard</v>
      </c>
      <c r="P59" s="9">
        <f t="shared" si="2"/>
        <v>28.2743</v>
      </c>
      <c r="Q59" s="2">
        <f>ROUND(I59/(PI()*((G59+H59)/2)^2/4)/Parameters!$B$27,0)*Parameters!$B$27</f>
        <v>4350</v>
      </c>
      <c r="R59" s="2" t="str">
        <f t="shared" si="3"/>
        <v>Yes</v>
      </c>
    </row>
    <row r="60" spans="1:18" x14ac:dyDescent="0.2">
      <c r="A60" s="2" t="s">
        <v>534</v>
      </c>
      <c r="B60" s="2" t="s">
        <v>331</v>
      </c>
      <c r="C60" s="2" t="s">
        <v>419</v>
      </c>
      <c r="D60" s="2">
        <f>INDEX(Samples!$F$4:$F$32,MATCH(B60,Samples!$A$4:$A$32,0))</f>
        <v>773902</v>
      </c>
      <c r="E60" s="2" t="s">
        <v>532</v>
      </c>
      <c r="F60" s="2" t="s">
        <v>535</v>
      </c>
      <c r="G60" s="7">
        <v>5.97</v>
      </c>
      <c r="H60" s="7">
        <v>5.99</v>
      </c>
      <c r="I60" s="2">
        <v>119891</v>
      </c>
      <c r="J60" s="2" t="s">
        <v>412</v>
      </c>
      <c r="K60" s="2" t="s">
        <v>413</v>
      </c>
      <c r="L60" s="7">
        <f>ROUND((DATE(VALUE(RIGHT(E60,4)),VALUE(LEFT(E60,2)),VALUE(MID(E60,4,2)))+VALUE(LEFT(F60,2))/Parameters!$B$28+VALUE(RIGHT(F60,2))/Parameters!$B$29-INDEX(Samples!$X$4:$X$32,MATCH(B60,Samples!$A$4:$A$32,0)))*Parameters!$B$28,2)</f>
        <v>673.47</v>
      </c>
      <c r="M60" s="7">
        <f>ROUND(L60/Parameters!$B$28,2)</f>
        <v>28.06</v>
      </c>
      <c r="N60" s="2" t="str">
        <f>IF(ABS(L60-Parameters!$B$20)&lt;=Parameters!$B$21,"Yes","No")</f>
        <v>Yes</v>
      </c>
      <c r="O60" s="2" t="str">
        <f>INDEX(Samples!$P$4:$P$32,MATCH(B60,Samples!$A$4:$A$32,0))</f>
        <v>Standard</v>
      </c>
      <c r="P60" s="9">
        <f t="shared" si="2"/>
        <v>28.0862</v>
      </c>
      <c r="Q60" s="2">
        <f>ROUND(I60/(PI()*((G60+H60)/2)^2/4)/Parameters!$B$27,0)*Parameters!$B$27</f>
        <v>4270</v>
      </c>
      <c r="R60" s="2" t="str">
        <f t="shared" si="3"/>
        <v>Yes</v>
      </c>
    </row>
    <row r="61" spans="1:18" x14ac:dyDescent="0.2">
      <c r="A61" s="2" t="s">
        <v>536</v>
      </c>
      <c r="B61" s="2" t="s">
        <v>336</v>
      </c>
      <c r="C61" s="2" t="s">
        <v>410</v>
      </c>
      <c r="D61" s="2">
        <f>INDEX(Samples!$F$4:$F$32,MATCH(B61,Samples!$A$4:$A$32,0))</f>
        <v>770812</v>
      </c>
      <c r="E61" s="2" t="s">
        <v>139</v>
      </c>
      <c r="F61" s="2" t="s">
        <v>537</v>
      </c>
      <c r="G61" s="7">
        <v>4.02</v>
      </c>
      <c r="H61" s="7">
        <v>4</v>
      </c>
      <c r="I61" s="2">
        <v>52147</v>
      </c>
      <c r="J61" s="2" t="s">
        <v>444</v>
      </c>
      <c r="K61" s="2" t="s">
        <v>413</v>
      </c>
      <c r="L61" s="7">
        <f>ROUND((DATE(VALUE(RIGHT(E61,4)),VALUE(LEFT(E61,2)),VALUE(MID(E61,4,2)))+VALUE(LEFT(F61,2))/Parameters!$B$28+VALUE(RIGHT(F61,2))/Parameters!$B$29-INDEX(Samples!$X$4:$X$32,MATCH(B61,Samples!$A$4:$A$32,0)))*Parameters!$B$28,2)</f>
        <v>168.12</v>
      </c>
      <c r="M61" s="7">
        <f>ROUND(L61/Parameters!$B$28,2)</f>
        <v>7.01</v>
      </c>
      <c r="N61" s="2" t="str">
        <f>IF(ABS(L61-Parameters!$B$20)&lt;=Parameters!$B$21,"Yes","No")</f>
        <v>No</v>
      </c>
      <c r="O61" s="2" t="str">
        <f>INDEX(Samples!$P$4:$P$32,MATCH(B61,Samples!$A$4:$A$32,0))</f>
        <v>Standard</v>
      </c>
      <c r="P61" s="9">
        <f t="shared" si="2"/>
        <v>12.6293</v>
      </c>
      <c r="Q61" s="2">
        <f>ROUND(I61/(PI()*((G61+H61)/2)^2/4)/Parameters!$B$27,0)*Parameters!$B$27</f>
        <v>4130</v>
      </c>
      <c r="R61" s="2" t="str">
        <f t="shared" si="3"/>
        <v>No</v>
      </c>
    </row>
    <row r="62" spans="1:18" x14ac:dyDescent="0.2">
      <c r="A62" s="2" t="s">
        <v>538</v>
      </c>
      <c r="B62" s="2" t="s">
        <v>336</v>
      </c>
      <c r="C62" s="2" t="s">
        <v>415</v>
      </c>
      <c r="D62" s="2">
        <f>INDEX(Samples!$F$4:$F$32,MATCH(B62,Samples!$A$4:$A$32,0))</f>
        <v>770812</v>
      </c>
      <c r="E62" s="2" t="s">
        <v>214</v>
      </c>
      <c r="F62" s="2" t="s">
        <v>539</v>
      </c>
      <c r="G62" s="7">
        <v>4</v>
      </c>
      <c r="H62" s="7">
        <v>4.02</v>
      </c>
      <c r="I62" s="2">
        <v>75266</v>
      </c>
      <c r="J62" s="2" t="s">
        <v>444</v>
      </c>
      <c r="K62" s="2" t="s">
        <v>413</v>
      </c>
      <c r="L62" s="7">
        <f>ROUND((DATE(VALUE(RIGHT(E62,4)),VALUE(LEFT(E62,2)),VALUE(MID(E62,4,2)))+VALUE(LEFT(F62,2))/Parameters!$B$28+VALUE(RIGHT(F62,2))/Parameters!$B$29-INDEX(Samples!$X$4:$X$32,MATCH(B62,Samples!$A$4:$A$32,0)))*Parameters!$B$28,2)</f>
        <v>673.53</v>
      </c>
      <c r="M62" s="7">
        <f>ROUND(L62/Parameters!$B$28,2)</f>
        <v>28.06</v>
      </c>
      <c r="N62" s="2" t="str">
        <f>IF(ABS(L62-Parameters!$B$20)&lt;=Parameters!$B$21,"Yes","No")</f>
        <v>Yes</v>
      </c>
      <c r="O62" s="2" t="str">
        <f>INDEX(Samples!$P$4:$P$32,MATCH(B62,Samples!$A$4:$A$32,0))</f>
        <v>Standard</v>
      </c>
      <c r="P62" s="9">
        <f t="shared" si="2"/>
        <v>12.6293</v>
      </c>
      <c r="Q62" s="2">
        <f>ROUND(I62/(PI()*((G62+H62)/2)^2/4)/Parameters!$B$27,0)*Parameters!$B$27</f>
        <v>5960</v>
      </c>
      <c r="R62" s="2" t="str">
        <f t="shared" si="3"/>
        <v>Yes</v>
      </c>
    </row>
    <row r="63" spans="1:18" x14ac:dyDescent="0.2">
      <c r="A63" s="2" t="s">
        <v>540</v>
      </c>
      <c r="B63" s="2" t="s">
        <v>336</v>
      </c>
      <c r="C63" s="2" t="s">
        <v>419</v>
      </c>
      <c r="D63" s="2">
        <f>INDEX(Samples!$F$4:$F$32,MATCH(B63,Samples!$A$4:$A$32,0))</f>
        <v>770812</v>
      </c>
      <c r="E63" s="2" t="s">
        <v>214</v>
      </c>
      <c r="F63" s="2" t="s">
        <v>188</v>
      </c>
      <c r="G63" s="7">
        <v>3.99</v>
      </c>
      <c r="H63" s="7">
        <v>4.01</v>
      </c>
      <c r="I63" s="2">
        <v>74157</v>
      </c>
      <c r="J63" s="2" t="s">
        <v>412</v>
      </c>
      <c r="K63" s="2" t="s">
        <v>413</v>
      </c>
      <c r="L63" s="7">
        <f>ROUND((DATE(VALUE(RIGHT(E63,4)),VALUE(LEFT(E63,2)),VALUE(MID(E63,4,2)))+VALUE(LEFT(F63,2))/Parameters!$B$28+VALUE(RIGHT(F63,2))/Parameters!$B$29-INDEX(Samples!$X$4:$X$32,MATCH(B63,Samples!$A$4:$A$32,0)))*Parameters!$B$28,2)</f>
        <v>673.65</v>
      </c>
      <c r="M63" s="7">
        <f>ROUND(L63/Parameters!$B$28,2)</f>
        <v>28.07</v>
      </c>
      <c r="N63" s="2" t="str">
        <f>IF(ABS(L63-Parameters!$B$20)&lt;=Parameters!$B$21,"Yes","No")</f>
        <v>Yes</v>
      </c>
      <c r="O63" s="2" t="str">
        <f>INDEX(Samples!$P$4:$P$32,MATCH(B63,Samples!$A$4:$A$32,0))</f>
        <v>Standard</v>
      </c>
      <c r="P63" s="9">
        <f t="shared" si="2"/>
        <v>12.5664</v>
      </c>
      <c r="Q63" s="2">
        <f>ROUND(I63/(PI()*((G63+H63)/2)^2/4)/Parameters!$B$27,0)*Parameters!$B$27</f>
        <v>5900</v>
      </c>
      <c r="R63" s="2" t="str">
        <f t="shared" si="3"/>
        <v>Yes</v>
      </c>
    </row>
    <row r="64" spans="1:18" x14ac:dyDescent="0.2">
      <c r="A64" s="2" t="s">
        <v>541</v>
      </c>
      <c r="B64" s="2" t="s">
        <v>336</v>
      </c>
      <c r="C64" s="2" t="s">
        <v>422</v>
      </c>
      <c r="D64" s="2">
        <f>INDEX(Samples!$F$4:$F$32,MATCH(B64,Samples!$A$4:$A$32,0))</f>
        <v>770812</v>
      </c>
      <c r="E64" s="2" t="s">
        <v>214</v>
      </c>
      <c r="F64" s="2" t="s">
        <v>542</v>
      </c>
      <c r="G64" s="7">
        <v>3.97</v>
      </c>
      <c r="H64" s="7">
        <v>4.01</v>
      </c>
      <c r="I64" s="2">
        <v>73768</v>
      </c>
      <c r="J64" s="2" t="s">
        <v>412</v>
      </c>
      <c r="K64" s="2" t="s">
        <v>413</v>
      </c>
      <c r="L64" s="7">
        <f>ROUND((DATE(VALUE(RIGHT(E64,4)),VALUE(LEFT(E64,2)),VALUE(MID(E64,4,2)))+VALUE(LEFT(F64,2))/Parameters!$B$28+VALUE(RIGHT(F64,2))/Parameters!$B$29-INDEX(Samples!$X$4:$X$32,MATCH(B64,Samples!$A$4:$A$32,0)))*Parameters!$B$28,2)</f>
        <v>673.75</v>
      </c>
      <c r="M64" s="7">
        <f>ROUND(L64/Parameters!$B$28,2)</f>
        <v>28.07</v>
      </c>
      <c r="N64" s="2" t="str">
        <f>IF(ABS(L64-Parameters!$B$20)&lt;=Parameters!$B$21,"Yes","No")</f>
        <v>Yes</v>
      </c>
      <c r="O64" s="2" t="str">
        <f>INDEX(Samples!$P$4:$P$32,MATCH(B64,Samples!$A$4:$A$32,0))</f>
        <v>Standard</v>
      </c>
      <c r="P64" s="9">
        <f t="shared" si="2"/>
        <v>12.5036</v>
      </c>
      <c r="Q64" s="2">
        <f>ROUND(I64/(PI()*((G64+H64)/2)^2/4)/Parameters!$B$27,0)*Parameters!$B$27</f>
        <v>5900</v>
      </c>
      <c r="R64" s="2" t="str">
        <f t="shared" si="3"/>
        <v>Yes</v>
      </c>
    </row>
    <row r="65" spans="1:18" x14ac:dyDescent="0.2">
      <c r="A65" s="2" t="s">
        <v>543</v>
      </c>
      <c r="B65" s="2" t="s">
        <v>336</v>
      </c>
      <c r="C65" s="2" t="s">
        <v>500</v>
      </c>
      <c r="D65" s="2">
        <f>INDEX(Samples!$F$4:$F$32,MATCH(B65,Samples!$A$4:$A$32,0))</f>
        <v>770812</v>
      </c>
      <c r="E65" s="2" t="s">
        <v>544</v>
      </c>
      <c r="F65" s="2" t="s">
        <v>545</v>
      </c>
      <c r="G65" s="7">
        <v>4.02</v>
      </c>
      <c r="H65" s="7">
        <v>4</v>
      </c>
      <c r="I65" s="2">
        <v>79554</v>
      </c>
      <c r="J65" s="2" t="s">
        <v>412</v>
      </c>
      <c r="K65" s="2" t="s">
        <v>413</v>
      </c>
      <c r="L65" s="7">
        <f>ROUND((DATE(VALUE(RIGHT(E65,4)),VALUE(LEFT(E65,2)),VALUE(MID(E65,4,2)))+VALUE(LEFT(F65,2))/Parameters!$B$28+VALUE(RIGHT(F65,2))/Parameters!$B$29-INDEX(Samples!$X$4:$X$32,MATCH(B65,Samples!$A$4:$A$32,0)))*Parameters!$B$28,2)</f>
        <v>1344.68</v>
      </c>
      <c r="M65" s="7">
        <f>ROUND(L65/Parameters!$B$28,2)</f>
        <v>56.03</v>
      </c>
      <c r="N65" s="2" t="str">
        <f>IF(ABS(L65-Parameters!$B$20)&lt;=Parameters!$B$21,"Yes","No")</f>
        <v>No</v>
      </c>
      <c r="O65" s="2" t="str">
        <f>INDEX(Samples!$P$4:$P$32,MATCH(B65,Samples!$A$4:$A$32,0))</f>
        <v>Standard</v>
      </c>
      <c r="P65" s="9">
        <f t="shared" si="2"/>
        <v>12.6293</v>
      </c>
      <c r="Q65" s="2">
        <f>ROUND(I65/(PI()*((G65+H65)/2)^2/4)/Parameters!$B$27,0)*Parameters!$B$27</f>
        <v>6300</v>
      </c>
      <c r="R65" s="2" t="str">
        <f t="shared" si="3"/>
        <v>No</v>
      </c>
    </row>
    <row r="66" spans="1:18" x14ac:dyDescent="0.2">
      <c r="A66" s="2" t="s">
        <v>546</v>
      </c>
      <c r="B66" s="2" t="s">
        <v>342</v>
      </c>
      <c r="C66" s="2" t="s">
        <v>410</v>
      </c>
      <c r="D66" s="2">
        <f>INDEX(Samples!$F$4:$F$32,MATCH(B66,Samples!$A$4:$A$32,0))</f>
        <v>771163</v>
      </c>
      <c r="E66" s="2" t="s">
        <v>154</v>
      </c>
      <c r="F66" s="2" t="s">
        <v>547</v>
      </c>
      <c r="G66" s="7">
        <v>6.01</v>
      </c>
      <c r="H66" s="7">
        <v>6.01</v>
      </c>
      <c r="I66" s="2">
        <v>69503</v>
      </c>
      <c r="J66" s="2" t="s">
        <v>412</v>
      </c>
      <c r="K66" s="2" t="s">
        <v>413</v>
      </c>
      <c r="L66" s="7">
        <f>ROUND((DATE(VALUE(RIGHT(E66,4)),VALUE(LEFT(E66,2)),VALUE(MID(E66,4,2)))+VALUE(LEFT(F66,2))/Parameters!$B$28+VALUE(RIGHT(F66,2))/Parameters!$B$29-INDEX(Samples!$X$4:$X$32,MATCH(B66,Samples!$A$4:$A$32,0)))*Parameters!$B$28,2)</f>
        <v>163.88</v>
      </c>
      <c r="M66" s="7">
        <f>ROUND(L66/Parameters!$B$28,2)</f>
        <v>6.83</v>
      </c>
      <c r="N66" s="2" t="str">
        <f>IF(ABS(L66-Parameters!$B$20)&lt;=Parameters!$B$21,"Yes","No")</f>
        <v>No</v>
      </c>
      <c r="O66" s="2" t="str">
        <f>INDEX(Samples!$P$4:$P$32,MATCH(B66,Samples!$A$4:$A$32,0))</f>
        <v>Standard</v>
      </c>
      <c r="P66" s="9">
        <f t="shared" si="2"/>
        <v>28.3687</v>
      </c>
      <c r="Q66" s="2">
        <f>ROUND(I66/(PI()*((G66+H66)/2)^2/4)/Parameters!$B$27,0)*Parameters!$B$27</f>
        <v>2450</v>
      </c>
      <c r="R66" s="2" t="str">
        <f t="shared" si="3"/>
        <v>No</v>
      </c>
    </row>
    <row r="67" spans="1:18" x14ac:dyDescent="0.2">
      <c r="A67" s="2" t="s">
        <v>548</v>
      </c>
      <c r="B67" s="2" t="s">
        <v>342</v>
      </c>
      <c r="C67" s="2" t="s">
        <v>415</v>
      </c>
      <c r="D67" s="2">
        <f>INDEX(Samples!$F$4:$F$32,MATCH(B67,Samples!$A$4:$A$32,0))</f>
        <v>771163</v>
      </c>
      <c r="E67" s="2" t="s">
        <v>219</v>
      </c>
      <c r="F67" s="2" t="s">
        <v>161</v>
      </c>
      <c r="G67" s="7">
        <v>5.98</v>
      </c>
      <c r="H67" s="7">
        <v>6</v>
      </c>
      <c r="I67" s="2">
        <v>98629</v>
      </c>
      <c r="J67" s="2" t="s">
        <v>412</v>
      </c>
      <c r="K67" s="2" t="s">
        <v>413</v>
      </c>
      <c r="L67" s="7">
        <f>ROUND((DATE(VALUE(RIGHT(E67,4)),VALUE(LEFT(E67,2)),VALUE(MID(E67,4,2)))+VALUE(LEFT(F67,2))/Parameters!$B$28+VALUE(RIGHT(F67,2))/Parameters!$B$29-INDEX(Samples!$X$4:$X$32,MATCH(B67,Samples!$A$4:$A$32,0)))*Parameters!$B$28,2)</f>
        <v>690.47</v>
      </c>
      <c r="M67" s="7">
        <f>ROUND(L67/Parameters!$B$28,2)</f>
        <v>28.77</v>
      </c>
      <c r="N67" s="2" t="str">
        <f>IF(ABS(L67-Parameters!$B$20)&lt;=Parameters!$B$21,"Yes","No")</f>
        <v>Yes</v>
      </c>
      <c r="O67" s="2" t="str">
        <f>INDEX(Samples!$P$4:$P$32,MATCH(B67,Samples!$A$4:$A$32,0))</f>
        <v>Standard</v>
      </c>
      <c r="P67" s="9">
        <f t="shared" si="2"/>
        <v>28.1802</v>
      </c>
      <c r="Q67" s="2">
        <f>ROUND(I67/(PI()*((G67+H67)/2)^2/4)/Parameters!$B$27,0)*Parameters!$B$27</f>
        <v>3500</v>
      </c>
      <c r="R67" s="2" t="str">
        <f t="shared" si="3"/>
        <v>Yes</v>
      </c>
    </row>
    <row r="68" spans="1:18" x14ac:dyDescent="0.2">
      <c r="A68" s="2" t="s">
        <v>549</v>
      </c>
      <c r="B68" s="2" t="s">
        <v>342</v>
      </c>
      <c r="C68" s="2" t="s">
        <v>419</v>
      </c>
      <c r="D68" s="2">
        <f>INDEX(Samples!$F$4:$F$32,MATCH(B68,Samples!$A$4:$A$32,0))</f>
        <v>771163</v>
      </c>
      <c r="E68" s="2" t="s">
        <v>219</v>
      </c>
      <c r="F68" s="2" t="s">
        <v>550</v>
      </c>
      <c r="G68" s="7">
        <v>6.01</v>
      </c>
      <c r="H68" s="7">
        <v>5.99</v>
      </c>
      <c r="I68" s="2">
        <v>96663</v>
      </c>
      <c r="J68" s="2" t="s">
        <v>412</v>
      </c>
      <c r="K68" s="2" t="s">
        <v>413</v>
      </c>
      <c r="L68" s="7">
        <f>ROUND((DATE(VALUE(RIGHT(E68,4)),VALUE(LEFT(E68,2)),VALUE(MID(E68,4,2)))+VALUE(LEFT(F68,2))/Parameters!$B$28+VALUE(RIGHT(F68,2))/Parameters!$B$29-INDEX(Samples!$X$4:$X$32,MATCH(B68,Samples!$A$4:$A$32,0)))*Parameters!$B$28,2)</f>
        <v>690.62</v>
      </c>
      <c r="M68" s="7">
        <f>ROUND(L68/Parameters!$B$28,2)</f>
        <v>28.78</v>
      </c>
      <c r="N68" s="2" t="str">
        <f>IF(ABS(L68-Parameters!$B$20)&lt;=Parameters!$B$21,"Yes","No")</f>
        <v>Yes</v>
      </c>
      <c r="O68" s="2" t="str">
        <f>INDEX(Samples!$P$4:$P$32,MATCH(B68,Samples!$A$4:$A$32,0))</f>
        <v>Standard</v>
      </c>
      <c r="P68" s="9">
        <f t="shared" ref="P68:P99" si="4">ROUND(PI()*((G68+H68)/2)^2/4,4)</f>
        <v>28.2743</v>
      </c>
      <c r="Q68" s="2">
        <f>ROUND(I68/(PI()*((G68+H68)/2)^2/4)/Parameters!$B$27,0)*Parameters!$B$27</f>
        <v>3420</v>
      </c>
      <c r="R68" s="2" t="str">
        <f t="shared" ref="R68:R99" si="5">IF(AND(N68="Yes",O68="Standard",K68="No"),"Yes","No")</f>
        <v>Yes</v>
      </c>
    </row>
    <row r="69" spans="1:18" x14ac:dyDescent="0.2">
      <c r="A69" s="2" t="s">
        <v>551</v>
      </c>
      <c r="B69" s="2" t="s">
        <v>342</v>
      </c>
      <c r="C69" s="2" t="s">
        <v>422</v>
      </c>
      <c r="D69" s="2">
        <f>INDEX(Samples!$F$4:$F$32,MATCH(B69,Samples!$A$4:$A$32,0))</f>
        <v>771163</v>
      </c>
      <c r="E69" s="2" t="s">
        <v>440</v>
      </c>
      <c r="F69" s="2" t="s">
        <v>552</v>
      </c>
      <c r="G69" s="7">
        <v>6.01</v>
      </c>
      <c r="H69" s="7">
        <v>5.99</v>
      </c>
      <c r="I69" s="2">
        <v>106306</v>
      </c>
      <c r="J69" s="2" t="s">
        <v>444</v>
      </c>
      <c r="K69" s="2" t="s">
        <v>413</v>
      </c>
      <c r="L69" s="7">
        <f>ROUND((DATE(VALUE(RIGHT(E69,4)),VALUE(LEFT(E69,2)),VALUE(MID(E69,4,2)))+VALUE(LEFT(F69,2))/Parameters!$B$28+VALUE(RIGHT(F69,2))/Parameters!$B$29-INDEX(Samples!$X$4:$X$32,MATCH(B69,Samples!$A$4:$A$32,0)))*Parameters!$B$28,2)</f>
        <v>1339.87</v>
      </c>
      <c r="M69" s="7">
        <f>ROUND(L69/Parameters!$B$28,2)</f>
        <v>55.83</v>
      </c>
      <c r="N69" s="2" t="str">
        <f>IF(ABS(L69-Parameters!$B$20)&lt;=Parameters!$B$21,"Yes","No")</f>
        <v>No</v>
      </c>
      <c r="O69" s="2" t="str">
        <f>INDEX(Samples!$P$4:$P$32,MATCH(B69,Samples!$A$4:$A$32,0))</f>
        <v>Standard</v>
      </c>
      <c r="P69" s="9">
        <f t="shared" si="4"/>
        <v>28.2743</v>
      </c>
      <c r="Q69" s="2">
        <f>ROUND(I69/(PI()*((G69+H69)/2)^2/4)/Parameters!$B$27,0)*Parameters!$B$27</f>
        <v>3760</v>
      </c>
      <c r="R69" s="2" t="str">
        <f t="shared" si="5"/>
        <v>No</v>
      </c>
    </row>
    <row r="70" spans="1:18" x14ac:dyDescent="0.2">
      <c r="A70" s="2" t="s">
        <v>553</v>
      </c>
      <c r="B70" s="2" t="s">
        <v>347</v>
      </c>
      <c r="C70" s="2" t="s">
        <v>410</v>
      </c>
      <c r="D70" s="2">
        <f>INDEX(Samples!$F$4:$F$32,MATCH(B70,Samples!$A$4:$A$32,0))</f>
        <v>771469</v>
      </c>
      <c r="E70" s="2" t="s">
        <v>169</v>
      </c>
      <c r="F70" s="2" t="s">
        <v>554</v>
      </c>
      <c r="G70" s="7">
        <v>4.03</v>
      </c>
      <c r="H70" s="7">
        <v>4.01</v>
      </c>
      <c r="I70" s="2">
        <v>56343</v>
      </c>
      <c r="J70" s="2" t="s">
        <v>412</v>
      </c>
      <c r="K70" s="2" t="s">
        <v>413</v>
      </c>
      <c r="L70" s="7">
        <f>ROUND((DATE(VALUE(RIGHT(E70,4)),VALUE(LEFT(E70,2)),VALUE(MID(E70,4,2)))+VALUE(LEFT(F70,2))/Parameters!$B$28+VALUE(RIGHT(F70,2))/Parameters!$B$29-INDEX(Samples!$X$4:$X$32,MATCH(B70,Samples!$A$4:$A$32,0)))*Parameters!$B$28,2)</f>
        <v>169.08</v>
      </c>
      <c r="M70" s="7">
        <f>ROUND(L70/Parameters!$B$28,2)</f>
        <v>7.05</v>
      </c>
      <c r="N70" s="2" t="str">
        <f>IF(ABS(L70-Parameters!$B$20)&lt;=Parameters!$B$21,"Yes","No")</f>
        <v>No</v>
      </c>
      <c r="O70" s="2" t="str">
        <f>INDEX(Samples!$P$4:$P$32,MATCH(B70,Samples!$A$4:$A$32,0))</f>
        <v>Standard</v>
      </c>
      <c r="P70" s="9">
        <f t="shared" si="4"/>
        <v>12.6923</v>
      </c>
      <c r="Q70" s="2">
        <f>ROUND(I70/(PI()*((G70+H70)/2)^2/4)/Parameters!$B$27,0)*Parameters!$B$27</f>
        <v>4440</v>
      </c>
      <c r="R70" s="2" t="str">
        <f t="shared" si="5"/>
        <v>No</v>
      </c>
    </row>
    <row r="71" spans="1:18" x14ac:dyDescent="0.2">
      <c r="A71" s="2" t="s">
        <v>555</v>
      </c>
      <c r="B71" s="2" t="s">
        <v>347</v>
      </c>
      <c r="C71" s="2" t="s">
        <v>415</v>
      </c>
      <c r="D71" s="2">
        <f>INDEX(Samples!$F$4:$F$32,MATCH(B71,Samples!$A$4:$A$32,0))</f>
        <v>771469</v>
      </c>
      <c r="E71" s="2" t="s">
        <v>223</v>
      </c>
      <c r="F71" s="2" t="s">
        <v>556</v>
      </c>
      <c r="G71" s="7">
        <v>4.04</v>
      </c>
      <c r="H71" s="7">
        <v>4.04</v>
      </c>
      <c r="I71" s="2">
        <v>80771</v>
      </c>
      <c r="J71" s="2" t="s">
        <v>412</v>
      </c>
      <c r="K71" s="2" t="s">
        <v>413</v>
      </c>
      <c r="L71" s="7">
        <f>ROUND((DATE(VALUE(RIGHT(E71,4)),VALUE(LEFT(E71,2)),VALUE(MID(E71,4,2)))+VALUE(LEFT(F71,2))/Parameters!$B$28+VALUE(RIGHT(F71,2))/Parameters!$B$29-INDEX(Samples!$X$4:$X$32,MATCH(B71,Samples!$A$4:$A$32,0)))*Parameters!$B$28,2)</f>
        <v>673.37</v>
      </c>
      <c r="M71" s="7">
        <f>ROUND(L71/Parameters!$B$28,2)</f>
        <v>28.06</v>
      </c>
      <c r="N71" s="2" t="str">
        <f>IF(ABS(L71-Parameters!$B$20)&lt;=Parameters!$B$21,"Yes","No")</f>
        <v>Yes</v>
      </c>
      <c r="O71" s="2" t="str">
        <f>INDEX(Samples!$P$4:$P$32,MATCH(B71,Samples!$A$4:$A$32,0))</f>
        <v>Standard</v>
      </c>
      <c r="P71" s="9">
        <f t="shared" si="4"/>
        <v>12.819</v>
      </c>
      <c r="Q71" s="2">
        <f>ROUND(I71/(PI()*((G71+H71)/2)^2/4)/Parameters!$B$27,0)*Parameters!$B$27</f>
        <v>6300</v>
      </c>
      <c r="R71" s="2" t="str">
        <f t="shared" si="5"/>
        <v>Yes</v>
      </c>
    </row>
    <row r="72" spans="1:18" x14ac:dyDescent="0.2">
      <c r="A72" s="2" t="s">
        <v>557</v>
      </c>
      <c r="B72" s="2" t="s">
        <v>347</v>
      </c>
      <c r="C72" s="2" t="s">
        <v>419</v>
      </c>
      <c r="D72" s="2">
        <f>INDEX(Samples!$F$4:$F$32,MATCH(B72,Samples!$A$4:$A$32,0))</f>
        <v>771469</v>
      </c>
      <c r="E72" s="2" t="s">
        <v>223</v>
      </c>
      <c r="F72" s="2" t="s">
        <v>558</v>
      </c>
      <c r="G72" s="7">
        <v>4.02</v>
      </c>
      <c r="H72" s="7">
        <v>4.04</v>
      </c>
      <c r="I72" s="2">
        <v>79587</v>
      </c>
      <c r="J72" s="2" t="s">
        <v>425</v>
      </c>
      <c r="K72" s="2" t="s">
        <v>413</v>
      </c>
      <c r="L72" s="7">
        <f>ROUND((DATE(VALUE(RIGHT(E72,4)),VALUE(LEFT(E72,2)),VALUE(MID(E72,4,2)))+VALUE(LEFT(F72,2))/Parameters!$B$28+VALUE(RIGHT(F72,2))/Parameters!$B$29-INDEX(Samples!$X$4:$X$32,MATCH(B72,Samples!$A$4:$A$32,0)))*Parameters!$B$28,2)</f>
        <v>673.52</v>
      </c>
      <c r="M72" s="7">
        <f>ROUND(L72/Parameters!$B$28,2)</f>
        <v>28.06</v>
      </c>
      <c r="N72" s="2" t="str">
        <f>IF(ABS(L72-Parameters!$B$20)&lt;=Parameters!$B$21,"Yes","No")</f>
        <v>Yes</v>
      </c>
      <c r="O72" s="2" t="str">
        <f>INDEX(Samples!$P$4:$P$32,MATCH(B72,Samples!$A$4:$A$32,0))</f>
        <v>Standard</v>
      </c>
      <c r="P72" s="9">
        <f t="shared" si="4"/>
        <v>12.7556</v>
      </c>
      <c r="Q72" s="2">
        <f>ROUND(I72/(PI()*((G72+H72)/2)^2/4)/Parameters!$B$27,0)*Parameters!$B$27</f>
        <v>6240</v>
      </c>
      <c r="R72" s="2" t="str">
        <f t="shared" si="5"/>
        <v>Yes</v>
      </c>
    </row>
    <row r="73" spans="1:18" x14ac:dyDescent="0.2">
      <c r="A73" s="2" t="s">
        <v>559</v>
      </c>
      <c r="B73" s="2" t="s">
        <v>347</v>
      </c>
      <c r="C73" s="2" t="s">
        <v>422</v>
      </c>
      <c r="D73" s="2">
        <f>INDEX(Samples!$F$4:$F$32,MATCH(B73,Samples!$A$4:$A$32,0))</f>
        <v>771469</v>
      </c>
      <c r="E73" s="2" t="s">
        <v>223</v>
      </c>
      <c r="F73" s="2" t="s">
        <v>560</v>
      </c>
      <c r="G73" s="7">
        <v>4</v>
      </c>
      <c r="H73" s="7">
        <v>3.98</v>
      </c>
      <c r="I73" s="2">
        <v>77631</v>
      </c>
      <c r="J73" s="2" t="s">
        <v>412</v>
      </c>
      <c r="K73" s="2" t="s">
        <v>413</v>
      </c>
      <c r="L73" s="7">
        <f>ROUND((DATE(VALUE(RIGHT(E73,4)),VALUE(LEFT(E73,2)),VALUE(MID(E73,4,2)))+VALUE(LEFT(F73,2))/Parameters!$B$28+VALUE(RIGHT(F73,2))/Parameters!$B$29-INDEX(Samples!$X$4:$X$32,MATCH(B73,Samples!$A$4:$A$32,0)))*Parameters!$B$28,2)</f>
        <v>673.65</v>
      </c>
      <c r="M73" s="7">
        <f>ROUND(L73/Parameters!$B$28,2)</f>
        <v>28.07</v>
      </c>
      <c r="N73" s="2" t="str">
        <f>IF(ABS(L73-Parameters!$B$20)&lt;=Parameters!$B$21,"Yes","No")</f>
        <v>Yes</v>
      </c>
      <c r="O73" s="2" t="str">
        <f>INDEX(Samples!$P$4:$P$32,MATCH(B73,Samples!$A$4:$A$32,0))</f>
        <v>Standard</v>
      </c>
      <c r="P73" s="9">
        <f t="shared" si="4"/>
        <v>12.5036</v>
      </c>
      <c r="Q73" s="2">
        <f>ROUND(I73/(PI()*((G73+H73)/2)^2/4)/Parameters!$B$27,0)*Parameters!$B$27</f>
        <v>6210</v>
      </c>
      <c r="R73" s="2" t="str">
        <f t="shared" si="5"/>
        <v>Yes</v>
      </c>
    </row>
    <row r="74" spans="1:18" x14ac:dyDescent="0.2">
      <c r="A74" s="2" t="s">
        <v>561</v>
      </c>
      <c r="B74" s="2" t="s">
        <v>347</v>
      </c>
      <c r="C74" s="2" t="s">
        <v>500</v>
      </c>
      <c r="D74" s="2">
        <f>INDEX(Samples!$F$4:$F$32,MATCH(B74,Samples!$A$4:$A$32,0))</f>
        <v>771469</v>
      </c>
      <c r="E74" s="2" t="s">
        <v>562</v>
      </c>
      <c r="F74" s="2" t="s">
        <v>338</v>
      </c>
      <c r="G74" s="7">
        <v>4.01</v>
      </c>
      <c r="H74" s="7">
        <v>4.01</v>
      </c>
      <c r="I74" s="2">
        <v>84002</v>
      </c>
      <c r="J74" s="2" t="s">
        <v>444</v>
      </c>
      <c r="K74" s="2" t="s">
        <v>413</v>
      </c>
      <c r="L74" s="7">
        <f>ROUND((DATE(VALUE(RIGHT(E74,4)),VALUE(LEFT(E74,2)),VALUE(MID(E74,4,2)))+VALUE(LEFT(F74,2))/Parameters!$B$28+VALUE(RIGHT(F74,2))/Parameters!$B$29-INDEX(Samples!$X$4:$X$32,MATCH(B74,Samples!$A$4:$A$32,0)))*Parameters!$B$28,2)</f>
        <v>1344.53</v>
      </c>
      <c r="M74" s="7">
        <f>ROUND(L74/Parameters!$B$28,2)</f>
        <v>56.02</v>
      </c>
      <c r="N74" s="2" t="str">
        <f>IF(ABS(L74-Parameters!$B$20)&lt;=Parameters!$B$21,"Yes","No")</f>
        <v>No</v>
      </c>
      <c r="O74" s="2" t="str">
        <f>INDEX(Samples!$P$4:$P$32,MATCH(B74,Samples!$A$4:$A$32,0))</f>
        <v>Standard</v>
      </c>
      <c r="P74" s="9">
        <f t="shared" si="4"/>
        <v>12.6293</v>
      </c>
      <c r="Q74" s="2">
        <f>ROUND(I74/(PI()*((G74+H74)/2)^2/4)/Parameters!$B$27,0)*Parameters!$B$27</f>
        <v>6650</v>
      </c>
      <c r="R74" s="2" t="str">
        <f t="shared" si="5"/>
        <v>No</v>
      </c>
    </row>
    <row r="75" spans="1:18" x14ac:dyDescent="0.2">
      <c r="A75" s="2" t="s">
        <v>563</v>
      </c>
      <c r="B75" s="2" t="s">
        <v>351</v>
      </c>
      <c r="C75" s="2" t="s">
        <v>410</v>
      </c>
      <c r="D75" s="2">
        <f>INDEX(Samples!$F$4:$F$32,MATCH(B75,Samples!$A$4:$A$32,0))</f>
        <v>771955</v>
      </c>
      <c r="E75" s="2" t="s">
        <v>314</v>
      </c>
      <c r="F75" s="2" t="s">
        <v>564</v>
      </c>
      <c r="G75" s="7">
        <v>4.01</v>
      </c>
      <c r="H75" s="7">
        <v>3.99</v>
      </c>
      <c r="I75" s="2">
        <v>52764</v>
      </c>
      <c r="J75" s="2" t="s">
        <v>412</v>
      </c>
      <c r="K75" s="2" t="s">
        <v>413</v>
      </c>
      <c r="L75" s="7">
        <f>ROUND((DATE(VALUE(RIGHT(E75,4)),VALUE(LEFT(E75,2)),VALUE(MID(E75,4,2)))+VALUE(LEFT(F75,2))/Parameters!$B$28+VALUE(RIGHT(F75,2))/Parameters!$B$29-INDEX(Samples!$X$4:$X$32,MATCH(B75,Samples!$A$4:$A$32,0)))*Parameters!$B$28,2)</f>
        <v>172.63</v>
      </c>
      <c r="M75" s="7">
        <f>ROUND(L75/Parameters!$B$28,2)</f>
        <v>7.19</v>
      </c>
      <c r="N75" s="2" t="str">
        <f>IF(ABS(L75-Parameters!$B$20)&lt;=Parameters!$B$21,"Yes","No")</f>
        <v>No</v>
      </c>
      <c r="O75" s="2" t="str">
        <f>INDEX(Samples!$P$4:$P$32,MATCH(B75,Samples!$A$4:$A$32,0))</f>
        <v>Standard</v>
      </c>
      <c r="P75" s="9">
        <f t="shared" si="4"/>
        <v>12.5664</v>
      </c>
      <c r="Q75" s="2">
        <f>ROUND(I75/(PI()*((G75+H75)/2)^2/4)/Parameters!$B$27,0)*Parameters!$B$27</f>
        <v>4200</v>
      </c>
      <c r="R75" s="2" t="str">
        <f t="shared" si="5"/>
        <v>No</v>
      </c>
    </row>
    <row r="76" spans="1:18" x14ac:dyDescent="0.2">
      <c r="A76" s="2" t="s">
        <v>565</v>
      </c>
      <c r="B76" s="2" t="s">
        <v>351</v>
      </c>
      <c r="C76" s="2" t="s">
        <v>415</v>
      </c>
      <c r="D76" s="2">
        <f>INDEX(Samples!$F$4:$F$32,MATCH(B76,Samples!$A$4:$A$32,0))</f>
        <v>771955</v>
      </c>
      <c r="E76" s="2" t="s">
        <v>529</v>
      </c>
      <c r="F76" s="2" t="s">
        <v>566</v>
      </c>
      <c r="G76" s="7">
        <v>4</v>
      </c>
      <c r="H76" s="7">
        <v>4.02</v>
      </c>
      <c r="I76" s="2">
        <v>77308</v>
      </c>
      <c r="J76" s="2" t="s">
        <v>425</v>
      </c>
      <c r="K76" s="2" t="s">
        <v>413</v>
      </c>
      <c r="L76" s="7">
        <f>ROUND((DATE(VALUE(RIGHT(E76,4)),VALUE(LEFT(E76,2)),VALUE(MID(E76,4,2)))+VALUE(LEFT(F76,2))/Parameters!$B$28+VALUE(RIGHT(F76,2))/Parameters!$B$29-INDEX(Samples!$X$4:$X$32,MATCH(B76,Samples!$A$4:$A$32,0)))*Parameters!$B$28,2)</f>
        <v>673.4</v>
      </c>
      <c r="M76" s="7">
        <f>ROUND(L76/Parameters!$B$28,2)</f>
        <v>28.06</v>
      </c>
      <c r="N76" s="2" t="str">
        <f>IF(ABS(L76-Parameters!$B$20)&lt;=Parameters!$B$21,"Yes","No")</f>
        <v>Yes</v>
      </c>
      <c r="O76" s="2" t="str">
        <f>INDEX(Samples!$P$4:$P$32,MATCH(B76,Samples!$A$4:$A$32,0))</f>
        <v>Standard</v>
      </c>
      <c r="P76" s="9">
        <f t="shared" si="4"/>
        <v>12.6293</v>
      </c>
      <c r="Q76" s="2">
        <f>ROUND(I76/(PI()*((G76+H76)/2)^2/4)/Parameters!$B$27,0)*Parameters!$B$27</f>
        <v>6120</v>
      </c>
      <c r="R76" s="2" t="str">
        <f t="shared" si="5"/>
        <v>Yes</v>
      </c>
    </row>
    <row r="77" spans="1:18" x14ac:dyDescent="0.2">
      <c r="A77" s="2" t="s">
        <v>567</v>
      </c>
      <c r="B77" s="2" t="s">
        <v>351</v>
      </c>
      <c r="C77" s="2" t="s">
        <v>419</v>
      </c>
      <c r="D77" s="2">
        <f>INDEX(Samples!$F$4:$F$32,MATCH(B77,Samples!$A$4:$A$32,0))</f>
        <v>771955</v>
      </c>
      <c r="E77" s="2" t="s">
        <v>529</v>
      </c>
      <c r="F77" s="2" t="s">
        <v>568</v>
      </c>
      <c r="G77" s="7">
        <v>4.02</v>
      </c>
      <c r="H77" s="7">
        <v>4</v>
      </c>
      <c r="I77" s="2">
        <v>76900</v>
      </c>
      <c r="J77" s="2" t="s">
        <v>412</v>
      </c>
      <c r="K77" s="2" t="s">
        <v>413</v>
      </c>
      <c r="L77" s="7">
        <f>ROUND((DATE(VALUE(RIGHT(E77,4)),VALUE(LEFT(E77,2)),VALUE(MID(E77,4,2)))+VALUE(LEFT(F77,2))/Parameters!$B$28+VALUE(RIGHT(F77,2))/Parameters!$B$29-INDEX(Samples!$X$4:$X$32,MATCH(B77,Samples!$A$4:$A$32,0)))*Parameters!$B$28,2)</f>
        <v>673.52</v>
      </c>
      <c r="M77" s="7">
        <f>ROUND(L77/Parameters!$B$28,2)</f>
        <v>28.06</v>
      </c>
      <c r="N77" s="2" t="str">
        <f>IF(ABS(L77-Parameters!$B$20)&lt;=Parameters!$B$21,"Yes","No")</f>
        <v>Yes</v>
      </c>
      <c r="O77" s="2" t="str">
        <f>INDEX(Samples!$P$4:$P$32,MATCH(B77,Samples!$A$4:$A$32,0))</f>
        <v>Standard</v>
      </c>
      <c r="P77" s="9">
        <f t="shared" si="4"/>
        <v>12.6293</v>
      </c>
      <c r="Q77" s="2">
        <f>ROUND(I77/(PI()*((G77+H77)/2)^2/4)/Parameters!$B$27,0)*Parameters!$B$27</f>
        <v>6090</v>
      </c>
      <c r="R77" s="2" t="str">
        <f t="shared" si="5"/>
        <v>Yes</v>
      </c>
    </row>
    <row r="78" spans="1:18" x14ac:dyDescent="0.2">
      <c r="A78" s="2" t="s">
        <v>569</v>
      </c>
      <c r="B78" s="2" t="s">
        <v>351</v>
      </c>
      <c r="C78" s="2" t="s">
        <v>422</v>
      </c>
      <c r="D78" s="2">
        <f>INDEX(Samples!$F$4:$F$32,MATCH(B78,Samples!$A$4:$A$32,0))</f>
        <v>771955</v>
      </c>
      <c r="E78" s="2" t="s">
        <v>529</v>
      </c>
      <c r="F78" s="2" t="s">
        <v>121</v>
      </c>
      <c r="G78" s="7">
        <v>4.04</v>
      </c>
      <c r="H78" s="7">
        <v>4.02</v>
      </c>
      <c r="I78" s="2">
        <v>76922</v>
      </c>
      <c r="J78" s="2" t="s">
        <v>444</v>
      </c>
      <c r="K78" s="2" t="s">
        <v>413</v>
      </c>
      <c r="L78" s="7">
        <f>ROUND((DATE(VALUE(RIGHT(E78,4)),VALUE(LEFT(E78,2)),VALUE(MID(E78,4,2)))+VALUE(LEFT(F78,2))/Parameters!$B$28+VALUE(RIGHT(F78,2))/Parameters!$B$29-INDEX(Samples!$X$4:$X$32,MATCH(B78,Samples!$A$4:$A$32,0)))*Parameters!$B$28,2)</f>
        <v>673.62</v>
      </c>
      <c r="M78" s="7">
        <f>ROUND(L78/Parameters!$B$28,2)</f>
        <v>28.07</v>
      </c>
      <c r="N78" s="2" t="str">
        <f>IF(ABS(L78-Parameters!$B$20)&lt;=Parameters!$B$21,"Yes","No")</f>
        <v>Yes</v>
      </c>
      <c r="O78" s="2" t="str">
        <f>INDEX(Samples!$P$4:$P$32,MATCH(B78,Samples!$A$4:$A$32,0))</f>
        <v>Standard</v>
      </c>
      <c r="P78" s="9">
        <f t="shared" si="4"/>
        <v>12.7556</v>
      </c>
      <c r="Q78" s="2">
        <f>ROUND(I78/(PI()*((G78+H78)/2)^2/4)/Parameters!$B$27,0)*Parameters!$B$27</f>
        <v>6030</v>
      </c>
      <c r="R78" s="2" t="str">
        <f t="shared" si="5"/>
        <v>Yes</v>
      </c>
    </row>
    <row r="79" spans="1:18" x14ac:dyDescent="0.2">
      <c r="A79" s="2" t="s">
        <v>570</v>
      </c>
      <c r="B79" s="2" t="s">
        <v>356</v>
      </c>
      <c r="C79" s="2" t="s">
        <v>410</v>
      </c>
      <c r="D79" s="2">
        <f>INDEX(Samples!$F$4:$F$32,MATCH(B79,Samples!$A$4:$A$32,0))</f>
        <v>772071</v>
      </c>
      <c r="E79" s="2" t="s">
        <v>186</v>
      </c>
      <c r="F79" s="2" t="s">
        <v>571</v>
      </c>
      <c r="G79" s="7">
        <v>6.03</v>
      </c>
      <c r="H79" s="7">
        <v>6.03</v>
      </c>
      <c r="I79" s="2">
        <v>71376</v>
      </c>
      <c r="J79" s="2" t="s">
        <v>444</v>
      </c>
      <c r="K79" s="2" t="s">
        <v>413</v>
      </c>
      <c r="L79" s="7">
        <f>ROUND((DATE(VALUE(RIGHT(E79,4)),VALUE(LEFT(E79,2)),VALUE(MID(E79,4,2)))+VALUE(LEFT(F79,2))/Parameters!$B$28+VALUE(RIGHT(F79,2))/Parameters!$B$29-INDEX(Samples!$X$4:$X$32,MATCH(B79,Samples!$A$4:$A$32,0)))*Parameters!$B$28,2)</f>
        <v>173</v>
      </c>
      <c r="M79" s="7">
        <f>ROUND(L79/Parameters!$B$28,2)</f>
        <v>7.21</v>
      </c>
      <c r="N79" s="2" t="str">
        <f>IF(ABS(L79-Parameters!$B$20)&lt;=Parameters!$B$21,"Yes","No")</f>
        <v>No</v>
      </c>
      <c r="O79" s="2" t="str">
        <f>INDEX(Samples!$P$4:$P$32,MATCH(B79,Samples!$A$4:$A$32,0))</f>
        <v>Standard</v>
      </c>
      <c r="P79" s="9">
        <f t="shared" si="4"/>
        <v>28.5578</v>
      </c>
      <c r="Q79" s="2">
        <f>ROUND(I79/(PI()*((G79+H79)/2)^2/4)/Parameters!$B$27,0)*Parameters!$B$27</f>
        <v>2500</v>
      </c>
      <c r="R79" s="2" t="str">
        <f t="shared" si="5"/>
        <v>No</v>
      </c>
    </row>
    <row r="80" spans="1:18" x14ac:dyDescent="0.2">
      <c r="A80" s="2" t="s">
        <v>572</v>
      </c>
      <c r="B80" s="2" t="s">
        <v>356</v>
      </c>
      <c r="C80" s="2" t="s">
        <v>415</v>
      </c>
      <c r="D80" s="2">
        <f>INDEX(Samples!$F$4:$F$32,MATCH(B80,Samples!$A$4:$A$32,0))</f>
        <v>772071</v>
      </c>
      <c r="E80" s="2" t="s">
        <v>484</v>
      </c>
      <c r="F80" s="2" t="s">
        <v>352</v>
      </c>
      <c r="G80" s="7">
        <v>5.99</v>
      </c>
      <c r="H80" s="7">
        <v>5.99</v>
      </c>
      <c r="I80" s="2">
        <v>100051</v>
      </c>
      <c r="J80" s="2" t="s">
        <v>417</v>
      </c>
      <c r="K80" s="2" t="s">
        <v>413</v>
      </c>
      <c r="L80" s="7">
        <f>ROUND((DATE(VALUE(RIGHT(E80,4)),VALUE(LEFT(E80,2)),VALUE(MID(E80,4,2)))+VALUE(LEFT(F80,2))/Parameters!$B$28+VALUE(RIGHT(F80,2))/Parameters!$B$29-INDEX(Samples!$X$4:$X$32,MATCH(B80,Samples!$A$4:$A$32,0)))*Parameters!$B$28,2)</f>
        <v>673.43</v>
      </c>
      <c r="M80" s="7">
        <f>ROUND(L80/Parameters!$B$28,2)</f>
        <v>28.06</v>
      </c>
      <c r="N80" s="2" t="str">
        <f>IF(ABS(L80-Parameters!$B$20)&lt;=Parameters!$B$21,"Yes","No")</f>
        <v>Yes</v>
      </c>
      <c r="O80" s="2" t="str">
        <f>INDEX(Samples!$P$4:$P$32,MATCH(B80,Samples!$A$4:$A$32,0))</f>
        <v>Standard</v>
      </c>
      <c r="P80" s="9">
        <f t="shared" si="4"/>
        <v>28.1802</v>
      </c>
      <c r="Q80" s="2">
        <f>ROUND(I80/(PI()*((G80+H80)/2)^2/4)/Parameters!$B$27,0)*Parameters!$B$27</f>
        <v>3550</v>
      </c>
      <c r="R80" s="2" t="str">
        <f t="shared" si="5"/>
        <v>Yes</v>
      </c>
    </row>
    <row r="81" spans="1:18" x14ac:dyDescent="0.2">
      <c r="A81" s="2" t="s">
        <v>573</v>
      </c>
      <c r="B81" s="2" t="s">
        <v>356</v>
      </c>
      <c r="C81" s="2" t="s">
        <v>419</v>
      </c>
      <c r="D81" s="2">
        <f>INDEX(Samples!$F$4:$F$32,MATCH(B81,Samples!$A$4:$A$32,0))</f>
        <v>772071</v>
      </c>
      <c r="E81" s="2" t="s">
        <v>484</v>
      </c>
      <c r="F81" s="2" t="s">
        <v>574</v>
      </c>
      <c r="G81" s="7">
        <v>6.02</v>
      </c>
      <c r="H81" s="7">
        <v>5.98</v>
      </c>
      <c r="I81" s="2">
        <v>98715</v>
      </c>
      <c r="J81" s="2" t="s">
        <v>417</v>
      </c>
      <c r="K81" s="2" t="s">
        <v>413</v>
      </c>
      <c r="L81" s="7">
        <f>ROUND((DATE(VALUE(RIGHT(E81,4)),VALUE(LEFT(E81,2)),VALUE(MID(E81,4,2)))+VALUE(LEFT(F81,2))/Parameters!$B$28+VALUE(RIGHT(F81,2))/Parameters!$B$29-INDEX(Samples!$X$4:$X$32,MATCH(B81,Samples!$A$4:$A$32,0)))*Parameters!$B$28,2)</f>
        <v>673.57</v>
      </c>
      <c r="M81" s="7">
        <f>ROUND(L81/Parameters!$B$28,2)</f>
        <v>28.07</v>
      </c>
      <c r="N81" s="2" t="str">
        <f>IF(ABS(L81-Parameters!$B$20)&lt;=Parameters!$B$21,"Yes","No")</f>
        <v>Yes</v>
      </c>
      <c r="O81" s="2" t="str">
        <f>INDEX(Samples!$P$4:$P$32,MATCH(B81,Samples!$A$4:$A$32,0))</f>
        <v>Standard</v>
      </c>
      <c r="P81" s="9">
        <f t="shared" si="4"/>
        <v>28.2743</v>
      </c>
      <c r="Q81" s="2">
        <f>ROUND(I81/(PI()*((G81+H81)/2)^2/4)/Parameters!$B$27,0)*Parameters!$B$27</f>
        <v>3490</v>
      </c>
      <c r="R81" s="2" t="str">
        <f t="shared" si="5"/>
        <v>Yes</v>
      </c>
    </row>
    <row r="82" spans="1:18" x14ac:dyDescent="0.2">
      <c r="A82" s="2" t="s">
        <v>575</v>
      </c>
      <c r="B82" s="2" t="s">
        <v>359</v>
      </c>
      <c r="C82" s="2" t="s">
        <v>410</v>
      </c>
      <c r="D82" s="2">
        <f>INDEX(Samples!$F$4:$F$32,MATCH(B82,Samples!$A$4:$A$32,0))</f>
        <v>772203</v>
      </c>
      <c r="E82" s="2" t="s">
        <v>194</v>
      </c>
      <c r="F82" s="2" t="s">
        <v>576</v>
      </c>
      <c r="G82" s="7">
        <v>3.98</v>
      </c>
      <c r="H82" s="7">
        <v>3.98</v>
      </c>
      <c r="I82" s="2">
        <v>50753</v>
      </c>
      <c r="J82" s="2" t="s">
        <v>412</v>
      </c>
      <c r="K82" s="2" t="s">
        <v>413</v>
      </c>
      <c r="L82" s="7">
        <f>ROUND((DATE(VALUE(RIGHT(E82,4)),VALUE(LEFT(E82,2)),VALUE(MID(E82,4,2)))+VALUE(LEFT(F82,2))/Parameters!$B$28+VALUE(RIGHT(F82,2))/Parameters!$B$29-INDEX(Samples!$X$4:$X$32,MATCH(B82,Samples!$A$4:$A$32,0)))*Parameters!$B$28,2)</f>
        <v>168.75</v>
      </c>
      <c r="M82" s="7">
        <f>ROUND(L82/Parameters!$B$28,2)</f>
        <v>7.03</v>
      </c>
      <c r="N82" s="2" t="str">
        <f>IF(ABS(L82-Parameters!$B$20)&lt;=Parameters!$B$21,"Yes","No")</f>
        <v>No</v>
      </c>
      <c r="O82" s="2" t="str">
        <f>INDEX(Samples!$P$4:$P$32,MATCH(B82,Samples!$A$4:$A$32,0))</f>
        <v>Standard</v>
      </c>
      <c r="P82" s="9">
        <f t="shared" si="4"/>
        <v>12.441</v>
      </c>
      <c r="Q82" s="2">
        <f>ROUND(I82/(PI()*((G82+H82)/2)^2/4)/Parameters!$B$27,0)*Parameters!$B$27</f>
        <v>4080</v>
      </c>
      <c r="R82" s="2" t="str">
        <f t="shared" si="5"/>
        <v>No</v>
      </c>
    </row>
    <row r="83" spans="1:18" x14ac:dyDescent="0.2">
      <c r="A83" s="2" t="s">
        <v>577</v>
      </c>
      <c r="B83" s="2" t="s">
        <v>359</v>
      </c>
      <c r="C83" s="2" t="s">
        <v>415</v>
      </c>
      <c r="D83" s="2">
        <f>INDEX(Samples!$F$4:$F$32,MATCH(B83,Samples!$A$4:$A$32,0))</f>
        <v>772203</v>
      </c>
      <c r="E83" s="2" t="s">
        <v>578</v>
      </c>
      <c r="F83" s="2" t="s">
        <v>233</v>
      </c>
      <c r="G83" s="7">
        <v>4.01</v>
      </c>
      <c r="H83" s="7">
        <v>4.03</v>
      </c>
      <c r="I83" s="2">
        <v>71209</v>
      </c>
      <c r="J83" s="2" t="s">
        <v>412</v>
      </c>
      <c r="K83" s="2" t="s">
        <v>413</v>
      </c>
      <c r="L83" s="7">
        <f>ROUND((DATE(VALUE(RIGHT(E83,4)),VALUE(LEFT(E83,2)),VALUE(MID(E83,4,2)))+VALUE(LEFT(F83,2))/Parameters!$B$28+VALUE(RIGHT(F83,2))/Parameters!$B$29-INDEX(Samples!$X$4:$X$32,MATCH(B83,Samples!$A$4:$A$32,0)))*Parameters!$B$28,2)</f>
        <v>672.65</v>
      </c>
      <c r="M83" s="7">
        <f>ROUND(L83/Parameters!$B$28,2)</f>
        <v>28.03</v>
      </c>
      <c r="N83" s="2" t="str">
        <f>IF(ABS(L83-Parameters!$B$20)&lt;=Parameters!$B$21,"Yes","No")</f>
        <v>Yes</v>
      </c>
      <c r="O83" s="2" t="str">
        <f>INDEX(Samples!$P$4:$P$32,MATCH(B83,Samples!$A$4:$A$32,0))</f>
        <v>Standard</v>
      </c>
      <c r="P83" s="9">
        <f t="shared" si="4"/>
        <v>12.6923</v>
      </c>
      <c r="Q83" s="2">
        <f>ROUND(I83/(PI()*((G83+H83)/2)^2/4)/Parameters!$B$27,0)*Parameters!$B$27</f>
        <v>5610</v>
      </c>
      <c r="R83" s="2" t="str">
        <f t="shared" si="5"/>
        <v>Yes</v>
      </c>
    </row>
    <row r="84" spans="1:18" x14ac:dyDescent="0.2">
      <c r="A84" s="2" t="s">
        <v>579</v>
      </c>
      <c r="B84" s="2" t="s">
        <v>359</v>
      </c>
      <c r="C84" s="2" t="s">
        <v>419</v>
      </c>
      <c r="D84" s="2">
        <f>INDEX(Samples!$F$4:$F$32,MATCH(B84,Samples!$A$4:$A$32,0))</f>
        <v>772203</v>
      </c>
      <c r="E84" s="2" t="s">
        <v>578</v>
      </c>
      <c r="F84" s="2" t="s">
        <v>580</v>
      </c>
      <c r="G84" s="7">
        <v>4.04</v>
      </c>
      <c r="H84" s="7">
        <v>4.04</v>
      </c>
      <c r="I84" s="2">
        <v>60240</v>
      </c>
      <c r="J84" s="2" t="s">
        <v>581</v>
      </c>
      <c r="K84" s="2" t="s">
        <v>498</v>
      </c>
      <c r="L84" s="7">
        <f>ROUND((DATE(VALUE(RIGHT(E84,4)),VALUE(LEFT(E84,2)),VALUE(MID(E84,4,2)))+VALUE(LEFT(F84,2))/Parameters!$B$28+VALUE(RIGHT(F84,2))/Parameters!$B$29-INDEX(Samples!$X$4:$X$32,MATCH(B84,Samples!$A$4:$A$32,0)))*Parameters!$B$28,2)</f>
        <v>672.78</v>
      </c>
      <c r="M84" s="7">
        <f>ROUND(L84/Parameters!$B$28,2)</f>
        <v>28.03</v>
      </c>
      <c r="N84" s="2" t="str">
        <f>IF(ABS(L84-Parameters!$B$20)&lt;=Parameters!$B$21,"Yes","No")</f>
        <v>Yes</v>
      </c>
      <c r="O84" s="2" t="str">
        <f>INDEX(Samples!$P$4:$P$32,MATCH(B84,Samples!$A$4:$A$32,0))</f>
        <v>Standard</v>
      </c>
      <c r="P84" s="9">
        <f t="shared" si="4"/>
        <v>12.819</v>
      </c>
      <c r="Q84" s="2">
        <f>ROUND(I84/(PI()*((G84+H84)/2)^2/4)/Parameters!$B$27,0)*Parameters!$B$27</f>
        <v>4700</v>
      </c>
      <c r="R84" s="2" t="str">
        <f t="shared" si="5"/>
        <v>No</v>
      </c>
    </row>
    <row r="85" spans="1:18" x14ac:dyDescent="0.2">
      <c r="A85" s="2" t="s">
        <v>582</v>
      </c>
      <c r="B85" s="2" t="s">
        <v>359</v>
      </c>
      <c r="C85" s="2" t="s">
        <v>422</v>
      </c>
      <c r="D85" s="2">
        <f>INDEX(Samples!$F$4:$F$32,MATCH(B85,Samples!$A$4:$A$32,0))</f>
        <v>772203</v>
      </c>
      <c r="E85" s="2" t="s">
        <v>578</v>
      </c>
      <c r="F85" s="2" t="s">
        <v>583</v>
      </c>
      <c r="G85" s="7">
        <v>3.97</v>
      </c>
      <c r="H85" s="7">
        <v>3.99</v>
      </c>
      <c r="I85" s="2">
        <v>69166</v>
      </c>
      <c r="J85" s="2" t="s">
        <v>412</v>
      </c>
      <c r="K85" s="2" t="s">
        <v>413</v>
      </c>
      <c r="L85" s="7">
        <f>ROUND((DATE(VALUE(RIGHT(E85,4)),VALUE(LEFT(E85,2)),VALUE(MID(E85,4,2)))+VALUE(LEFT(F85,2))/Parameters!$B$28+VALUE(RIGHT(F85,2))/Parameters!$B$29-INDEX(Samples!$X$4:$X$32,MATCH(B85,Samples!$A$4:$A$32,0)))*Parameters!$B$28,2)</f>
        <v>672.9</v>
      </c>
      <c r="M85" s="7">
        <f>ROUND(L85/Parameters!$B$28,2)</f>
        <v>28.04</v>
      </c>
      <c r="N85" s="2" t="str">
        <f>IF(ABS(L85-Parameters!$B$20)&lt;=Parameters!$B$21,"Yes","No")</f>
        <v>Yes</v>
      </c>
      <c r="O85" s="2" t="str">
        <f>INDEX(Samples!$P$4:$P$32,MATCH(B85,Samples!$A$4:$A$32,0))</f>
        <v>Standard</v>
      </c>
      <c r="P85" s="9">
        <f t="shared" si="4"/>
        <v>12.441</v>
      </c>
      <c r="Q85" s="2">
        <f>ROUND(I85/(PI()*((G85+H85)/2)^2/4)/Parameters!$B$27,0)*Parameters!$B$27</f>
        <v>5560</v>
      </c>
      <c r="R85" s="2" t="str">
        <f t="shared" si="5"/>
        <v>Yes</v>
      </c>
    </row>
    <row r="86" spans="1:18" x14ac:dyDescent="0.2">
      <c r="A86" s="2" t="s">
        <v>584</v>
      </c>
      <c r="B86" s="2" t="s">
        <v>359</v>
      </c>
      <c r="C86" s="2" t="s">
        <v>500</v>
      </c>
      <c r="D86" s="2">
        <f>INDEX(Samples!$F$4:$F$32,MATCH(B86,Samples!$A$4:$A$32,0))</f>
        <v>772203</v>
      </c>
      <c r="E86" s="2" t="s">
        <v>578</v>
      </c>
      <c r="F86" s="2" t="s">
        <v>585</v>
      </c>
      <c r="G86" s="7">
        <v>4.01</v>
      </c>
      <c r="H86" s="7">
        <v>4.01</v>
      </c>
      <c r="I86" s="2">
        <v>70604</v>
      </c>
      <c r="J86" s="2" t="s">
        <v>412</v>
      </c>
      <c r="K86" s="2" t="s">
        <v>413</v>
      </c>
      <c r="L86" s="7">
        <f>ROUND((DATE(VALUE(RIGHT(E86,4)),VALUE(LEFT(E86,2)),VALUE(MID(E86,4,2)))+VALUE(LEFT(F86,2))/Parameters!$B$28+VALUE(RIGHT(F86,2))/Parameters!$B$29-INDEX(Samples!$X$4:$X$32,MATCH(B86,Samples!$A$4:$A$32,0)))*Parameters!$B$28,2)</f>
        <v>673.48</v>
      </c>
      <c r="M86" s="7">
        <f>ROUND(L86/Parameters!$B$28,2)</f>
        <v>28.06</v>
      </c>
      <c r="N86" s="2" t="str">
        <f>IF(ABS(L86-Parameters!$B$20)&lt;=Parameters!$B$21,"Yes","No")</f>
        <v>Yes</v>
      </c>
      <c r="O86" s="2" t="str">
        <f>INDEX(Samples!$P$4:$P$32,MATCH(B86,Samples!$A$4:$A$32,0))</f>
        <v>Standard</v>
      </c>
      <c r="P86" s="9">
        <f t="shared" si="4"/>
        <v>12.6293</v>
      </c>
      <c r="Q86" s="2">
        <f>ROUND(I86/(PI()*((G86+H86)/2)^2/4)/Parameters!$B$27,0)*Parameters!$B$27</f>
        <v>5590</v>
      </c>
      <c r="R86" s="2" t="str">
        <f t="shared" si="5"/>
        <v>Yes</v>
      </c>
    </row>
    <row r="87" spans="1:18" x14ac:dyDescent="0.2">
      <c r="A87" s="2" t="s">
        <v>586</v>
      </c>
      <c r="B87" s="2" t="s">
        <v>363</v>
      </c>
      <c r="C87" s="2" t="s">
        <v>410</v>
      </c>
      <c r="D87" s="2">
        <f>INDEX(Samples!$F$4:$F$32,MATCH(B87,Samples!$A$4:$A$32,0))</f>
        <v>772531</v>
      </c>
      <c r="E87" s="2" t="s">
        <v>204</v>
      </c>
      <c r="F87" s="2" t="s">
        <v>587</v>
      </c>
      <c r="G87" s="7">
        <v>4.03</v>
      </c>
      <c r="H87" s="7">
        <v>4.03</v>
      </c>
      <c r="I87" s="2">
        <v>54840</v>
      </c>
      <c r="J87" s="2" t="s">
        <v>444</v>
      </c>
      <c r="K87" s="2" t="s">
        <v>413</v>
      </c>
      <c r="L87" s="7">
        <f>ROUND((DATE(VALUE(RIGHT(E87,4)),VALUE(LEFT(E87,2)),VALUE(MID(E87,4,2)))+VALUE(LEFT(F87,2))/Parameters!$B$28+VALUE(RIGHT(F87,2))/Parameters!$B$29-INDEX(Samples!$X$4:$X$32,MATCH(B87,Samples!$A$4:$A$32,0)))*Parameters!$B$28,2)</f>
        <v>163.58</v>
      </c>
      <c r="M87" s="7">
        <f>ROUND(L87/Parameters!$B$28,2)</f>
        <v>6.82</v>
      </c>
      <c r="N87" s="2" t="str">
        <f>IF(ABS(L87-Parameters!$B$20)&lt;=Parameters!$B$21,"Yes","No")</f>
        <v>No</v>
      </c>
      <c r="O87" s="2" t="str">
        <f>INDEX(Samples!$P$4:$P$32,MATCH(B87,Samples!$A$4:$A$32,0))</f>
        <v>Standard</v>
      </c>
      <c r="P87" s="9">
        <f t="shared" si="4"/>
        <v>12.7556</v>
      </c>
      <c r="Q87" s="2">
        <f>ROUND(I87/(PI()*((G87+H87)/2)^2/4)/Parameters!$B$27,0)*Parameters!$B$27</f>
        <v>4300</v>
      </c>
      <c r="R87" s="2" t="str">
        <f t="shared" si="5"/>
        <v>No</v>
      </c>
    </row>
    <row r="88" spans="1:18" x14ac:dyDescent="0.2">
      <c r="A88" s="2" t="s">
        <v>588</v>
      </c>
      <c r="B88" s="2" t="s">
        <v>363</v>
      </c>
      <c r="C88" s="2" t="s">
        <v>415</v>
      </c>
      <c r="D88" s="2">
        <f>INDEX(Samples!$F$4:$F$32,MATCH(B88,Samples!$A$4:$A$32,0))</f>
        <v>772531</v>
      </c>
      <c r="E88" s="2" t="s">
        <v>504</v>
      </c>
      <c r="F88" s="2" t="s">
        <v>141</v>
      </c>
      <c r="G88" s="7">
        <v>4.02</v>
      </c>
      <c r="H88" s="7">
        <v>4</v>
      </c>
      <c r="I88" s="2">
        <v>78058</v>
      </c>
      <c r="J88" s="2" t="s">
        <v>417</v>
      </c>
      <c r="K88" s="2" t="s">
        <v>413</v>
      </c>
      <c r="L88" s="7">
        <f>ROUND((DATE(VALUE(RIGHT(E88,4)),VALUE(LEFT(E88,2)),VALUE(MID(E88,4,2)))+VALUE(LEFT(F88,2))/Parameters!$B$28+VALUE(RIGHT(F88,2))/Parameters!$B$29-INDEX(Samples!$X$4:$X$32,MATCH(B88,Samples!$A$4:$A$32,0)))*Parameters!$B$28,2)</f>
        <v>690.47</v>
      </c>
      <c r="M88" s="7">
        <f>ROUND(L88/Parameters!$B$28,2)</f>
        <v>28.77</v>
      </c>
      <c r="N88" s="2" t="str">
        <f>IF(ABS(L88-Parameters!$B$20)&lt;=Parameters!$B$21,"Yes","No")</f>
        <v>Yes</v>
      </c>
      <c r="O88" s="2" t="str">
        <f>INDEX(Samples!$P$4:$P$32,MATCH(B88,Samples!$A$4:$A$32,0))</f>
        <v>Standard</v>
      </c>
      <c r="P88" s="9">
        <f t="shared" si="4"/>
        <v>12.6293</v>
      </c>
      <c r="Q88" s="2">
        <f>ROUND(I88/(PI()*((G88+H88)/2)^2/4)/Parameters!$B$27,0)*Parameters!$B$27</f>
        <v>6180</v>
      </c>
      <c r="R88" s="2" t="str">
        <f t="shared" si="5"/>
        <v>Yes</v>
      </c>
    </row>
    <row r="89" spans="1:18" x14ac:dyDescent="0.2">
      <c r="A89" s="2" t="s">
        <v>589</v>
      </c>
      <c r="B89" s="2" t="s">
        <v>363</v>
      </c>
      <c r="C89" s="2" t="s">
        <v>419</v>
      </c>
      <c r="D89" s="2">
        <f>INDEX(Samples!$F$4:$F$32,MATCH(B89,Samples!$A$4:$A$32,0))</f>
        <v>772531</v>
      </c>
      <c r="E89" s="2" t="s">
        <v>504</v>
      </c>
      <c r="F89" s="2" t="s">
        <v>590</v>
      </c>
      <c r="G89" s="7">
        <v>4</v>
      </c>
      <c r="H89" s="7">
        <v>3.98</v>
      </c>
      <c r="I89" s="2">
        <v>76904</v>
      </c>
      <c r="J89" s="2" t="s">
        <v>412</v>
      </c>
      <c r="K89" s="2" t="s">
        <v>413</v>
      </c>
      <c r="L89" s="7">
        <f>ROUND((DATE(VALUE(RIGHT(E89,4)),VALUE(LEFT(E89,2)),VALUE(MID(E89,4,2)))+VALUE(LEFT(F89,2))/Parameters!$B$28+VALUE(RIGHT(F89,2))/Parameters!$B$29-INDEX(Samples!$X$4:$X$32,MATCH(B89,Samples!$A$4:$A$32,0)))*Parameters!$B$28,2)</f>
        <v>690.57</v>
      </c>
      <c r="M89" s="7">
        <f>ROUND(L89/Parameters!$B$28,2)</f>
        <v>28.77</v>
      </c>
      <c r="N89" s="2" t="str">
        <f>IF(ABS(L89-Parameters!$B$20)&lt;=Parameters!$B$21,"Yes","No")</f>
        <v>Yes</v>
      </c>
      <c r="O89" s="2" t="str">
        <f>INDEX(Samples!$P$4:$P$32,MATCH(B89,Samples!$A$4:$A$32,0))</f>
        <v>Standard</v>
      </c>
      <c r="P89" s="9">
        <f t="shared" si="4"/>
        <v>12.5036</v>
      </c>
      <c r="Q89" s="2">
        <f>ROUND(I89/(PI()*((G89+H89)/2)^2/4)/Parameters!$B$27,0)*Parameters!$B$27</f>
        <v>6150</v>
      </c>
      <c r="R89" s="2" t="str">
        <f t="shared" si="5"/>
        <v>Yes</v>
      </c>
    </row>
    <row r="90" spans="1:18" x14ac:dyDescent="0.2">
      <c r="A90" s="2" t="s">
        <v>591</v>
      </c>
      <c r="B90" s="2" t="s">
        <v>363</v>
      </c>
      <c r="C90" s="2" t="s">
        <v>422</v>
      </c>
      <c r="D90" s="2">
        <f>INDEX(Samples!$F$4:$F$32,MATCH(B90,Samples!$A$4:$A$32,0))</f>
        <v>772531</v>
      </c>
      <c r="E90" s="2" t="s">
        <v>504</v>
      </c>
      <c r="F90" s="2" t="s">
        <v>450</v>
      </c>
      <c r="G90" s="7">
        <v>4.04</v>
      </c>
      <c r="H90" s="7">
        <v>4.04</v>
      </c>
      <c r="I90" s="2">
        <v>78444</v>
      </c>
      <c r="J90" s="2" t="s">
        <v>417</v>
      </c>
      <c r="K90" s="2" t="s">
        <v>413</v>
      </c>
      <c r="L90" s="7">
        <f>ROUND((DATE(VALUE(RIGHT(E90,4)),VALUE(LEFT(E90,2)),VALUE(MID(E90,4,2)))+VALUE(LEFT(F90,2))/Parameters!$B$28+VALUE(RIGHT(F90,2))/Parameters!$B$29-INDEX(Samples!$X$4:$X$32,MATCH(B90,Samples!$A$4:$A$32,0)))*Parameters!$B$28,2)</f>
        <v>690.67</v>
      </c>
      <c r="M90" s="7">
        <f>ROUND(L90/Parameters!$B$28,2)</f>
        <v>28.78</v>
      </c>
      <c r="N90" s="2" t="str">
        <f>IF(ABS(L90-Parameters!$B$20)&lt;=Parameters!$B$21,"Yes","No")</f>
        <v>Yes</v>
      </c>
      <c r="O90" s="2" t="str">
        <f>INDEX(Samples!$P$4:$P$32,MATCH(B90,Samples!$A$4:$A$32,0))</f>
        <v>Standard</v>
      </c>
      <c r="P90" s="9">
        <f t="shared" si="4"/>
        <v>12.819</v>
      </c>
      <c r="Q90" s="2">
        <f>ROUND(I90/(PI()*((G90+H90)/2)^2/4)/Parameters!$B$27,0)*Parameters!$B$27</f>
        <v>6120</v>
      </c>
      <c r="R90" s="2" t="str">
        <f t="shared" si="5"/>
        <v>Yes</v>
      </c>
    </row>
    <row r="91" spans="1:18" x14ac:dyDescent="0.2">
      <c r="A91" s="2" t="s">
        <v>592</v>
      </c>
      <c r="B91" s="2" t="s">
        <v>368</v>
      </c>
      <c r="C91" s="2" t="s">
        <v>410</v>
      </c>
      <c r="D91" s="2">
        <f>INDEX(Samples!$F$4:$F$32,MATCH(B91,Samples!$A$4:$A$32,0))</f>
        <v>772809</v>
      </c>
      <c r="E91" s="2" t="s">
        <v>209</v>
      </c>
      <c r="F91" s="2" t="s">
        <v>593</v>
      </c>
      <c r="G91" s="7">
        <v>4.03</v>
      </c>
      <c r="H91" s="7">
        <v>4.01</v>
      </c>
      <c r="I91" s="2">
        <v>58765</v>
      </c>
      <c r="J91" s="2" t="s">
        <v>444</v>
      </c>
      <c r="K91" s="2" t="s">
        <v>413</v>
      </c>
      <c r="L91" s="7">
        <f>ROUND((DATE(VALUE(RIGHT(E91,4)),VALUE(LEFT(E91,2)),VALUE(MID(E91,4,2)))+VALUE(LEFT(F91,2))/Parameters!$B$28+VALUE(RIGHT(F91,2))/Parameters!$B$29-INDEX(Samples!$X$4:$X$32,MATCH(B91,Samples!$A$4:$A$32,0)))*Parameters!$B$28,2)</f>
        <v>170.63</v>
      </c>
      <c r="M91" s="7">
        <f>ROUND(L91/Parameters!$B$28,2)</f>
        <v>7.11</v>
      </c>
      <c r="N91" s="2" t="str">
        <f>IF(ABS(L91-Parameters!$B$20)&lt;=Parameters!$B$21,"Yes","No")</f>
        <v>No</v>
      </c>
      <c r="O91" s="2" t="str">
        <f>INDEX(Samples!$P$4:$P$32,MATCH(B91,Samples!$A$4:$A$32,0))</f>
        <v>Standard</v>
      </c>
      <c r="P91" s="9">
        <f t="shared" si="4"/>
        <v>12.6923</v>
      </c>
      <c r="Q91" s="2">
        <f>ROUND(I91/(PI()*((G91+H91)/2)^2/4)/Parameters!$B$27,0)*Parameters!$B$27</f>
        <v>4630</v>
      </c>
      <c r="R91" s="2" t="str">
        <f t="shared" si="5"/>
        <v>No</v>
      </c>
    </row>
    <row r="92" spans="1:18" x14ac:dyDescent="0.2">
      <c r="A92" s="2" t="s">
        <v>594</v>
      </c>
      <c r="B92" s="2" t="s">
        <v>368</v>
      </c>
      <c r="C92" s="2" t="s">
        <v>415</v>
      </c>
      <c r="D92" s="2">
        <f>INDEX(Samples!$F$4:$F$32,MATCH(B92,Samples!$A$4:$A$32,0))</f>
        <v>772809</v>
      </c>
      <c r="E92" s="2" t="s">
        <v>511</v>
      </c>
      <c r="F92" s="2" t="s">
        <v>457</v>
      </c>
      <c r="G92" s="7">
        <v>3.98</v>
      </c>
      <c r="H92" s="7">
        <v>4</v>
      </c>
      <c r="I92" s="2">
        <v>79892</v>
      </c>
      <c r="J92" s="2" t="s">
        <v>412</v>
      </c>
      <c r="K92" s="2" t="s">
        <v>413</v>
      </c>
      <c r="L92" s="7">
        <f>ROUND((DATE(VALUE(RIGHT(E92,4)),VALUE(LEFT(E92,2)),VALUE(MID(E92,4,2)))+VALUE(LEFT(F92,2))/Parameters!$B$28+VALUE(RIGHT(F92,2))/Parameters!$B$29-INDEX(Samples!$X$4:$X$32,MATCH(B92,Samples!$A$4:$A$32,0)))*Parameters!$B$28,2)</f>
        <v>671.88</v>
      </c>
      <c r="M92" s="7">
        <f>ROUND(L92/Parameters!$B$28,2)</f>
        <v>28</v>
      </c>
      <c r="N92" s="2" t="str">
        <f>IF(ABS(L92-Parameters!$B$20)&lt;=Parameters!$B$21,"Yes","No")</f>
        <v>Yes</v>
      </c>
      <c r="O92" s="2" t="str">
        <f>INDEX(Samples!$P$4:$P$32,MATCH(B92,Samples!$A$4:$A$32,0))</f>
        <v>Standard</v>
      </c>
      <c r="P92" s="9">
        <f t="shared" si="4"/>
        <v>12.5036</v>
      </c>
      <c r="Q92" s="2">
        <f>ROUND(I92/(PI()*((G92+H92)/2)^2/4)/Parameters!$B$27,0)*Parameters!$B$27</f>
        <v>6390</v>
      </c>
      <c r="R92" s="2" t="str">
        <f t="shared" si="5"/>
        <v>Yes</v>
      </c>
    </row>
    <row r="93" spans="1:18" x14ac:dyDescent="0.2">
      <c r="A93" s="2" t="s">
        <v>595</v>
      </c>
      <c r="B93" s="2" t="s">
        <v>368</v>
      </c>
      <c r="C93" s="2" t="s">
        <v>419</v>
      </c>
      <c r="D93" s="2">
        <f>INDEX(Samples!$F$4:$F$32,MATCH(B93,Samples!$A$4:$A$32,0))</f>
        <v>772809</v>
      </c>
      <c r="E93" s="2" t="s">
        <v>511</v>
      </c>
      <c r="F93" s="2" t="s">
        <v>596</v>
      </c>
      <c r="G93" s="7">
        <v>4.03</v>
      </c>
      <c r="H93" s="7">
        <v>4.01</v>
      </c>
      <c r="I93" s="2">
        <v>80356</v>
      </c>
      <c r="J93" s="2" t="s">
        <v>412</v>
      </c>
      <c r="K93" s="2" t="s">
        <v>413</v>
      </c>
      <c r="L93" s="7">
        <f>ROUND((DATE(VALUE(RIGHT(E93,4)),VALUE(LEFT(E93,2)),VALUE(MID(E93,4,2)))+VALUE(LEFT(F93,2))/Parameters!$B$28+VALUE(RIGHT(F93,2))/Parameters!$B$29-INDEX(Samples!$X$4:$X$32,MATCH(B93,Samples!$A$4:$A$32,0)))*Parameters!$B$28,2)</f>
        <v>672.02</v>
      </c>
      <c r="M93" s="7">
        <f>ROUND(L93/Parameters!$B$28,2)</f>
        <v>28</v>
      </c>
      <c r="N93" s="2" t="str">
        <f>IF(ABS(L93-Parameters!$B$20)&lt;=Parameters!$B$21,"Yes","No")</f>
        <v>Yes</v>
      </c>
      <c r="O93" s="2" t="str">
        <f>INDEX(Samples!$P$4:$P$32,MATCH(B93,Samples!$A$4:$A$32,0))</f>
        <v>Standard</v>
      </c>
      <c r="P93" s="9">
        <f t="shared" si="4"/>
        <v>12.6923</v>
      </c>
      <c r="Q93" s="2">
        <f>ROUND(I93/(PI()*((G93+H93)/2)^2/4)/Parameters!$B$27,0)*Parameters!$B$27</f>
        <v>6330</v>
      </c>
      <c r="R93" s="2" t="str">
        <f t="shared" si="5"/>
        <v>Yes</v>
      </c>
    </row>
    <row r="94" spans="1:18" x14ac:dyDescent="0.2">
      <c r="A94" s="2" t="s">
        <v>597</v>
      </c>
      <c r="B94" s="2" t="s">
        <v>368</v>
      </c>
      <c r="C94" s="2" t="s">
        <v>422</v>
      </c>
      <c r="D94" s="2">
        <f>INDEX(Samples!$F$4:$F$32,MATCH(B94,Samples!$A$4:$A$32,0))</f>
        <v>772809</v>
      </c>
      <c r="E94" s="2" t="s">
        <v>511</v>
      </c>
      <c r="F94" s="2" t="s">
        <v>598</v>
      </c>
      <c r="G94" s="7">
        <v>3.97</v>
      </c>
      <c r="H94" s="7">
        <v>3.97</v>
      </c>
      <c r="I94" s="2">
        <v>77996</v>
      </c>
      <c r="J94" s="2" t="s">
        <v>412</v>
      </c>
      <c r="K94" s="2" t="s">
        <v>413</v>
      </c>
      <c r="L94" s="7">
        <f>ROUND((DATE(VALUE(RIGHT(E94,4)),VALUE(LEFT(E94,2)),VALUE(MID(E94,4,2)))+VALUE(LEFT(F94,2))/Parameters!$B$28+VALUE(RIGHT(F94,2))/Parameters!$B$29-INDEX(Samples!$X$4:$X$32,MATCH(B94,Samples!$A$4:$A$32,0)))*Parameters!$B$28,2)</f>
        <v>672.12</v>
      </c>
      <c r="M94" s="7">
        <f>ROUND(L94/Parameters!$B$28,2)</f>
        <v>28.01</v>
      </c>
      <c r="N94" s="2" t="str">
        <f>IF(ABS(L94-Parameters!$B$20)&lt;=Parameters!$B$21,"Yes","No")</f>
        <v>Yes</v>
      </c>
      <c r="O94" s="2" t="str">
        <f>INDEX(Samples!$P$4:$P$32,MATCH(B94,Samples!$A$4:$A$32,0))</f>
        <v>Standard</v>
      </c>
      <c r="P94" s="9">
        <f t="shared" si="4"/>
        <v>12.3786</v>
      </c>
      <c r="Q94" s="2">
        <f>ROUND(I94/(PI()*((G94+H94)/2)^2/4)/Parameters!$B$27,0)*Parameters!$B$27</f>
        <v>6300</v>
      </c>
      <c r="R94" s="2" t="str">
        <f t="shared" si="5"/>
        <v>Yes</v>
      </c>
    </row>
    <row r="95" spans="1:18" x14ac:dyDescent="0.2">
      <c r="A95" s="2" t="s">
        <v>599</v>
      </c>
      <c r="B95" s="2" t="s">
        <v>372</v>
      </c>
      <c r="C95" s="2" t="s">
        <v>410</v>
      </c>
      <c r="D95" s="2">
        <f>INDEX(Samples!$F$4:$F$32,MATCH(B95,Samples!$A$4:$A$32,0))</f>
        <v>772934</v>
      </c>
      <c r="E95" s="2" t="s">
        <v>214</v>
      </c>
      <c r="F95" s="2" t="s">
        <v>420</v>
      </c>
      <c r="G95" s="7">
        <v>4.01</v>
      </c>
      <c r="H95" s="7">
        <v>4.01</v>
      </c>
      <c r="I95" s="2">
        <v>53665</v>
      </c>
      <c r="J95" s="2" t="s">
        <v>444</v>
      </c>
      <c r="K95" s="2" t="s">
        <v>413</v>
      </c>
      <c r="L95" s="7">
        <f>ROUND((DATE(VALUE(RIGHT(E95,4)),VALUE(LEFT(E95,2)),VALUE(MID(E95,4,2)))+VALUE(LEFT(F95,2))/Parameters!$B$28+VALUE(RIGHT(F95,2))/Parameters!$B$29-INDEX(Samples!$X$4:$X$32,MATCH(B95,Samples!$A$4:$A$32,0)))*Parameters!$B$28,2)</f>
        <v>170.08</v>
      </c>
      <c r="M95" s="7">
        <f>ROUND(L95/Parameters!$B$28,2)</f>
        <v>7.09</v>
      </c>
      <c r="N95" s="2" t="str">
        <f>IF(ABS(L95-Parameters!$B$20)&lt;=Parameters!$B$21,"Yes","No")</f>
        <v>No</v>
      </c>
      <c r="O95" s="2" t="str">
        <f>INDEX(Samples!$P$4:$P$32,MATCH(B95,Samples!$A$4:$A$32,0))</f>
        <v>Standard</v>
      </c>
      <c r="P95" s="9">
        <f t="shared" si="4"/>
        <v>12.6293</v>
      </c>
      <c r="Q95" s="2">
        <f>ROUND(I95/(PI()*((G95+H95)/2)^2/4)/Parameters!$B$27,0)*Parameters!$B$27</f>
        <v>4250</v>
      </c>
      <c r="R95" s="2" t="str">
        <f t="shared" si="5"/>
        <v>No</v>
      </c>
    </row>
    <row r="96" spans="1:18" x14ac:dyDescent="0.2">
      <c r="A96" s="2" t="s">
        <v>600</v>
      </c>
      <c r="B96" s="2" t="s">
        <v>372</v>
      </c>
      <c r="C96" s="2" t="s">
        <v>415</v>
      </c>
      <c r="D96" s="2">
        <f>INDEX(Samples!$F$4:$F$32,MATCH(B96,Samples!$A$4:$A$32,0))</f>
        <v>772934</v>
      </c>
      <c r="E96" s="2" t="s">
        <v>601</v>
      </c>
      <c r="F96" s="2" t="s">
        <v>496</v>
      </c>
      <c r="G96" s="7">
        <v>4.03</v>
      </c>
      <c r="H96" s="7">
        <v>4.01</v>
      </c>
      <c r="I96" s="2">
        <v>78179</v>
      </c>
      <c r="J96" s="2" t="s">
        <v>417</v>
      </c>
      <c r="K96" s="2" t="s">
        <v>413</v>
      </c>
      <c r="L96" s="7">
        <f>ROUND((DATE(VALUE(RIGHT(E96,4)),VALUE(LEFT(E96,2)),VALUE(MID(E96,4,2)))+VALUE(LEFT(F96,2))/Parameters!$B$28+VALUE(RIGHT(F96,2))/Parameters!$B$29-INDEX(Samples!$X$4:$X$32,MATCH(B96,Samples!$A$4:$A$32,0)))*Parameters!$B$28,2)</f>
        <v>674.73</v>
      </c>
      <c r="M96" s="7">
        <f>ROUND(L96/Parameters!$B$28,2)</f>
        <v>28.11</v>
      </c>
      <c r="N96" s="2" t="str">
        <f>IF(ABS(L96-Parameters!$B$20)&lt;=Parameters!$B$21,"Yes","No")</f>
        <v>Yes</v>
      </c>
      <c r="O96" s="2" t="str">
        <f>INDEX(Samples!$P$4:$P$32,MATCH(B96,Samples!$A$4:$A$32,0))</f>
        <v>Standard</v>
      </c>
      <c r="P96" s="9">
        <f t="shared" si="4"/>
        <v>12.6923</v>
      </c>
      <c r="Q96" s="2">
        <f>ROUND(I96/(PI()*((G96+H96)/2)^2/4)/Parameters!$B$27,0)*Parameters!$B$27</f>
        <v>6160</v>
      </c>
      <c r="R96" s="2" t="str">
        <f t="shared" si="5"/>
        <v>Yes</v>
      </c>
    </row>
    <row r="97" spans="1:18" x14ac:dyDescent="0.2">
      <c r="A97" s="2" t="s">
        <v>602</v>
      </c>
      <c r="B97" s="2" t="s">
        <v>372</v>
      </c>
      <c r="C97" s="2" t="s">
        <v>419</v>
      </c>
      <c r="D97" s="2">
        <f>INDEX(Samples!$F$4:$F$32,MATCH(B97,Samples!$A$4:$A$32,0))</f>
        <v>772934</v>
      </c>
      <c r="E97" s="2" t="s">
        <v>601</v>
      </c>
      <c r="F97" s="2" t="s">
        <v>603</v>
      </c>
      <c r="G97" s="7">
        <v>3.97</v>
      </c>
      <c r="H97" s="7">
        <v>4.01</v>
      </c>
      <c r="I97" s="2">
        <v>76388</v>
      </c>
      <c r="J97" s="2" t="s">
        <v>412</v>
      </c>
      <c r="K97" s="2" t="s">
        <v>413</v>
      </c>
      <c r="L97" s="7">
        <f>ROUND((DATE(VALUE(RIGHT(E97,4)),VALUE(LEFT(E97,2)),VALUE(MID(E97,4,2)))+VALUE(LEFT(F97,2))/Parameters!$B$28+VALUE(RIGHT(F97,2))/Parameters!$B$29-INDEX(Samples!$X$4:$X$32,MATCH(B97,Samples!$A$4:$A$32,0)))*Parameters!$B$28,2)</f>
        <v>674.85</v>
      </c>
      <c r="M97" s="7">
        <f>ROUND(L97/Parameters!$B$28,2)</f>
        <v>28.12</v>
      </c>
      <c r="N97" s="2" t="str">
        <f>IF(ABS(L97-Parameters!$B$20)&lt;=Parameters!$B$21,"Yes","No")</f>
        <v>Yes</v>
      </c>
      <c r="O97" s="2" t="str">
        <f>INDEX(Samples!$P$4:$P$32,MATCH(B97,Samples!$A$4:$A$32,0))</f>
        <v>Standard</v>
      </c>
      <c r="P97" s="9">
        <f t="shared" si="4"/>
        <v>12.5036</v>
      </c>
      <c r="Q97" s="2">
        <f>ROUND(I97/(PI()*((G97+H97)/2)^2/4)/Parameters!$B$27,0)*Parameters!$B$27</f>
        <v>6110</v>
      </c>
      <c r="R97" s="2" t="str">
        <f t="shared" si="5"/>
        <v>Yes</v>
      </c>
    </row>
    <row r="98" spans="1:18" x14ac:dyDescent="0.2">
      <c r="A98" s="2" t="s">
        <v>604</v>
      </c>
      <c r="B98" s="2" t="s">
        <v>372</v>
      </c>
      <c r="C98" s="2" t="s">
        <v>422</v>
      </c>
      <c r="D98" s="2">
        <f>INDEX(Samples!$F$4:$F$32,MATCH(B98,Samples!$A$4:$A$32,0))</f>
        <v>772934</v>
      </c>
      <c r="E98" s="2" t="s">
        <v>601</v>
      </c>
      <c r="F98" s="2" t="s">
        <v>605</v>
      </c>
      <c r="G98" s="7">
        <v>4.02</v>
      </c>
      <c r="H98" s="7">
        <v>4.04</v>
      </c>
      <c r="I98" s="2">
        <v>77671</v>
      </c>
      <c r="J98" s="2" t="s">
        <v>412</v>
      </c>
      <c r="K98" s="2" t="s">
        <v>413</v>
      </c>
      <c r="L98" s="7">
        <f>ROUND((DATE(VALUE(RIGHT(E98,4)),VALUE(LEFT(E98,2)),VALUE(MID(E98,4,2)))+VALUE(LEFT(F98,2))/Parameters!$B$28+VALUE(RIGHT(F98,2))/Parameters!$B$29-INDEX(Samples!$X$4:$X$32,MATCH(B98,Samples!$A$4:$A$32,0)))*Parameters!$B$28,2)</f>
        <v>675</v>
      </c>
      <c r="M98" s="7">
        <f>ROUND(L98/Parameters!$B$28,2)</f>
        <v>28.13</v>
      </c>
      <c r="N98" s="2" t="str">
        <f>IF(ABS(L98-Parameters!$B$20)&lt;=Parameters!$B$21,"Yes","No")</f>
        <v>Yes</v>
      </c>
      <c r="O98" s="2" t="str">
        <f>INDEX(Samples!$P$4:$P$32,MATCH(B98,Samples!$A$4:$A$32,0))</f>
        <v>Standard</v>
      </c>
      <c r="P98" s="9">
        <f t="shared" si="4"/>
        <v>12.7556</v>
      </c>
      <c r="Q98" s="2">
        <f>ROUND(I98/(PI()*((G98+H98)/2)^2/4)/Parameters!$B$27,0)*Parameters!$B$27</f>
        <v>6090</v>
      </c>
      <c r="R98" s="2" t="str">
        <f t="shared" si="5"/>
        <v>Yes</v>
      </c>
    </row>
    <row r="99" spans="1:18" x14ac:dyDescent="0.2">
      <c r="A99" s="2" t="s">
        <v>606</v>
      </c>
      <c r="B99" s="2" t="s">
        <v>377</v>
      </c>
      <c r="C99" s="2" t="s">
        <v>410</v>
      </c>
      <c r="D99" s="2">
        <f>INDEX(Samples!$F$4:$F$32,MATCH(B99,Samples!$A$4:$A$32,0))</f>
        <v>773248</v>
      </c>
      <c r="E99" s="2" t="s">
        <v>219</v>
      </c>
      <c r="F99" s="2" t="s">
        <v>607</v>
      </c>
      <c r="G99" s="7">
        <v>6.01</v>
      </c>
      <c r="H99" s="7">
        <v>5.99</v>
      </c>
      <c r="I99" s="2">
        <v>84525</v>
      </c>
      <c r="J99" s="2" t="s">
        <v>444</v>
      </c>
      <c r="K99" s="2" t="s">
        <v>413</v>
      </c>
      <c r="L99" s="7">
        <f>ROUND((DATE(VALUE(RIGHT(E99,4)),VALUE(LEFT(E99,2)),VALUE(MID(E99,4,2)))+VALUE(LEFT(F99,2))/Parameters!$B$28+VALUE(RIGHT(F99,2))/Parameters!$B$29-INDEX(Samples!$X$4:$X$32,MATCH(B99,Samples!$A$4:$A$32,0)))*Parameters!$B$28,2)</f>
        <v>194.83</v>
      </c>
      <c r="M99" s="7">
        <f>ROUND(L99/Parameters!$B$28,2)</f>
        <v>8.12</v>
      </c>
      <c r="N99" s="2" t="str">
        <f>IF(ABS(L99-Parameters!$B$20)&lt;=Parameters!$B$21,"Yes","No")</f>
        <v>No</v>
      </c>
      <c r="O99" s="2" t="str">
        <f>INDEX(Samples!$P$4:$P$32,MATCH(B99,Samples!$A$4:$A$32,0))</f>
        <v>Standard</v>
      </c>
      <c r="P99" s="9">
        <f t="shared" si="4"/>
        <v>28.2743</v>
      </c>
      <c r="Q99" s="2">
        <f>ROUND(I99/(PI()*((G99+H99)/2)^2/4)/Parameters!$B$27,0)*Parameters!$B$27</f>
        <v>2990</v>
      </c>
      <c r="R99" s="2" t="str">
        <f t="shared" si="5"/>
        <v>No</v>
      </c>
    </row>
    <row r="100" spans="1:18" x14ac:dyDescent="0.2">
      <c r="A100" s="2" t="s">
        <v>608</v>
      </c>
      <c r="B100" s="2" t="s">
        <v>377</v>
      </c>
      <c r="C100" s="2" t="s">
        <v>415</v>
      </c>
      <c r="D100" s="2">
        <f>INDEX(Samples!$F$4:$F$32,MATCH(B100,Samples!$A$4:$A$32,0))</f>
        <v>773248</v>
      </c>
      <c r="E100" s="2" t="s">
        <v>423</v>
      </c>
      <c r="F100" s="2" t="s">
        <v>609</v>
      </c>
      <c r="G100" s="7">
        <v>6</v>
      </c>
      <c r="H100" s="7">
        <v>6.02</v>
      </c>
      <c r="I100" s="2">
        <v>122865</v>
      </c>
      <c r="J100" s="2" t="s">
        <v>412</v>
      </c>
      <c r="K100" s="2" t="s">
        <v>413</v>
      </c>
      <c r="L100" s="7">
        <f>ROUND((DATE(VALUE(RIGHT(E100,4)),VALUE(LEFT(E100,2)),VALUE(MID(E100,4,2)))+VALUE(LEFT(F100,2))/Parameters!$B$28+VALUE(RIGHT(F100,2))/Parameters!$B$29-INDEX(Samples!$X$4:$X$32,MATCH(B100,Samples!$A$4:$A$32,0)))*Parameters!$B$28,2)</f>
        <v>674.17</v>
      </c>
      <c r="M100" s="7">
        <f>ROUND(L100/Parameters!$B$28,2)</f>
        <v>28.09</v>
      </c>
      <c r="N100" s="2" t="str">
        <f>IF(ABS(L100-Parameters!$B$20)&lt;=Parameters!$B$21,"Yes","No")</f>
        <v>Yes</v>
      </c>
      <c r="O100" s="2" t="str">
        <f>INDEX(Samples!$P$4:$P$32,MATCH(B100,Samples!$A$4:$A$32,0))</f>
        <v>Standard</v>
      </c>
      <c r="P100" s="9">
        <f t="shared" ref="P100:P113" si="6">ROUND(PI()*((G100+H100)/2)^2/4,4)</f>
        <v>28.3687</v>
      </c>
      <c r="Q100" s="2">
        <f>ROUND(I100/(PI()*((G100+H100)/2)^2/4)/Parameters!$B$27,0)*Parameters!$B$27</f>
        <v>4330</v>
      </c>
      <c r="R100" s="2" t="str">
        <f t="shared" ref="R100:R113" si="7">IF(AND(N100="Yes",O100="Standard",K100="No"),"Yes","No")</f>
        <v>Yes</v>
      </c>
    </row>
    <row r="101" spans="1:18" x14ac:dyDescent="0.2">
      <c r="A101" s="2" t="s">
        <v>610</v>
      </c>
      <c r="B101" s="2" t="s">
        <v>377</v>
      </c>
      <c r="C101" s="2" t="s">
        <v>419</v>
      </c>
      <c r="D101" s="2">
        <f>INDEX(Samples!$F$4:$F$32,MATCH(B101,Samples!$A$4:$A$32,0))</f>
        <v>773248</v>
      </c>
      <c r="E101" s="2" t="s">
        <v>423</v>
      </c>
      <c r="F101" s="2" t="s">
        <v>519</v>
      </c>
      <c r="G101" s="7">
        <v>5.99</v>
      </c>
      <c r="H101" s="7">
        <v>6.01</v>
      </c>
      <c r="I101" s="2">
        <v>115105</v>
      </c>
      <c r="J101" s="2" t="s">
        <v>412</v>
      </c>
      <c r="K101" s="2" t="s">
        <v>413</v>
      </c>
      <c r="L101" s="7">
        <f>ROUND((DATE(VALUE(RIGHT(E101,4)),VALUE(LEFT(E101,2)),VALUE(MID(E101,4,2)))+VALUE(LEFT(F101,2))/Parameters!$B$28+VALUE(RIGHT(F101,2))/Parameters!$B$29-INDEX(Samples!$X$4:$X$32,MATCH(B101,Samples!$A$4:$A$32,0)))*Parameters!$B$28,2)</f>
        <v>674.3</v>
      </c>
      <c r="M101" s="7">
        <f>ROUND(L101/Parameters!$B$28,2)</f>
        <v>28.1</v>
      </c>
      <c r="N101" s="2" t="str">
        <f>IF(ABS(L101-Parameters!$B$20)&lt;=Parameters!$B$21,"Yes","No")</f>
        <v>Yes</v>
      </c>
      <c r="O101" s="2" t="str">
        <f>INDEX(Samples!$P$4:$P$32,MATCH(B101,Samples!$A$4:$A$32,0))</f>
        <v>Standard</v>
      </c>
      <c r="P101" s="9">
        <f t="shared" si="6"/>
        <v>28.2743</v>
      </c>
      <c r="Q101" s="2">
        <f>ROUND(I101/(PI()*((G101+H101)/2)^2/4)/Parameters!$B$27,0)*Parameters!$B$27</f>
        <v>4070</v>
      </c>
      <c r="R101" s="2" t="str">
        <f t="shared" si="7"/>
        <v>Yes</v>
      </c>
    </row>
    <row r="102" spans="1:18" x14ac:dyDescent="0.2">
      <c r="A102" s="2" t="s">
        <v>611</v>
      </c>
      <c r="B102" s="2" t="s">
        <v>379</v>
      </c>
      <c r="C102" s="2" t="s">
        <v>410</v>
      </c>
      <c r="D102" s="2">
        <f>INDEX(Samples!$F$4:$F$32,MATCH(B102,Samples!$A$4:$A$32,0))</f>
        <v>773471</v>
      </c>
      <c r="E102" s="2" t="s">
        <v>334</v>
      </c>
      <c r="F102" s="2" t="s">
        <v>612</v>
      </c>
      <c r="G102" s="7">
        <v>4.02</v>
      </c>
      <c r="H102" s="7">
        <v>3.98</v>
      </c>
      <c r="I102" s="2">
        <v>55676</v>
      </c>
      <c r="J102" s="2" t="s">
        <v>412</v>
      </c>
      <c r="K102" s="2" t="s">
        <v>413</v>
      </c>
      <c r="L102" s="7">
        <f>ROUND((DATE(VALUE(RIGHT(E102,4)),VALUE(LEFT(E102,2)),VALUE(MID(E102,4,2)))+VALUE(LEFT(F102,2))/Parameters!$B$28+VALUE(RIGHT(F102,2))/Parameters!$B$29-INDEX(Samples!$X$4:$X$32,MATCH(B102,Samples!$A$4:$A$32,0)))*Parameters!$B$28,2)</f>
        <v>167.55</v>
      </c>
      <c r="M102" s="7">
        <f>ROUND(L102/Parameters!$B$28,2)</f>
        <v>6.98</v>
      </c>
      <c r="N102" s="2" t="str">
        <f>IF(ABS(L102-Parameters!$B$20)&lt;=Parameters!$B$21,"Yes","No")</f>
        <v>No</v>
      </c>
      <c r="O102" s="2" t="str">
        <f>INDEX(Samples!$P$4:$P$32,MATCH(B102,Samples!$A$4:$A$32,0))</f>
        <v>Standard</v>
      </c>
      <c r="P102" s="9">
        <f t="shared" si="6"/>
        <v>12.5664</v>
      </c>
      <c r="Q102" s="2">
        <f>ROUND(I102/(PI()*((G102+H102)/2)^2/4)/Parameters!$B$27,0)*Parameters!$B$27</f>
        <v>4430</v>
      </c>
      <c r="R102" s="2" t="str">
        <f t="shared" si="7"/>
        <v>No</v>
      </c>
    </row>
    <row r="103" spans="1:18" x14ac:dyDescent="0.2">
      <c r="A103" s="2" t="s">
        <v>613</v>
      </c>
      <c r="B103" s="2" t="s">
        <v>379</v>
      </c>
      <c r="C103" s="2" t="s">
        <v>415</v>
      </c>
      <c r="D103" s="2">
        <f>INDEX(Samples!$F$4:$F$32,MATCH(B103,Samples!$A$4:$A$32,0))</f>
        <v>773471</v>
      </c>
      <c r="E103" s="2" t="s">
        <v>432</v>
      </c>
      <c r="F103" s="2" t="s">
        <v>542</v>
      </c>
      <c r="G103" s="7">
        <v>4.03</v>
      </c>
      <c r="H103" s="7">
        <v>4.03</v>
      </c>
      <c r="I103" s="2">
        <v>77805</v>
      </c>
      <c r="J103" s="2" t="s">
        <v>412</v>
      </c>
      <c r="K103" s="2" t="s">
        <v>413</v>
      </c>
      <c r="L103" s="7">
        <f>ROUND((DATE(VALUE(RIGHT(E103,4)),VALUE(LEFT(E103,2)),VALUE(MID(E103,4,2)))+VALUE(LEFT(F103,2))/Parameters!$B$28+VALUE(RIGHT(F103,2))/Parameters!$B$29-INDEX(Samples!$X$4:$X$32,MATCH(B103,Samples!$A$4:$A$32,0)))*Parameters!$B$28,2)</f>
        <v>674.03</v>
      </c>
      <c r="M103" s="7">
        <f>ROUND(L103/Parameters!$B$28,2)</f>
        <v>28.08</v>
      </c>
      <c r="N103" s="2" t="str">
        <f>IF(ABS(L103-Parameters!$B$20)&lt;=Parameters!$B$21,"Yes","No")</f>
        <v>Yes</v>
      </c>
      <c r="O103" s="2" t="str">
        <f>INDEX(Samples!$P$4:$P$32,MATCH(B103,Samples!$A$4:$A$32,0))</f>
        <v>Standard</v>
      </c>
      <c r="P103" s="9">
        <f t="shared" si="6"/>
        <v>12.7556</v>
      </c>
      <c r="Q103" s="2">
        <f>ROUND(I103/(PI()*((G103+H103)/2)^2/4)/Parameters!$B$27,0)*Parameters!$B$27</f>
        <v>6100</v>
      </c>
      <c r="R103" s="2" t="str">
        <f t="shared" si="7"/>
        <v>Yes</v>
      </c>
    </row>
    <row r="104" spans="1:18" x14ac:dyDescent="0.2">
      <c r="A104" s="2" t="s">
        <v>614</v>
      </c>
      <c r="B104" s="2" t="s">
        <v>379</v>
      </c>
      <c r="C104" s="2" t="s">
        <v>419</v>
      </c>
      <c r="D104" s="2">
        <f>INDEX(Samples!$F$4:$F$32,MATCH(B104,Samples!$A$4:$A$32,0))</f>
        <v>773471</v>
      </c>
      <c r="E104" s="2" t="s">
        <v>432</v>
      </c>
      <c r="F104" s="2" t="s">
        <v>615</v>
      </c>
      <c r="G104" s="7">
        <v>3.98</v>
      </c>
      <c r="H104" s="7">
        <v>3.98</v>
      </c>
      <c r="I104" s="2">
        <v>75389</v>
      </c>
      <c r="J104" s="2" t="s">
        <v>412</v>
      </c>
      <c r="K104" s="2" t="s">
        <v>413</v>
      </c>
      <c r="L104" s="7">
        <f>ROUND((DATE(VALUE(RIGHT(E104,4)),VALUE(LEFT(E104,2)),VALUE(MID(E104,4,2)))+VALUE(LEFT(F104,2))/Parameters!$B$28+VALUE(RIGHT(F104,2))/Parameters!$B$29-INDEX(Samples!$X$4:$X$32,MATCH(B104,Samples!$A$4:$A$32,0)))*Parameters!$B$28,2)</f>
        <v>674.13</v>
      </c>
      <c r="M104" s="7">
        <f>ROUND(L104/Parameters!$B$28,2)</f>
        <v>28.09</v>
      </c>
      <c r="N104" s="2" t="str">
        <f>IF(ABS(L104-Parameters!$B$20)&lt;=Parameters!$B$21,"Yes","No")</f>
        <v>Yes</v>
      </c>
      <c r="O104" s="2" t="str">
        <f>INDEX(Samples!$P$4:$P$32,MATCH(B104,Samples!$A$4:$A$32,0))</f>
        <v>Standard</v>
      </c>
      <c r="P104" s="9">
        <f t="shared" si="6"/>
        <v>12.441</v>
      </c>
      <c r="Q104" s="2">
        <f>ROUND(I104/(PI()*((G104+H104)/2)^2/4)/Parameters!$B$27,0)*Parameters!$B$27</f>
        <v>6060</v>
      </c>
      <c r="R104" s="2" t="str">
        <f t="shared" si="7"/>
        <v>Yes</v>
      </c>
    </row>
    <row r="105" spans="1:18" x14ac:dyDescent="0.2">
      <c r="A105" s="2" t="s">
        <v>616</v>
      </c>
      <c r="B105" s="2" t="s">
        <v>379</v>
      </c>
      <c r="C105" s="2" t="s">
        <v>422</v>
      </c>
      <c r="D105" s="2">
        <f>INDEX(Samples!$F$4:$F$32,MATCH(B105,Samples!$A$4:$A$32,0))</f>
        <v>773471</v>
      </c>
      <c r="E105" s="2" t="s">
        <v>432</v>
      </c>
      <c r="F105" s="2" t="s">
        <v>137</v>
      </c>
      <c r="G105" s="7">
        <v>4.02</v>
      </c>
      <c r="H105" s="7">
        <v>4.02</v>
      </c>
      <c r="I105" s="2">
        <v>76419</v>
      </c>
      <c r="J105" s="2" t="s">
        <v>425</v>
      </c>
      <c r="K105" s="2" t="s">
        <v>413</v>
      </c>
      <c r="L105" s="7">
        <f>ROUND((DATE(VALUE(RIGHT(E105,4)),VALUE(LEFT(E105,2)),VALUE(MID(E105,4,2)))+VALUE(LEFT(F105,2))/Parameters!$B$28+VALUE(RIGHT(F105,2))/Parameters!$B$29-INDEX(Samples!$X$4:$X$32,MATCH(B105,Samples!$A$4:$A$32,0)))*Parameters!$B$28,2)</f>
        <v>674.27</v>
      </c>
      <c r="M105" s="7">
        <f>ROUND(L105/Parameters!$B$28,2)</f>
        <v>28.09</v>
      </c>
      <c r="N105" s="2" t="str">
        <f>IF(ABS(L105-Parameters!$B$20)&lt;=Parameters!$B$21,"Yes","No")</f>
        <v>Yes</v>
      </c>
      <c r="O105" s="2" t="str">
        <f>INDEX(Samples!$P$4:$P$32,MATCH(B105,Samples!$A$4:$A$32,0))</f>
        <v>Standard</v>
      </c>
      <c r="P105" s="9">
        <f t="shared" si="6"/>
        <v>12.6923</v>
      </c>
      <c r="Q105" s="2">
        <f>ROUND(I105/(PI()*((G105+H105)/2)^2/4)/Parameters!$B$27,0)*Parameters!$B$27</f>
        <v>6020</v>
      </c>
      <c r="R105" s="2" t="str">
        <f t="shared" si="7"/>
        <v>Yes</v>
      </c>
    </row>
    <row r="106" spans="1:18" x14ac:dyDescent="0.2">
      <c r="A106" s="2" t="s">
        <v>617</v>
      </c>
      <c r="B106" s="2" t="s">
        <v>383</v>
      </c>
      <c r="C106" s="2" t="s">
        <v>410</v>
      </c>
      <c r="D106" s="2">
        <f>INDEX(Samples!$F$4:$F$32,MATCH(B106,Samples!$A$4:$A$32,0))</f>
        <v>773586</v>
      </c>
      <c r="E106" s="2" t="s">
        <v>223</v>
      </c>
      <c r="F106" s="2" t="s">
        <v>411</v>
      </c>
      <c r="G106" s="7">
        <v>4</v>
      </c>
      <c r="H106" s="7">
        <v>4</v>
      </c>
      <c r="I106" s="2">
        <v>49128</v>
      </c>
      <c r="J106" s="2" t="s">
        <v>425</v>
      </c>
      <c r="K106" s="2" t="s">
        <v>413</v>
      </c>
      <c r="L106" s="7">
        <f>ROUND((DATE(VALUE(RIGHT(E106,4)),VALUE(LEFT(E106,2)),VALUE(MID(E106,4,2)))+VALUE(LEFT(F106,2))/Parameters!$B$28+VALUE(RIGHT(F106,2))/Parameters!$B$29-INDEX(Samples!$X$4:$X$32,MATCH(B106,Samples!$A$4:$A$32,0)))*Parameters!$B$28,2)</f>
        <v>169.03</v>
      </c>
      <c r="M106" s="7">
        <f>ROUND(L106/Parameters!$B$28,2)</f>
        <v>7.04</v>
      </c>
      <c r="N106" s="2" t="str">
        <f>IF(ABS(L106-Parameters!$B$20)&lt;=Parameters!$B$21,"Yes","No")</f>
        <v>No</v>
      </c>
      <c r="O106" s="2" t="str">
        <f>INDEX(Samples!$P$4:$P$32,MATCH(B106,Samples!$A$4:$A$32,0))</f>
        <v>Standard</v>
      </c>
      <c r="P106" s="9">
        <f t="shared" si="6"/>
        <v>12.5664</v>
      </c>
      <c r="Q106" s="2">
        <f>ROUND(I106/(PI()*((G106+H106)/2)^2/4)/Parameters!$B$27,0)*Parameters!$B$27</f>
        <v>3910</v>
      </c>
      <c r="R106" s="2" t="str">
        <f t="shared" si="7"/>
        <v>No</v>
      </c>
    </row>
    <row r="107" spans="1:18" x14ac:dyDescent="0.2">
      <c r="A107" s="2" t="s">
        <v>618</v>
      </c>
      <c r="B107" s="2" t="s">
        <v>383</v>
      </c>
      <c r="C107" s="2" t="s">
        <v>415</v>
      </c>
      <c r="D107" s="2">
        <f>INDEX(Samples!$F$4:$F$32,MATCH(B107,Samples!$A$4:$A$32,0))</f>
        <v>773586</v>
      </c>
      <c r="E107" s="2" t="s">
        <v>544</v>
      </c>
      <c r="F107" s="2" t="s">
        <v>580</v>
      </c>
      <c r="G107" s="7">
        <v>4</v>
      </c>
      <c r="H107" s="7">
        <v>4</v>
      </c>
      <c r="I107" s="2">
        <v>71883</v>
      </c>
      <c r="J107" s="2" t="s">
        <v>444</v>
      </c>
      <c r="K107" s="2" t="s">
        <v>413</v>
      </c>
      <c r="L107" s="7">
        <f>ROUND((DATE(VALUE(RIGHT(E107,4)),VALUE(LEFT(E107,2)),VALUE(MID(E107,4,2)))+VALUE(LEFT(F107,2))/Parameters!$B$28+VALUE(RIGHT(F107,2))/Parameters!$B$29-INDEX(Samples!$X$4:$X$32,MATCH(B107,Samples!$A$4:$A$32,0)))*Parameters!$B$28,2)</f>
        <v>674.1</v>
      </c>
      <c r="M107" s="7">
        <f>ROUND(L107/Parameters!$B$28,2)</f>
        <v>28.09</v>
      </c>
      <c r="N107" s="2" t="str">
        <f>IF(ABS(L107-Parameters!$B$20)&lt;=Parameters!$B$21,"Yes","No")</f>
        <v>Yes</v>
      </c>
      <c r="O107" s="2" t="str">
        <f>INDEX(Samples!$P$4:$P$32,MATCH(B107,Samples!$A$4:$A$32,0))</f>
        <v>Standard</v>
      </c>
      <c r="P107" s="9">
        <f t="shared" si="6"/>
        <v>12.5664</v>
      </c>
      <c r="Q107" s="2">
        <f>ROUND(I107/(PI()*((G107+H107)/2)^2/4)/Parameters!$B$27,0)*Parameters!$B$27</f>
        <v>5720</v>
      </c>
      <c r="R107" s="2" t="str">
        <f t="shared" si="7"/>
        <v>Yes</v>
      </c>
    </row>
    <row r="108" spans="1:18" x14ac:dyDescent="0.2">
      <c r="A108" s="2" t="s">
        <v>619</v>
      </c>
      <c r="B108" s="2" t="s">
        <v>383</v>
      </c>
      <c r="C108" s="2" t="s">
        <v>419</v>
      </c>
      <c r="D108" s="2">
        <f>INDEX(Samples!$F$4:$F$32,MATCH(B108,Samples!$A$4:$A$32,0))</f>
        <v>773586</v>
      </c>
      <c r="E108" s="2" t="s">
        <v>544</v>
      </c>
      <c r="F108" s="2" t="s">
        <v>420</v>
      </c>
      <c r="G108" s="7">
        <v>4.01</v>
      </c>
      <c r="H108" s="7">
        <v>4.01</v>
      </c>
      <c r="I108" s="2">
        <v>67937</v>
      </c>
      <c r="J108" s="2" t="s">
        <v>444</v>
      </c>
      <c r="K108" s="2" t="s">
        <v>413</v>
      </c>
      <c r="L108" s="7">
        <f>ROUND((DATE(VALUE(RIGHT(E108,4)),VALUE(LEFT(E108,2)),VALUE(MID(E108,4,2)))+VALUE(LEFT(F108,2))/Parameters!$B$28+VALUE(RIGHT(F108,2))/Parameters!$B$29-INDEX(Samples!$X$4:$X$32,MATCH(B108,Samples!$A$4:$A$32,0)))*Parameters!$B$28,2)</f>
        <v>674.2</v>
      </c>
      <c r="M108" s="7">
        <f>ROUND(L108/Parameters!$B$28,2)</f>
        <v>28.09</v>
      </c>
      <c r="N108" s="2" t="str">
        <f>IF(ABS(L108-Parameters!$B$20)&lt;=Parameters!$B$21,"Yes","No")</f>
        <v>Yes</v>
      </c>
      <c r="O108" s="2" t="str">
        <f>INDEX(Samples!$P$4:$P$32,MATCH(B108,Samples!$A$4:$A$32,0))</f>
        <v>Standard</v>
      </c>
      <c r="P108" s="9">
        <f t="shared" si="6"/>
        <v>12.6293</v>
      </c>
      <c r="Q108" s="2">
        <f>ROUND(I108/(PI()*((G108+H108)/2)^2/4)/Parameters!$B$27,0)*Parameters!$B$27</f>
        <v>5380</v>
      </c>
      <c r="R108" s="2" t="str">
        <f t="shared" si="7"/>
        <v>Yes</v>
      </c>
    </row>
    <row r="109" spans="1:18" x14ac:dyDescent="0.2">
      <c r="A109" s="2" t="s">
        <v>620</v>
      </c>
      <c r="B109" s="2" t="s">
        <v>383</v>
      </c>
      <c r="C109" s="2" t="s">
        <v>422</v>
      </c>
      <c r="D109" s="2">
        <f>INDEX(Samples!$F$4:$F$32,MATCH(B109,Samples!$A$4:$A$32,0))</f>
        <v>773586</v>
      </c>
      <c r="E109" s="2" t="s">
        <v>544</v>
      </c>
      <c r="F109" s="2" t="s">
        <v>621</v>
      </c>
      <c r="G109" s="7">
        <v>4</v>
      </c>
      <c r="H109" s="7">
        <v>4.02</v>
      </c>
      <c r="I109" s="2">
        <v>64400</v>
      </c>
      <c r="J109" s="2" t="s">
        <v>412</v>
      </c>
      <c r="K109" s="2" t="s">
        <v>413</v>
      </c>
      <c r="L109" s="7">
        <f>ROUND((DATE(VALUE(RIGHT(E109,4)),VALUE(LEFT(E109,2)),VALUE(MID(E109,4,2)))+VALUE(LEFT(F109,2))/Parameters!$B$28+VALUE(RIGHT(F109,2))/Parameters!$B$29-INDEX(Samples!$X$4:$X$32,MATCH(B109,Samples!$A$4:$A$32,0)))*Parameters!$B$28,2)</f>
        <v>674.3</v>
      </c>
      <c r="M109" s="7">
        <f>ROUND(L109/Parameters!$B$28,2)</f>
        <v>28.1</v>
      </c>
      <c r="N109" s="2" t="str">
        <f>IF(ABS(L109-Parameters!$B$20)&lt;=Parameters!$B$21,"Yes","No")</f>
        <v>Yes</v>
      </c>
      <c r="O109" s="2" t="str">
        <f>INDEX(Samples!$P$4:$P$32,MATCH(B109,Samples!$A$4:$A$32,0))</f>
        <v>Standard</v>
      </c>
      <c r="P109" s="9">
        <f t="shared" si="6"/>
        <v>12.6293</v>
      </c>
      <c r="Q109" s="2">
        <f>ROUND(I109/(PI()*((G109+H109)/2)^2/4)/Parameters!$B$27,0)*Parameters!$B$27</f>
        <v>5100</v>
      </c>
      <c r="R109" s="2" t="str">
        <f t="shared" si="7"/>
        <v>Yes</v>
      </c>
    </row>
    <row r="110" spans="1:18" x14ac:dyDescent="0.2">
      <c r="A110" s="2" t="s">
        <v>622</v>
      </c>
      <c r="B110" s="2" t="s">
        <v>388</v>
      </c>
      <c r="C110" s="2" t="s">
        <v>410</v>
      </c>
      <c r="D110" s="2">
        <f>INDEX(Samples!$F$4:$F$32,MATCH(B110,Samples!$A$4:$A$32,0))</f>
        <v>774119</v>
      </c>
      <c r="E110" s="2" t="s">
        <v>578</v>
      </c>
      <c r="F110" s="2" t="s">
        <v>157</v>
      </c>
      <c r="G110" s="7">
        <v>3.99</v>
      </c>
      <c r="H110" s="7">
        <v>4.01</v>
      </c>
      <c r="I110" s="2">
        <v>57566</v>
      </c>
      <c r="J110" s="2" t="s">
        <v>412</v>
      </c>
      <c r="K110" s="2" t="s">
        <v>413</v>
      </c>
      <c r="L110" s="7">
        <f>ROUND((DATE(VALUE(RIGHT(E110,4)),VALUE(LEFT(E110,2)),VALUE(MID(E110,4,2)))+VALUE(LEFT(F110,2))/Parameters!$B$28+VALUE(RIGHT(F110,2))/Parameters!$B$29-INDEX(Samples!$X$4:$X$32,MATCH(B110,Samples!$A$4:$A$32,0)))*Parameters!$B$28,2)</f>
        <v>168.22</v>
      </c>
      <c r="M110" s="7">
        <f>ROUND(L110/Parameters!$B$28,2)</f>
        <v>7.01</v>
      </c>
      <c r="N110" s="2" t="str">
        <f>IF(ABS(L110-Parameters!$B$20)&lt;=Parameters!$B$21,"Yes","No")</f>
        <v>No</v>
      </c>
      <c r="O110" s="2" t="str">
        <f>INDEX(Samples!$P$4:$P$32,MATCH(B110,Samples!$A$4:$A$32,0))</f>
        <v>Standard</v>
      </c>
      <c r="P110" s="9">
        <f t="shared" si="6"/>
        <v>12.5664</v>
      </c>
      <c r="Q110" s="2">
        <f>ROUND(I110/(PI()*((G110+H110)/2)^2/4)/Parameters!$B$27,0)*Parameters!$B$27</f>
        <v>4580</v>
      </c>
      <c r="R110" s="2" t="str">
        <f t="shared" si="7"/>
        <v>No</v>
      </c>
    </row>
    <row r="111" spans="1:18" x14ac:dyDescent="0.2">
      <c r="A111" s="2" t="s">
        <v>623</v>
      </c>
      <c r="B111" s="2" t="s">
        <v>388</v>
      </c>
      <c r="C111" s="2" t="s">
        <v>415</v>
      </c>
      <c r="D111" s="2">
        <f>INDEX(Samples!$F$4:$F$32,MATCH(B111,Samples!$A$4:$A$32,0))</f>
        <v>774119</v>
      </c>
      <c r="E111" s="2" t="s">
        <v>562</v>
      </c>
      <c r="F111" s="2" t="s">
        <v>624</v>
      </c>
      <c r="G111" s="7">
        <v>4</v>
      </c>
      <c r="H111" s="7">
        <v>4</v>
      </c>
      <c r="I111" s="2">
        <v>78777</v>
      </c>
      <c r="J111" s="2" t="s">
        <v>412</v>
      </c>
      <c r="K111" s="2" t="s">
        <v>413</v>
      </c>
      <c r="L111" s="7">
        <f>ROUND((DATE(VALUE(RIGHT(E111,4)),VALUE(LEFT(E111,2)),VALUE(MID(E111,4,2)))+VALUE(LEFT(F111,2))/Parameters!$B$28+VALUE(RIGHT(F111,2))/Parameters!$B$29-INDEX(Samples!$X$4:$X$32,MATCH(B111,Samples!$A$4:$A$32,0)))*Parameters!$B$28,2)</f>
        <v>672.9</v>
      </c>
      <c r="M111" s="7">
        <f>ROUND(L111/Parameters!$B$28,2)</f>
        <v>28.04</v>
      </c>
      <c r="N111" s="2" t="str">
        <f>IF(ABS(L111-Parameters!$B$20)&lt;=Parameters!$B$21,"Yes","No")</f>
        <v>Yes</v>
      </c>
      <c r="O111" s="2" t="str">
        <f>INDEX(Samples!$P$4:$P$32,MATCH(B111,Samples!$A$4:$A$32,0))</f>
        <v>Standard</v>
      </c>
      <c r="P111" s="9">
        <f t="shared" si="6"/>
        <v>12.5664</v>
      </c>
      <c r="Q111" s="2">
        <f>ROUND(I111/(PI()*((G111+H111)/2)^2/4)/Parameters!$B$27,0)*Parameters!$B$27</f>
        <v>6270</v>
      </c>
      <c r="R111" s="2" t="str">
        <f t="shared" si="7"/>
        <v>Yes</v>
      </c>
    </row>
    <row r="112" spans="1:18" x14ac:dyDescent="0.2">
      <c r="A112" s="2" t="s">
        <v>625</v>
      </c>
      <c r="B112" s="2" t="s">
        <v>388</v>
      </c>
      <c r="C112" s="2" t="s">
        <v>419</v>
      </c>
      <c r="D112" s="2">
        <f>INDEX(Samples!$F$4:$F$32,MATCH(B112,Samples!$A$4:$A$32,0))</f>
        <v>774119</v>
      </c>
      <c r="E112" s="2" t="s">
        <v>562</v>
      </c>
      <c r="F112" s="2" t="s">
        <v>364</v>
      </c>
      <c r="G112" s="7">
        <v>4</v>
      </c>
      <c r="H112" s="7">
        <v>4</v>
      </c>
      <c r="I112" s="2">
        <v>78413</v>
      </c>
      <c r="J112" s="2" t="s">
        <v>412</v>
      </c>
      <c r="K112" s="2" t="s">
        <v>413</v>
      </c>
      <c r="L112" s="7">
        <f>ROUND((DATE(VALUE(RIGHT(E112,4)),VALUE(LEFT(E112,2)),VALUE(MID(E112,4,2)))+VALUE(LEFT(F112,2))/Parameters!$B$28+VALUE(RIGHT(F112,2))/Parameters!$B$29-INDEX(Samples!$X$4:$X$32,MATCH(B112,Samples!$A$4:$A$32,0)))*Parameters!$B$28,2)</f>
        <v>673</v>
      </c>
      <c r="M112" s="7">
        <f>ROUND(L112/Parameters!$B$28,2)</f>
        <v>28.04</v>
      </c>
      <c r="N112" s="2" t="str">
        <f>IF(ABS(L112-Parameters!$B$20)&lt;=Parameters!$B$21,"Yes","No")</f>
        <v>Yes</v>
      </c>
      <c r="O112" s="2" t="str">
        <f>INDEX(Samples!$P$4:$P$32,MATCH(B112,Samples!$A$4:$A$32,0))</f>
        <v>Standard</v>
      </c>
      <c r="P112" s="9">
        <f t="shared" si="6"/>
        <v>12.5664</v>
      </c>
      <c r="Q112" s="2">
        <f>ROUND(I112/(PI()*((G112+H112)/2)^2/4)/Parameters!$B$27,0)*Parameters!$B$27</f>
        <v>6240</v>
      </c>
      <c r="R112" s="2" t="str">
        <f t="shared" si="7"/>
        <v>Yes</v>
      </c>
    </row>
    <row r="113" spans="1:18" x14ac:dyDescent="0.2">
      <c r="A113" s="2" t="s">
        <v>626</v>
      </c>
      <c r="B113" s="2" t="s">
        <v>388</v>
      </c>
      <c r="C113" s="2" t="s">
        <v>422</v>
      </c>
      <c r="D113" s="2">
        <f>INDEX(Samples!$F$4:$F$32,MATCH(B113,Samples!$A$4:$A$32,0))</f>
        <v>774119</v>
      </c>
      <c r="E113" s="2" t="s">
        <v>562</v>
      </c>
      <c r="F113" s="2" t="s">
        <v>627</v>
      </c>
      <c r="G113" s="7">
        <v>4.01</v>
      </c>
      <c r="H113" s="7">
        <v>4.01</v>
      </c>
      <c r="I113" s="2">
        <v>78045</v>
      </c>
      <c r="J113" s="2" t="s">
        <v>444</v>
      </c>
      <c r="K113" s="2" t="s">
        <v>413</v>
      </c>
      <c r="L113" s="7">
        <f>ROUND((DATE(VALUE(RIGHT(E113,4)),VALUE(LEFT(E113,2)),VALUE(MID(E113,4,2)))+VALUE(LEFT(F113,2))/Parameters!$B$28+VALUE(RIGHT(F113,2))/Parameters!$B$29-INDEX(Samples!$X$4:$X$32,MATCH(B113,Samples!$A$4:$A$32,0)))*Parameters!$B$28,2)</f>
        <v>673.1</v>
      </c>
      <c r="M113" s="7">
        <f>ROUND(L113/Parameters!$B$28,2)</f>
        <v>28.05</v>
      </c>
      <c r="N113" s="2" t="str">
        <f>IF(ABS(L113-Parameters!$B$20)&lt;=Parameters!$B$21,"Yes","No")</f>
        <v>Yes</v>
      </c>
      <c r="O113" s="2" t="str">
        <f>INDEX(Samples!$P$4:$P$32,MATCH(B113,Samples!$A$4:$A$32,0))</f>
        <v>Standard</v>
      </c>
      <c r="P113" s="9">
        <f t="shared" si="6"/>
        <v>12.6293</v>
      </c>
      <c r="Q113" s="2">
        <f>ROUND(I113/(PI()*((G113+H113)/2)^2/4)/Parameters!$B$27,0)*Parameters!$B$27</f>
        <v>6180</v>
      </c>
      <c r="R113" s="2" t="str">
        <f t="shared" si="7"/>
        <v>Yes</v>
      </c>
    </row>
    <row r="115" spans="1:18" x14ac:dyDescent="0.2">
      <c r="A115" s="2" t="s">
        <v>33</v>
      </c>
      <c r="D115" s="2">
        <f>COUNTA(A4:A113)</f>
        <v>110</v>
      </c>
    </row>
    <row r="116" spans="1:18" x14ac:dyDescent="0.2">
      <c r="A116" s="2" t="s">
        <v>628</v>
      </c>
      <c r="D116" s="2">
        <f>COUNTIF(R4:R113,"Yes")</f>
        <v>60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6"/>
  <sheetViews>
    <sheetView workbookViewId="0"/>
  </sheetViews>
  <sheetFormatPr baseColWidth="10" defaultColWidth="8.83203125" defaultRowHeight="15" x14ac:dyDescent="0.2"/>
  <cols>
    <col min="1" max="1" width="10" customWidth="1"/>
    <col min="2" max="2" width="14" customWidth="1"/>
    <col min="3" max="3" width="11" customWidth="1"/>
    <col min="4" max="4" width="10" customWidth="1"/>
    <col min="5" max="5" width="12" customWidth="1"/>
    <col min="6" max="6" width="9" customWidth="1"/>
    <col min="7" max="7" width="8" customWidth="1"/>
    <col min="8" max="9" width="10" customWidth="1"/>
    <col min="10" max="10" width="12" customWidth="1"/>
    <col min="11" max="12" width="8" customWidth="1"/>
    <col min="13" max="14" width="9" customWidth="1"/>
    <col min="15" max="15" width="30" customWidth="1"/>
    <col min="16" max="16" width="11" customWidth="1"/>
    <col min="17" max="17" width="40" customWidth="1"/>
    <col min="18" max="18" width="38" customWidth="1"/>
    <col min="19" max="19" width="9" customWidth="1"/>
    <col min="20" max="20" width="44" customWidth="1"/>
    <col min="21" max="21" width="12" customWidth="1"/>
    <col min="22" max="22" width="16" customWidth="1"/>
  </cols>
  <sheetData>
    <row r="1" spans="1:22" ht="17" x14ac:dyDescent="0.2">
      <c r="A1" s="1" t="s">
        <v>629</v>
      </c>
    </row>
    <row r="3" spans="1:22" ht="48" x14ac:dyDescent="0.2">
      <c r="A3" s="3" t="s">
        <v>240</v>
      </c>
      <c r="B3" s="3" t="s">
        <v>630</v>
      </c>
      <c r="C3" s="3" t="s">
        <v>100</v>
      </c>
      <c r="D3" s="3" t="s">
        <v>108</v>
      </c>
      <c r="E3" s="3" t="s">
        <v>237</v>
      </c>
      <c r="F3" s="3" t="s">
        <v>238</v>
      </c>
      <c r="G3" s="3" t="s">
        <v>245</v>
      </c>
      <c r="H3" s="3" t="s">
        <v>631</v>
      </c>
      <c r="I3" s="3" t="s">
        <v>632</v>
      </c>
      <c r="J3" s="3" t="s">
        <v>633</v>
      </c>
      <c r="K3" s="3" t="s">
        <v>634</v>
      </c>
      <c r="L3" s="3" t="s">
        <v>635</v>
      </c>
      <c r="M3" s="3" t="s">
        <v>636</v>
      </c>
      <c r="N3" s="3" t="s">
        <v>637</v>
      </c>
      <c r="O3" s="3" t="s">
        <v>638</v>
      </c>
      <c r="P3" s="3" t="s">
        <v>247</v>
      </c>
      <c r="Q3" s="3" t="s">
        <v>253</v>
      </c>
      <c r="R3" s="3" t="s">
        <v>254</v>
      </c>
      <c r="S3" s="3" t="s">
        <v>639</v>
      </c>
      <c r="T3" s="3" t="s">
        <v>640</v>
      </c>
      <c r="U3" s="3" t="s">
        <v>641</v>
      </c>
      <c r="V3" s="3" t="s">
        <v>244</v>
      </c>
    </row>
    <row r="4" spans="1:22" x14ac:dyDescent="0.2">
      <c r="A4" s="2">
        <v>770418</v>
      </c>
      <c r="B4" s="2" t="s">
        <v>258</v>
      </c>
      <c r="C4" s="2" t="str">
        <f>INDEX(Samples!$I$4:$I$32,MATCH(A4,Samples!$F$4:$F$32,0))</f>
        <v>P-01</v>
      </c>
      <c r="D4" s="2" t="str">
        <f>INDEX(Samples!$H$4:$H$32,MATCH(A4,Samples!$F$4:$F$32,0))</f>
        <v>M-4000</v>
      </c>
      <c r="E4" s="2" t="str">
        <f>INDEX(Samples!$C$4:$C$32,MATCH(A4,Samples!$F$4:$F$32,0))</f>
        <v>08/03/2026</v>
      </c>
      <c r="F4" s="2" t="str">
        <f>INDEX(Samples!$D$4:$D$32,MATCH(A4,Samples!$F$4:$F$32,0))</f>
        <v>07:23</v>
      </c>
      <c r="G4" s="2" t="str">
        <f>INDEX(Samples!$N$4:$N$32,MATCH(A4,Samples!$F$4:$F$32,0))</f>
        <v>6x12</v>
      </c>
      <c r="H4" s="2">
        <f>IF(G4="4x8",Parameters!$B$19,Parameters!$B$18)</f>
        <v>2</v>
      </c>
      <c r="I4" s="2">
        <f>COUNTIFS(Cylinders!$D$4:$D$113,A4,Cylinders!$R$4:$R$113,"Yes")</f>
        <v>2</v>
      </c>
      <c r="J4" s="2">
        <f>IF(I4=0,"",ROUND(AVERAGEIFS(Cylinders!$Q$4:$Q$113,Cylinders!$D$4:$D$113,A4,Cylinders!$R$4:$R$113,"Yes")/Parameters!$B$27,0)*Parameters!$B$27)</f>
        <v>4250</v>
      </c>
      <c r="K4" s="2">
        <f>IF(I4=0,"",_xlfn.MINIFS(Cylinders!$Q$4:$Q$113,Cylinders!$D$4:$D$113,A4,Cylinders!$R$4:$R$113,"Yes"))</f>
        <v>4110</v>
      </c>
      <c r="L4" s="2">
        <f>IF(I4=0,"",_xlfn.MAXIFS(Cylinders!$Q$4:$Q$113,Cylinders!$D$4:$D$113,A4,Cylinders!$R$4:$R$113,"Yes"))</f>
        <v>4390</v>
      </c>
      <c r="M4" s="7">
        <f t="shared" ref="M4:M31" si="0">IF(I4=0,"",ROUND((L4-K4)/J4*100,2))</f>
        <v>6.59</v>
      </c>
      <c r="N4" s="2">
        <f>IF(G4="4x8",Parameters!$B$23,Parameters!$B$22)</f>
        <v>6.6</v>
      </c>
      <c r="O4" s="2" t="str">
        <f t="shared" ref="O4:O31" si="1">IF(AND(S4="Yes",M4&gt;N4),"Range exceeds 3.10.4, counted","")</f>
        <v/>
      </c>
      <c r="P4" s="2" t="str">
        <f>INDEX(Samples!$P$4:$P$32,MATCH(A4,Samples!$F$4:$F$32,0))</f>
        <v>Standard</v>
      </c>
      <c r="Q4" s="2" t="str">
        <f>INDEX(Samples!$V$4:$V$32,MATCH(A4,Samples!$F$4:$F$32,0))&amp;""</f>
        <v/>
      </c>
      <c r="R4" s="2" t="str">
        <f>INDEX(Samples!$W$4:$W$32,MATCH(A4,Samples!$F$4:$F$32,0))&amp;""</f>
        <v/>
      </c>
      <c r="S4" s="2" t="str">
        <f t="shared" ref="S4:S31" si="2">IF(AND(P4="Standard",I4&gt;=H4,R4=""),"Yes","No")</f>
        <v>Yes</v>
      </c>
      <c r="T4" s="2" t="str">
        <f>IF(S4="Yes","",IF(P4="Field","Field cured, not a strength test under 3.10.6",IF(COUNTIFS(Cylinders!$D$4:$D$113,A4,Cylinders!$N$4:$N$113,"Yes")=0,"Tested outside the 20 hour tolerance of 3.10.3",IF(I4&lt;H4,"Incomplete test under 3.10.2","Set aside by the engineer of record under 3.10.7"))))</f>
        <v/>
      </c>
      <c r="U4" s="2" t="str">
        <f>IF(S4="Yes","",ROUND(AVERAGEIFS(Cylinders!$Q$4:$Q$113,Cylinders!$D$4:$D$113,A4,Cylinders!$M$4:$M$113,"&gt;="&amp;Parameters!$B$30,Cylinders!$M$4:$M$113,"&lt;="&amp;Parameters!$B$31,Cylinders!$K$4:$K$113,"No")/Parameters!$B$27,0)*Parameters!$B$27)</f>
        <v/>
      </c>
      <c r="V4" s="2" t="str">
        <f>INDEX(Samples!$M$4:$M$32,MATCH(A4,Samples!$F$4:$F$32,0))</f>
        <v>Within 2.4</v>
      </c>
    </row>
    <row r="5" spans="1:22" x14ac:dyDescent="0.2">
      <c r="A5" s="2">
        <v>770653</v>
      </c>
      <c r="B5" s="2" t="s">
        <v>267</v>
      </c>
      <c r="C5" s="2" t="str">
        <f>INDEX(Samples!$I$4:$I$32,MATCH(A5,Samples!$F$4:$F$32,0))</f>
        <v>P-02</v>
      </c>
      <c r="D5" s="2" t="str">
        <f>INDEX(Samples!$H$4:$H$32,MATCH(A5,Samples!$F$4:$F$32,0))</f>
        <v>M-4000</v>
      </c>
      <c r="E5" s="2" t="str">
        <f>INDEX(Samples!$C$4:$C$32,MATCH(A5,Samples!$F$4:$F$32,0))</f>
        <v>08/05/2026</v>
      </c>
      <c r="F5" s="2" t="str">
        <f>INDEX(Samples!$D$4:$D$32,MATCH(A5,Samples!$F$4:$F$32,0))</f>
        <v>08:12</v>
      </c>
      <c r="G5" s="2" t="str">
        <f>INDEX(Samples!$N$4:$N$32,MATCH(A5,Samples!$F$4:$F$32,0))</f>
        <v>6x12</v>
      </c>
      <c r="H5" s="2">
        <f>IF(G5="4x8",Parameters!$B$19,Parameters!$B$18)</f>
        <v>2</v>
      </c>
      <c r="I5" s="2">
        <f>COUNTIFS(Cylinders!$D$4:$D$113,A5,Cylinders!$R$4:$R$113,"Yes")</f>
        <v>2</v>
      </c>
      <c r="J5" s="2">
        <f>IF(I5=0,"",ROUND(AVERAGEIFS(Cylinders!$Q$4:$Q$113,Cylinders!$D$4:$D$113,A5,Cylinders!$R$4:$R$113,"Yes")/Parameters!$B$27,0)*Parameters!$B$27)</f>
        <v>4430</v>
      </c>
      <c r="K5" s="2">
        <f>IF(I5=0,"",_xlfn.MINIFS(Cylinders!$Q$4:$Q$113,Cylinders!$D$4:$D$113,A5,Cylinders!$R$4:$R$113,"Yes"))</f>
        <v>4390</v>
      </c>
      <c r="L5" s="2">
        <f>IF(I5=0,"",_xlfn.MAXIFS(Cylinders!$Q$4:$Q$113,Cylinders!$D$4:$D$113,A5,Cylinders!$R$4:$R$113,"Yes"))</f>
        <v>4470</v>
      </c>
      <c r="M5" s="7">
        <f t="shared" si="0"/>
        <v>1.81</v>
      </c>
      <c r="N5" s="2">
        <f>IF(G5="4x8",Parameters!$B$23,Parameters!$B$22)</f>
        <v>6.6</v>
      </c>
      <c r="O5" s="2" t="str">
        <f t="shared" si="1"/>
        <v/>
      </c>
      <c r="P5" s="2" t="str">
        <f>INDEX(Samples!$P$4:$P$32,MATCH(A5,Samples!$F$4:$F$32,0))</f>
        <v>Standard</v>
      </c>
      <c r="Q5" s="2" t="str">
        <f>INDEX(Samples!$V$4:$V$32,MATCH(A5,Samples!$F$4:$F$32,0))&amp;""</f>
        <v/>
      </c>
      <c r="R5" s="2" t="str">
        <f>INDEX(Samples!$W$4:$W$32,MATCH(A5,Samples!$F$4:$F$32,0))&amp;""</f>
        <v/>
      </c>
      <c r="S5" s="2" t="str">
        <f t="shared" si="2"/>
        <v>Yes</v>
      </c>
      <c r="T5" s="2" t="str">
        <f>IF(S5="Yes","",IF(P5="Field","Field cured, not a strength test under 3.10.6",IF(COUNTIFS(Cylinders!$D$4:$D$113,A5,Cylinders!$N$4:$N$113,"Yes")=0,"Tested outside the 20 hour tolerance of 3.10.3",IF(I5&lt;H5,"Incomplete test under 3.10.2","Set aside by the engineer of record under 3.10.7"))))</f>
        <v/>
      </c>
      <c r="U5" s="2" t="str">
        <f>IF(S5="Yes","",ROUND(AVERAGEIFS(Cylinders!$Q$4:$Q$113,Cylinders!$D$4:$D$113,A5,Cylinders!$M$4:$M$113,"&gt;="&amp;Parameters!$B$30,Cylinders!$M$4:$M$113,"&lt;="&amp;Parameters!$B$31,Cylinders!$K$4:$K$113,"No")/Parameters!$B$27,0)*Parameters!$B$27)</f>
        <v/>
      </c>
      <c r="V5" s="2" t="str">
        <f>INDEX(Samples!$M$4:$M$32,MATCH(A5,Samples!$F$4:$F$32,0))</f>
        <v>Within 2.4</v>
      </c>
    </row>
    <row r="6" spans="1:22" x14ac:dyDescent="0.2">
      <c r="A6" s="2">
        <v>770812</v>
      </c>
      <c r="B6" s="2" t="s">
        <v>336</v>
      </c>
      <c r="C6" s="2" t="str">
        <f>INDEX(Samples!$I$4:$I$32,MATCH(A6,Samples!$F$4:$F$32,0))</f>
        <v>P-04</v>
      </c>
      <c r="D6" s="2" t="str">
        <f>INDEX(Samples!$H$4:$H$32,MATCH(A6,Samples!$F$4:$F$32,0))</f>
        <v>M-6000</v>
      </c>
      <c r="E6" s="2" t="str">
        <f>INDEX(Samples!$C$4:$C$32,MATCH(A6,Samples!$F$4:$F$32,0))</f>
        <v>08/06/2026</v>
      </c>
      <c r="F6" s="2" t="str">
        <f>INDEX(Samples!$D$4:$D$32,MATCH(A6,Samples!$F$4:$F$32,0))</f>
        <v>09:36</v>
      </c>
      <c r="G6" s="2" t="str">
        <f>INDEX(Samples!$N$4:$N$32,MATCH(A6,Samples!$F$4:$F$32,0))</f>
        <v>4x8</v>
      </c>
      <c r="H6" s="2">
        <f>IF(G6="4x8",Parameters!$B$19,Parameters!$B$18)</f>
        <v>3</v>
      </c>
      <c r="I6" s="2">
        <f>COUNTIFS(Cylinders!$D$4:$D$113,A6,Cylinders!$R$4:$R$113,"Yes")</f>
        <v>3</v>
      </c>
      <c r="J6" s="2">
        <f>IF(I6=0,"",ROUND(AVERAGEIFS(Cylinders!$Q$4:$Q$113,Cylinders!$D$4:$D$113,A6,Cylinders!$R$4:$R$113,"Yes")/Parameters!$B$27,0)*Parameters!$B$27)</f>
        <v>5920</v>
      </c>
      <c r="K6" s="2">
        <f>IF(I6=0,"",_xlfn.MINIFS(Cylinders!$Q$4:$Q$113,Cylinders!$D$4:$D$113,A6,Cylinders!$R$4:$R$113,"Yes"))</f>
        <v>5900</v>
      </c>
      <c r="L6" s="2">
        <f>IF(I6=0,"",_xlfn.MAXIFS(Cylinders!$Q$4:$Q$113,Cylinders!$D$4:$D$113,A6,Cylinders!$R$4:$R$113,"Yes"))</f>
        <v>5960</v>
      </c>
      <c r="M6" s="7">
        <f t="shared" si="0"/>
        <v>1.01</v>
      </c>
      <c r="N6" s="2">
        <f>IF(G6="4x8",Parameters!$B$23,Parameters!$B$22)</f>
        <v>10.6</v>
      </c>
      <c r="O6" s="2" t="str">
        <f t="shared" si="1"/>
        <v/>
      </c>
      <c r="P6" s="2" t="str">
        <f>INDEX(Samples!$P$4:$P$32,MATCH(A6,Samples!$F$4:$F$32,0))</f>
        <v>Standard</v>
      </c>
      <c r="Q6" s="2" t="str">
        <f>INDEX(Samples!$V$4:$V$32,MATCH(A6,Samples!$F$4:$F$32,0))&amp;""</f>
        <v/>
      </c>
      <c r="R6" s="2" t="str">
        <f>INDEX(Samples!$W$4:$W$32,MATCH(A6,Samples!$F$4:$F$32,0))&amp;""</f>
        <v/>
      </c>
      <c r="S6" s="2" t="str">
        <f t="shared" si="2"/>
        <v>Yes</v>
      </c>
      <c r="T6" s="2" t="str">
        <f>IF(S6="Yes","",IF(P6="Field","Field cured, not a strength test under 3.10.6",IF(COUNTIFS(Cylinders!$D$4:$D$113,A6,Cylinders!$N$4:$N$113,"Yes")=0,"Tested outside the 20 hour tolerance of 3.10.3",IF(I6&lt;H6,"Incomplete test under 3.10.2","Set aside by the engineer of record under 3.10.7"))))</f>
        <v/>
      </c>
      <c r="U6" s="2" t="str">
        <f>IF(S6="Yes","",ROUND(AVERAGEIFS(Cylinders!$Q$4:$Q$113,Cylinders!$D$4:$D$113,A6,Cylinders!$M$4:$M$113,"&gt;="&amp;Parameters!$B$30,Cylinders!$M$4:$M$113,"&lt;="&amp;Parameters!$B$31,Cylinders!$K$4:$K$113,"No")/Parameters!$B$27,0)*Parameters!$B$27)</f>
        <v/>
      </c>
      <c r="V6" s="2" t="str">
        <f>INDEX(Samples!$M$4:$M$32,MATCH(A6,Samples!$F$4:$F$32,0))</f>
        <v>Within 2.4</v>
      </c>
    </row>
    <row r="7" spans="1:22" x14ac:dyDescent="0.2">
      <c r="A7" s="2">
        <v>771106</v>
      </c>
      <c r="B7" s="2" t="s">
        <v>271</v>
      </c>
      <c r="C7" s="2" t="str">
        <f>INDEX(Samples!$I$4:$I$32,MATCH(A7,Samples!$F$4:$F$32,0))</f>
        <v>P-05</v>
      </c>
      <c r="D7" s="2" t="str">
        <f>INDEX(Samples!$H$4:$H$32,MATCH(A7,Samples!$F$4:$F$32,0))</f>
        <v>M-4000</v>
      </c>
      <c r="E7" s="2" t="str">
        <f>INDEX(Samples!$C$4:$C$32,MATCH(A7,Samples!$F$4:$F$32,0))</f>
        <v>08/10/2026</v>
      </c>
      <c r="F7" s="2" t="str">
        <f>INDEX(Samples!$D$4:$D$32,MATCH(A7,Samples!$F$4:$F$32,0))</f>
        <v>06:52</v>
      </c>
      <c r="G7" s="2" t="str">
        <f>INDEX(Samples!$N$4:$N$32,MATCH(A7,Samples!$F$4:$F$32,0))</f>
        <v>6x12</v>
      </c>
      <c r="H7" s="2">
        <f>IF(G7="4x8",Parameters!$B$19,Parameters!$B$18)</f>
        <v>2</v>
      </c>
      <c r="I7" s="2">
        <f>COUNTIFS(Cylinders!$D$4:$D$113,A7,Cylinders!$R$4:$R$113,"Yes")</f>
        <v>0</v>
      </c>
      <c r="J7" s="2" t="str">
        <f>IF(I7=0,"",ROUND(AVERAGEIFS(Cylinders!$Q$4:$Q$113,Cylinders!$D$4:$D$113,A7,Cylinders!$R$4:$R$113,"Yes")/Parameters!$B$27,0)*Parameters!$B$27)</f>
        <v/>
      </c>
      <c r="K7" s="2" t="str">
        <f>IF(I7=0,"",_xlfn.MINIFS(Cylinders!$Q$4:$Q$113,Cylinders!$D$4:$D$113,A7,Cylinders!$R$4:$R$113,"Yes"))</f>
        <v/>
      </c>
      <c r="L7" s="2" t="str">
        <f>IF(I7=0,"",_xlfn.MAXIFS(Cylinders!$Q$4:$Q$113,Cylinders!$D$4:$D$113,A7,Cylinders!$R$4:$R$113,"Yes"))</f>
        <v/>
      </c>
      <c r="M7" s="7" t="str">
        <f t="shared" si="0"/>
        <v/>
      </c>
      <c r="N7" s="2">
        <f>IF(G7="4x8",Parameters!$B$23,Parameters!$B$22)</f>
        <v>6.6</v>
      </c>
      <c r="O7" s="2" t="str">
        <f t="shared" si="1"/>
        <v/>
      </c>
      <c r="P7" s="2" t="str">
        <f>INDEX(Samples!$P$4:$P$32,MATCH(A7,Samples!$F$4:$F$32,0))</f>
        <v>Standard</v>
      </c>
      <c r="Q7" s="2" t="str">
        <f>INDEX(Samples!$V$4:$V$32,MATCH(A7,Samples!$F$4:$F$32,0))&amp;""</f>
        <v/>
      </c>
      <c r="R7" s="2" t="str">
        <f>INDEX(Samples!$W$4:$W$32,MATCH(A7,Samples!$F$4:$F$32,0))&amp;""</f>
        <v/>
      </c>
      <c r="S7" s="2" t="str">
        <f t="shared" si="2"/>
        <v>No</v>
      </c>
      <c r="T7" s="2" t="str">
        <f>IF(S7="Yes","",IF(P7="Field","Field cured, not a strength test under 3.10.6",IF(COUNTIFS(Cylinders!$D$4:$D$113,A7,Cylinders!$N$4:$N$113,"Yes")=0,"Tested outside the 20 hour tolerance of 3.10.3",IF(I7&lt;H7,"Incomplete test under 3.10.2","Set aside by the engineer of record under 3.10.7"))))</f>
        <v>Tested outside the 20 hour tolerance of 3.10.3</v>
      </c>
      <c r="U7" s="2">
        <f>IF(S7="Yes","",ROUND(AVERAGEIFS(Cylinders!$Q$4:$Q$113,Cylinders!$D$4:$D$113,A7,Cylinders!$M$4:$M$113,"&gt;="&amp;Parameters!$B$30,Cylinders!$M$4:$M$113,"&lt;="&amp;Parameters!$B$31,Cylinders!$K$4:$K$113,"No")/Parameters!$B$27,0)*Parameters!$B$27)</f>
        <v>4120</v>
      </c>
      <c r="V7" s="2" t="str">
        <f>INDEX(Samples!$M$4:$M$32,MATCH(A7,Samples!$F$4:$F$32,0))</f>
        <v>Within 2.4</v>
      </c>
    </row>
    <row r="8" spans="1:22" x14ac:dyDescent="0.2">
      <c r="A8" s="2">
        <v>771131</v>
      </c>
      <c r="B8" s="2" t="s">
        <v>276</v>
      </c>
      <c r="C8" s="2" t="str">
        <f>INDEX(Samples!$I$4:$I$32,MATCH(A8,Samples!$F$4:$F$32,0))</f>
        <v>P-05</v>
      </c>
      <c r="D8" s="2" t="str">
        <f>INDEX(Samples!$H$4:$H$32,MATCH(A8,Samples!$F$4:$F$32,0))</f>
        <v>M-4000</v>
      </c>
      <c r="E8" s="2" t="str">
        <f>INDEX(Samples!$C$4:$C$32,MATCH(A8,Samples!$F$4:$F$32,0))</f>
        <v>08/10/2026</v>
      </c>
      <c r="F8" s="2" t="str">
        <f>INDEX(Samples!$D$4:$D$32,MATCH(A8,Samples!$F$4:$F$32,0))</f>
        <v>10:18</v>
      </c>
      <c r="G8" s="2" t="str">
        <f>INDEX(Samples!$N$4:$N$32,MATCH(A8,Samples!$F$4:$F$32,0))</f>
        <v>6x12</v>
      </c>
      <c r="H8" s="2">
        <f>IF(G8="4x8",Parameters!$B$19,Parameters!$B$18)</f>
        <v>2</v>
      </c>
      <c r="I8" s="2">
        <f>COUNTIFS(Cylinders!$D$4:$D$113,A8,Cylinders!$R$4:$R$113,"Yes")</f>
        <v>0</v>
      </c>
      <c r="J8" s="2" t="str">
        <f>IF(I8=0,"",ROUND(AVERAGEIFS(Cylinders!$Q$4:$Q$113,Cylinders!$D$4:$D$113,A8,Cylinders!$R$4:$R$113,"Yes")/Parameters!$B$27,0)*Parameters!$B$27)</f>
        <v/>
      </c>
      <c r="K8" s="2" t="str">
        <f>IF(I8=0,"",_xlfn.MINIFS(Cylinders!$Q$4:$Q$113,Cylinders!$D$4:$D$113,A8,Cylinders!$R$4:$R$113,"Yes"))</f>
        <v/>
      </c>
      <c r="L8" s="2" t="str">
        <f>IF(I8=0,"",_xlfn.MAXIFS(Cylinders!$Q$4:$Q$113,Cylinders!$D$4:$D$113,A8,Cylinders!$R$4:$R$113,"Yes"))</f>
        <v/>
      </c>
      <c r="M8" s="7" t="str">
        <f t="shared" si="0"/>
        <v/>
      </c>
      <c r="N8" s="2">
        <f>IF(G8="4x8",Parameters!$B$23,Parameters!$B$22)</f>
        <v>6.6</v>
      </c>
      <c r="O8" s="2" t="str">
        <f t="shared" si="1"/>
        <v/>
      </c>
      <c r="P8" s="2" t="str">
        <f>INDEX(Samples!$P$4:$P$32,MATCH(A8,Samples!$F$4:$F$32,0))</f>
        <v>Standard</v>
      </c>
      <c r="Q8" s="2" t="str">
        <f>INDEX(Samples!$V$4:$V$32,MATCH(A8,Samples!$F$4:$F$32,0))&amp;""</f>
        <v/>
      </c>
      <c r="R8" s="2" t="str">
        <f>INDEX(Samples!$W$4:$W$32,MATCH(A8,Samples!$F$4:$F$32,0))&amp;""</f>
        <v/>
      </c>
      <c r="S8" s="2" t="str">
        <f t="shared" si="2"/>
        <v>No</v>
      </c>
      <c r="T8" s="2" t="str">
        <f>IF(S8="Yes","",IF(P8="Field","Field cured, not a strength test under 3.10.6",IF(COUNTIFS(Cylinders!$D$4:$D$113,A8,Cylinders!$N$4:$N$113,"Yes")=0,"Tested outside the 20 hour tolerance of 3.10.3",IF(I8&lt;H8,"Incomplete test under 3.10.2","Set aside by the engineer of record under 3.10.7"))))</f>
        <v>Tested outside the 20 hour tolerance of 3.10.3</v>
      </c>
      <c r="U8" s="2">
        <f>IF(S8="Yes","",ROUND(AVERAGEIFS(Cylinders!$Q$4:$Q$113,Cylinders!$D$4:$D$113,A8,Cylinders!$M$4:$M$113,"&gt;="&amp;Parameters!$B$30,Cylinders!$M$4:$M$113,"&lt;="&amp;Parameters!$B$31,Cylinders!$K$4:$K$113,"No")/Parameters!$B$27,0)*Parameters!$B$27)</f>
        <v>4060</v>
      </c>
      <c r="V8" s="2" t="str">
        <f>INDEX(Samples!$M$4:$M$32,MATCH(A8,Samples!$F$4:$F$32,0))</f>
        <v>Within 2.4</v>
      </c>
    </row>
    <row r="9" spans="1:22" x14ac:dyDescent="0.2">
      <c r="A9" s="2">
        <v>771163</v>
      </c>
      <c r="B9" s="2" t="s">
        <v>342</v>
      </c>
      <c r="C9" s="2" t="str">
        <f>INDEX(Samples!$I$4:$I$32,MATCH(A9,Samples!$F$4:$F$32,0))</f>
        <v>P-05</v>
      </c>
      <c r="D9" s="2" t="str">
        <f>INDEX(Samples!$H$4:$H$32,MATCH(A9,Samples!$F$4:$F$32,0))</f>
        <v>M-4000</v>
      </c>
      <c r="E9" s="2" t="str">
        <f>INDEX(Samples!$C$4:$C$32,MATCH(A9,Samples!$F$4:$F$32,0))</f>
        <v>08/10/2026</v>
      </c>
      <c r="F9" s="2" t="str">
        <f>INDEX(Samples!$D$4:$D$32,MATCH(A9,Samples!$F$4:$F$32,0))</f>
        <v>14:37</v>
      </c>
      <c r="G9" s="2" t="str">
        <f>INDEX(Samples!$N$4:$N$32,MATCH(A9,Samples!$F$4:$F$32,0))</f>
        <v>6x12</v>
      </c>
      <c r="H9" s="2">
        <f>IF(G9="4x8",Parameters!$B$19,Parameters!$B$18)</f>
        <v>2</v>
      </c>
      <c r="I9" s="2">
        <f>COUNTIFS(Cylinders!$D$4:$D$113,A9,Cylinders!$R$4:$R$113,"Yes")</f>
        <v>2</v>
      </c>
      <c r="J9" s="2">
        <f>IF(I9=0,"",ROUND(AVERAGEIFS(Cylinders!$Q$4:$Q$113,Cylinders!$D$4:$D$113,A9,Cylinders!$R$4:$R$113,"Yes")/Parameters!$B$27,0)*Parameters!$B$27)</f>
        <v>3460</v>
      </c>
      <c r="K9" s="2">
        <f>IF(I9=0,"",_xlfn.MINIFS(Cylinders!$Q$4:$Q$113,Cylinders!$D$4:$D$113,A9,Cylinders!$R$4:$R$113,"Yes"))</f>
        <v>3420</v>
      </c>
      <c r="L9" s="2">
        <f>IF(I9=0,"",_xlfn.MAXIFS(Cylinders!$Q$4:$Q$113,Cylinders!$D$4:$D$113,A9,Cylinders!$R$4:$R$113,"Yes"))</f>
        <v>3500</v>
      </c>
      <c r="M9" s="7">
        <f t="shared" si="0"/>
        <v>2.31</v>
      </c>
      <c r="N9" s="2">
        <f>IF(G9="4x8",Parameters!$B$23,Parameters!$B$22)</f>
        <v>6.6</v>
      </c>
      <c r="O9" s="2" t="str">
        <f t="shared" si="1"/>
        <v/>
      </c>
      <c r="P9" s="2" t="str">
        <f>INDEX(Samples!$P$4:$P$32,MATCH(A9,Samples!$F$4:$F$32,0))</f>
        <v>Standard</v>
      </c>
      <c r="Q9" s="2" t="str">
        <f>INDEX(Samples!$V$4:$V$32,MATCH(A9,Samples!$F$4:$F$32,0))&amp;""</f>
        <v/>
      </c>
      <c r="R9" s="2" t="str">
        <f>INDEX(Samples!$W$4:$W$32,MATCH(A9,Samples!$F$4:$F$32,0))&amp;""</f>
        <v/>
      </c>
      <c r="S9" s="2" t="str">
        <f t="shared" si="2"/>
        <v>Yes</v>
      </c>
      <c r="T9" s="2" t="str">
        <f>IF(S9="Yes","",IF(P9="Field","Field cured, not a strength test under 3.10.6",IF(COUNTIFS(Cylinders!$D$4:$D$113,A9,Cylinders!$N$4:$N$113,"Yes")=0,"Tested outside the 20 hour tolerance of 3.10.3",IF(I9&lt;H9,"Incomplete test under 3.10.2","Set aside by the engineer of record under 3.10.7"))))</f>
        <v/>
      </c>
      <c r="U9" s="2" t="str">
        <f>IF(S9="Yes","",ROUND(AVERAGEIFS(Cylinders!$Q$4:$Q$113,Cylinders!$D$4:$D$113,A9,Cylinders!$M$4:$M$113,"&gt;="&amp;Parameters!$B$30,Cylinders!$M$4:$M$113,"&lt;="&amp;Parameters!$B$31,Cylinders!$K$4:$K$113,"No")/Parameters!$B$27,0)*Parameters!$B$27)</f>
        <v/>
      </c>
      <c r="V9" s="2" t="str">
        <f>INDEX(Samples!$M$4:$M$32,MATCH(A9,Samples!$F$4:$F$32,0))</f>
        <v>Within 2.4</v>
      </c>
    </row>
    <row r="10" spans="1:22" x14ac:dyDescent="0.2">
      <c r="A10" s="2">
        <v>771342</v>
      </c>
      <c r="B10" s="2" t="s">
        <v>278</v>
      </c>
      <c r="C10" s="2" t="str">
        <f>INDEX(Samples!$I$4:$I$32,MATCH(A10,Samples!$F$4:$F$32,0))</f>
        <v>P-06</v>
      </c>
      <c r="D10" s="2" t="str">
        <f>INDEX(Samples!$H$4:$H$32,MATCH(A10,Samples!$F$4:$F$32,0))</f>
        <v>M-4000</v>
      </c>
      <c r="E10" s="2" t="str">
        <f>INDEX(Samples!$C$4:$C$32,MATCH(A10,Samples!$F$4:$F$32,0))</f>
        <v>08/12/2026</v>
      </c>
      <c r="F10" s="2" t="str">
        <f>INDEX(Samples!$D$4:$D$32,MATCH(A10,Samples!$F$4:$F$32,0))</f>
        <v>07:38</v>
      </c>
      <c r="G10" s="2" t="str">
        <f>INDEX(Samples!$N$4:$N$32,MATCH(A10,Samples!$F$4:$F$32,0))</f>
        <v>6x12</v>
      </c>
      <c r="H10" s="2">
        <f>IF(G10="4x8",Parameters!$B$19,Parameters!$B$18)</f>
        <v>2</v>
      </c>
      <c r="I10" s="2">
        <f>COUNTIFS(Cylinders!$D$4:$D$113,A10,Cylinders!$R$4:$R$113,"Yes")</f>
        <v>2</v>
      </c>
      <c r="J10" s="2">
        <f>IF(I10=0,"",ROUND(AVERAGEIFS(Cylinders!$Q$4:$Q$113,Cylinders!$D$4:$D$113,A10,Cylinders!$R$4:$R$113,"Yes")/Parameters!$B$27,0)*Parameters!$B$27)</f>
        <v>3480</v>
      </c>
      <c r="K10" s="2">
        <f>IF(I10=0,"",_xlfn.MINIFS(Cylinders!$Q$4:$Q$113,Cylinders!$D$4:$D$113,A10,Cylinders!$R$4:$R$113,"Yes"))</f>
        <v>3340</v>
      </c>
      <c r="L10" s="2">
        <f>IF(I10=0,"",_xlfn.MAXIFS(Cylinders!$Q$4:$Q$113,Cylinders!$D$4:$D$113,A10,Cylinders!$R$4:$R$113,"Yes"))</f>
        <v>3620</v>
      </c>
      <c r="M10" s="7">
        <f t="shared" si="0"/>
        <v>8.05</v>
      </c>
      <c r="N10" s="2">
        <f>IF(G10="4x8",Parameters!$B$23,Parameters!$B$22)</f>
        <v>6.6</v>
      </c>
      <c r="O10" s="2" t="str">
        <f t="shared" si="1"/>
        <v>Range exceeds 3.10.4, counted</v>
      </c>
      <c r="P10" s="2" t="str">
        <f>INDEX(Samples!$P$4:$P$32,MATCH(A10,Samples!$F$4:$F$32,0))</f>
        <v>Standard</v>
      </c>
      <c r="Q10" s="2" t="str">
        <f>INDEX(Samples!$V$4:$V$32,MATCH(A10,Samples!$F$4:$F$32,0))&amp;""</f>
        <v/>
      </c>
      <c r="R10" s="2" t="str">
        <f>INDEX(Samples!$W$4:$W$32,MATCH(A10,Samples!$F$4:$F$32,0))&amp;""</f>
        <v/>
      </c>
      <c r="S10" s="2" t="str">
        <f t="shared" si="2"/>
        <v>Yes</v>
      </c>
      <c r="T10" s="2" t="str">
        <f>IF(S10="Yes","",IF(P10="Field","Field cured, not a strength test under 3.10.6",IF(COUNTIFS(Cylinders!$D$4:$D$113,A10,Cylinders!$N$4:$N$113,"Yes")=0,"Tested outside the 20 hour tolerance of 3.10.3",IF(I10&lt;H10,"Incomplete test under 3.10.2","Set aside by the engineer of record under 3.10.7"))))</f>
        <v/>
      </c>
      <c r="U10" s="2" t="str">
        <f>IF(S10="Yes","",ROUND(AVERAGEIFS(Cylinders!$Q$4:$Q$113,Cylinders!$D$4:$D$113,A10,Cylinders!$M$4:$M$113,"&gt;="&amp;Parameters!$B$30,Cylinders!$M$4:$M$113,"&lt;="&amp;Parameters!$B$31,Cylinders!$K$4:$K$113,"No")/Parameters!$B$27,0)*Parameters!$B$27)</f>
        <v/>
      </c>
      <c r="V10" s="2" t="str">
        <f>INDEX(Samples!$M$4:$M$32,MATCH(A10,Samples!$F$4:$F$32,0))</f>
        <v>Outside 2.4</v>
      </c>
    </row>
    <row r="11" spans="1:22" x14ac:dyDescent="0.2">
      <c r="A11" s="2">
        <v>771469</v>
      </c>
      <c r="B11" s="2" t="s">
        <v>347</v>
      </c>
      <c r="C11" s="2" t="str">
        <f>INDEX(Samples!$I$4:$I$32,MATCH(A11,Samples!$F$4:$F$32,0))</f>
        <v>P-07</v>
      </c>
      <c r="D11" s="2" t="str">
        <f>INDEX(Samples!$H$4:$H$32,MATCH(A11,Samples!$F$4:$F$32,0))</f>
        <v>M-6000</v>
      </c>
      <c r="E11" s="2" t="str">
        <f>INDEX(Samples!$C$4:$C$32,MATCH(A11,Samples!$F$4:$F$32,0))</f>
        <v>08/13/2026</v>
      </c>
      <c r="F11" s="2" t="str">
        <f>INDEX(Samples!$D$4:$D$32,MATCH(A11,Samples!$F$4:$F$32,0))</f>
        <v>09:04</v>
      </c>
      <c r="G11" s="2" t="str">
        <f>INDEX(Samples!$N$4:$N$32,MATCH(A11,Samples!$F$4:$F$32,0))</f>
        <v>4x8</v>
      </c>
      <c r="H11" s="2">
        <f>IF(G11="4x8",Parameters!$B$19,Parameters!$B$18)</f>
        <v>3</v>
      </c>
      <c r="I11" s="2">
        <f>COUNTIFS(Cylinders!$D$4:$D$113,A11,Cylinders!$R$4:$R$113,"Yes")</f>
        <v>3</v>
      </c>
      <c r="J11" s="2">
        <f>IF(I11=0,"",ROUND(AVERAGEIFS(Cylinders!$Q$4:$Q$113,Cylinders!$D$4:$D$113,A11,Cylinders!$R$4:$R$113,"Yes")/Parameters!$B$27,0)*Parameters!$B$27)</f>
        <v>6250</v>
      </c>
      <c r="K11" s="2">
        <f>IF(I11=0,"",_xlfn.MINIFS(Cylinders!$Q$4:$Q$113,Cylinders!$D$4:$D$113,A11,Cylinders!$R$4:$R$113,"Yes"))</f>
        <v>6210</v>
      </c>
      <c r="L11" s="2">
        <f>IF(I11=0,"",_xlfn.MAXIFS(Cylinders!$Q$4:$Q$113,Cylinders!$D$4:$D$113,A11,Cylinders!$R$4:$R$113,"Yes"))</f>
        <v>6300</v>
      </c>
      <c r="M11" s="7">
        <f t="shared" si="0"/>
        <v>1.44</v>
      </c>
      <c r="N11" s="2">
        <f>IF(G11="4x8",Parameters!$B$23,Parameters!$B$22)</f>
        <v>10.6</v>
      </c>
      <c r="O11" s="2" t="str">
        <f t="shared" si="1"/>
        <v/>
      </c>
      <c r="P11" s="2" t="str">
        <f>INDEX(Samples!$P$4:$P$32,MATCH(A11,Samples!$F$4:$F$32,0))</f>
        <v>Standard</v>
      </c>
      <c r="Q11" s="2" t="str">
        <f>INDEX(Samples!$V$4:$V$32,MATCH(A11,Samples!$F$4:$F$32,0))&amp;""</f>
        <v/>
      </c>
      <c r="R11" s="2" t="str">
        <f>INDEX(Samples!$W$4:$W$32,MATCH(A11,Samples!$F$4:$F$32,0))&amp;""</f>
        <v/>
      </c>
      <c r="S11" s="2" t="str">
        <f t="shared" si="2"/>
        <v>Yes</v>
      </c>
      <c r="T11" s="2" t="str">
        <f>IF(S11="Yes","",IF(P11="Field","Field cured, not a strength test under 3.10.6",IF(COUNTIFS(Cylinders!$D$4:$D$113,A11,Cylinders!$N$4:$N$113,"Yes")=0,"Tested outside the 20 hour tolerance of 3.10.3",IF(I11&lt;H11,"Incomplete test under 3.10.2","Set aside by the engineer of record under 3.10.7"))))</f>
        <v/>
      </c>
      <c r="U11" s="2" t="str">
        <f>IF(S11="Yes","",ROUND(AVERAGEIFS(Cylinders!$Q$4:$Q$113,Cylinders!$D$4:$D$113,A11,Cylinders!$M$4:$M$113,"&gt;="&amp;Parameters!$B$30,Cylinders!$M$4:$M$113,"&lt;="&amp;Parameters!$B$31,Cylinders!$K$4:$K$113,"No")/Parameters!$B$27,0)*Parameters!$B$27)</f>
        <v/>
      </c>
      <c r="V11" s="2" t="str">
        <f>INDEX(Samples!$M$4:$M$32,MATCH(A11,Samples!$F$4:$F$32,0))</f>
        <v>Within 2.4</v>
      </c>
    </row>
    <row r="12" spans="1:22" x14ac:dyDescent="0.2">
      <c r="A12" s="2">
        <v>771587</v>
      </c>
      <c r="B12" s="2" t="s">
        <v>282</v>
      </c>
      <c r="C12" s="2" t="str">
        <f>INDEX(Samples!$I$4:$I$32,MATCH(A12,Samples!$F$4:$F$32,0))</f>
        <v>P-08</v>
      </c>
      <c r="D12" s="2" t="str">
        <f>INDEX(Samples!$H$4:$H$32,MATCH(A12,Samples!$F$4:$F$32,0))</f>
        <v>M-4000</v>
      </c>
      <c r="E12" s="2" t="str">
        <f>INDEX(Samples!$C$4:$C$32,MATCH(A12,Samples!$F$4:$F$32,0))</f>
        <v>08/14/2026</v>
      </c>
      <c r="F12" s="2" t="str">
        <f>INDEX(Samples!$D$4:$D$32,MATCH(A12,Samples!$F$4:$F$32,0))</f>
        <v>07:17</v>
      </c>
      <c r="G12" s="2" t="str">
        <f>INDEX(Samples!$N$4:$N$32,MATCH(A12,Samples!$F$4:$F$32,0))</f>
        <v>6x12</v>
      </c>
      <c r="H12" s="2">
        <f>IF(G12="4x8",Parameters!$B$19,Parameters!$B$18)</f>
        <v>2</v>
      </c>
      <c r="I12" s="2">
        <f>COUNTIFS(Cylinders!$D$4:$D$113,A12,Cylinders!$R$4:$R$113,"Yes")</f>
        <v>2</v>
      </c>
      <c r="J12" s="2">
        <f>IF(I12=0,"",ROUND(AVERAGEIFS(Cylinders!$Q$4:$Q$113,Cylinders!$D$4:$D$113,A12,Cylinders!$R$4:$R$113,"Yes")/Parameters!$B$27,0)*Parameters!$B$27)</f>
        <v>4180</v>
      </c>
      <c r="K12" s="2">
        <f>IF(I12=0,"",_xlfn.MINIFS(Cylinders!$Q$4:$Q$113,Cylinders!$D$4:$D$113,A12,Cylinders!$R$4:$R$113,"Yes"))</f>
        <v>4130</v>
      </c>
      <c r="L12" s="2">
        <f>IF(I12=0,"",_xlfn.MAXIFS(Cylinders!$Q$4:$Q$113,Cylinders!$D$4:$D$113,A12,Cylinders!$R$4:$R$113,"Yes"))</f>
        <v>4230</v>
      </c>
      <c r="M12" s="7">
        <f t="shared" si="0"/>
        <v>2.39</v>
      </c>
      <c r="N12" s="2">
        <f>IF(G12="4x8",Parameters!$B$23,Parameters!$B$22)</f>
        <v>6.6</v>
      </c>
      <c r="O12" s="2" t="str">
        <f t="shared" si="1"/>
        <v/>
      </c>
      <c r="P12" s="2" t="str">
        <f>INDEX(Samples!$P$4:$P$32,MATCH(A12,Samples!$F$4:$F$32,0))</f>
        <v>Standard</v>
      </c>
      <c r="Q12" s="2" t="str">
        <f>INDEX(Samples!$V$4:$V$32,MATCH(A12,Samples!$F$4:$F$32,0))&amp;""</f>
        <v>Initial curing period over 48 hours</v>
      </c>
      <c r="R12" s="2" t="str">
        <f>INDEX(Samples!$W$4:$W$32,MATCH(A12,Samples!$F$4:$F$32,0))&amp;""</f>
        <v/>
      </c>
      <c r="S12" s="2" t="str">
        <f t="shared" si="2"/>
        <v>Yes</v>
      </c>
      <c r="T12" s="2" t="str">
        <f>IF(S12="Yes","",IF(P12="Field","Field cured, not a strength test under 3.10.6",IF(COUNTIFS(Cylinders!$D$4:$D$113,A12,Cylinders!$N$4:$N$113,"Yes")=0,"Tested outside the 20 hour tolerance of 3.10.3",IF(I12&lt;H12,"Incomplete test under 3.10.2","Set aside by the engineer of record under 3.10.7"))))</f>
        <v/>
      </c>
      <c r="U12" s="2" t="str">
        <f>IF(S12="Yes","",ROUND(AVERAGEIFS(Cylinders!$Q$4:$Q$113,Cylinders!$D$4:$D$113,A12,Cylinders!$M$4:$M$113,"&gt;="&amp;Parameters!$B$30,Cylinders!$M$4:$M$113,"&lt;="&amp;Parameters!$B$31,Cylinders!$K$4:$K$113,"No")/Parameters!$B$27,0)*Parameters!$B$27)</f>
        <v/>
      </c>
      <c r="V12" s="2" t="str">
        <f>INDEX(Samples!$M$4:$M$32,MATCH(A12,Samples!$F$4:$F$32,0))</f>
        <v>Outside 2.4</v>
      </c>
    </row>
    <row r="13" spans="1:22" x14ac:dyDescent="0.2">
      <c r="A13" s="2">
        <v>771604</v>
      </c>
      <c r="B13" s="2" t="s">
        <v>286</v>
      </c>
      <c r="C13" s="2" t="str">
        <f>INDEX(Samples!$I$4:$I$32,MATCH(A13,Samples!$F$4:$F$32,0))</f>
        <v>P-08</v>
      </c>
      <c r="D13" s="2" t="str">
        <f>INDEX(Samples!$H$4:$H$32,MATCH(A13,Samples!$F$4:$F$32,0))</f>
        <v>M-4000</v>
      </c>
      <c r="E13" s="2" t="str">
        <f>INDEX(Samples!$C$4:$C$32,MATCH(A13,Samples!$F$4:$F$32,0))</f>
        <v>08/14/2026</v>
      </c>
      <c r="F13" s="2" t="str">
        <f>INDEX(Samples!$D$4:$D$32,MATCH(A13,Samples!$F$4:$F$32,0))</f>
        <v>09:48</v>
      </c>
      <c r="G13" s="2" t="str">
        <f>INDEX(Samples!$N$4:$N$32,MATCH(A13,Samples!$F$4:$F$32,0))</f>
        <v>6x12</v>
      </c>
      <c r="H13" s="2">
        <f>IF(G13="4x8",Parameters!$B$19,Parameters!$B$18)</f>
        <v>2</v>
      </c>
      <c r="I13" s="2">
        <f>COUNTIFS(Cylinders!$D$4:$D$113,A13,Cylinders!$R$4:$R$113,"Yes")</f>
        <v>0</v>
      </c>
      <c r="J13" s="2" t="str">
        <f>IF(I13=0,"",ROUND(AVERAGEIFS(Cylinders!$Q$4:$Q$113,Cylinders!$D$4:$D$113,A13,Cylinders!$R$4:$R$113,"Yes")/Parameters!$B$27,0)*Parameters!$B$27)</f>
        <v/>
      </c>
      <c r="K13" s="2" t="str">
        <f>IF(I13=0,"",_xlfn.MINIFS(Cylinders!$Q$4:$Q$113,Cylinders!$D$4:$D$113,A13,Cylinders!$R$4:$R$113,"Yes"))</f>
        <v/>
      </c>
      <c r="L13" s="2" t="str">
        <f>IF(I13=0,"",_xlfn.MAXIFS(Cylinders!$Q$4:$Q$113,Cylinders!$D$4:$D$113,A13,Cylinders!$R$4:$R$113,"Yes"))</f>
        <v/>
      </c>
      <c r="M13" s="7" t="str">
        <f t="shared" si="0"/>
        <v/>
      </c>
      <c r="N13" s="2">
        <f>IF(G13="4x8",Parameters!$B$23,Parameters!$B$22)</f>
        <v>6.6</v>
      </c>
      <c r="O13" s="2" t="str">
        <f t="shared" si="1"/>
        <v/>
      </c>
      <c r="P13" s="2" t="str">
        <f>INDEX(Samples!$P$4:$P$32,MATCH(A13,Samples!$F$4:$F$32,0))</f>
        <v>Field</v>
      </c>
      <c r="Q13" s="2" t="str">
        <f>INDEX(Samples!$V$4:$V$32,MATCH(A13,Samples!$F$4:$F$32,0))&amp;""</f>
        <v/>
      </c>
      <c r="R13" s="2" t="str">
        <f>INDEX(Samples!$W$4:$W$32,MATCH(A13,Samples!$F$4:$F$32,0))&amp;""</f>
        <v/>
      </c>
      <c r="S13" s="2" t="str">
        <f t="shared" si="2"/>
        <v>No</v>
      </c>
      <c r="T13" s="2" t="str">
        <f>IF(S13="Yes","",IF(P13="Field","Field cured, not a strength test under 3.10.6",IF(COUNTIFS(Cylinders!$D$4:$D$113,A13,Cylinders!$N$4:$N$113,"Yes")=0,"Tested outside the 20 hour tolerance of 3.10.3",IF(I13&lt;H13,"Incomplete test under 3.10.2","Set aside by the engineer of record under 3.10.7"))))</f>
        <v>Field cured, not a strength test under 3.10.6</v>
      </c>
      <c r="U13" s="2">
        <f>IF(S13="Yes","",ROUND(AVERAGEIFS(Cylinders!$Q$4:$Q$113,Cylinders!$D$4:$D$113,A13,Cylinders!$M$4:$M$113,"&gt;="&amp;Parameters!$B$30,Cylinders!$M$4:$M$113,"&lt;="&amp;Parameters!$B$31,Cylinders!$K$4:$K$113,"No")/Parameters!$B$27,0)*Parameters!$B$27)</f>
        <v>3390</v>
      </c>
      <c r="V13" s="2" t="str">
        <f>INDEX(Samples!$M$4:$M$32,MATCH(A13,Samples!$F$4:$F$32,0))</f>
        <v>Within 2.4</v>
      </c>
    </row>
    <row r="14" spans="1:22" x14ac:dyDescent="0.2">
      <c r="A14" s="2">
        <v>771688</v>
      </c>
      <c r="B14" s="2" t="s">
        <v>291</v>
      </c>
      <c r="C14" s="2" t="str">
        <f>INDEX(Samples!$I$4:$I$32,MATCH(A14,Samples!$F$4:$F$32,0))</f>
        <v>P-09</v>
      </c>
      <c r="D14" s="2" t="str">
        <f>INDEX(Samples!$H$4:$H$32,MATCH(A14,Samples!$F$4:$F$32,0))</f>
        <v>M-4000</v>
      </c>
      <c r="E14" s="2" t="str">
        <f>INDEX(Samples!$C$4:$C$32,MATCH(A14,Samples!$F$4:$F$32,0))</f>
        <v>08/15/2026</v>
      </c>
      <c r="F14" s="2" t="str">
        <f>INDEX(Samples!$D$4:$D$32,MATCH(A14,Samples!$F$4:$F$32,0))</f>
        <v>06:43</v>
      </c>
      <c r="G14" s="2" t="str">
        <f>INDEX(Samples!$N$4:$N$32,MATCH(A14,Samples!$F$4:$F$32,0))</f>
        <v>6x12</v>
      </c>
      <c r="H14" s="2">
        <f>IF(G14="4x8",Parameters!$B$19,Parameters!$B$18)</f>
        <v>2</v>
      </c>
      <c r="I14" s="2">
        <f>COUNTIFS(Cylinders!$D$4:$D$113,A14,Cylinders!$R$4:$R$113,"Yes")</f>
        <v>2</v>
      </c>
      <c r="J14" s="2">
        <f>IF(I14=0,"",ROUND(AVERAGEIFS(Cylinders!$Q$4:$Q$113,Cylinders!$D$4:$D$113,A14,Cylinders!$R$4:$R$113,"Yes")/Parameters!$B$27,0)*Parameters!$B$27)</f>
        <v>4340</v>
      </c>
      <c r="K14" s="2">
        <f>IF(I14=0,"",_xlfn.MINIFS(Cylinders!$Q$4:$Q$113,Cylinders!$D$4:$D$113,A14,Cylinders!$R$4:$R$113,"Yes"))</f>
        <v>4300</v>
      </c>
      <c r="L14" s="2">
        <f>IF(I14=0,"",_xlfn.MAXIFS(Cylinders!$Q$4:$Q$113,Cylinders!$D$4:$D$113,A14,Cylinders!$R$4:$R$113,"Yes"))</f>
        <v>4380</v>
      </c>
      <c r="M14" s="7">
        <f t="shared" si="0"/>
        <v>1.84</v>
      </c>
      <c r="N14" s="2">
        <f>IF(G14="4x8",Parameters!$B$23,Parameters!$B$22)</f>
        <v>6.6</v>
      </c>
      <c r="O14" s="2" t="str">
        <f t="shared" si="1"/>
        <v/>
      </c>
      <c r="P14" s="2" t="str">
        <f>INDEX(Samples!$P$4:$P$32,MATCH(A14,Samples!$F$4:$F$32,0))</f>
        <v>Standard</v>
      </c>
      <c r="Q14" s="2" t="str">
        <f>INDEX(Samples!$V$4:$V$32,MATCH(A14,Samples!$F$4:$F$32,0))&amp;""</f>
        <v/>
      </c>
      <c r="R14" s="2" t="str">
        <f>INDEX(Samples!$W$4:$W$32,MATCH(A14,Samples!$F$4:$F$32,0))&amp;""</f>
        <v/>
      </c>
      <c r="S14" s="2" t="str">
        <f t="shared" si="2"/>
        <v>Yes</v>
      </c>
      <c r="T14" s="2" t="str">
        <f>IF(S14="Yes","",IF(P14="Field","Field cured, not a strength test under 3.10.6",IF(COUNTIFS(Cylinders!$D$4:$D$113,A14,Cylinders!$N$4:$N$113,"Yes")=0,"Tested outside the 20 hour tolerance of 3.10.3",IF(I14&lt;H14,"Incomplete test under 3.10.2","Set aside by the engineer of record under 3.10.7"))))</f>
        <v/>
      </c>
      <c r="U14" s="2" t="str">
        <f>IF(S14="Yes","",ROUND(AVERAGEIFS(Cylinders!$Q$4:$Q$113,Cylinders!$D$4:$D$113,A14,Cylinders!$M$4:$M$113,"&gt;="&amp;Parameters!$B$30,Cylinders!$M$4:$M$113,"&lt;="&amp;Parameters!$B$31,Cylinders!$K$4:$K$113,"No")/Parameters!$B$27,0)*Parameters!$B$27)</f>
        <v/>
      </c>
      <c r="V14" s="2" t="str">
        <f>INDEX(Samples!$M$4:$M$32,MATCH(A14,Samples!$F$4:$F$32,0))</f>
        <v>Within 2.4</v>
      </c>
    </row>
    <row r="15" spans="1:22" x14ac:dyDescent="0.2">
      <c r="A15" s="2">
        <v>771842</v>
      </c>
      <c r="B15" s="2" t="s">
        <v>297</v>
      </c>
      <c r="C15" s="2" t="str">
        <f>INDEX(Samples!$I$4:$I$32,MATCH(A15,Samples!$F$4:$F$32,0))</f>
        <v>P-10</v>
      </c>
      <c r="D15" s="2" t="str">
        <f>INDEX(Samples!$H$4:$H$32,MATCH(A15,Samples!$F$4:$F$32,0))</f>
        <v>M-4000</v>
      </c>
      <c r="E15" s="2" t="str">
        <f>INDEX(Samples!$C$4:$C$32,MATCH(A15,Samples!$F$4:$F$32,0))</f>
        <v>08/17/2026</v>
      </c>
      <c r="F15" s="2" t="str">
        <f>INDEX(Samples!$D$4:$D$32,MATCH(A15,Samples!$F$4:$F$32,0))</f>
        <v>08:06</v>
      </c>
      <c r="G15" s="2" t="str">
        <f>INDEX(Samples!$N$4:$N$32,MATCH(A15,Samples!$F$4:$F$32,0))</f>
        <v>6x12</v>
      </c>
      <c r="H15" s="2">
        <f>IF(G15="4x8",Parameters!$B$19,Parameters!$B$18)</f>
        <v>2</v>
      </c>
      <c r="I15" s="2">
        <f>COUNTIFS(Cylinders!$D$4:$D$113,A15,Cylinders!$R$4:$R$113,"Yes")</f>
        <v>2</v>
      </c>
      <c r="J15" s="2">
        <f>IF(I15=0,"",ROUND(AVERAGEIFS(Cylinders!$Q$4:$Q$113,Cylinders!$D$4:$D$113,A15,Cylinders!$R$4:$R$113,"Yes")/Parameters!$B$27,0)*Parameters!$B$27)</f>
        <v>4220</v>
      </c>
      <c r="K15" s="2">
        <f>IF(I15=0,"",_xlfn.MINIFS(Cylinders!$Q$4:$Q$113,Cylinders!$D$4:$D$113,A15,Cylinders!$R$4:$R$113,"Yes"))</f>
        <v>4180</v>
      </c>
      <c r="L15" s="2">
        <f>IF(I15=0,"",_xlfn.MAXIFS(Cylinders!$Q$4:$Q$113,Cylinders!$D$4:$D$113,A15,Cylinders!$R$4:$R$113,"Yes"))</f>
        <v>4260</v>
      </c>
      <c r="M15" s="7">
        <f t="shared" si="0"/>
        <v>1.9</v>
      </c>
      <c r="N15" s="2">
        <f>IF(G15="4x8",Parameters!$B$23,Parameters!$B$22)</f>
        <v>6.6</v>
      </c>
      <c r="O15" s="2" t="str">
        <f t="shared" si="1"/>
        <v/>
      </c>
      <c r="P15" s="2" t="str">
        <f>INDEX(Samples!$P$4:$P$32,MATCH(A15,Samples!$F$4:$F$32,0))</f>
        <v>Standard</v>
      </c>
      <c r="Q15" s="2" t="str">
        <f>INDEX(Samples!$V$4:$V$32,MATCH(A15,Samples!$F$4:$F$32,0))&amp;""</f>
        <v/>
      </c>
      <c r="R15" s="2" t="str">
        <f>INDEX(Samples!$W$4:$W$32,MATCH(A15,Samples!$F$4:$F$32,0))&amp;""</f>
        <v/>
      </c>
      <c r="S15" s="2" t="str">
        <f t="shared" si="2"/>
        <v>Yes</v>
      </c>
      <c r="T15" s="2" t="str">
        <f>IF(S15="Yes","",IF(P15="Field","Field cured, not a strength test under 3.10.6",IF(COUNTIFS(Cylinders!$D$4:$D$113,A15,Cylinders!$N$4:$N$113,"Yes")=0,"Tested outside the 20 hour tolerance of 3.10.3",IF(I15&lt;H15,"Incomplete test under 3.10.2","Set aside by the engineer of record under 3.10.7"))))</f>
        <v/>
      </c>
      <c r="U15" s="2" t="str">
        <f>IF(S15="Yes","",ROUND(AVERAGEIFS(Cylinders!$Q$4:$Q$113,Cylinders!$D$4:$D$113,A15,Cylinders!$M$4:$M$113,"&gt;="&amp;Parameters!$B$30,Cylinders!$M$4:$M$113,"&lt;="&amp;Parameters!$B$31,Cylinders!$K$4:$K$113,"No")/Parameters!$B$27,0)*Parameters!$B$27)</f>
        <v/>
      </c>
      <c r="V15" s="2" t="str">
        <f>INDEX(Samples!$M$4:$M$32,MATCH(A15,Samples!$F$4:$F$32,0))</f>
        <v>Within 2.4</v>
      </c>
    </row>
    <row r="16" spans="1:22" x14ac:dyDescent="0.2">
      <c r="A16" s="2">
        <v>771955</v>
      </c>
      <c r="B16" s="2" t="s">
        <v>351</v>
      </c>
      <c r="C16" s="2" t="str">
        <f>INDEX(Samples!$I$4:$I$32,MATCH(A16,Samples!$F$4:$F$32,0))</f>
        <v>P-11</v>
      </c>
      <c r="D16" s="2" t="str">
        <f>INDEX(Samples!$H$4:$H$32,MATCH(A16,Samples!$F$4:$F$32,0))</f>
        <v>M-6000</v>
      </c>
      <c r="E16" s="2" t="str">
        <f>INDEX(Samples!$C$4:$C$32,MATCH(A16,Samples!$F$4:$F$32,0))</f>
        <v>08/18/2026</v>
      </c>
      <c r="F16" s="2" t="str">
        <f>INDEX(Samples!$D$4:$D$32,MATCH(A16,Samples!$F$4:$F$32,0))</f>
        <v>09:53</v>
      </c>
      <c r="G16" s="2" t="str">
        <f>INDEX(Samples!$N$4:$N$32,MATCH(A16,Samples!$F$4:$F$32,0))</f>
        <v>4x8</v>
      </c>
      <c r="H16" s="2">
        <f>IF(G16="4x8",Parameters!$B$19,Parameters!$B$18)</f>
        <v>3</v>
      </c>
      <c r="I16" s="2">
        <f>COUNTIFS(Cylinders!$D$4:$D$113,A16,Cylinders!$R$4:$R$113,"Yes")</f>
        <v>3</v>
      </c>
      <c r="J16" s="2">
        <f>IF(I16=0,"",ROUND(AVERAGEIFS(Cylinders!$Q$4:$Q$113,Cylinders!$D$4:$D$113,A16,Cylinders!$R$4:$R$113,"Yes")/Parameters!$B$27,0)*Parameters!$B$27)</f>
        <v>6080</v>
      </c>
      <c r="K16" s="2">
        <f>IF(I16=0,"",_xlfn.MINIFS(Cylinders!$Q$4:$Q$113,Cylinders!$D$4:$D$113,A16,Cylinders!$R$4:$R$113,"Yes"))</f>
        <v>6030</v>
      </c>
      <c r="L16" s="2">
        <f>IF(I16=0,"",_xlfn.MAXIFS(Cylinders!$Q$4:$Q$113,Cylinders!$D$4:$D$113,A16,Cylinders!$R$4:$R$113,"Yes"))</f>
        <v>6120</v>
      </c>
      <c r="M16" s="7">
        <f t="shared" si="0"/>
        <v>1.48</v>
      </c>
      <c r="N16" s="2">
        <f>IF(G16="4x8",Parameters!$B$23,Parameters!$B$22)</f>
        <v>10.6</v>
      </c>
      <c r="O16" s="2" t="str">
        <f t="shared" si="1"/>
        <v/>
      </c>
      <c r="P16" s="2" t="str">
        <f>INDEX(Samples!$P$4:$P$32,MATCH(A16,Samples!$F$4:$F$32,0))</f>
        <v>Standard</v>
      </c>
      <c r="Q16" s="2" t="str">
        <f>INDEX(Samples!$V$4:$V$32,MATCH(A16,Samples!$F$4:$F$32,0))&amp;""</f>
        <v/>
      </c>
      <c r="R16" s="2" t="str">
        <f>INDEX(Samples!$W$4:$W$32,MATCH(A16,Samples!$F$4:$F$32,0))&amp;""</f>
        <v/>
      </c>
      <c r="S16" s="2" t="str">
        <f t="shared" si="2"/>
        <v>Yes</v>
      </c>
      <c r="T16" s="2" t="str">
        <f>IF(S16="Yes","",IF(P16="Field","Field cured, not a strength test under 3.10.6",IF(COUNTIFS(Cylinders!$D$4:$D$113,A16,Cylinders!$N$4:$N$113,"Yes")=0,"Tested outside the 20 hour tolerance of 3.10.3",IF(I16&lt;H16,"Incomplete test under 3.10.2","Set aside by the engineer of record under 3.10.7"))))</f>
        <v/>
      </c>
      <c r="U16" s="2" t="str">
        <f>IF(S16="Yes","",ROUND(AVERAGEIFS(Cylinders!$Q$4:$Q$113,Cylinders!$D$4:$D$113,A16,Cylinders!$M$4:$M$113,"&gt;="&amp;Parameters!$B$30,Cylinders!$M$4:$M$113,"&lt;="&amp;Parameters!$B$31,Cylinders!$K$4:$K$113,"No")/Parameters!$B$27,0)*Parameters!$B$27)</f>
        <v/>
      </c>
      <c r="V16" s="2" t="str">
        <f>INDEX(Samples!$M$4:$M$32,MATCH(A16,Samples!$F$4:$F$32,0))</f>
        <v>Within 2.4</v>
      </c>
    </row>
    <row r="17" spans="1:22" x14ac:dyDescent="0.2">
      <c r="A17" s="2">
        <v>772071</v>
      </c>
      <c r="B17" s="2" t="s">
        <v>642</v>
      </c>
      <c r="C17" s="2" t="str">
        <f>INDEX(Samples!$I$4:$I$32,MATCH(A17,Samples!$F$4:$F$32,0))</f>
        <v>P-12</v>
      </c>
      <c r="D17" s="2" t="str">
        <f>INDEX(Samples!$H$4:$H$32,MATCH(A17,Samples!$F$4:$F$32,0))</f>
        <v>M-4000</v>
      </c>
      <c r="E17" s="2" t="str">
        <f>INDEX(Samples!$C$4:$C$32,MATCH(A17,Samples!$F$4:$F$32,0))</f>
        <v>08/19/2026</v>
      </c>
      <c r="F17" s="2" t="str">
        <f>INDEX(Samples!$D$4:$D$32,MATCH(A17,Samples!$F$4:$F$32,0))</f>
        <v>08:21</v>
      </c>
      <c r="G17" s="2" t="str">
        <f>INDEX(Samples!$N$4:$N$32,MATCH(A17,Samples!$F$4:$F$32,0))</f>
        <v>6x12</v>
      </c>
      <c r="H17" s="2">
        <f>IF(G17="4x8",Parameters!$B$19,Parameters!$B$18)</f>
        <v>2</v>
      </c>
      <c r="I17" s="2">
        <f>COUNTIFS(Cylinders!$D$4:$D$113,A17,Cylinders!$R$4:$R$113,"Yes")</f>
        <v>4</v>
      </c>
      <c r="J17" s="2">
        <f>IF(I17=0,"",ROUND(AVERAGEIFS(Cylinders!$Q$4:$Q$113,Cylinders!$D$4:$D$113,A17,Cylinders!$R$4:$R$113,"Yes")/Parameters!$B$27,0)*Parameters!$B$27)</f>
        <v>3500</v>
      </c>
      <c r="K17" s="2">
        <f>IF(I17=0,"",_xlfn.MINIFS(Cylinders!$Q$4:$Q$113,Cylinders!$D$4:$D$113,A17,Cylinders!$R$4:$R$113,"Yes"))</f>
        <v>3450</v>
      </c>
      <c r="L17" s="2">
        <f>IF(I17=0,"",_xlfn.MAXIFS(Cylinders!$Q$4:$Q$113,Cylinders!$D$4:$D$113,A17,Cylinders!$R$4:$R$113,"Yes"))</f>
        <v>3550</v>
      </c>
      <c r="M17" s="7">
        <f t="shared" si="0"/>
        <v>2.86</v>
      </c>
      <c r="N17" s="2">
        <f>IF(G17="4x8",Parameters!$B$23,Parameters!$B$22)</f>
        <v>6.6</v>
      </c>
      <c r="O17" s="2" t="str">
        <f t="shared" si="1"/>
        <v/>
      </c>
      <c r="P17" s="2" t="str">
        <f>INDEX(Samples!$P$4:$P$32,MATCH(A17,Samples!$F$4:$F$32,0))</f>
        <v>Standard</v>
      </c>
      <c r="Q17" s="2" t="str">
        <f>INDEX(Samples!$V$4:$V$32,MATCH(A17,Samples!$F$4:$F$32,0))&amp;""</f>
        <v/>
      </c>
      <c r="R17" s="2" t="str">
        <f>INDEX(Samples!$W$4:$W$32,MATCH(A17,Samples!$F$4:$F$32,0))&amp;""</f>
        <v/>
      </c>
      <c r="S17" s="2" t="str">
        <f t="shared" si="2"/>
        <v>Yes</v>
      </c>
      <c r="T17" s="2" t="str">
        <f>IF(S17="Yes","",IF(P17="Field","Field cured, not a strength test under 3.10.6",IF(COUNTIFS(Cylinders!$D$4:$D$113,A17,Cylinders!$N$4:$N$113,"Yes")=0,"Tested outside the 20 hour tolerance of 3.10.3",IF(I17&lt;H17,"Incomplete test under 3.10.2","Set aside by the engineer of record under 3.10.7"))))</f>
        <v/>
      </c>
      <c r="U17" s="2" t="str">
        <f>IF(S17="Yes","",ROUND(AVERAGEIFS(Cylinders!$Q$4:$Q$113,Cylinders!$D$4:$D$113,A17,Cylinders!$M$4:$M$113,"&gt;="&amp;Parameters!$B$30,Cylinders!$M$4:$M$113,"&lt;="&amp;Parameters!$B$31,Cylinders!$K$4:$K$113,"No")/Parameters!$B$27,0)*Parameters!$B$27)</f>
        <v/>
      </c>
      <c r="V17" s="2" t="str">
        <f>INDEX(Samples!$M$4:$M$32,MATCH(A17,Samples!$F$4:$F$32,0))</f>
        <v>Within 2.4</v>
      </c>
    </row>
    <row r="18" spans="1:22" x14ac:dyDescent="0.2">
      <c r="A18" s="2">
        <v>772203</v>
      </c>
      <c r="B18" s="2" t="s">
        <v>359</v>
      </c>
      <c r="C18" s="2" t="str">
        <f>INDEX(Samples!$I$4:$I$32,MATCH(A18,Samples!$F$4:$F$32,0))</f>
        <v>P-13</v>
      </c>
      <c r="D18" s="2" t="str">
        <f>INDEX(Samples!$H$4:$H$32,MATCH(A18,Samples!$F$4:$F$32,0))</f>
        <v>M-6000</v>
      </c>
      <c r="E18" s="2" t="str">
        <f>INDEX(Samples!$C$4:$C$32,MATCH(A18,Samples!$F$4:$F$32,0))</f>
        <v>08/20/2026</v>
      </c>
      <c r="F18" s="2" t="str">
        <f>INDEX(Samples!$D$4:$D$32,MATCH(A18,Samples!$F$4:$F$32,0))</f>
        <v>09:26</v>
      </c>
      <c r="G18" s="2" t="str">
        <f>INDEX(Samples!$N$4:$N$32,MATCH(A18,Samples!$F$4:$F$32,0))</f>
        <v>4x8</v>
      </c>
      <c r="H18" s="2">
        <f>IF(G18="4x8",Parameters!$B$19,Parameters!$B$18)</f>
        <v>3</v>
      </c>
      <c r="I18" s="2">
        <f>COUNTIFS(Cylinders!$D$4:$D$113,A18,Cylinders!$R$4:$R$113,"Yes")</f>
        <v>3</v>
      </c>
      <c r="J18" s="2">
        <f>IF(I18=0,"",ROUND(AVERAGEIFS(Cylinders!$Q$4:$Q$113,Cylinders!$D$4:$D$113,A18,Cylinders!$R$4:$R$113,"Yes")/Parameters!$B$27,0)*Parameters!$B$27)</f>
        <v>5590</v>
      </c>
      <c r="K18" s="2">
        <f>IF(I18=0,"",_xlfn.MINIFS(Cylinders!$Q$4:$Q$113,Cylinders!$D$4:$D$113,A18,Cylinders!$R$4:$R$113,"Yes"))</f>
        <v>5560</v>
      </c>
      <c r="L18" s="2">
        <f>IF(I18=0,"",_xlfn.MAXIFS(Cylinders!$Q$4:$Q$113,Cylinders!$D$4:$D$113,A18,Cylinders!$R$4:$R$113,"Yes"))</f>
        <v>5610</v>
      </c>
      <c r="M18" s="7">
        <f t="shared" si="0"/>
        <v>0.89</v>
      </c>
      <c r="N18" s="2">
        <f>IF(G18="4x8",Parameters!$B$23,Parameters!$B$22)</f>
        <v>10.6</v>
      </c>
      <c r="O18" s="2" t="str">
        <f t="shared" si="1"/>
        <v/>
      </c>
      <c r="P18" s="2" t="str">
        <f>INDEX(Samples!$P$4:$P$32,MATCH(A18,Samples!$F$4:$F$32,0))</f>
        <v>Standard</v>
      </c>
      <c r="Q18" s="2" t="str">
        <f>INDEX(Samples!$V$4:$V$32,MATCH(A18,Samples!$F$4:$F$32,0))&amp;""</f>
        <v/>
      </c>
      <c r="R18" s="2" t="str">
        <f>INDEX(Samples!$W$4:$W$32,MATCH(A18,Samples!$F$4:$F$32,0))&amp;""</f>
        <v/>
      </c>
      <c r="S18" s="2" t="str">
        <f t="shared" si="2"/>
        <v>Yes</v>
      </c>
      <c r="T18" s="2" t="str">
        <f>IF(S18="Yes","",IF(P18="Field","Field cured, not a strength test under 3.10.6",IF(COUNTIFS(Cylinders!$D$4:$D$113,A18,Cylinders!$N$4:$N$113,"Yes")=0,"Tested outside the 20 hour tolerance of 3.10.3",IF(I18&lt;H18,"Incomplete test under 3.10.2","Set aside by the engineer of record under 3.10.7"))))</f>
        <v/>
      </c>
      <c r="U18" s="2" t="str">
        <f>IF(S18="Yes","",ROUND(AVERAGEIFS(Cylinders!$Q$4:$Q$113,Cylinders!$D$4:$D$113,A18,Cylinders!$M$4:$M$113,"&gt;="&amp;Parameters!$B$30,Cylinders!$M$4:$M$113,"&lt;="&amp;Parameters!$B$31,Cylinders!$K$4:$K$113,"No")/Parameters!$B$27,0)*Parameters!$B$27)</f>
        <v/>
      </c>
      <c r="V18" s="2" t="str">
        <f>INDEX(Samples!$M$4:$M$32,MATCH(A18,Samples!$F$4:$F$32,0))</f>
        <v>Within 2.4</v>
      </c>
    </row>
    <row r="19" spans="1:22" x14ac:dyDescent="0.2">
      <c r="A19" s="2">
        <v>772316</v>
      </c>
      <c r="B19" s="2" t="s">
        <v>305</v>
      </c>
      <c r="C19" s="2" t="str">
        <f>INDEX(Samples!$I$4:$I$32,MATCH(A19,Samples!$F$4:$F$32,0))</f>
        <v>P-14</v>
      </c>
      <c r="D19" s="2" t="str">
        <f>INDEX(Samples!$H$4:$H$32,MATCH(A19,Samples!$F$4:$F$32,0))</f>
        <v>M-4000</v>
      </c>
      <c r="E19" s="2" t="str">
        <f>INDEX(Samples!$C$4:$C$32,MATCH(A19,Samples!$F$4:$F$32,0))</f>
        <v>08/21/2026</v>
      </c>
      <c r="F19" s="2" t="str">
        <f>INDEX(Samples!$D$4:$D$32,MATCH(A19,Samples!$F$4:$F$32,0))</f>
        <v>09:13</v>
      </c>
      <c r="G19" s="2" t="str">
        <f>INDEX(Samples!$N$4:$N$32,MATCH(A19,Samples!$F$4:$F$32,0))</f>
        <v>4x8</v>
      </c>
      <c r="H19" s="2">
        <f>IF(G19="4x8",Parameters!$B$19,Parameters!$B$18)</f>
        <v>3</v>
      </c>
      <c r="I19" s="2">
        <f>COUNTIFS(Cylinders!$D$4:$D$113,A19,Cylinders!$R$4:$R$113,"Yes")</f>
        <v>2</v>
      </c>
      <c r="J19" s="2">
        <f>IF(I19=0,"",ROUND(AVERAGEIFS(Cylinders!$Q$4:$Q$113,Cylinders!$D$4:$D$113,A19,Cylinders!$R$4:$R$113,"Yes")/Parameters!$B$27,0)*Parameters!$B$27)</f>
        <v>4240</v>
      </c>
      <c r="K19" s="2">
        <f>IF(I19=0,"",_xlfn.MINIFS(Cylinders!$Q$4:$Q$113,Cylinders!$D$4:$D$113,A19,Cylinders!$R$4:$R$113,"Yes"))</f>
        <v>4220</v>
      </c>
      <c r="L19" s="2">
        <f>IF(I19=0,"",_xlfn.MAXIFS(Cylinders!$Q$4:$Q$113,Cylinders!$D$4:$D$113,A19,Cylinders!$R$4:$R$113,"Yes"))</f>
        <v>4260</v>
      </c>
      <c r="M19" s="7">
        <f t="shared" si="0"/>
        <v>0.94</v>
      </c>
      <c r="N19" s="2">
        <f>IF(G19="4x8",Parameters!$B$23,Parameters!$B$22)</f>
        <v>10.6</v>
      </c>
      <c r="O19" s="2" t="str">
        <f t="shared" si="1"/>
        <v/>
      </c>
      <c r="P19" s="2" t="str">
        <f>INDEX(Samples!$P$4:$P$32,MATCH(A19,Samples!$F$4:$F$32,0))</f>
        <v>Standard</v>
      </c>
      <c r="Q19" s="2" t="str">
        <f>INDEX(Samples!$V$4:$V$32,MATCH(A19,Samples!$F$4:$F$32,0))&amp;""</f>
        <v/>
      </c>
      <c r="R19" s="2" t="str">
        <f>INDEX(Samples!$W$4:$W$32,MATCH(A19,Samples!$F$4:$F$32,0))&amp;""</f>
        <v/>
      </c>
      <c r="S19" s="2" t="str">
        <f t="shared" si="2"/>
        <v>No</v>
      </c>
      <c r="T19" s="2" t="str">
        <f>IF(S19="Yes","",IF(P19="Field","Field cured, not a strength test under 3.10.6",IF(COUNTIFS(Cylinders!$D$4:$D$113,A19,Cylinders!$N$4:$N$113,"Yes")=0,"Tested outside the 20 hour tolerance of 3.10.3",IF(I19&lt;H19,"Incomplete test under 3.10.2","Set aside by the engineer of record under 3.10.7"))))</f>
        <v>Incomplete test under 3.10.2</v>
      </c>
      <c r="U19" s="2">
        <f>IF(S19="Yes","",ROUND(AVERAGEIFS(Cylinders!$Q$4:$Q$113,Cylinders!$D$4:$D$113,A19,Cylinders!$M$4:$M$113,"&gt;="&amp;Parameters!$B$30,Cylinders!$M$4:$M$113,"&lt;="&amp;Parameters!$B$31,Cylinders!$K$4:$K$113,"No")/Parameters!$B$27,0)*Parameters!$B$27)</f>
        <v>4240</v>
      </c>
      <c r="V19" s="2" t="str">
        <f>INDEX(Samples!$M$4:$M$32,MATCH(A19,Samples!$F$4:$F$32,0))</f>
        <v>Within 2.4</v>
      </c>
    </row>
    <row r="20" spans="1:22" x14ac:dyDescent="0.2">
      <c r="A20" s="2">
        <v>772569</v>
      </c>
      <c r="B20" s="2" t="s">
        <v>311</v>
      </c>
      <c r="C20" s="2" t="str">
        <f>INDEX(Samples!$I$4:$I$32,MATCH(A20,Samples!$F$4:$F$32,0))</f>
        <v>P-15</v>
      </c>
      <c r="D20" s="2" t="str">
        <f>INDEX(Samples!$H$4:$H$32,MATCH(A20,Samples!$F$4:$F$32,0))</f>
        <v>M-4000</v>
      </c>
      <c r="E20" s="2" t="str">
        <f>INDEX(Samples!$C$4:$C$32,MATCH(A20,Samples!$F$4:$F$32,0))</f>
        <v>08/24/2026</v>
      </c>
      <c r="F20" s="2" t="str">
        <f>INDEX(Samples!$D$4:$D$32,MATCH(A20,Samples!$F$4:$F$32,0))</f>
        <v>13:44</v>
      </c>
      <c r="G20" s="2" t="str">
        <f>INDEX(Samples!$N$4:$N$32,MATCH(A20,Samples!$F$4:$F$32,0))</f>
        <v>6x12</v>
      </c>
      <c r="H20" s="2">
        <f>IF(G20="4x8",Parameters!$B$19,Parameters!$B$18)</f>
        <v>2</v>
      </c>
      <c r="I20" s="2">
        <f>COUNTIFS(Cylinders!$D$4:$D$113,A20,Cylinders!$R$4:$R$113,"Yes")</f>
        <v>2</v>
      </c>
      <c r="J20" s="2">
        <f>IF(I20=0,"",ROUND(AVERAGEIFS(Cylinders!$Q$4:$Q$113,Cylinders!$D$4:$D$113,A20,Cylinders!$R$4:$R$113,"Yes")/Parameters!$B$27,0)*Parameters!$B$27)</f>
        <v>4290</v>
      </c>
      <c r="K20" s="2">
        <f>IF(I20=0,"",_xlfn.MINIFS(Cylinders!$Q$4:$Q$113,Cylinders!$D$4:$D$113,A20,Cylinders!$R$4:$R$113,"Yes"))</f>
        <v>4250</v>
      </c>
      <c r="L20" s="2">
        <f>IF(I20=0,"",_xlfn.MAXIFS(Cylinders!$Q$4:$Q$113,Cylinders!$D$4:$D$113,A20,Cylinders!$R$4:$R$113,"Yes"))</f>
        <v>4330</v>
      </c>
      <c r="M20" s="7">
        <f t="shared" si="0"/>
        <v>1.86</v>
      </c>
      <c r="N20" s="2">
        <f>IF(G20="4x8",Parameters!$B$23,Parameters!$B$22)</f>
        <v>6.6</v>
      </c>
      <c r="O20" s="2" t="str">
        <f t="shared" si="1"/>
        <v/>
      </c>
      <c r="P20" s="2" t="str">
        <f>INDEX(Samples!$P$4:$P$32,MATCH(A20,Samples!$F$4:$F$32,0))</f>
        <v>Standard</v>
      </c>
      <c r="Q20" s="2" t="str">
        <f>INDEX(Samples!$V$4:$V$32,MATCH(A20,Samples!$F$4:$F$32,0))&amp;""</f>
        <v/>
      </c>
      <c r="R20" s="2" t="str">
        <f>INDEX(Samples!$W$4:$W$32,MATCH(A20,Samples!$F$4:$F$32,0))&amp;""</f>
        <v/>
      </c>
      <c r="S20" s="2" t="str">
        <f t="shared" si="2"/>
        <v>Yes</v>
      </c>
      <c r="T20" s="2" t="str">
        <f>IF(S20="Yes","",IF(P20="Field","Field cured, not a strength test under 3.10.6",IF(COUNTIFS(Cylinders!$D$4:$D$113,A20,Cylinders!$N$4:$N$113,"Yes")=0,"Tested outside the 20 hour tolerance of 3.10.3",IF(I20&lt;H20,"Incomplete test under 3.10.2","Set aside by the engineer of record under 3.10.7"))))</f>
        <v/>
      </c>
      <c r="U20" s="2" t="str">
        <f>IF(S20="Yes","",ROUND(AVERAGEIFS(Cylinders!$Q$4:$Q$113,Cylinders!$D$4:$D$113,A20,Cylinders!$M$4:$M$113,"&gt;="&amp;Parameters!$B$30,Cylinders!$M$4:$M$113,"&lt;="&amp;Parameters!$B$31,Cylinders!$K$4:$K$113,"No")/Parameters!$B$27,0)*Parameters!$B$27)</f>
        <v/>
      </c>
      <c r="V20" s="2" t="str">
        <f>INDEX(Samples!$M$4:$M$32,MATCH(A20,Samples!$F$4:$F$32,0))</f>
        <v>Within 2.4</v>
      </c>
    </row>
    <row r="21" spans="1:22" x14ac:dyDescent="0.2">
      <c r="A21" s="2">
        <v>772531</v>
      </c>
      <c r="B21" s="2" t="s">
        <v>363</v>
      </c>
      <c r="C21" s="2" t="str">
        <f>INDEX(Samples!$I$4:$I$32,MATCH(A21,Samples!$F$4:$F$32,0))</f>
        <v>P-16</v>
      </c>
      <c r="D21" s="2" t="str">
        <f>INDEX(Samples!$H$4:$H$32,MATCH(A21,Samples!$F$4:$F$32,0))</f>
        <v>M-6000</v>
      </c>
      <c r="E21" s="2" t="str">
        <f>INDEX(Samples!$C$4:$C$32,MATCH(A21,Samples!$F$4:$F$32,0))</f>
        <v>08/24/2026</v>
      </c>
      <c r="F21" s="2" t="str">
        <f>INDEX(Samples!$D$4:$D$32,MATCH(A21,Samples!$F$4:$F$32,0))</f>
        <v>13:52</v>
      </c>
      <c r="G21" s="2" t="str">
        <f>INDEX(Samples!$N$4:$N$32,MATCH(A21,Samples!$F$4:$F$32,0))</f>
        <v>4x8</v>
      </c>
      <c r="H21" s="2">
        <f>IF(G21="4x8",Parameters!$B$19,Parameters!$B$18)</f>
        <v>3</v>
      </c>
      <c r="I21" s="2">
        <f>COUNTIFS(Cylinders!$D$4:$D$113,A21,Cylinders!$R$4:$R$113,"Yes")</f>
        <v>3</v>
      </c>
      <c r="J21" s="2">
        <f>IF(I21=0,"",ROUND(AVERAGEIFS(Cylinders!$Q$4:$Q$113,Cylinders!$D$4:$D$113,A21,Cylinders!$R$4:$R$113,"Yes")/Parameters!$B$27,0)*Parameters!$B$27)</f>
        <v>6150</v>
      </c>
      <c r="K21" s="2">
        <f>IF(I21=0,"",_xlfn.MINIFS(Cylinders!$Q$4:$Q$113,Cylinders!$D$4:$D$113,A21,Cylinders!$R$4:$R$113,"Yes"))</f>
        <v>6120</v>
      </c>
      <c r="L21" s="2">
        <f>IF(I21=0,"",_xlfn.MAXIFS(Cylinders!$Q$4:$Q$113,Cylinders!$D$4:$D$113,A21,Cylinders!$R$4:$R$113,"Yes"))</f>
        <v>6180</v>
      </c>
      <c r="M21" s="7">
        <f t="shared" si="0"/>
        <v>0.98</v>
      </c>
      <c r="N21" s="2">
        <f>IF(G21="4x8",Parameters!$B$23,Parameters!$B$22)</f>
        <v>10.6</v>
      </c>
      <c r="O21" s="2" t="str">
        <f t="shared" si="1"/>
        <v/>
      </c>
      <c r="P21" s="2" t="str">
        <f>INDEX(Samples!$P$4:$P$32,MATCH(A21,Samples!$F$4:$F$32,0))</f>
        <v>Standard</v>
      </c>
      <c r="Q21" s="2" t="str">
        <f>INDEX(Samples!$V$4:$V$32,MATCH(A21,Samples!$F$4:$F$32,0))&amp;""</f>
        <v/>
      </c>
      <c r="R21" s="2" t="str">
        <f>INDEX(Samples!$W$4:$W$32,MATCH(A21,Samples!$F$4:$F$32,0))&amp;""</f>
        <v/>
      </c>
      <c r="S21" s="2" t="str">
        <f t="shared" si="2"/>
        <v>Yes</v>
      </c>
      <c r="T21" s="2" t="str">
        <f>IF(S21="Yes","",IF(P21="Field","Field cured, not a strength test under 3.10.6",IF(COUNTIFS(Cylinders!$D$4:$D$113,A21,Cylinders!$N$4:$N$113,"Yes")=0,"Tested outside the 20 hour tolerance of 3.10.3",IF(I21&lt;H21,"Incomplete test under 3.10.2","Set aside by the engineer of record under 3.10.7"))))</f>
        <v/>
      </c>
      <c r="U21" s="2" t="str">
        <f>IF(S21="Yes","",ROUND(AVERAGEIFS(Cylinders!$Q$4:$Q$113,Cylinders!$D$4:$D$113,A21,Cylinders!$M$4:$M$113,"&gt;="&amp;Parameters!$B$30,Cylinders!$M$4:$M$113,"&lt;="&amp;Parameters!$B$31,Cylinders!$K$4:$K$113,"No")/Parameters!$B$27,0)*Parameters!$B$27)</f>
        <v/>
      </c>
      <c r="V21" s="2" t="str">
        <f>INDEX(Samples!$M$4:$M$32,MATCH(A21,Samples!$F$4:$F$32,0))</f>
        <v>Within 2.4</v>
      </c>
    </row>
    <row r="22" spans="1:22" x14ac:dyDescent="0.2">
      <c r="A22" s="2">
        <v>772784</v>
      </c>
      <c r="B22" s="2" t="s">
        <v>316</v>
      </c>
      <c r="C22" s="2" t="str">
        <f>INDEX(Samples!$I$4:$I$32,MATCH(A22,Samples!$F$4:$F$32,0))</f>
        <v>P-17</v>
      </c>
      <c r="D22" s="2" t="str">
        <f>INDEX(Samples!$H$4:$H$32,MATCH(A22,Samples!$F$4:$F$32,0))</f>
        <v>M-4000</v>
      </c>
      <c r="E22" s="2" t="str">
        <f>INDEX(Samples!$C$4:$C$32,MATCH(A22,Samples!$F$4:$F$32,0))</f>
        <v>08/26/2026</v>
      </c>
      <c r="F22" s="2" t="str">
        <f>INDEX(Samples!$D$4:$D$32,MATCH(A22,Samples!$F$4:$F$32,0))</f>
        <v>07:19</v>
      </c>
      <c r="G22" s="2" t="str">
        <f>INDEX(Samples!$N$4:$N$32,MATCH(A22,Samples!$F$4:$F$32,0))</f>
        <v>6x12</v>
      </c>
      <c r="H22" s="2">
        <f>IF(G22="4x8",Parameters!$B$19,Parameters!$B$18)</f>
        <v>2</v>
      </c>
      <c r="I22" s="2">
        <f>COUNTIFS(Cylinders!$D$4:$D$113,A22,Cylinders!$R$4:$R$113,"Yes")</f>
        <v>2</v>
      </c>
      <c r="J22" s="2">
        <f>IF(I22=0,"",ROUND(AVERAGEIFS(Cylinders!$Q$4:$Q$113,Cylinders!$D$4:$D$113,A22,Cylinders!$R$4:$R$113,"Yes")/Parameters!$B$27,0)*Parameters!$B$27)</f>
        <v>4390</v>
      </c>
      <c r="K22" s="2">
        <f>IF(I22=0,"",_xlfn.MINIFS(Cylinders!$Q$4:$Q$113,Cylinders!$D$4:$D$113,A22,Cylinders!$R$4:$R$113,"Yes"))</f>
        <v>4350</v>
      </c>
      <c r="L22" s="2">
        <f>IF(I22=0,"",_xlfn.MAXIFS(Cylinders!$Q$4:$Q$113,Cylinders!$D$4:$D$113,A22,Cylinders!$R$4:$R$113,"Yes"))</f>
        <v>4430</v>
      </c>
      <c r="M22" s="7">
        <f t="shared" si="0"/>
        <v>1.82</v>
      </c>
      <c r="N22" s="2">
        <f>IF(G22="4x8",Parameters!$B$23,Parameters!$B$22)</f>
        <v>6.6</v>
      </c>
      <c r="O22" s="2" t="str">
        <f t="shared" si="1"/>
        <v/>
      </c>
      <c r="P22" s="2" t="str">
        <f>INDEX(Samples!$P$4:$P$32,MATCH(A22,Samples!$F$4:$F$32,0))</f>
        <v>Standard</v>
      </c>
      <c r="Q22" s="2" t="str">
        <f>INDEX(Samples!$V$4:$V$32,MATCH(A22,Samples!$F$4:$F$32,0))&amp;""</f>
        <v>Initial curing temperature outside 60 to 80 F</v>
      </c>
      <c r="R22" s="2" t="str">
        <f>INDEX(Samples!$W$4:$W$32,MATCH(A22,Samples!$F$4:$F$32,0))&amp;""</f>
        <v>Set aside, letter of October 2, 2026</v>
      </c>
      <c r="S22" s="2" t="str">
        <f t="shared" si="2"/>
        <v>No</v>
      </c>
      <c r="T22" s="2" t="str">
        <f>IF(S22="Yes","",IF(P22="Field","Field cured, not a strength test under 3.10.6",IF(COUNTIFS(Cylinders!$D$4:$D$113,A22,Cylinders!$N$4:$N$113,"Yes")=0,"Tested outside the 20 hour tolerance of 3.10.3",IF(I22&lt;H22,"Incomplete test under 3.10.2","Set aside by the engineer of record under 3.10.7"))))</f>
        <v>Set aside by the engineer of record under 3.10.7</v>
      </c>
      <c r="U22" s="2">
        <f>IF(S22="Yes","",ROUND(AVERAGEIFS(Cylinders!$Q$4:$Q$113,Cylinders!$D$4:$D$113,A22,Cylinders!$M$4:$M$113,"&gt;="&amp;Parameters!$B$30,Cylinders!$M$4:$M$113,"&lt;="&amp;Parameters!$B$31,Cylinders!$K$4:$K$113,"No")/Parameters!$B$27,0)*Parameters!$B$27)</f>
        <v>4390</v>
      </c>
      <c r="V22" s="2" t="str">
        <f>INDEX(Samples!$M$4:$M$32,MATCH(A22,Samples!$F$4:$F$32,0))</f>
        <v>Within 2.4</v>
      </c>
    </row>
    <row r="23" spans="1:22" x14ac:dyDescent="0.2">
      <c r="A23" s="2">
        <v>772809</v>
      </c>
      <c r="B23" s="2" t="s">
        <v>368</v>
      </c>
      <c r="C23" s="2" t="str">
        <f>INDEX(Samples!$I$4:$I$32,MATCH(A23,Samples!$F$4:$F$32,0))</f>
        <v>P-18</v>
      </c>
      <c r="D23" s="2" t="str">
        <f>INDEX(Samples!$H$4:$H$32,MATCH(A23,Samples!$F$4:$F$32,0))</f>
        <v>M-6000</v>
      </c>
      <c r="E23" s="2" t="str">
        <f>INDEX(Samples!$C$4:$C$32,MATCH(A23,Samples!$F$4:$F$32,0))</f>
        <v>08/26/2026</v>
      </c>
      <c r="F23" s="2" t="str">
        <f>INDEX(Samples!$D$4:$D$32,MATCH(A23,Samples!$F$4:$F$32,0))</f>
        <v>10:41</v>
      </c>
      <c r="G23" s="2" t="str">
        <f>INDEX(Samples!$N$4:$N$32,MATCH(A23,Samples!$F$4:$F$32,0))</f>
        <v>4x8</v>
      </c>
      <c r="H23" s="2">
        <f>IF(G23="4x8",Parameters!$B$19,Parameters!$B$18)</f>
        <v>3</v>
      </c>
      <c r="I23" s="2">
        <f>COUNTIFS(Cylinders!$D$4:$D$113,A23,Cylinders!$R$4:$R$113,"Yes")</f>
        <v>3</v>
      </c>
      <c r="J23" s="2">
        <f>IF(I23=0,"",ROUND(AVERAGEIFS(Cylinders!$Q$4:$Q$113,Cylinders!$D$4:$D$113,A23,Cylinders!$R$4:$R$113,"Yes")/Parameters!$B$27,0)*Parameters!$B$27)</f>
        <v>6340</v>
      </c>
      <c r="K23" s="2">
        <f>IF(I23=0,"",_xlfn.MINIFS(Cylinders!$Q$4:$Q$113,Cylinders!$D$4:$D$113,A23,Cylinders!$R$4:$R$113,"Yes"))</f>
        <v>6300</v>
      </c>
      <c r="L23" s="2">
        <f>IF(I23=0,"",_xlfn.MAXIFS(Cylinders!$Q$4:$Q$113,Cylinders!$D$4:$D$113,A23,Cylinders!$R$4:$R$113,"Yes"))</f>
        <v>6390</v>
      </c>
      <c r="M23" s="7">
        <f t="shared" si="0"/>
        <v>1.42</v>
      </c>
      <c r="N23" s="2">
        <f>IF(G23="4x8",Parameters!$B$23,Parameters!$B$22)</f>
        <v>10.6</v>
      </c>
      <c r="O23" s="2" t="str">
        <f t="shared" si="1"/>
        <v/>
      </c>
      <c r="P23" s="2" t="str">
        <f>INDEX(Samples!$P$4:$P$32,MATCH(A23,Samples!$F$4:$F$32,0))</f>
        <v>Standard</v>
      </c>
      <c r="Q23" s="2" t="str">
        <f>INDEX(Samples!$V$4:$V$32,MATCH(A23,Samples!$F$4:$F$32,0))&amp;""</f>
        <v>Initial curing temperature outside 60 to 80 F</v>
      </c>
      <c r="R23" s="2" t="str">
        <f>INDEX(Samples!$W$4:$W$32,MATCH(A23,Samples!$F$4:$F$32,0))&amp;""</f>
        <v/>
      </c>
      <c r="S23" s="2" t="str">
        <f t="shared" si="2"/>
        <v>Yes</v>
      </c>
      <c r="T23" s="2" t="str">
        <f>IF(S23="Yes","",IF(P23="Field","Field cured, not a strength test under 3.10.6",IF(COUNTIFS(Cylinders!$D$4:$D$113,A23,Cylinders!$N$4:$N$113,"Yes")=0,"Tested outside the 20 hour tolerance of 3.10.3",IF(I23&lt;H23,"Incomplete test under 3.10.2","Set aside by the engineer of record under 3.10.7"))))</f>
        <v/>
      </c>
      <c r="U23" s="2" t="str">
        <f>IF(S23="Yes","",ROUND(AVERAGEIFS(Cylinders!$Q$4:$Q$113,Cylinders!$D$4:$D$113,A23,Cylinders!$M$4:$M$113,"&gt;="&amp;Parameters!$B$30,Cylinders!$M$4:$M$113,"&lt;="&amp;Parameters!$B$31,Cylinders!$K$4:$K$113,"No")/Parameters!$B$27,0)*Parameters!$B$27)</f>
        <v/>
      </c>
      <c r="V23" s="2" t="str">
        <f>INDEX(Samples!$M$4:$M$32,MATCH(A23,Samples!$F$4:$F$32,0))</f>
        <v>Within 2.4</v>
      </c>
    </row>
    <row r="24" spans="1:22" x14ac:dyDescent="0.2">
      <c r="A24" s="2">
        <v>772934</v>
      </c>
      <c r="B24" s="2" t="s">
        <v>372</v>
      </c>
      <c r="C24" s="2" t="str">
        <f>INDEX(Samples!$I$4:$I$32,MATCH(A24,Samples!$F$4:$F$32,0))</f>
        <v>P-19</v>
      </c>
      <c r="D24" s="2" t="str">
        <f>INDEX(Samples!$H$4:$H$32,MATCH(A24,Samples!$F$4:$F$32,0))</f>
        <v>M-6000</v>
      </c>
      <c r="E24" s="2" t="str">
        <f>INDEX(Samples!$C$4:$C$32,MATCH(A24,Samples!$F$4:$F$32,0))</f>
        <v>08/27/2026</v>
      </c>
      <c r="F24" s="2" t="str">
        <f>INDEX(Samples!$D$4:$D$32,MATCH(A24,Samples!$F$4:$F$32,0))</f>
        <v>08:14</v>
      </c>
      <c r="G24" s="2" t="str">
        <f>INDEX(Samples!$N$4:$N$32,MATCH(A24,Samples!$F$4:$F$32,0))</f>
        <v>4x8</v>
      </c>
      <c r="H24" s="2">
        <f>IF(G24="4x8",Parameters!$B$19,Parameters!$B$18)</f>
        <v>3</v>
      </c>
      <c r="I24" s="2">
        <f>COUNTIFS(Cylinders!$D$4:$D$113,A24,Cylinders!$R$4:$R$113,"Yes")</f>
        <v>3</v>
      </c>
      <c r="J24" s="2">
        <f>IF(I24=0,"",ROUND(AVERAGEIFS(Cylinders!$Q$4:$Q$113,Cylinders!$D$4:$D$113,A24,Cylinders!$R$4:$R$113,"Yes")/Parameters!$B$27,0)*Parameters!$B$27)</f>
        <v>6120</v>
      </c>
      <c r="K24" s="2">
        <f>IF(I24=0,"",_xlfn.MINIFS(Cylinders!$Q$4:$Q$113,Cylinders!$D$4:$D$113,A24,Cylinders!$R$4:$R$113,"Yes"))</f>
        <v>6090</v>
      </c>
      <c r="L24" s="2">
        <f>IF(I24=0,"",_xlfn.MAXIFS(Cylinders!$Q$4:$Q$113,Cylinders!$D$4:$D$113,A24,Cylinders!$R$4:$R$113,"Yes"))</f>
        <v>6160</v>
      </c>
      <c r="M24" s="7">
        <f t="shared" si="0"/>
        <v>1.14</v>
      </c>
      <c r="N24" s="2">
        <f>IF(G24="4x8",Parameters!$B$23,Parameters!$B$22)</f>
        <v>10.6</v>
      </c>
      <c r="O24" s="2" t="str">
        <f t="shared" si="1"/>
        <v/>
      </c>
      <c r="P24" s="2" t="str">
        <f>INDEX(Samples!$P$4:$P$32,MATCH(A24,Samples!$F$4:$F$32,0))</f>
        <v>Standard</v>
      </c>
      <c r="Q24" s="2" t="str">
        <f>INDEX(Samples!$V$4:$V$32,MATCH(A24,Samples!$F$4:$F$32,0))&amp;""</f>
        <v/>
      </c>
      <c r="R24" s="2" t="str">
        <f>INDEX(Samples!$W$4:$W$32,MATCH(A24,Samples!$F$4:$F$32,0))&amp;""</f>
        <v/>
      </c>
      <c r="S24" s="2" t="str">
        <f t="shared" si="2"/>
        <v>Yes</v>
      </c>
      <c r="T24" s="2" t="str">
        <f>IF(S24="Yes","",IF(P24="Field","Field cured, not a strength test under 3.10.6",IF(COUNTIFS(Cylinders!$D$4:$D$113,A24,Cylinders!$N$4:$N$113,"Yes")=0,"Tested outside the 20 hour tolerance of 3.10.3",IF(I24&lt;H24,"Incomplete test under 3.10.2","Set aside by the engineer of record under 3.10.7"))))</f>
        <v/>
      </c>
      <c r="U24" s="2" t="str">
        <f>IF(S24="Yes","",ROUND(AVERAGEIFS(Cylinders!$Q$4:$Q$113,Cylinders!$D$4:$D$113,A24,Cylinders!$M$4:$M$113,"&gt;="&amp;Parameters!$B$30,Cylinders!$M$4:$M$113,"&lt;="&amp;Parameters!$B$31,Cylinders!$K$4:$K$113,"No")/Parameters!$B$27,0)*Parameters!$B$27)</f>
        <v/>
      </c>
      <c r="V24" s="2" t="str">
        <f>INDEX(Samples!$M$4:$M$32,MATCH(A24,Samples!$F$4:$F$32,0))</f>
        <v>Within 2.4</v>
      </c>
    </row>
    <row r="25" spans="1:22" x14ac:dyDescent="0.2">
      <c r="A25" s="2">
        <v>773127</v>
      </c>
      <c r="B25" s="2" t="s">
        <v>321</v>
      </c>
      <c r="C25" s="2" t="str">
        <f>INDEX(Samples!$I$4:$I$32,MATCH(A25,Samples!$F$4:$F$32,0))</f>
        <v>P-20</v>
      </c>
      <c r="D25" s="2" t="str">
        <f>INDEX(Samples!$H$4:$H$32,MATCH(A25,Samples!$F$4:$F$32,0))</f>
        <v>M-4000</v>
      </c>
      <c r="E25" s="2" t="str">
        <f>INDEX(Samples!$C$4:$C$32,MATCH(A25,Samples!$F$4:$F$32,0))</f>
        <v>08/29/2026</v>
      </c>
      <c r="F25" s="2" t="str">
        <f>INDEX(Samples!$D$4:$D$32,MATCH(A25,Samples!$F$4:$F$32,0))</f>
        <v>11:32</v>
      </c>
      <c r="G25" s="2" t="str">
        <f>INDEX(Samples!$N$4:$N$32,MATCH(A25,Samples!$F$4:$F$32,0))</f>
        <v>6x12</v>
      </c>
      <c r="H25" s="2">
        <f>IF(G25="4x8",Parameters!$B$19,Parameters!$B$18)</f>
        <v>2</v>
      </c>
      <c r="I25" s="2">
        <f>COUNTIFS(Cylinders!$D$4:$D$113,A25,Cylinders!$R$4:$R$113,"Yes")</f>
        <v>0</v>
      </c>
      <c r="J25" s="2" t="str">
        <f>IF(I25=0,"",ROUND(AVERAGEIFS(Cylinders!$Q$4:$Q$113,Cylinders!$D$4:$D$113,A25,Cylinders!$R$4:$R$113,"Yes")/Parameters!$B$27,0)*Parameters!$B$27)</f>
        <v/>
      </c>
      <c r="K25" s="2" t="str">
        <f>IF(I25=0,"",_xlfn.MINIFS(Cylinders!$Q$4:$Q$113,Cylinders!$D$4:$D$113,A25,Cylinders!$R$4:$R$113,"Yes"))</f>
        <v/>
      </c>
      <c r="L25" s="2" t="str">
        <f>IF(I25=0,"",_xlfn.MAXIFS(Cylinders!$Q$4:$Q$113,Cylinders!$D$4:$D$113,A25,Cylinders!$R$4:$R$113,"Yes"))</f>
        <v/>
      </c>
      <c r="M25" s="7" t="str">
        <f t="shared" si="0"/>
        <v/>
      </c>
      <c r="N25" s="2">
        <f>IF(G25="4x8",Parameters!$B$23,Parameters!$B$22)</f>
        <v>6.6</v>
      </c>
      <c r="O25" s="2" t="str">
        <f t="shared" si="1"/>
        <v/>
      </c>
      <c r="P25" s="2" t="str">
        <f>INDEX(Samples!$P$4:$P$32,MATCH(A25,Samples!$F$4:$F$32,0))</f>
        <v>Standard</v>
      </c>
      <c r="Q25" s="2" t="str">
        <f>INDEX(Samples!$V$4:$V$32,MATCH(A25,Samples!$F$4:$F$32,0))&amp;""</f>
        <v/>
      </c>
      <c r="R25" s="2" t="str">
        <f>INDEX(Samples!$W$4:$W$32,MATCH(A25,Samples!$F$4:$F$32,0))&amp;""</f>
        <v/>
      </c>
      <c r="S25" s="2" t="str">
        <f t="shared" si="2"/>
        <v>No</v>
      </c>
      <c r="T25" s="2" t="str">
        <f>IF(S25="Yes","",IF(P25="Field","Field cured, not a strength test under 3.10.6",IF(COUNTIFS(Cylinders!$D$4:$D$113,A25,Cylinders!$N$4:$N$113,"Yes")=0,"Tested outside the 20 hour tolerance of 3.10.3",IF(I25&lt;H25,"Incomplete test under 3.10.2","Set aside by the engineer of record under 3.10.7"))))</f>
        <v>Tested outside the 20 hour tolerance of 3.10.3</v>
      </c>
      <c r="U25" s="2">
        <f>IF(S25="Yes","",ROUND(AVERAGEIFS(Cylinders!$Q$4:$Q$113,Cylinders!$D$4:$D$113,A25,Cylinders!$M$4:$M$113,"&gt;="&amp;Parameters!$B$30,Cylinders!$M$4:$M$113,"&lt;="&amp;Parameters!$B$31,Cylinders!$K$4:$K$113,"No")/Parameters!$B$27,0)*Parameters!$B$27)</f>
        <v>4300</v>
      </c>
      <c r="V25" s="2" t="str">
        <f>INDEX(Samples!$M$4:$M$32,MATCH(A25,Samples!$F$4:$F$32,0))</f>
        <v>Within 2.4</v>
      </c>
    </row>
    <row r="26" spans="1:22" x14ac:dyDescent="0.2">
      <c r="A26" s="2">
        <v>773248</v>
      </c>
      <c r="B26" s="2" t="s">
        <v>377</v>
      </c>
      <c r="C26" s="2" t="str">
        <f>INDEX(Samples!$I$4:$I$32,MATCH(A26,Samples!$F$4:$F$32,0))</f>
        <v>P-21</v>
      </c>
      <c r="D26" s="2" t="str">
        <f>INDEX(Samples!$H$4:$H$32,MATCH(A26,Samples!$F$4:$F$32,0))</f>
        <v>M-4000</v>
      </c>
      <c r="E26" s="2" t="str">
        <f>INDEX(Samples!$C$4:$C$32,MATCH(A26,Samples!$F$4:$F$32,0))</f>
        <v>08/31/2026</v>
      </c>
      <c r="F26" s="2" t="str">
        <f>INDEX(Samples!$D$4:$D$32,MATCH(A26,Samples!$F$4:$F$32,0))</f>
        <v>06:57</v>
      </c>
      <c r="G26" s="2" t="str">
        <f>INDEX(Samples!$N$4:$N$32,MATCH(A26,Samples!$F$4:$F$32,0))</f>
        <v>6x12</v>
      </c>
      <c r="H26" s="2">
        <f>IF(G26="4x8",Parameters!$B$19,Parameters!$B$18)</f>
        <v>2</v>
      </c>
      <c r="I26" s="2">
        <f>COUNTIFS(Cylinders!$D$4:$D$113,A26,Cylinders!$R$4:$R$113,"Yes")</f>
        <v>2</v>
      </c>
      <c r="J26" s="2">
        <f>IF(I26=0,"",ROUND(AVERAGEIFS(Cylinders!$Q$4:$Q$113,Cylinders!$D$4:$D$113,A26,Cylinders!$R$4:$R$113,"Yes")/Parameters!$B$27,0)*Parameters!$B$27)</f>
        <v>4200</v>
      </c>
      <c r="K26" s="2">
        <f>IF(I26=0,"",_xlfn.MINIFS(Cylinders!$Q$4:$Q$113,Cylinders!$D$4:$D$113,A26,Cylinders!$R$4:$R$113,"Yes"))</f>
        <v>4070</v>
      </c>
      <c r="L26" s="2">
        <f>IF(I26=0,"",_xlfn.MAXIFS(Cylinders!$Q$4:$Q$113,Cylinders!$D$4:$D$113,A26,Cylinders!$R$4:$R$113,"Yes"))</f>
        <v>4330</v>
      </c>
      <c r="M26" s="7">
        <f t="shared" si="0"/>
        <v>6.19</v>
      </c>
      <c r="N26" s="2">
        <f>IF(G26="4x8",Parameters!$B$23,Parameters!$B$22)</f>
        <v>6.6</v>
      </c>
      <c r="O26" s="2" t="str">
        <f t="shared" si="1"/>
        <v/>
      </c>
      <c r="P26" s="2" t="str">
        <f>INDEX(Samples!$P$4:$P$32,MATCH(A26,Samples!$F$4:$F$32,0))</f>
        <v>Standard</v>
      </c>
      <c r="Q26" s="2" t="str">
        <f>INDEX(Samples!$V$4:$V$32,MATCH(A26,Samples!$F$4:$F$32,0))&amp;""</f>
        <v/>
      </c>
      <c r="R26" s="2" t="str">
        <f>INDEX(Samples!$W$4:$W$32,MATCH(A26,Samples!$F$4:$F$32,0))&amp;""</f>
        <v/>
      </c>
      <c r="S26" s="2" t="str">
        <f t="shared" si="2"/>
        <v>Yes</v>
      </c>
      <c r="T26" s="2" t="str">
        <f>IF(S26="Yes","",IF(P26="Field","Field cured, not a strength test under 3.10.6",IF(COUNTIFS(Cylinders!$D$4:$D$113,A26,Cylinders!$N$4:$N$113,"Yes")=0,"Tested outside the 20 hour tolerance of 3.10.3",IF(I26&lt;H26,"Incomplete test under 3.10.2","Set aside by the engineer of record under 3.10.7"))))</f>
        <v/>
      </c>
      <c r="U26" s="2" t="str">
        <f>IF(S26="Yes","",ROUND(AVERAGEIFS(Cylinders!$Q$4:$Q$113,Cylinders!$D$4:$D$113,A26,Cylinders!$M$4:$M$113,"&gt;="&amp;Parameters!$B$30,Cylinders!$M$4:$M$113,"&lt;="&amp;Parameters!$B$31,Cylinders!$K$4:$K$113,"No")/Parameters!$B$27,0)*Parameters!$B$27)</f>
        <v/>
      </c>
      <c r="V26" s="2" t="str">
        <f>INDEX(Samples!$M$4:$M$32,MATCH(A26,Samples!$F$4:$F$32,0))</f>
        <v>Within 2.4</v>
      </c>
    </row>
    <row r="27" spans="1:22" x14ac:dyDescent="0.2">
      <c r="A27" s="2">
        <v>773295</v>
      </c>
      <c r="B27" s="2" t="s">
        <v>326</v>
      </c>
      <c r="C27" s="2" t="str">
        <f>INDEX(Samples!$I$4:$I$32,MATCH(A27,Samples!$F$4:$F$32,0))</f>
        <v>P-21</v>
      </c>
      <c r="D27" s="2" t="str">
        <f>INDEX(Samples!$H$4:$H$32,MATCH(A27,Samples!$F$4:$F$32,0))</f>
        <v>M-4000</v>
      </c>
      <c r="E27" s="2" t="str">
        <f>INDEX(Samples!$C$4:$C$32,MATCH(A27,Samples!$F$4:$F$32,0))</f>
        <v>08/31/2026</v>
      </c>
      <c r="F27" s="2" t="str">
        <f>INDEX(Samples!$D$4:$D$32,MATCH(A27,Samples!$F$4:$F$32,0))</f>
        <v>11:22</v>
      </c>
      <c r="G27" s="2" t="str">
        <f>INDEX(Samples!$N$4:$N$32,MATCH(A27,Samples!$F$4:$F$32,0))</f>
        <v>6x12</v>
      </c>
      <c r="H27" s="2">
        <f>IF(G27="4x8",Parameters!$B$19,Parameters!$B$18)</f>
        <v>2</v>
      </c>
      <c r="I27" s="2">
        <f>COUNTIFS(Cylinders!$D$4:$D$113,A27,Cylinders!$R$4:$R$113,"Yes")</f>
        <v>2</v>
      </c>
      <c r="J27" s="2">
        <f>IF(I27=0,"",ROUND(AVERAGEIFS(Cylinders!$Q$4:$Q$113,Cylinders!$D$4:$D$113,A27,Cylinders!$R$4:$R$113,"Yes")/Parameters!$B$27,0)*Parameters!$B$27)</f>
        <v>4300</v>
      </c>
      <c r="K27" s="2">
        <f>IF(I27=0,"",_xlfn.MINIFS(Cylinders!$Q$4:$Q$113,Cylinders!$D$4:$D$113,A27,Cylinders!$R$4:$R$113,"Yes"))</f>
        <v>4260</v>
      </c>
      <c r="L27" s="2">
        <f>IF(I27=0,"",_xlfn.MAXIFS(Cylinders!$Q$4:$Q$113,Cylinders!$D$4:$D$113,A27,Cylinders!$R$4:$R$113,"Yes"))</f>
        <v>4340</v>
      </c>
      <c r="M27" s="7">
        <f t="shared" si="0"/>
        <v>1.86</v>
      </c>
      <c r="N27" s="2">
        <f>IF(G27="4x8",Parameters!$B$23,Parameters!$B$22)</f>
        <v>6.6</v>
      </c>
      <c r="O27" s="2" t="str">
        <f t="shared" si="1"/>
        <v/>
      </c>
      <c r="P27" s="2" t="str">
        <f>INDEX(Samples!$P$4:$P$32,MATCH(A27,Samples!$F$4:$F$32,0))</f>
        <v>Standard</v>
      </c>
      <c r="Q27" s="2" t="str">
        <f>INDEX(Samples!$V$4:$V$32,MATCH(A27,Samples!$F$4:$F$32,0))&amp;""</f>
        <v/>
      </c>
      <c r="R27" s="2" t="str">
        <f>INDEX(Samples!$W$4:$W$32,MATCH(A27,Samples!$F$4:$F$32,0))&amp;""</f>
        <v/>
      </c>
      <c r="S27" s="2" t="str">
        <f t="shared" si="2"/>
        <v>Yes</v>
      </c>
      <c r="T27" s="2" t="str">
        <f>IF(S27="Yes","",IF(P27="Field","Field cured, not a strength test under 3.10.6",IF(COUNTIFS(Cylinders!$D$4:$D$113,A27,Cylinders!$N$4:$N$113,"Yes")=0,"Tested outside the 20 hour tolerance of 3.10.3",IF(I27&lt;H27,"Incomplete test under 3.10.2","Set aside by the engineer of record under 3.10.7"))))</f>
        <v/>
      </c>
      <c r="U27" s="2" t="str">
        <f>IF(S27="Yes","",ROUND(AVERAGEIFS(Cylinders!$Q$4:$Q$113,Cylinders!$D$4:$D$113,A27,Cylinders!$M$4:$M$113,"&gt;="&amp;Parameters!$B$30,Cylinders!$M$4:$M$113,"&lt;="&amp;Parameters!$B$31,Cylinders!$K$4:$K$113,"No")/Parameters!$B$27,0)*Parameters!$B$27)</f>
        <v/>
      </c>
      <c r="V27" s="2" t="str">
        <f>INDEX(Samples!$M$4:$M$32,MATCH(A27,Samples!$F$4:$F$32,0))</f>
        <v>Within 2.4</v>
      </c>
    </row>
    <row r="28" spans="1:22" x14ac:dyDescent="0.2">
      <c r="A28" s="2">
        <v>773471</v>
      </c>
      <c r="B28" s="2" t="s">
        <v>379</v>
      </c>
      <c r="C28" s="2" t="str">
        <f>INDEX(Samples!$I$4:$I$32,MATCH(A28,Samples!$F$4:$F$32,0))</f>
        <v>P-22</v>
      </c>
      <c r="D28" s="2" t="str">
        <f>INDEX(Samples!$H$4:$H$32,MATCH(A28,Samples!$F$4:$F$32,0))</f>
        <v>M-6000</v>
      </c>
      <c r="E28" s="2" t="str">
        <f>INDEX(Samples!$C$4:$C$32,MATCH(A28,Samples!$F$4:$F$32,0))</f>
        <v>09/02/2026</v>
      </c>
      <c r="F28" s="2" t="str">
        <f>INDEX(Samples!$D$4:$D$32,MATCH(A28,Samples!$F$4:$F$32,0))</f>
        <v>09:19</v>
      </c>
      <c r="G28" s="2" t="str">
        <f>INDEX(Samples!$N$4:$N$32,MATCH(A28,Samples!$F$4:$F$32,0))</f>
        <v>4x8</v>
      </c>
      <c r="H28" s="2">
        <f>IF(G28="4x8",Parameters!$B$19,Parameters!$B$18)</f>
        <v>3</v>
      </c>
      <c r="I28" s="2">
        <f>COUNTIFS(Cylinders!$D$4:$D$113,A28,Cylinders!$R$4:$R$113,"Yes")</f>
        <v>3</v>
      </c>
      <c r="J28" s="2">
        <f>IF(I28=0,"",ROUND(AVERAGEIFS(Cylinders!$Q$4:$Q$113,Cylinders!$D$4:$D$113,A28,Cylinders!$R$4:$R$113,"Yes")/Parameters!$B$27,0)*Parameters!$B$27)</f>
        <v>6060</v>
      </c>
      <c r="K28" s="2">
        <f>IF(I28=0,"",_xlfn.MINIFS(Cylinders!$Q$4:$Q$113,Cylinders!$D$4:$D$113,A28,Cylinders!$R$4:$R$113,"Yes"))</f>
        <v>6020</v>
      </c>
      <c r="L28" s="2">
        <f>IF(I28=0,"",_xlfn.MAXIFS(Cylinders!$Q$4:$Q$113,Cylinders!$D$4:$D$113,A28,Cylinders!$R$4:$R$113,"Yes"))</f>
        <v>6100</v>
      </c>
      <c r="M28" s="7">
        <f t="shared" si="0"/>
        <v>1.32</v>
      </c>
      <c r="N28" s="2">
        <f>IF(G28="4x8",Parameters!$B$23,Parameters!$B$22)</f>
        <v>10.6</v>
      </c>
      <c r="O28" s="2" t="str">
        <f t="shared" si="1"/>
        <v/>
      </c>
      <c r="P28" s="2" t="str">
        <f>INDEX(Samples!$P$4:$P$32,MATCH(A28,Samples!$F$4:$F$32,0))</f>
        <v>Standard</v>
      </c>
      <c r="Q28" s="2" t="str">
        <f>INDEX(Samples!$V$4:$V$32,MATCH(A28,Samples!$F$4:$F$32,0))&amp;""</f>
        <v/>
      </c>
      <c r="R28" s="2" t="str">
        <f>INDEX(Samples!$W$4:$W$32,MATCH(A28,Samples!$F$4:$F$32,0))&amp;""</f>
        <v/>
      </c>
      <c r="S28" s="2" t="str">
        <f t="shared" si="2"/>
        <v>Yes</v>
      </c>
      <c r="T28" s="2" t="str">
        <f>IF(S28="Yes","",IF(P28="Field","Field cured, not a strength test under 3.10.6",IF(COUNTIFS(Cylinders!$D$4:$D$113,A28,Cylinders!$N$4:$N$113,"Yes")=0,"Tested outside the 20 hour tolerance of 3.10.3",IF(I28&lt;H28,"Incomplete test under 3.10.2","Set aside by the engineer of record under 3.10.7"))))</f>
        <v/>
      </c>
      <c r="U28" s="2" t="str">
        <f>IF(S28="Yes","",ROUND(AVERAGEIFS(Cylinders!$Q$4:$Q$113,Cylinders!$D$4:$D$113,A28,Cylinders!$M$4:$M$113,"&gt;="&amp;Parameters!$B$30,Cylinders!$M$4:$M$113,"&lt;="&amp;Parameters!$B$31,Cylinders!$K$4:$K$113,"No")/Parameters!$B$27,0)*Parameters!$B$27)</f>
        <v/>
      </c>
      <c r="V28" s="2" t="str">
        <f>INDEX(Samples!$M$4:$M$32,MATCH(A28,Samples!$F$4:$F$32,0))</f>
        <v>Outside 2.4</v>
      </c>
    </row>
    <row r="29" spans="1:22" x14ac:dyDescent="0.2">
      <c r="A29" s="2">
        <v>773586</v>
      </c>
      <c r="B29" s="2" t="s">
        <v>383</v>
      </c>
      <c r="C29" s="2" t="str">
        <f>INDEX(Samples!$I$4:$I$32,MATCH(A29,Samples!$F$4:$F$32,0))</f>
        <v>P-23</v>
      </c>
      <c r="D29" s="2" t="str">
        <f>INDEX(Samples!$H$4:$H$32,MATCH(A29,Samples!$F$4:$F$32,0))</f>
        <v>M-6000</v>
      </c>
      <c r="E29" s="2" t="str">
        <f>INDEX(Samples!$C$4:$C$32,MATCH(A29,Samples!$F$4:$F$32,0))</f>
        <v>09/03/2026</v>
      </c>
      <c r="F29" s="2" t="str">
        <f>INDEX(Samples!$D$4:$D$32,MATCH(A29,Samples!$F$4:$F$32,0))</f>
        <v>08:07</v>
      </c>
      <c r="G29" s="2" t="str">
        <f>INDEX(Samples!$N$4:$N$32,MATCH(A29,Samples!$F$4:$F$32,0))</f>
        <v>4x8</v>
      </c>
      <c r="H29" s="2">
        <f>IF(G29="4x8",Parameters!$B$19,Parameters!$B$18)</f>
        <v>3</v>
      </c>
      <c r="I29" s="2">
        <f>COUNTIFS(Cylinders!$D$4:$D$113,A29,Cylinders!$R$4:$R$113,"Yes")</f>
        <v>3</v>
      </c>
      <c r="J29" s="2">
        <f>IF(I29=0,"",ROUND(AVERAGEIFS(Cylinders!$Q$4:$Q$113,Cylinders!$D$4:$D$113,A29,Cylinders!$R$4:$R$113,"Yes")/Parameters!$B$27,0)*Parameters!$B$27)</f>
        <v>5400</v>
      </c>
      <c r="K29" s="2">
        <f>IF(I29=0,"",_xlfn.MINIFS(Cylinders!$Q$4:$Q$113,Cylinders!$D$4:$D$113,A29,Cylinders!$R$4:$R$113,"Yes"))</f>
        <v>5100</v>
      </c>
      <c r="L29" s="2">
        <f>IF(I29=0,"",_xlfn.MAXIFS(Cylinders!$Q$4:$Q$113,Cylinders!$D$4:$D$113,A29,Cylinders!$R$4:$R$113,"Yes"))</f>
        <v>5720</v>
      </c>
      <c r="M29" s="7">
        <f t="shared" si="0"/>
        <v>11.48</v>
      </c>
      <c r="N29" s="2">
        <f>IF(G29="4x8",Parameters!$B$23,Parameters!$B$22)</f>
        <v>10.6</v>
      </c>
      <c r="O29" s="2" t="str">
        <f t="shared" si="1"/>
        <v>Range exceeds 3.10.4, counted</v>
      </c>
      <c r="P29" s="2" t="str">
        <f>INDEX(Samples!$P$4:$P$32,MATCH(A29,Samples!$F$4:$F$32,0))</f>
        <v>Standard</v>
      </c>
      <c r="Q29" s="2" t="str">
        <f>INDEX(Samples!$V$4:$V$32,MATCH(A29,Samples!$F$4:$F$32,0))&amp;""</f>
        <v/>
      </c>
      <c r="R29" s="2" t="str">
        <f>INDEX(Samples!$W$4:$W$32,MATCH(A29,Samples!$F$4:$F$32,0))&amp;""</f>
        <v/>
      </c>
      <c r="S29" s="2" t="str">
        <f t="shared" si="2"/>
        <v>Yes</v>
      </c>
      <c r="T29" s="2" t="str">
        <f>IF(S29="Yes","",IF(P29="Field","Field cured, not a strength test under 3.10.6",IF(COUNTIFS(Cylinders!$D$4:$D$113,A29,Cylinders!$N$4:$N$113,"Yes")=0,"Tested outside the 20 hour tolerance of 3.10.3",IF(I29&lt;H29,"Incomplete test under 3.10.2","Set aside by the engineer of record under 3.10.7"))))</f>
        <v/>
      </c>
      <c r="U29" s="2" t="str">
        <f>IF(S29="Yes","",ROUND(AVERAGEIFS(Cylinders!$Q$4:$Q$113,Cylinders!$D$4:$D$113,A29,Cylinders!$M$4:$M$113,"&gt;="&amp;Parameters!$B$30,Cylinders!$M$4:$M$113,"&lt;="&amp;Parameters!$B$31,Cylinders!$K$4:$K$113,"No")/Parameters!$B$27,0)*Parameters!$B$27)</f>
        <v/>
      </c>
      <c r="V29" s="2" t="str">
        <f>INDEX(Samples!$M$4:$M$32,MATCH(A29,Samples!$F$4:$F$32,0))</f>
        <v>Within 2.4</v>
      </c>
    </row>
    <row r="30" spans="1:22" x14ac:dyDescent="0.2">
      <c r="A30" s="2">
        <v>773902</v>
      </c>
      <c r="B30" s="2" t="s">
        <v>331</v>
      </c>
      <c r="C30" s="2" t="str">
        <f>INDEX(Samples!$I$4:$I$32,MATCH(A30,Samples!$F$4:$F$32,0))</f>
        <v>P-24</v>
      </c>
      <c r="D30" s="2" t="str">
        <f>INDEX(Samples!$H$4:$H$32,MATCH(A30,Samples!$F$4:$F$32,0))</f>
        <v>M-4000</v>
      </c>
      <c r="E30" s="2" t="str">
        <f>INDEX(Samples!$C$4:$C$32,MATCH(A30,Samples!$F$4:$F$32,0))</f>
        <v>09/08/2026</v>
      </c>
      <c r="F30" s="2" t="str">
        <f>INDEX(Samples!$D$4:$D$32,MATCH(A30,Samples!$F$4:$F$32,0))</f>
        <v>08:31</v>
      </c>
      <c r="G30" s="2" t="str">
        <f>INDEX(Samples!$N$4:$N$32,MATCH(A30,Samples!$F$4:$F$32,0))</f>
        <v>6x12</v>
      </c>
      <c r="H30" s="2">
        <f>IF(G30="4x8",Parameters!$B$19,Parameters!$B$18)</f>
        <v>2</v>
      </c>
      <c r="I30" s="2">
        <f>COUNTIFS(Cylinders!$D$4:$D$113,A30,Cylinders!$R$4:$R$113,"Yes")</f>
        <v>2</v>
      </c>
      <c r="J30" s="2">
        <f>IF(I30=0,"",ROUND(AVERAGEIFS(Cylinders!$Q$4:$Q$113,Cylinders!$D$4:$D$113,A30,Cylinders!$R$4:$R$113,"Yes")/Parameters!$B$27,0)*Parameters!$B$27)</f>
        <v>4310</v>
      </c>
      <c r="K30" s="2">
        <f>IF(I30=0,"",_xlfn.MINIFS(Cylinders!$Q$4:$Q$113,Cylinders!$D$4:$D$113,A30,Cylinders!$R$4:$R$113,"Yes"))</f>
        <v>4270</v>
      </c>
      <c r="L30" s="2">
        <f>IF(I30=0,"",_xlfn.MAXIFS(Cylinders!$Q$4:$Q$113,Cylinders!$D$4:$D$113,A30,Cylinders!$R$4:$R$113,"Yes"))</f>
        <v>4350</v>
      </c>
      <c r="M30" s="7">
        <f t="shared" si="0"/>
        <v>1.86</v>
      </c>
      <c r="N30" s="2">
        <f>IF(G30="4x8",Parameters!$B$23,Parameters!$B$22)</f>
        <v>6.6</v>
      </c>
      <c r="O30" s="2" t="str">
        <f t="shared" si="1"/>
        <v/>
      </c>
      <c r="P30" s="2" t="str">
        <f>INDEX(Samples!$P$4:$P$32,MATCH(A30,Samples!$F$4:$F$32,0))</f>
        <v>Standard</v>
      </c>
      <c r="Q30" s="2" t="str">
        <f>INDEX(Samples!$V$4:$V$32,MATCH(A30,Samples!$F$4:$F$32,0))&amp;""</f>
        <v>Initial curing temperature outside 60 to 80 F</v>
      </c>
      <c r="R30" s="2" t="str">
        <f>INDEX(Samples!$W$4:$W$32,MATCH(A30,Samples!$F$4:$F$32,0))&amp;""</f>
        <v/>
      </c>
      <c r="S30" s="2" t="str">
        <f t="shared" si="2"/>
        <v>Yes</v>
      </c>
      <c r="T30" s="2" t="str">
        <f>IF(S30="Yes","",IF(P30="Field","Field cured, not a strength test under 3.10.6",IF(COUNTIFS(Cylinders!$D$4:$D$113,A30,Cylinders!$N$4:$N$113,"Yes")=0,"Tested outside the 20 hour tolerance of 3.10.3",IF(I30&lt;H30,"Incomplete test under 3.10.2","Set aside by the engineer of record under 3.10.7"))))</f>
        <v/>
      </c>
      <c r="U30" s="2" t="str">
        <f>IF(S30="Yes","",ROUND(AVERAGEIFS(Cylinders!$Q$4:$Q$113,Cylinders!$D$4:$D$113,A30,Cylinders!$M$4:$M$113,"&gt;="&amp;Parameters!$B$30,Cylinders!$M$4:$M$113,"&lt;="&amp;Parameters!$B$31,Cylinders!$K$4:$K$113,"No")/Parameters!$B$27,0)*Parameters!$B$27)</f>
        <v/>
      </c>
      <c r="V30" s="2" t="str">
        <f>INDEX(Samples!$M$4:$M$32,MATCH(A30,Samples!$F$4:$F$32,0))</f>
        <v>Within 2.4</v>
      </c>
    </row>
    <row r="31" spans="1:22" x14ac:dyDescent="0.2">
      <c r="A31" s="2">
        <v>774119</v>
      </c>
      <c r="B31" s="2" t="s">
        <v>388</v>
      </c>
      <c r="C31" s="2" t="str">
        <f>INDEX(Samples!$I$4:$I$32,MATCH(A31,Samples!$F$4:$F$32,0))</f>
        <v>P-26</v>
      </c>
      <c r="D31" s="2" t="str">
        <f>INDEX(Samples!$H$4:$H$32,MATCH(A31,Samples!$F$4:$F$32,0))</f>
        <v>M-6000</v>
      </c>
      <c r="E31" s="2" t="str">
        <f>INDEX(Samples!$C$4:$C$32,MATCH(A31,Samples!$F$4:$F$32,0))</f>
        <v>09/10/2026</v>
      </c>
      <c r="F31" s="2" t="str">
        <f>INDEX(Samples!$D$4:$D$32,MATCH(A31,Samples!$F$4:$F$32,0))</f>
        <v>12:52</v>
      </c>
      <c r="G31" s="2" t="str">
        <f>INDEX(Samples!$N$4:$N$32,MATCH(A31,Samples!$F$4:$F$32,0))</f>
        <v>4x8</v>
      </c>
      <c r="H31" s="2">
        <f>IF(G31="4x8",Parameters!$B$19,Parameters!$B$18)</f>
        <v>3</v>
      </c>
      <c r="I31" s="2">
        <f>COUNTIFS(Cylinders!$D$4:$D$113,A31,Cylinders!$R$4:$R$113,"Yes")</f>
        <v>3</v>
      </c>
      <c r="J31" s="2">
        <f>IF(I31=0,"",ROUND(AVERAGEIFS(Cylinders!$Q$4:$Q$113,Cylinders!$D$4:$D$113,A31,Cylinders!$R$4:$R$113,"Yes")/Parameters!$B$27,0)*Parameters!$B$27)</f>
        <v>6230</v>
      </c>
      <c r="K31" s="2">
        <f>IF(I31=0,"",_xlfn.MINIFS(Cylinders!$Q$4:$Q$113,Cylinders!$D$4:$D$113,A31,Cylinders!$R$4:$R$113,"Yes"))</f>
        <v>6180</v>
      </c>
      <c r="L31" s="2">
        <f>IF(I31=0,"",_xlfn.MAXIFS(Cylinders!$Q$4:$Q$113,Cylinders!$D$4:$D$113,A31,Cylinders!$R$4:$R$113,"Yes"))</f>
        <v>6270</v>
      </c>
      <c r="M31" s="7">
        <f t="shared" si="0"/>
        <v>1.44</v>
      </c>
      <c r="N31" s="2">
        <f>IF(G31="4x8",Parameters!$B$23,Parameters!$B$22)</f>
        <v>10.6</v>
      </c>
      <c r="O31" s="2" t="str">
        <f t="shared" si="1"/>
        <v/>
      </c>
      <c r="P31" s="2" t="str">
        <f>INDEX(Samples!$P$4:$P$32,MATCH(A31,Samples!$F$4:$F$32,0))</f>
        <v>Standard</v>
      </c>
      <c r="Q31" s="2" t="str">
        <f>INDEX(Samples!$V$4:$V$32,MATCH(A31,Samples!$F$4:$F$32,0))&amp;""</f>
        <v/>
      </c>
      <c r="R31" s="2" t="str">
        <f>INDEX(Samples!$W$4:$W$32,MATCH(A31,Samples!$F$4:$F$32,0))&amp;""</f>
        <v/>
      </c>
      <c r="S31" s="2" t="str">
        <f t="shared" si="2"/>
        <v>Yes</v>
      </c>
      <c r="T31" s="2" t="str">
        <f>IF(S31="Yes","",IF(P31="Field","Field cured, not a strength test under 3.10.6",IF(COUNTIFS(Cylinders!$D$4:$D$113,A31,Cylinders!$N$4:$N$113,"Yes")=0,"Tested outside the 20 hour tolerance of 3.10.3",IF(I31&lt;H31,"Incomplete test under 3.10.2","Set aside by the engineer of record under 3.10.7"))))</f>
        <v/>
      </c>
      <c r="U31" s="2" t="str">
        <f>IF(S31="Yes","",ROUND(AVERAGEIFS(Cylinders!$Q$4:$Q$113,Cylinders!$D$4:$D$113,A31,Cylinders!$M$4:$M$113,"&gt;="&amp;Parameters!$B$30,Cylinders!$M$4:$M$113,"&lt;="&amp;Parameters!$B$31,Cylinders!$K$4:$K$113,"No")/Parameters!$B$27,0)*Parameters!$B$27)</f>
        <v/>
      </c>
      <c r="V31" s="2" t="str">
        <f>INDEX(Samples!$M$4:$M$32,MATCH(A31,Samples!$F$4:$F$32,0))</f>
        <v>Within 2.4</v>
      </c>
    </row>
    <row r="33" spans="1:4" x14ac:dyDescent="0.2">
      <c r="A33" s="2" t="s">
        <v>643</v>
      </c>
      <c r="D33" s="2">
        <f>COUNTA(A4:A31)</f>
        <v>28</v>
      </c>
    </row>
    <row r="34" spans="1:4" x14ac:dyDescent="0.2">
      <c r="A34" s="2" t="s">
        <v>29</v>
      </c>
      <c r="D34" s="2">
        <f>COUNTIF(O4:O31,"Range*")</f>
        <v>2</v>
      </c>
    </row>
    <row r="35" spans="1:4" x14ac:dyDescent="0.2">
      <c r="A35" s="2" t="s">
        <v>31</v>
      </c>
      <c r="D35" s="2">
        <f>COUNTIFS(S4:S31,"Yes",Q4:Q31,"Initial*")</f>
        <v>3</v>
      </c>
    </row>
    <row r="36" spans="1:4" x14ac:dyDescent="0.2">
      <c r="A36" s="2" t="s">
        <v>32</v>
      </c>
      <c r="D36" s="2">
        <f>COUNTIF(V4:V31,"Outside*")</f>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4"/>
  <sheetViews>
    <sheetView workbookViewId="0"/>
  </sheetViews>
  <sheetFormatPr baseColWidth="10" defaultColWidth="8.83203125" defaultRowHeight="15" x14ac:dyDescent="0.2"/>
  <cols>
    <col min="1" max="1" width="52" customWidth="1"/>
    <col min="2" max="2" width="22" customWidth="1"/>
    <col min="3" max="3" width="11" customWidth="1"/>
    <col min="4" max="4" width="12" customWidth="1"/>
    <col min="5" max="5" width="9" customWidth="1"/>
    <col min="6" max="7" width="12" customWidth="1"/>
    <col min="8" max="8" width="13" customWidth="1"/>
    <col min="9" max="9" width="12" customWidth="1"/>
    <col min="10" max="10" width="58" customWidth="1"/>
    <col min="11" max="12" width="9" customWidth="1"/>
  </cols>
  <sheetData>
    <row r="1" spans="1:12" ht="17" x14ac:dyDescent="0.2">
      <c r="A1" s="1" t="s">
        <v>644</v>
      </c>
    </row>
    <row r="3" spans="1:12" ht="32" x14ac:dyDescent="0.2">
      <c r="A3" s="3" t="s">
        <v>240</v>
      </c>
      <c r="B3" s="3" t="s">
        <v>630</v>
      </c>
      <c r="C3" s="3" t="s">
        <v>100</v>
      </c>
      <c r="D3" s="3" t="s">
        <v>237</v>
      </c>
      <c r="E3" s="3" t="s">
        <v>238</v>
      </c>
      <c r="F3" s="3" t="s">
        <v>633</v>
      </c>
      <c r="G3" s="3" t="s">
        <v>645</v>
      </c>
      <c r="H3" s="3" t="s">
        <v>646</v>
      </c>
      <c r="I3" s="3" t="s">
        <v>647</v>
      </c>
      <c r="J3" s="3" t="s">
        <v>648</v>
      </c>
      <c r="K3" s="3" t="s">
        <v>649</v>
      </c>
      <c r="L3" s="3" t="s">
        <v>650</v>
      </c>
    </row>
    <row r="4" spans="1:12" x14ac:dyDescent="0.2">
      <c r="A4" s="2" t="s">
        <v>651</v>
      </c>
      <c r="B4" s="2" t="s">
        <v>652</v>
      </c>
      <c r="D4" s="2" t="s">
        <v>653</v>
      </c>
      <c r="F4" s="2">
        <v>4310</v>
      </c>
      <c r="J4" s="2" t="s">
        <v>654</v>
      </c>
      <c r="K4" s="2">
        <f>COUNT($F$4:F4)</f>
        <v>1</v>
      </c>
    </row>
    <row r="5" spans="1:12" x14ac:dyDescent="0.2">
      <c r="A5" s="2" t="s">
        <v>651</v>
      </c>
      <c r="B5" s="2" t="s">
        <v>655</v>
      </c>
      <c r="D5" s="2" t="s">
        <v>656</v>
      </c>
      <c r="F5" s="2">
        <v>4150</v>
      </c>
      <c r="J5" s="2" t="s">
        <v>654</v>
      </c>
      <c r="K5" s="2">
        <f>COUNT($F$4:F5)</f>
        <v>2</v>
      </c>
    </row>
    <row r="6" spans="1:12" x14ac:dyDescent="0.2">
      <c r="A6" s="2">
        <v>770418</v>
      </c>
      <c r="B6" s="2" t="str">
        <f>INDEX(Tests!$B$4:$B$31,MATCH(A6,Tests!$A$4:$A$31,0))</f>
        <v>S-101</v>
      </c>
      <c r="C6" s="2" t="str">
        <f>INDEX(Tests!$C$4:$C$31,MATCH(A6,Tests!$A$4:$A$31,0))</f>
        <v>P-01</v>
      </c>
      <c r="D6" s="2" t="str">
        <f>INDEX(Tests!$E$4:$E$31,MATCH(A6,Tests!$A$4:$A$31,0))</f>
        <v>08/03/2026</v>
      </c>
      <c r="E6" s="2" t="str">
        <f>INDEX(Tests!$F$4:$F$31,MATCH(A6,Tests!$A$4:$A$31,0))</f>
        <v>07:23</v>
      </c>
      <c r="F6" s="2">
        <f>IF(INDEX(Tests!$S$4:$S$31,MATCH(A6,Tests!$A$4:$A$31,0))="Yes",INDEX(Tests!$J$4:$J$31,MATCH(A6,Tests!$A$4:$A$31,0)),"")</f>
        <v>4250</v>
      </c>
      <c r="G6" s="10">
        <f t="shared" ref="G6:G23" si="0">IF(F6="","",ROUND((F6+INDEX($F$4:$F$23,MATCH(K6-1,$K$4:$K$23,0))+INDEX($F$4:$F$23,MATCH(K6-2,$K$4:$K$23,0)))/3,1))</f>
        <v>4236.7</v>
      </c>
      <c r="H6" s="2" t="str">
        <f>IF(G6="","",IF(G6&gt;=Parameters!$B$4,"Meets","Below f'c"))</f>
        <v>Meets</v>
      </c>
      <c r="I6" s="2" t="str">
        <f>IF(F6="","",IF(F6&gt;=Parameters!$B$4-Parameters!$B$5,"Meets","Fails"))</f>
        <v>Meets</v>
      </c>
      <c r="J6" s="2" t="str">
        <f>IF(F6="","Not used: "&amp;INDEX(Tests!$T$4:$T$31,MATCH(A6,Tests!$A$4:$A$31,0)),TRIM(INDEX(Tests!$O$4:$O$31,MATCH(A6,Tests!$A$4:$A$31,0))&amp;" "&amp;INDEX(Tests!$Q$4:$Q$31,MATCH(A6,Tests!$A$4:$A$31,0))))</f>
        <v/>
      </c>
      <c r="K6" s="2">
        <f>IF(F6="","",COUNT($F$4:F6))</f>
        <v>3</v>
      </c>
      <c r="L6" s="2" t="str">
        <f>IF(I6="Fails",COUNTIF($I$6:I6,"Fails"),"")</f>
        <v/>
      </c>
    </row>
    <row r="7" spans="1:12" x14ac:dyDescent="0.2">
      <c r="A7" s="2">
        <v>770653</v>
      </c>
      <c r="B7" s="2" t="str">
        <f>INDEX(Tests!$B$4:$B$31,MATCH(A7,Tests!$A$4:$A$31,0))</f>
        <v>S-102</v>
      </c>
      <c r="C7" s="2" t="str">
        <f>INDEX(Tests!$C$4:$C$31,MATCH(A7,Tests!$A$4:$A$31,0))</f>
        <v>P-02</v>
      </c>
      <c r="D7" s="2" t="str">
        <f>INDEX(Tests!$E$4:$E$31,MATCH(A7,Tests!$A$4:$A$31,0))</f>
        <v>08/05/2026</v>
      </c>
      <c r="E7" s="2" t="str">
        <f>INDEX(Tests!$F$4:$F$31,MATCH(A7,Tests!$A$4:$A$31,0))</f>
        <v>08:12</v>
      </c>
      <c r="F7" s="2">
        <f>IF(INDEX(Tests!$S$4:$S$31,MATCH(A7,Tests!$A$4:$A$31,0))="Yes",INDEX(Tests!$J$4:$J$31,MATCH(A7,Tests!$A$4:$A$31,0)),"")</f>
        <v>4430</v>
      </c>
      <c r="G7" s="10">
        <f t="shared" si="0"/>
        <v>4276.7</v>
      </c>
      <c r="H7" s="2" t="str">
        <f>IF(G7="","",IF(G7&gt;=Parameters!$B$4,"Meets","Below f'c"))</f>
        <v>Meets</v>
      </c>
      <c r="I7" s="2" t="str">
        <f>IF(F7="","",IF(F7&gt;=Parameters!$B$4-Parameters!$B$5,"Meets","Fails"))</f>
        <v>Meets</v>
      </c>
      <c r="J7" s="2" t="str">
        <f>IF(F7="","Not used: "&amp;INDEX(Tests!$T$4:$T$31,MATCH(A7,Tests!$A$4:$A$31,0)),TRIM(INDEX(Tests!$O$4:$O$31,MATCH(A7,Tests!$A$4:$A$31,0))&amp;" "&amp;INDEX(Tests!$Q$4:$Q$31,MATCH(A7,Tests!$A$4:$A$31,0))))</f>
        <v/>
      </c>
      <c r="K7" s="2">
        <f>IF(F7="","",COUNT($F$4:F7))</f>
        <v>4</v>
      </c>
      <c r="L7" s="2" t="str">
        <f>IF(I7="Fails",COUNTIF($I$6:I7,"Fails"),"")</f>
        <v/>
      </c>
    </row>
    <row r="8" spans="1:12" x14ac:dyDescent="0.2">
      <c r="A8" s="2">
        <v>771106</v>
      </c>
      <c r="B8" s="2" t="str">
        <f>INDEX(Tests!$B$4:$B$31,MATCH(A8,Tests!$A$4:$A$31,0))</f>
        <v>S-103</v>
      </c>
      <c r="C8" s="2" t="str">
        <f>INDEX(Tests!$C$4:$C$31,MATCH(A8,Tests!$A$4:$A$31,0))</f>
        <v>P-05</v>
      </c>
      <c r="D8" s="2" t="str">
        <f>INDEX(Tests!$E$4:$E$31,MATCH(A8,Tests!$A$4:$A$31,0))</f>
        <v>08/10/2026</v>
      </c>
      <c r="E8" s="2" t="str">
        <f>INDEX(Tests!$F$4:$F$31,MATCH(A8,Tests!$A$4:$A$31,0))</f>
        <v>06:52</v>
      </c>
      <c r="F8" s="2" t="str">
        <f>IF(INDEX(Tests!$S$4:$S$31,MATCH(A8,Tests!$A$4:$A$31,0))="Yes",INDEX(Tests!$J$4:$J$31,MATCH(A8,Tests!$A$4:$A$31,0)),"")</f>
        <v/>
      </c>
      <c r="G8" s="10" t="str">
        <f t="shared" si="0"/>
        <v/>
      </c>
      <c r="H8" s="2" t="str">
        <f>IF(G8="","",IF(G8&gt;=Parameters!$B$4,"Meets","Below f'c"))</f>
        <v/>
      </c>
      <c r="I8" s="2" t="str">
        <f>IF(F8="","",IF(F8&gt;=Parameters!$B$4-Parameters!$B$5,"Meets","Fails"))</f>
        <v/>
      </c>
      <c r="J8" s="2" t="str">
        <f>IF(F8="","Not used: "&amp;INDEX(Tests!$T$4:$T$31,MATCH(A8,Tests!$A$4:$A$31,0)),TRIM(INDEX(Tests!$O$4:$O$31,MATCH(A8,Tests!$A$4:$A$31,0))&amp;" "&amp;INDEX(Tests!$Q$4:$Q$31,MATCH(A8,Tests!$A$4:$A$31,0))))</f>
        <v>Not used: Tested outside the 20 hour tolerance of 3.10.3</v>
      </c>
      <c r="K8" s="2" t="str">
        <f>IF(F8="","",COUNT($F$4:F8))</f>
        <v/>
      </c>
      <c r="L8" s="2" t="str">
        <f>IF(I8="Fails",COUNTIF($I$6:I8,"Fails"),"")</f>
        <v/>
      </c>
    </row>
    <row r="9" spans="1:12" x14ac:dyDescent="0.2">
      <c r="A9" s="2">
        <v>771131</v>
      </c>
      <c r="B9" s="2" t="str">
        <f>INDEX(Tests!$B$4:$B$31,MATCH(A9,Tests!$A$4:$A$31,0))</f>
        <v>S-104</v>
      </c>
      <c r="C9" s="2" t="str">
        <f>INDEX(Tests!$C$4:$C$31,MATCH(A9,Tests!$A$4:$A$31,0))</f>
        <v>P-05</v>
      </c>
      <c r="D9" s="2" t="str">
        <f>INDEX(Tests!$E$4:$E$31,MATCH(A9,Tests!$A$4:$A$31,0))</f>
        <v>08/10/2026</v>
      </c>
      <c r="E9" s="2" t="str">
        <f>INDEX(Tests!$F$4:$F$31,MATCH(A9,Tests!$A$4:$A$31,0))</f>
        <v>10:18</v>
      </c>
      <c r="F9" s="2" t="str">
        <f>IF(INDEX(Tests!$S$4:$S$31,MATCH(A9,Tests!$A$4:$A$31,0))="Yes",INDEX(Tests!$J$4:$J$31,MATCH(A9,Tests!$A$4:$A$31,0)),"")</f>
        <v/>
      </c>
      <c r="G9" s="10" t="str">
        <f t="shared" si="0"/>
        <v/>
      </c>
      <c r="H9" s="2" t="str">
        <f>IF(G9="","",IF(G9&gt;=Parameters!$B$4,"Meets","Below f'c"))</f>
        <v/>
      </c>
      <c r="I9" s="2" t="str">
        <f>IF(F9="","",IF(F9&gt;=Parameters!$B$4-Parameters!$B$5,"Meets","Fails"))</f>
        <v/>
      </c>
      <c r="J9" s="2" t="str">
        <f>IF(F9="","Not used: "&amp;INDEX(Tests!$T$4:$T$31,MATCH(A9,Tests!$A$4:$A$31,0)),TRIM(INDEX(Tests!$O$4:$O$31,MATCH(A9,Tests!$A$4:$A$31,0))&amp;" "&amp;INDEX(Tests!$Q$4:$Q$31,MATCH(A9,Tests!$A$4:$A$31,0))))</f>
        <v>Not used: Tested outside the 20 hour tolerance of 3.10.3</v>
      </c>
      <c r="K9" s="2" t="str">
        <f>IF(F9="","",COUNT($F$4:F9))</f>
        <v/>
      </c>
      <c r="L9" s="2" t="str">
        <f>IF(I9="Fails",COUNTIF($I$6:I9,"Fails"),"")</f>
        <v/>
      </c>
    </row>
    <row r="10" spans="1:12" x14ac:dyDescent="0.2">
      <c r="A10" s="2">
        <v>771163</v>
      </c>
      <c r="B10" s="2" t="str">
        <f>INDEX(Tests!$B$4:$B$31,MATCH(A10,Tests!$A$4:$A$31,0))</f>
        <v>S-202</v>
      </c>
      <c r="C10" s="2" t="str">
        <f>INDEX(Tests!$C$4:$C$31,MATCH(A10,Tests!$A$4:$A$31,0))</f>
        <v>P-05</v>
      </c>
      <c r="D10" s="2" t="str">
        <f>INDEX(Tests!$E$4:$E$31,MATCH(A10,Tests!$A$4:$A$31,0))</f>
        <v>08/10/2026</v>
      </c>
      <c r="E10" s="2" t="str">
        <f>INDEX(Tests!$F$4:$F$31,MATCH(A10,Tests!$A$4:$A$31,0))</f>
        <v>14:37</v>
      </c>
      <c r="F10" s="2">
        <f>IF(INDEX(Tests!$S$4:$S$31,MATCH(A10,Tests!$A$4:$A$31,0))="Yes",INDEX(Tests!$J$4:$J$31,MATCH(A10,Tests!$A$4:$A$31,0)),"")</f>
        <v>3460</v>
      </c>
      <c r="G10" s="10">
        <f t="shared" si="0"/>
        <v>4046.7</v>
      </c>
      <c r="H10" s="2" t="str">
        <f>IF(G10="","",IF(G10&gt;=Parameters!$B$4,"Meets","Below f'c"))</f>
        <v>Meets</v>
      </c>
      <c r="I10" s="2" t="str">
        <f>IF(F10="","",IF(F10&gt;=Parameters!$B$4-Parameters!$B$5,"Meets","Fails"))</f>
        <v>Fails</v>
      </c>
      <c r="J10" s="2" t="str">
        <f>IF(F10="","Not used: "&amp;INDEX(Tests!$T$4:$T$31,MATCH(A10,Tests!$A$4:$A$31,0)),TRIM(INDEX(Tests!$O$4:$O$31,MATCH(A10,Tests!$A$4:$A$31,0))&amp;" "&amp;INDEX(Tests!$Q$4:$Q$31,MATCH(A10,Tests!$A$4:$A$31,0))))</f>
        <v/>
      </c>
      <c r="K10" s="2">
        <f>IF(F10="","",COUNT($F$4:F10))</f>
        <v>5</v>
      </c>
      <c r="L10" s="2">
        <f>IF(I10="Fails",COUNTIF($I$6:I10,"Fails"),"")</f>
        <v>1</v>
      </c>
    </row>
    <row r="11" spans="1:12" x14ac:dyDescent="0.2">
      <c r="A11" s="2">
        <v>771342</v>
      </c>
      <c r="B11" s="2" t="str">
        <f>INDEX(Tests!$B$4:$B$31,MATCH(A11,Tests!$A$4:$A$31,0))</f>
        <v>S-105</v>
      </c>
      <c r="C11" s="2" t="str">
        <f>INDEX(Tests!$C$4:$C$31,MATCH(A11,Tests!$A$4:$A$31,0))</f>
        <v>P-06</v>
      </c>
      <c r="D11" s="2" t="str">
        <f>INDEX(Tests!$E$4:$E$31,MATCH(A11,Tests!$A$4:$A$31,0))</f>
        <v>08/12/2026</v>
      </c>
      <c r="E11" s="2" t="str">
        <f>INDEX(Tests!$F$4:$F$31,MATCH(A11,Tests!$A$4:$A$31,0))</f>
        <v>07:38</v>
      </c>
      <c r="F11" s="2">
        <f>IF(INDEX(Tests!$S$4:$S$31,MATCH(A11,Tests!$A$4:$A$31,0))="Yes",INDEX(Tests!$J$4:$J$31,MATCH(A11,Tests!$A$4:$A$31,0)),"")</f>
        <v>3480</v>
      </c>
      <c r="G11" s="10">
        <f t="shared" si="0"/>
        <v>3790</v>
      </c>
      <c r="H11" s="2" t="str">
        <f>IF(G11="","",IF(G11&gt;=Parameters!$B$4,"Meets","Below f'c"))</f>
        <v>Below f'c</v>
      </c>
      <c r="I11" s="2" t="str">
        <f>IF(F11="","",IF(F11&gt;=Parameters!$B$4-Parameters!$B$5,"Meets","Fails"))</f>
        <v>Fails</v>
      </c>
      <c r="J11" s="2" t="str">
        <f>IF(F11="","Not used: "&amp;INDEX(Tests!$T$4:$T$31,MATCH(A11,Tests!$A$4:$A$31,0)),TRIM(INDEX(Tests!$O$4:$O$31,MATCH(A11,Tests!$A$4:$A$31,0))&amp;" "&amp;INDEX(Tests!$Q$4:$Q$31,MATCH(A11,Tests!$A$4:$A$31,0))))</f>
        <v>Range exceeds 3.10.4, counted</v>
      </c>
      <c r="K11" s="2">
        <f>IF(F11="","",COUNT($F$4:F11))</f>
        <v>6</v>
      </c>
      <c r="L11" s="2">
        <f>IF(I11="Fails",COUNTIF($I$6:I11,"Fails"),"")</f>
        <v>2</v>
      </c>
    </row>
    <row r="12" spans="1:12" x14ac:dyDescent="0.2">
      <c r="A12" s="2">
        <v>771587</v>
      </c>
      <c r="B12" s="2" t="str">
        <f>INDEX(Tests!$B$4:$B$31,MATCH(A12,Tests!$A$4:$A$31,0))</f>
        <v>S-106</v>
      </c>
      <c r="C12" s="2" t="str">
        <f>INDEX(Tests!$C$4:$C$31,MATCH(A12,Tests!$A$4:$A$31,0))</f>
        <v>P-08</v>
      </c>
      <c r="D12" s="2" t="str">
        <f>INDEX(Tests!$E$4:$E$31,MATCH(A12,Tests!$A$4:$A$31,0))</f>
        <v>08/14/2026</v>
      </c>
      <c r="E12" s="2" t="str">
        <f>INDEX(Tests!$F$4:$F$31,MATCH(A12,Tests!$A$4:$A$31,0))</f>
        <v>07:17</v>
      </c>
      <c r="F12" s="2">
        <f>IF(INDEX(Tests!$S$4:$S$31,MATCH(A12,Tests!$A$4:$A$31,0))="Yes",INDEX(Tests!$J$4:$J$31,MATCH(A12,Tests!$A$4:$A$31,0)),"")</f>
        <v>4180</v>
      </c>
      <c r="G12" s="10">
        <f t="shared" si="0"/>
        <v>3706.7</v>
      </c>
      <c r="H12" s="2" t="str">
        <f>IF(G12="","",IF(G12&gt;=Parameters!$B$4,"Meets","Below f'c"))</f>
        <v>Below f'c</v>
      </c>
      <c r="I12" s="2" t="str">
        <f>IF(F12="","",IF(F12&gt;=Parameters!$B$4-Parameters!$B$5,"Meets","Fails"))</f>
        <v>Meets</v>
      </c>
      <c r="J12" s="2" t="str">
        <f>IF(F12="","Not used: "&amp;INDEX(Tests!$T$4:$T$31,MATCH(A12,Tests!$A$4:$A$31,0)),TRIM(INDEX(Tests!$O$4:$O$31,MATCH(A12,Tests!$A$4:$A$31,0))&amp;" "&amp;INDEX(Tests!$Q$4:$Q$31,MATCH(A12,Tests!$A$4:$A$31,0))))</f>
        <v>Initial curing period over 48 hours</v>
      </c>
      <c r="K12" s="2">
        <f>IF(F12="","",COUNT($F$4:F12))</f>
        <v>7</v>
      </c>
      <c r="L12" s="2" t="str">
        <f>IF(I12="Fails",COUNTIF($I$6:I12,"Fails"),"")</f>
        <v/>
      </c>
    </row>
    <row r="13" spans="1:12" x14ac:dyDescent="0.2">
      <c r="A13" s="2">
        <v>771604</v>
      </c>
      <c r="B13" s="2" t="str">
        <f>INDEX(Tests!$B$4:$B$31,MATCH(A13,Tests!$A$4:$A$31,0))</f>
        <v>S-107</v>
      </c>
      <c r="C13" s="2" t="str">
        <f>INDEX(Tests!$C$4:$C$31,MATCH(A13,Tests!$A$4:$A$31,0))</f>
        <v>P-08</v>
      </c>
      <c r="D13" s="2" t="str">
        <f>INDEX(Tests!$E$4:$E$31,MATCH(A13,Tests!$A$4:$A$31,0))</f>
        <v>08/14/2026</v>
      </c>
      <c r="E13" s="2" t="str">
        <f>INDEX(Tests!$F$4:$F$31,MATCH(A13,Tests!$A$4:$A$31,0))</f>
        <v>09:48</v>
      </c>
      <c r="F13" s="2" t="str">
        <f>IF(INDEX(Tests!$S$4:$S$31,MATCH(A13,Tests!$A$4:$A$31,0))="Yes",INDEX(Tests!$J$4:$J$31,MATCH(A13,Tests!$A$4:$A$31,0)),"")</f>
        <v/>
      </c>
      <c r="G13" s="10" t="str">
        <f t="shared" si="0"/>
        <v/>
      </c>
      <c r="H13" s="2" t="str">
        <f>IF(G13="","",IF(G13&gt;=Parameters!$B$4,"Meets","Below f'c"))</f>
        <v/>
      </c>
      <c r="I13" s="2" t="str">
        <f>IF(F13="","",IF(F13&gt;=Parameters!$B$4-Parameters!$B$5,"Meets","Fails"))</f>
        <v/>
      </c>
      <c r="J13" s="2" t="str">
        <f>IF(F13="","Not used: "&amp;INDEX(Tests!$T$4:$T$31,MATCH(A13,Tests!$A$4:$A$31,0)),TRIM(INDEX(Tests!$O$4:$O$31,MATCH(A13,Tests!$A$4:$A$31,0))&amp;" "&amp;INDEX(Tests!$Q$4:$Q$31,MATCH(A13,Tests!$A$4:$A$31,0))))</f>
        <v>Not used: Field cured, not a strength test under 3.10.6</v>
      </c>
      <c r="K13" s="2" t="str">
        <f>IF(F13="","",COUNT($F$4:F13))</f>
        <v/>
      </c>
      <c r="L13" s="2" t="str">
        <f>IF(I13="Fails",COUNTIF($I$6:I13,"Fails"),"")</f>
        <v/>
      </c>
    </row>
    <row r="14" spans="1:12" x14ac:dyDescent="0.2">
      <c r="A14" s="2">
        <v>771688</v>
      </c>
      <c r="B14" s="2" t="str">
        <f>INDEX(Tests!$B$4:$B$31,MATCH(A14,Tests!$A$4:$A$31,0))</f>
        <v>S-108</v>
      </c>
      <c r="C14" s="2" t="str">
        <f>INDEX(Tests!$C$4:$C$31,MATCH(A14,Tests!$A$4:$A$31,0))</f>
        <v>P-09</v>
      </c>
      <c r="D14" s="2" t="str">
        <f>INDEX(Tests!$E$4:$E$31,MATCH(A14,Tests!$A$4:$A$31,0))</f>
        <v>08/15/2026</v>
      </c>
      <c r="E14" s="2" t="str">
        <f>INDEX(Tests!$F$4:$F$31,MATCH(A14,Tests!$A$4:$A$31,0))</f>
        <v>06:43</v>
      </c>
      <c r="F14" s="2">
        <f>IF(INDEX(Tests!$S$4:$S$31,MATCH(A14,Tests!$A$4:$A$31,0))="Yes",INDEX(Tests!$J$4:$J$31,MATCH(A14,Tests!$A$4:$A$31,0)),"")</f>
        <v>4340</v>
      </c>
      <c r="G14" s="10">
        <f t="shared" si="0"/>
        <v>4000</v>
      </c>
      <c r="H14" s="2" t="str">
        <f>IF(G14="","",IF(G14&gt;=Parameters!$B$4,"Meets","Below f'c"))</f>
        <v>Meets</v>
      </c>
      <c r="I14" s="2" t="str">
        <f>IF(F14="","",IF(F14&gt;=Parameters!$B$4-Parameters!$B$5,"Meets","Fails"))</f>
        <v>Meets</v>
      </c>
      <c r="J14" s="2" t="str">
        <f>IF(F14="","Not used: "&amp;INDEX(Tests!$T$4:$T$31,MATCH(A14,Tests!$A$4:$A$31,0)),TRIM(INDEX(Tests!$O$4:$O$31,MATCH(A14,Tests!$A$4:$A$31,0))&amp;" "&amp;INDEX(Tests!$Q$4:$Q$31,MATCH(A14,Tests!$A$4:$A$31,0))))</f>
        <v/>
      </c>
      <c r="K14" s="2">
        <f>IF(F14="","",COUNT($F$4:F14))</f>
        <v>8</v>
      </c>
      <c r="L14" s="2" t="str">
        <f>IF(I14="Fails",COUNTIF($I$6:I14,"Fails"),"")</f>
        <v/>
      </c>
    </row>
    <row r="15" spans="1:12" x14ac:dyDescent="0.2">
      <c r="A15" s="2">
        <v>771842</v>
      </c>
      <c r="B15" s="2" t="str">
        <f>INDEX(Tests!$B$4:$B$31,MATCH(A15,Tests!$A$4:$A$31,0))</f>
        <v>S-109</v>
      </c>
      <c r="C15" s="2" t="str">
        <f>INDEX(Tests!$C$4:$C$31,MATCH(A15,Tests!$A$4:$A$31,0))</f>
        <v>P-10</v>
      </c>
      <c r="D15" s="2" t="str">
        <f>INDEX(Tests!$E$4:$E$31,MATCH(A15,Tests!$A$4:$A$31,0))</f>
        <v>08/17/2026</v>
      </c>
      <c r="E15" s="2" t="str">
        <f>INDEX(Tests!$F$4:$F$31,MATCH(A15,Tests!$A$4:$A$31,0))</f>
        <v>08:06</v>
      </c>
      <c r="F15" s="2">
        <f>IF(INDEX(Tests!$S$4:$S$31,MATCH(A15,Tests!$A$4:$A$31,0))="Yes",INDEX(Tests!$J$4:$J$31,MATCH(A15,Tests!$A$4:$A$31,0)),"")</f>
        <v>4220</v>
      </c>
      <c r="G15" s="10">
        <f t="shared" si="0"/>
        <v>4246.7</v>
      </c>
      <c r="H15" s="2" t="str">
        <f>IF(G15="","",IF(G15&gt;=Parameters!$B$4,"Meets","Below f'c"))</f>
        <v>Meets</v>
      </c>
      <c r="I15" s="2" t="str">
        <f>IF(F15="","",IF(F15&gt;=Parameters!$B$4-Parameters!$B$5,"Meets","Fails"))</f>
        <v>Meets</v>
      </c>
      <c r="J15" s="2" t="str">
        <f>IF(F15="","Not used: "&amp;INDEX(Tests!$T$4:$T$31,MATCH(A15,Tests!$A$4:$A$31,0)),TRIM(INDEX(Tests!$O$4:$O$31,MATCH(A15,Tests!$A$4:$A$31,0))&amp;" "&amp;INDEX(Tests!$Q$4:$Q$31,MATCH(A15,Tests!$A$4:$A$31,0))))</f>
        <v/>
      </c>
      <c r="K15" s="2">
        <f>IF(F15="","",COUNT($F$4:F15))</f>
        <v>9</v>
      </c>
      <c r="L15" s="2" t="str">
        <f>IF(I15="Fails",COUNTIF($I$6:I15,"Fails"),"")</f>
        <v/>
      </c>
    </row>
    <row r="16" spans="1:12" x14ac:dyDescent="0.2">
      <c r="A16" s="2">
        <v>772071</v>
      </c>
      <c r="B16" s="2" t="str">
        <f>INDEX(Tests!$B$4:$B$31,MATCH(A16,Tests!$A$4:$A$31,0))</f>
        <v>S-110 S-205</v>
      </c>
      <c r="C16" s="2" t="str">
        <f>INDEX(Tests!$C$4:$C$31,MATCH(A16,Tests!$A$4:$A$31,0))</f>
        <v>P-12</v>
      </c>
      <c r="D16" s="2" t="str">
        <f>INDEX(Tests!$E$4:$E$31,MATCH(A16,Tests!$A$4:$A$31,0))</f>
        <v>08/19/2026</v>
      </c>
      <c r="E16" s="2" t="str">
        <f>INDEX(Tests!$F$4:$F$31,MATCH(A16,Tests!$A$4:$A$31,0))</f>
        <v>08:21</v>
      </c>
      <c r="F16" s="2">
        <f>IF(INDEX(Tests!$S$4:$S$31,MATCH(A16,Tests!$A$4:$A$31,0))="Yes",INDEX(Tests!$J$4:$J$31,MATCH(A16,Tests!$A$4:$A$31,0)),"")</f>
        <v>3500</v>
      </c>
      <c r="G16" s="10">
        <f t="shared" si="0"/>
        <v>4020</v>
      </c>
      <c r="H16" s="2" t="str">
        <f>IF(G16="","",IF(G16&gt;=Parameters!$B$4,"Meets","Below f'c"))</f>
        <v>Meets</v>
      </c>
      <c r="I16" s="2" t="str">
        <f>IF(F16="","",IF(F16&gt;=Parameters!$B$4-Parameters!$B$5,"Meets","Fails"))</f>
        <v>Meets</v>
      </c>
      <c r="J16" s="2" t="str">
        <f>IF(F16="","Not used: "&amp;INDEX(Tests!$T$4:$T$31,MATCH(A16,Tests!$A$4:$A$31,0)),TRIM(INDEX(Tests!$O$4:$O$31,MATCH(A16,Tests!$A$4:$A$31,0))&amp;" "&amp;INDEX(Tests!$Q$4:$Q$31,MATCH(A16,Tests!$A$4:$A$31,0))))</f>
        <v/>
      </c>
      <c r="K16" s="2">
        <f>IF(F16="","",COUNT($F$4:F16))</f>
        <v>10</v>
      </c>
      <c r="L16" s="2" t="str">
        <f>IF(I16="Fails",COUNTIF($I$6:I16,"Fails"),"")</f>
        <v/>
      </c>
    </row>
    <row r="17" spans="1:12" x14ac:dyDescent="0.2">
      <c r="A17" s="2">
        <v>772316</v>
      </c>
      <c r="B17" s="2" t="str">
        <f>INDEX(Tests!$B$4:$B$31,MATCH(A17,Tests!$A$4:$A$31,0))</f>
        <v>S-111</v>
      </c>
      <c r="C17" s="2" t="str">
        <f>INDEX(Tests!$C$4:$C$31,MATCH(A17,Tests!$A$4:$A$31,0))</f>
        <v>P-14</v>
      </c>
      <c r="D17" s="2" t="str">
        <f>INDEX(Tests!$E$4:$E$31,MATCH(A17,Tests!$A$4:$A$31,0))</f>
        <v>08/21/2026</v>
      </c>
      <c r="E17" s="2" t="str">
        <f>INDEX(Tests!$F$4:$F$31,MATCH(A17,Tests!$A$4:$A$31,0))</f>
        <v>09:13</v>
      </c>
      <c r="F17" s="2" t="str">
        <f>IF(INDEX(Tests!$S$4:$S$31,MATCH(A17,Tests!$A$4:$A$31,0))="Yes",INDEX(Tests!$J$4:$J$31,MATCH(A17,Tests!$A$4:$A$31,0)),"")</f>
        <v/>
      </c>
      <c r="G17" s="10" t="str">
        <f t="shared" si="0"/>
        <v/>
      </c>
      <c r="H17" s="2" t="str">
        <f>IF(G17="","",IF(G17&gt;=Parameters!$B$4,"Meets","Below f'c"))</f>
        <v/>
      </c>
      <c r="I17" s="2" t="str">
        <f>IF(F17="","",IF(F17&gt;=Parameters!$B$4-Parameters!$B$5,"Meets","Fails"))</f>
        <v/>
      </c>
      <c r="J17" s="2" t="str">
        <f>IF(F17="","Not used: "&amp;INDEX(Tests!$T$4:$T$31,MATCH(A17,Tests!$A$4:$A$31,0)),TRIM(INDEX(Tests!$O$4:$O$31,MATCH(A17,Tests!$A$4:$A$31,0))&amp;" "&amp;INDEX(Tests!$Q$4:$Q$31,MATCH(A17,Tests!$A$4:$A$31,0))))</f>
        <v>Not used: Incomplete test under 3.10.2</v>
      </c>
      <c r="K17" s="2" t="str">
        <f>IF(F17="","",COUNT($F$4:F17))</f>
        <v/>
      </c>
      <c r="L17" s="2" t="str">
        <f>IF(I17="Fails",COUNTIF($I$6:I17,"Fails"),"")</f>
        <v/>
      </c>
    </row>
    <row r="18" spans="1:12" x14ac:dyDescent="0.2">
      <c r="A18" s="2">
        <v>772569</v>
      </c>
      <c r="B18" s="2" t="str">
        <f>INDEX(Tests!$B$4:$B$31,MATCH(A18,Tests!$A$4:$A$31,0))</f>
        <v>S-112</v>
      </c>
      <c r="C18" s="2" t="str">
        <f>INDEX(Tests!$C$4:$C$31,MATCH(A18,Tests!$A$4:$A$31,0))</f>
        <v>P-15</v>
      </c>
      <c r="D18" s="2" t="str">
        <f>INDEX(Tests!$E$4:$E$31,MATCH(A18,Tests!$A$4:$A$31,0))</f>
        <v>08/24/2026</v>
      </c>
      <c r="E18" s="2" t="str">
        <f>INDEX(Tests!$F$4:$F$31,MATCH(A18,Tests!$A$4:$A$31,0))</f>
        <v>13:44</v>
      </c>
      <c r="F18" s="2">
        <f>IF(INDEX(Tests!$S$4:$S$31,MATCH(A18,Tests!$A$4:$A$31,0))="Yes",INDEX(Tests!$J$4:$J$31,MATCH(A18,Tests!$A$4:$A$31,0)),"")</f>
        <v>4290</v>
      </c>
      <c r="G18" s="10">
        <f t="shared" si="0"/>
        <v>4003.3</v>
      </c>
      <c r="H18" s="2" t="str">
        <f>IF(G18="","",IF(G18&gt;=Parameters!$B$4,"Meets","Below f'c"))</f>
        <v>Meets</v>
      </c>
      <c r="I18" s="2" t="str">
        <f>IF(F18="","",IF(F18&gt;=Parameters!$B$4-Parameters!$B$5,"Meets","Fails"))</f>
        <v>Meets</v>
      </c>
      <c r="J18" s="2" t="str">
        <f>IF(F18="","Not used: "&amp;INDEX(Tests!$T$4:$T$31,MATCH(A18,Tests!$A$4:$A$31,0)),TRIM(INDEX(Tests!$O$4:$O$31,MATCH(A18,Tests!$A$4:$A$31,0))&amp;" "&amp;INDEX(Tests!$Q$4:$Q$31,MATCH(A18,Tests!$A$4:$A$31,0))))</f>
        <v/>
      </c>
      <c r="K18" s="2">
        <f>IF(F18="","",COUNT($F$4:F18))</f>
        <v>11</v>
      </c>
      <c r="L18" s="2" t="str">
        <f>IF(I18="Fails",COUNTIF($I$6:I18,"Fails"),"")</f>
        <v/>
      </c>
    </row>
    <row r="19" spans="1:12" x14ac:dyDescent="0.2">
      <c r="A19" s="2">
        <v>772784</v>
      </c>
      <c r="B19" s="2" t="str">
        <f>INDEX(Tests!$B$4:$B$31,MATCH(A19,Tests!$A$4:$A$31,0))</f>
        <v>S-113</v>
      </c>
      <c r="C19" s="2" t="str">
        <f>INDEX(Tests!$C$4:$C$31,MATCH(A19,Tests!$A$4:$A$31,0))</f>
        <v>P-17</v>
      </c>
      <c r="D19" s="2" t="str">
        <f>INDEX(Tests!$E$4:$E$31,MATCH(A19,Tests!$A$4:$A$31,0))</f>
        <v>08/26/2026</v>
      </c>
      <c r="E19" s="2" t="str">
        <f>INDEX(Tests!$F$4:$F$31,MATCH(A19,Tests!$A$4:$A$31,0))</f>
        <v>07:19</v>
      </c>
      <c r="F19" s="2" t="str">
        <f>IF(INDEX(Tests!$S$4:$S$31,MATCH(A19,Tests!$A$4:$A$31,0))="Yes",INDEX(Tests!$J$4:$J$31,MATCH(A19,Tests!$A$4:$A$31,0)),"")</f>
        <v/>
      </c>
      <c r="G19" s="10" t="str">
        <f t="shared" si="0"/>
        <v/>
      </c>
      <c r="H19" s="2" t="str">
        <f>IF(G19="","",IF(G19&gt;=Parameters!$B$4,"Meets","Below f'c"))</f>
        <v/>
      </c>
      <c r="I19" s="2" t="str">
        <f>IF(F19="","",IF(F19&gt;=Parameters!$B$4-Parameters!$B$5,"Meets","Fails"))</f>
        <v/>
      </c>
      <c r="J19" s="2" t="str">
        <f>IF(F19="","Not used: "&amp;INDEX(Tests!$T$4:$T$31,MATCH(A19,Tests!$A$4:$A$31,0)),TRIM(INDEX(Tests!$O$4:$O$31,MATCH(A19,Tests!$A$4:$A$31,0))&amp;" "&amp;INDEX(Tests!$Q$4:$Q$31,MATCH(A19,Tests!$A$4:$A$31,0))))</f>
        <v>Not used: Set aside by the engineer of record under 3.10.7</v>
      </c>
      <c r="K19" s="2" t="str">
        <f>IF(F19="","",COUNT($F$4:F19))</f>
        <v/>
      </c>
      <c r="L19" s="2" t="str">
        <f>IF(I19="Fails",COUNTIF($I$6:I19,"Fails"),"")</f>
        <v/>
      </c>
    </row>
    <row r="20" spans="1:12" x14ac:dyDescent="0.2">
      <c r="A20" s="2">
        <v>773127</v>
      </c>
      <c r="B20" s="2" t="str">
        <f>INDEX(Tests!$B$4:$B$31,MATCH(A20,Tests!$A$4:$A$31,0))</f>
        <v>S-114</v>
      </c>
      <c r="C20" s="2" t="str">
        <f>INDEX(Tests!$C$4:$C$31,MATCH(A20,Tests!$A$4:$A$31,0))</f>
        <v>P-20</v>
      </c>
      <c r="D20" s="2" t="str">
        <f>INDEX(Tests!$E$4:$E$31,MATCH(A20,Tests!$A$4:$A$31,0))</f>
        <v>08/29/2026</v>
      </c>
      <c r="E20" s="2" t="str">
        <f>INDEX(Tests!$F$4:$F$31,MATCH(A20,Tests!$A$4:$A$31,0))</f>
        <v>11:32</v>
      </c>
      <c r="F20" s="2" t="str">
        <f>IF(INDEX(Tests!$S$4:$S$31,MATCH(A20,Tests!$A$4:$A$31,0))="Yes",INDEX(Tests!$J$4:$J$31,MATCH(A20,Tests!$A$4:$A$31,0)),"")</f>
        <v/>
      </c>
      <c r="G20" s="10" t="str">
        <f t="shared" si="0"/>
        <v/>
      </c>
      <c r="H20" s="2" t="str">
        <f>IF(G20="","",IF(G20&gt;=Parameters!$B$4,"Meets","Below f'c"))</f>
        <v/>
      </c>
      <c r="I20" s="2" t="str">
        <f>IF(F20="","",IF(F20&gt;=Parameters!$B$4-Parameters!$B$5,"Meets","Fails"))</f>
        <v/>
      </c>
      <c r="J20" s="2" t="str">
        <f>IF(F20="","Not used: "&amp;INDEX(Tests!$T$4:$T$31,MATCH(A20,Tests!$A$4:$A$31,0)),TRIM(INDEX(Tests!$O$4:$O$31,MATCH(A20,Tests!$A$4:$A$31,0))&amp;" "&amp;INDEX(Tests!$Q$4:$Q$31,MATCH(A20,Tests!$A$4:$A$31,0))))</f>
        <v>Not used: Tested outside the 20 hour tolerance of 3.10.3</v>
      </c>
      <c r="K20" s="2" t="str">
        <f>IF(F20="","",COUNT($F$4:F20))</f>
        <v/>
      </c>
      <c r="L20" s="2" t="str">
        <f>IF(I20="Fails",COUNTIF($I$6:I20,"Fails"),"")</f>
        <v/>
      </c>
    </row>
    <row r="21" spans="1:12" x14ac:dyDescent="0.2">
      <c r="A21" s="2">
        <v>773248</v>
      </c>
      <c r="B21" s="2" t="str">
        <f>INDEX(Tests!$B$4:$B$31,MATCH(A21,Tests!$A$4:$A$31,0))</f>
        <v>S-210</v>
      </c>
      <c r="C21" s="2" t="str">
        <f>INDEX(Tests!$C$4:$C$31,MATCH(A21,Tests!$A$4:$A$31,0))</f>
        <v>P-21</v>
      </c>
      <c r="D21" s="2" t="str">
        <f>INDEX(Tests!$E$4:$E$31,MATCH(A21,Tests!$A$4:$A$31,0))</f>
        <v>08/31/2026</v>
      </c>
      <c r="E21" s="2" t="str">
        <f>INDEX(Tests!$F$4:$F$31,MATCH(A21,Tests!$A$4:$A$31,0))</f>
        <v>06:57</v>
      </c>
      <c r="F21" s="2">
        <f>IF(INDEX(Tests!$S$4:$S$31,MATCH(A21,Tests!$A$4:$A$31,0))="Yes",INDEX(Tests!$J$4:$J$31,MATCH(A21,Tests!$A$4:$A$31,0)),"")</f>
        <v>4200</v>
      </c>
      <c r="G21" s="10">
        <f t="shared" si="0"/>
        <v>3996.7</v>
      </c>
      <c r="H21" s="2" t="str">
        <f>IF(G21="","",IF(G21&gt;=Parameters!$B$4,"Meets","Below f'c"))</f>
        <v>Below f'c</v>
      </c>
      <c r="I21" s="2" t="str">
        <f>IF(F21="","",IF(F21&gt;=Parameters!$B$4-Parameters!$B$5,"Meets","Fails"))</f>
        <v>Meets</v>
      </c>
      <c r="J21" s="2" t="str">
        <f>IF(F21="","Not used: "&amp;INDEX(Tests!$T$4:$T$31,MATCH(A21,Tests!$A$4:$A$31,0)),TRIM(INDEX(Tests!$O$4:$O$31,MATCH(A21,Tests!$A$4:$A$31,0))&amp;" "&amp;INDEX(Tests!$Q$4:$Q$31,MATCH(A21,Tests!$A$4:$A$31,0))))</f>
        <v/>
      </c>
      <c r="K21" s="2">
        <f>IF(F21="","",COUNT($F$4:F21))</f>
        <v>12</v>
      </c>
      <c r="L21" s="2" t="str">
        <f>IF(I21="Fails",COUNTIF($I$6:I21,"Fails"),"")</f>
        <v/>
      </c>
    </row>
    <row r="22" spans="1:12" x14ac:dyDescent="0.2">
      <c r="A22" s="2">
        <v>773295</v>
      </c>
      <c r="B22" s="2" t="str">
        <f>INDEX(Tests!$B$4:$B$31,MATCH(A22,Tests!$A$4:$A$31,0))</f>
        <v>S-115</v>
      </c>
      <c r="C22" s="2" t="str">
        <f>INDEX(Tests!$C$4:$C$31,MATCH(A22,Tests!$A$4:$A$31,0))</f>
        <v>P-21</v>
      </c>
      <c r="D22" s="2" t="str">
        <f>INDEX(Tests!$E$4:$E$31,MATCH(A22,Tests!$A$4:$A$31,0))</f>
        <v>08/31/2026</v>
      </c>
      <c r="E22" s="2" t="str">
        <f>INDEX(Tests!$F$4:$F$31,MATCH(A22,Tests!$A$4:$A$31,0))</f>
        <v>11:22</v>
      </c>
      <c r="F22" s="2">
        <f>IF(INDEX(Tests!$S$4:$S$31,MATCH(A22,Tests!$A$4:$A$31,0))="Yes",INDEX(Tests!$J$4:$J$31,MATCH(A22,Tests!$A$4:$A$31,0)),"")</f>
        <v>4300</v>
      </c>
      <c r="G22" s="10">
        <f t="shared" si="0"/>
        <v>4263.3</v>
      </c>
      <c r="H22" s="2" t="str">
        <f>IF(G22="","",IF(G22&gt;=Parameters!$B$4,"Meets","Below f'c"))</f>
        <v>Meets</v>
      </c>
      <c r="I22" s="2" t="str">
        <f>IF(F22="","",IF(F22&gt;=Parameters!$B$4-Parameters!$B$5,"Meets","Fails"))</f>
        <v>Meets</v>
      </c>
      <c r="J22" s="2" t="str">
        <f>IF(F22="","Not used: "&amp;INDEX(Tests!$T$4:$T$31,MATCH(A22,Tests!$A$4:$A$31,0)),TRIM(INDEX(Tests!$O$4:$O$31,MATCH(A22,Tests!$A$4:$A$31,0))&amp;" "&amp;INDEX(Tests!$Q$4:$Q$31,MATCH(A22,Tests!$A$4:$A$31,0))))</f>
        <v/>
      </c>
      <c r="K22" s="2">
        <f>IF(F22="","",COUNT($F$4:F22))</f>
        <v>13</v>
      </c>
      <c r="L22" s="2" t="str">
        <f>IF(I22="Fails",COUNTIF($I$6:I22,"Fails"),"")</f>
        <v/>
      </c>
    </row>
    <row r="23" spans="1:12" x14ac:dyDescent="0.2">
      <c r="A23" s="2">
        <v>773902</v>
      </c>
      <c r="B23" s="2" t="str">
        <f>INDEX(Tests!$B$4:$B$31,MATCH(A23,Tests!$A$4:$A$31,0))</f>
        <v>S-116</v>
      </c>
      <c r="C23" s="2" t="str">
        <f>INDEX(Tests!$C$4:$C$31,MATCH(A23,Tests!$A$4:$A$31,0))</f>
        <v>P-24</v>
      </c>
      <c r="D23" s="2" t="str">
        <f>INDEX(Tests!$E$4:$E$31,MATCH(A23,Tests!$A$4:$A$31,0))</f>
        <v>09/08/2026</v>
      </c>
      <c r="E23" s="2" t="str">
        <f>INDEX(Tests!$F$4:$F$31,MATCH(A23,Tests!$A$4:$A$31,0))</f>
        <v>08:31</v>
      </c>
      <c r="F23" s="2">
        <f>IF(INDEX(Tests!$S$4:$S$31,MATCH(A23,Tests!$A$4:$A$31,0))="Yes",INDEX(Tests!$J$4:$J$31,MATCH(A23,Tests!$A$4:$A$31,0)),"")</f>
        <v>4310</v>
      </c>
      <c r="G23" s="10">
        <f t="shared" si="0"/>
        <v>4270</v>
      </c>
      <c r="H23" s="2" t="str">
        <f>IF(G23="","",IF(G23&gt;=Parameters!$B$4,"Meets","Below f'c"))</f>
        <v>Meets</v>
      </c>
      <c r="I23" s="2" t="str">
        <f>IF(F23="","",IF(F23&gt;=Parameters!$B$4-Parameters!$B$5,"Meets","Fails"))</f>
        <v>Meets</v>
      </c>
      <c r="J23" s="2" t="str">
        <f>IF(F23="","Not used: "&amp;INDEX(Tests!$T$4:$T$31,MATCH(A23,Tests!$A$4:$A$31,0)),TRIM(INDEX(Tests!$O$4:$O$31,MATCH(A23,Tests!$A$4:$A$31,0))&amp;" "&amp;INDEX(Tests!$Q$4:$Q$31,MATCH(A23,Tests!$A$4:$A$31,0))))</f>
        <v>Initial curing temperature outside 60 to 80 F</v>
      </c>
      <c r="K23" s="2">
        <f>IF(F23="","",COUNT($F$4:F23))</f>
        <v>14</v>
      </c>
      <c r="L23" s="2" t="str">
        <f>IF(I23="Fails",COUNTIF($I$6:I23,"Fails"),"")</f>
        <v/>
      </c>
    </row>
    <row r="25" spans="1:12" x14ac:dyDescent="0.2">
      <c r="A25" s="2" t="s">
        <v>10</v>
      </c>
      <c r="B25" s="2">
        <f>COUNT(F6:F23)</f>
        <v>12</v>
      </c>
    </row>
    <row r="26" spans="1:12" x14ac:dyDescent="0.2">
      <c r="A26" s="2" t="s">
        <v>14</v>
      </c>
      <c r="B26" s="2">
        <f>MIN(F6:F23)</f>
        <v>3460</v>
      </c>
    </row>
    <row r="27" spans="1:12" x14ac:dyDescent="0.2">
      <c r="A27" s="2" t="s">
        <v>15</v>
      </c>
      <c r="B27" s="2">
        <f>COUNTIF(H6:H23,"Below*")</f>
        <v>3</v>
      </c>
    </row>
    <row r="28" spans="1:12" x14ac:dyDescent="0.2">
      <c r="A28" s="2" t="s">
        <v>16</v>
      </c>
      <c r="B28" s="10">
        <f>MIN(G6:G23)</f>
        <v>3706.7</v>
      </c>
    </row>
    <row r="29" spans="1:12" x14ac:dyDescent="0.2">
      <c r="A29" s="2" t="s">
        <v>17</v>
      </c>
      <c r="B29" s="2">
        <f>COUNTIF(I6:I23,"Fails")</f>
        <v>2</v>
      </c>
    </row>
    <row r="30" spans="1:12" x14ac:dyDescent="0.2">
      <c r="A30" s="2" t="s">
        <v>657</v>
      </c>
      <c r="B30" s="2" t="str">
        <f>IFERROR(INDEX(C6:C23,MATCH(1,L6:L23,0)),"")</f>
        <v>P-05</v>
      </c>
    </row>
    <row r="31" spans="1:12" x14ac:dyDescent="0.2">
      <c r="A31" s="2" t="s">
        <v>658</v>
      </c>
      <c r="B31" s="2" t="str">
        <f>IFERROR(INDEX(C6:C23,MATCH(2,L6:L23,0)),"")</f>
        <v>P-06</v>
      </c>
    </row>
    <row r="32" spans="1:12" x14ac:dyDescent="0.2">
      <c r="A32" s="2" t="s">
        <v>659</v>
      </c>
      <c r="B32" s="2" t="str">
        <f>IFERROR(INDEX(C6:C23,MATCH(3,L6:L23,0)),"")</f>
        <v/>
      </c>
    </row>
    <row r="33" spans="1:2" x14ac:dyDescent="0.2">
      <c r="A33" s="2" t="s">
        <v>18</v>
      </c>
      <c r="B33" s="2" t="str">
        <f>IF(B29=0,"None",TRIM(B30&amp;" "&amp;B31&amp;" "&amp;B32))</f>
        <v>P-05 P-06</v>
      </c>
    </row>
    <row r="34" spans="1:2" x14ac:dyDescent="0.2">
      <c r="A34" s="2" t="s">
        <v>19</v>
      </c>
      <c r="B34" s="2" t="str">
        <f>IF(AND(B27=0,B29=0),"Meets 3.11.1","Does not meet 3.11.1")</f>
        <v>Does not meet 3.11.1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6"/>
  <sheetViews>
    <sheetView workbookViewId="0"/>
  </sheetViews>
  <sheetFormatPr baseColWidth="10" defaultColWidth="8.83203125" defaultRowHeight="15" x14ac:dyDescent="0.2"/>
  <cols>
    <col min="1" max="1" width="52" customWidth="1"/>
    <col min="2" max="2" width="22" customWidth="1"/>
    <col min="3" max="3" width="11" customWidth="1"/>
    <col min="4" max="4" width="12" customWidth="1"/>
    <col min="5" max="5" width="9" customWidth="1"/>
    <col min="6" max="7" width="12" customWidth="1"/>
    <col min="8" max="8" width="13" customWidth="1"/>
    <col min="9" max="9" width="12" customWidth="1"/>
    <col min="10" max="10" width="58" customWidth="1"/>
    <col min="11" max="12" width="9" customWidth="1"/>
  </cols>
  <sheetData>
    <row r="1" spans="1:12" ht="17" x14ac:dyDescent="0.2">
      <c r="A1" s="1" t="s">
        <v>660</v>
      </c>
    </row>
    <row r="3" spans="1:12" ht="32" x14ac:dyDescent="0.2">
      <c r="A3" s="3" t="s">
        <v>240</v>
      </c>
      <c r="B3" s="3" t="s">
        <v>630</v>
      </c>
      <c r="C3" s="3" t="s">
        <v>100</v>
      </c>
      <c r="D3" s="3" t="s">
        <v>237</v>
      </c>
      <c r="E3" s="3" t="s">
        <v>238</v>
      </c>
      <c r="F3" s="3" t="s">
        <v>633</v>
      </c>
      <c r="G3" s="3" t="s">
        <v>645</v>
      </c>
      <c r="H3" s="3" t="s">
        <v>646</v>
      </c>
      <c r="I3" s="3" t="s">
        <v>647</v>
      </c>
      <c r="J3" s="3" t="s">
        <v>648</v>
      </c>
      <c r="K3" s="3" t="s">
        <v>649</v>
      </c>
      <c r="L3" s="3" t="s">
        <v>650</v>
      </c>
    </row>
    <row r="4" spans="1:12" x14ac:dyDescent="0.2">
      <c r="A4" s="2" t="s">
        <v>651</v>
      </c>
      <c r="B4" s="2" t="s">
        <v>661</v>
      </c>
      <c r="D4" s="2" t="s">
        <v>662</v>
      </c>
      <c r="F4" s="2">
        <v>6190</v>
      </c>
      <c r="J4" s="2" t="s">
        <v>654</v>
      </c>
      <c r="K4" s="2">
        <f>COUNT($F$4:F4)</f>
        <v>1</v>
      </c>
    </row>
    <row r="5" spans="1:12" x14ac:dyDescent="0.2">
      <c r="A5" s="2" t="s">
        <v>651</v>
      </c>
      <c r="B5" s="2" t="s">
        <v>663</v>
      </c>
      <c r="D5" s="2" t="s">
        <v>664</v>
      </c>
      <c r="F5" s="2">
        <v>5870</v>
      </c>
      <c r="J5" s="2" t="s">
        <v>665</v>
      </c>
      <c r="K5" s="2">
        <f>COUNT($F$4:F5)</f>
        <v>2</v>
      </c>
    </row>
    <row r="6" spans="1:12" x14ac:dyDescent="0.2">
      <c r="A6" s="2">
        <v>770812</v>
      </c>
      <c r="B6" s="2" t="str">
        <f>INDEX(Tests!$B$4:$B$31,MATCH(A6,Tests!$A$4:$A$31,0))</f>
        <v>S-201</v>
      </c>
      <c r="C6" s="2" t="str">
        <f>INDEX(Tests!$C$4:$C$31,MATCH(A6,Tests!$A$4:$A$31,0))</f>
        <v>P-04</v>
      </c>
      <c r="D6" s="2" t="str">
        <f>INDEX(Tests!$E$4:$E$31,MATCH(A6,Tests!$A$4:$A$31,0))</f>
        <v>08/06/2026</v>
      </c>
      <c r="E6" s="2" t="str">
        <f>INDEX(Tests!$F$4:$F$31,MATCH(A6,Tests!$A$4:$A$31,0))</f>
        <v>09:36</v>
      </c>
      <c r="F6" s="2">
        <f>IF(INDEX(Tests!$S$4:$S$31,MATCH(A6,Tests!$A$4:$A$31,0))="Yes",INDEX(Tests!$J$4:$J$31,MATCH(A6,Tests!$A$4:$A$31,0)),"")</f>
        <v>5920</v>
      </c>
      <c r="G6" s="10">
        <f t="shared" ref="G6:G15" si="0">IF(F6="","",ROUND((F6+INDEX($F$4:$F$15,MATCH(K6-1,$K$4:$K$15,0))+INDEX($F$4:$F$15,MATCH(K6-2,$K$4:$K$15,0)))/3,1))</f>
        <v>5993.3</v>
      </c>
      <c r="H6" s="2" t="str">
        <f>IF(G6="","",IF(G6&gt;=Parameters!$C$4,"Meets","Below f'c"))</f>
        <v>Below f'c</v>
      </c>
      <c r="I6" s="2" t="str">
        <f>IF(F6="","",IF(F6&gt;=Parameters!$C$4-Parameters!$C$5,"Meets","Fails"))</f>
        <v>Meets</v>
      </c>
      <c r="J6" s="2" t="str">
        <f>IF(F6="","Not used: "&amp;INDEX(Tests!$T$4:$T$31,MATCH(A6,Tests!$A$4:$A$31,0)),TRIM(INDEX(Tests!$O$4:$O$31,MATCH(A6,Tests!$A$4:$A$31,0))&amp;" "&amp;INDEX(Tests!$Q$4:$Q$31,MATCH(A6,Tests!$A$4:$A$31,0))))</f>
        <v/>
      </c>
      <c r="K6" s="2">
        <f>IF(F6="","",COUNT($F$4:F6))</f>
        <v>3</v>
      </c>
      <c r="L6" s="2" t="str">
        <f>IF(I6="Fails",COUNTIF($I$6:I6,"Fails"),"")</f>
        <v/>
      </c>
    </row>
    <row r="7" spans="1:12" x14ac:dyDescent="0.2">
      <c r="A7" s="2">
        <v>771469</v>
      </c>
      <c r="B7" s="2" t="str">
        <f>INDEX(Tests!$B$4:$B$31,MATCH(A7,Tests!$A$4:$A$31,0))</f>
        <v>S-203</v>
      </c>
      <c r="C7" s="2" t="str">
        <f>INDEX(Tests!$C$4:$C$31,MATCH(A7,Tests!$A$4:$A$31,0))</f>
        <v>P-07</v>
      </c>
      <c r="D7" s="2" t="str">
        <f>INDEX(Tests!$E$4:$E$31,MATCH(A7,Tests!$A$4:$A$31,0))</f>
        <v>08/13/2026</v>
      </c>
      <c r="E7" s="2" t="str">
        <f>INDEX(Tests!$F$4:$F$31,MATCH(A7,Tests!$A$4:$A$31,0))</f>
        <v>09:04</v>
      </c>
      <c r="F7" s="2">
        <f>IF(INDEX(Tests!$S$4:$S$31,MATCH(A7,Tests!$A$4:$A$31,0))="Yes",INDEX(Tests!$J$4:$J$31,MATCH(A7,Tests!$A$4:$A$31,0)),"")</f>
        <v>6250</v>
      </c>
      <c r="G7" s="10">
        <f t="shared" si="0"/>
        <v>6013.3</v>
      </c>
      <c r="H7" s="2" t="str">
        <f>IF(G7="","",IF(G7&gt;=Parameters!$C$4,"Meets","Below f'c"))</f>
        <v>Meets</v>
      </c>
      <c r="I7" s="2" t="str">
        <f>IF(F7="","",IF(F7&gt;=Parameters!$C$4-Parameters!$C$5,"Meets","Fails"))</f>
        <v>Meets</v>
      </c>
      <c r="J7" s="2" t="str">
        <f>IF(F7="","Not used: "&amp;INDEX(Tests!$T$4:$T$31,MATCH(A7,Tests!$A$4:$A$31,0)),TRIM(INDEX(Tests!$O$4:$O$31,MATCH(A7,Tests!$A$4:$A$31,0))&amp;" "&amp;INDEX(Tests!$Q$4:$Q$31,MATCH(A7,Tests!$A$4:$A$31,0))))</f>
        <v/>
      </c>
      <c r="K7" s="2">
        <f>IF(F7="","",COUNT($F$4:F7))</f>
        <v>4</v>
      </c>
      <c r="L7" s="2" t="str">
        <f>IF(I7="Fails",COUNTIF($I$6:I7,"Fails"),"")</f>
        <v/>
      </c>
    </row>
    <row r="8" spans="1:12" x14ac:dyDescent="0.2">
      <c r="A8" s="2">
        <v>771955</v>
      </c>
      <c r="B8" s="2" t="str">
        <f>INDEX(Tests!$B$4:$B$31,MATCH(A8,Tests!$A$4:$A$31,0))</f>
        <v>S-204</v>
      </c>
      <c r="C8" s="2" t="str">
        <f>INDEX(Tests!$C$4:$C$31,MATCH(A8,Tests!$A$4:$A$31,0))</f>
        <v>P-11</v>
      </c>
      <c r="D8" s="2" t="str">
        <f>INDEX(Tests!$E$4:$E$31,MATCH(A8,Tests!$A$4:$A$31,0))</f>
        <v>08/18/2026</v>
      </c>
      <c r="E8" s="2" t="str">
        <f>INDEX(Tests!$F$4:$F$31,MATCH(A8,Tests!$A$4:$A$31,0))</f>
        <v>09:53</v>
      </c>
      <c r="F8" s="2">
        <f>IF(INDEX(Tests!$S$4:$S$31,MATCH(A8,Tests!$A$4:$A$31,0))="Yes",INDEX(Tests!$J$4:$J$31,MATCH(A8,Tests!$A$4:$A$31,0)),"")</f>
        <v>6080</v>
      </c>
      <c r="G8" s="10">
        <f t="shared" si="0"/>
        <v>6083.3</v>
      </c>
      <c r="H8" s="2" t="str">
        <f>IF(G8="","",IF(G8&gt;=Parameters!$C$4,"Meets","Below f'c"))</f>
        <v>Meets</v>
      </c>
      <c r="I8" s="2" t="str">
        <f>IF(F8="","",IF(F8&gt;=Parameters!$C$4-Parameters!$C$5,"Meets","Fails"))</f>
        <v>Meets</v>
      </c>
      <c r="J8" s="2" t="str">
        <f>IF(F8="","Not used: "&amp;INDEX(Tests!$T$4:$T$31,MATCH(A8,Tests!$A$4:$A$31,0)),TRIM(INDEX(Tests!$O$4:$O$31,MATCH(A8,Tests!$A$4:$A$31,0))&amp;" "&amp;INDEX(Tests!$Q$4:$Q$31,MATCH(A8,Tests!$A$4:$A$31,0))))</f>
        <v/>
      </c>
      <c r="K8" s="2">
        <f>IF(F8="","",COUNT($F$4:F8))</f>
        <v>5</v>
      </c>
      <c r="L8" s="2" t="str">
        <f>IF(I8="Fails",COUNTIF($I$6:I8,"Fails"),"")</f>
        <v/>
      </c>
    </row>
    <row r="9" spans="1:12" x14ac:dyDescent="0.2">
      <c r="A9" s="2">
        <v>772203</v>
      </c>
      <c r="B9" s="2" t="str">
        <f>INDEX(Tests!$B$4:$B$31,MATCH(A9,Tests!$A$4:$A$31,0))</f>
        <v>S-206</v>
      </c>
      <c r="C9" s="2" t="str">
        <f>INDEX(Tests!$C$4:$C$31,MATCH(A9,Tests!$A$4:$A$31,0))</f>
        <v>P-13</v>
      </c>
      <c r="D9" s="2" t="str">
        <f>INDEX(Tests!$E$4:$E$31,MATCH(A9,Tests!$A$4:$A$31,0))</f>
        <v>08/20/2026</v>
      </c>
      <c r="E9" s="2" t="str">
        <f>INDEX(Tests!$F$4:$F$31,MATCH(A9,Tests!$A$4:$A$31,0))</f>
        <v>09:26</v>
      </c>
      <c r="F9" s="2">
        <f>IF(INDEX(Tests!$S$4:$S$31,MATCH(A9,Tests!$A$4:$A$31,0))="Yes",INDEX(Tests!$J$4:$J$31,MATCH(A9,Tests!$A$4:$A$31,0)),"")</f>
        <v>5590</v>
      </c>
      <c r="G9" s="10">
        <f t="shared" si="0"/>
        <v>5973.3</v>
      </c>
      <c r="H9" s="2" t="str">
        <f>IF(G9="","",IF(G9&gt;=Parameters!$C$4,"Meets","Below f'c"))</f>
        <v>Below f'c</v>
      </c>
      <c r="I9" s="2" t="str">
        <f>IF(F9="","",IF(F9&gt;=Parameters!$C$4-Parameters!$C$5,"Meets","Fails"))</f>
        <v>Meets</v>
      </c>
      <c r="J9" s="2" t="str">
        <f>IF(F9="","Not used: "&amp;INDEX(Tests!$T$4:$T$31,MATCH(A9,Tests!$A$4:$A$31,0)),TRIM(INDEX(Tests!$O$4:$O$31,MATCH(A9,Tests!$A$4:$A$31,0))&amp;" "&amp;INDEX(Tests!$Q$4:$Q$31,MATCH(A9,Tests!$A$4:$A$31,0))))</f>
        <v/>
      </c>
      <c r="K9" s="2">
        <f>IF(F9="","",COUNT($F$4:F9))</f>
        <v>6</v>
      </c>
      <c r="L9" s="2" t="str">
        <f>IF(I9="Fails",COUNTIF($I$6:I9,"Fails"),"")</f>
        <v/>
      </c>
    </row>
    <row r="10" spans="1:12" x14ac:dyDescent="0.2">
      <c r="A10" s="2">
        <v>772531</v>
      </c>
      <c r="B10" s="2" t="str">
        <f>INDEX(Tests!$B$4:$B$31,MATCH(A10,Tests!$A$4:$A$31,0))</f>
        <v>S-207</v>
      </c>
      <c r="C10" s="2" t="str">
        <f>INDEX(Tests!$C$4:$C$31,MATCH(A10,Tests!$A$4:$A$31,0))</f>
        <v>P-16</v>
      </c>
      <c r="D10" s="2" t="str">
        <f>INDEX(Tests!$E$4:$E$31,MATCH(A10,Tests!$A$4:$A$31,0))</f>
        <v>08/24/2026</v>
      </c>
      <c r="E10" s="2" t="str">
        <f>INDEX(Tests!$F$4:$F$31,MATCH(A10,Tests!$A$4:$A$31,0))</f>
        <v>13:52</v>
      </c>
      <c r="F10" s="2">
        <f>IF(INDEX(Tests!$S$4:$S$31,MATCH(A10,Tests!$A$4:$A$31,0))="Yes",INDEX(Tests!$J$4:$J$31,MATCH(A10,Tests!$A$4:$A$31,0)),"")</f>
        <v>6150</v>
      </c>
      <c r="G10" s="10">
        <f t="shared" si="0"/>
        <v>5940</v>
      </c>
      <c r="H10" s="2" t="str">
        <f>IF(G10="","",IF(G10&gt;=Parameters!$C$4,"Meets","Below f'c"))</f>
        <v>Below f'c</v>
      </c>
      <c r="I10" s="2" t="str">
        <f>IF(F10="","",IF(F10&gt;=Parameters!$C$4-Parameters!$C$5,"Meets","Fails"))</f>
        <v>Meets</v>
      </c>
      <c r="J10" s="2" t="str">
        <f>IF(F10="","Not used: "&amp;INDEX(Tests!$T$4:$T$31,MATCH(A10,Tests!$A$4:$A$31,0)),TRIM(INDEX(Tests!$O$4:$O$31,MATCH(A10,Tests!$A$4:$A$31,0))&amp;" "&amp;INDEX(Tests!$Q$4:$Q$31,MATCH(A10,Tests!$A$4:$A$31,0))))</f>
        <v/>
      </c>
      <c r="K10" s="2">
        <f>IF(F10="","",COUNT($F$4:F10))</f>
        <v>7</v>
      </c>
      <c r="L10" s="2" t="str">
        <f>IF(I10="Fails",COUNTIF($I$6:I10,"Fails"),"")</f>
        <v/>
      </c>
    </row>
    <row r="11" spans="1:12" x14ac:dyDescent="0.2">
      <c r="A11" s="2">
        <v>772809</v>
      </c>
      <c r="B11" s="2" t="str">
        <f>INDEX(Tests!$B$4:$B$31,MATCH(A11,Tests!$A$4:$A$31,0))</f>
        <v>S-208</v>
      </c>
      <c r="C11" s="2" t="str">
        <f>INDEX(Tests!$C$4:$C$31,MATCH(A11,Tests!$A$4:$A$31,0))</f>
        <v>P-18</v>
      </c>
      <c r="D11" s="2" t="str">
        <f>INDEX(Tests!$E$4:$E$31,MATCH(A11,Tests!$A$4:$A$31,0))</f>
        <v>08/26/2026</v>
      </c>
      <c r="E11" s="2" t="str">
        <f>INDEX(Tests!$F$4:$F$31,MATCH(A11,Tests!$A$4:$A$31,0))</f>
        <v>10:41</v>
      </c>
      <c r="F11" s="2">
        <f>IF(INDEX(Tests!$S$4:$S$31,MATCH(A11,Tests!$A$4:$A$31,0))="Yes",INDEX(Tests!$J$4:$J$31,MATCH(A11,Tests!$A$4:$A$31,0)),"")</f>
        <v>6340</v>
      </c>
      <c r="G11" s="10">
        <f t="shared" si="0"/>
        <v>6026.7</v>
      </c>
      <c r="H11" s="2" t="str">
        <f>IF(G11="","",IF(G11&gt;=Parameters!$C$4,"Meets","Below f'c"))</f>
        <v>Meets</v>
      </c>
      <c r="I11" s="2" t="str">
        <f>IF(F11="","",IF(F11&gt;=Parameters!$C$4-Parameters!$C$5,"Meets","Fails"))</f>
        <v>Meets</v>
      </c>
      <c r="J11" s="2" t="str">
        <f>IF(F11="","Not used: "&amp;INDEX(Tests!$T$4:$T$31,MATCH(A11,Tests!$A$4:$A$31,0)),TRIM(INDEX(Tests!$O$4:$O$31,MATCH(A11,Tests!$A$4:$A$31,0))&amp;" "&amp;INDEX(Tests!$Q$4:$Q$31,MATCH(A11,Tests!$A$4:$A$31,0))))</f>
        <v>Initial curing temperature outside 60 to 80 F</v>
      </c>
      <c r="K11" s="2">
        <f>IF(F11="","",COUNT($F$4:F11))</f>
        <v>8</v>
      </c>
      <c r="L11" s="2" t="str">
        <f>IF(I11="Fails",COUNTIF($I$6:I11,"Fails"),"")</f>
        <v/>
      </c>
    </row>
    <row r="12" spans="1:12" x14ac:dyDescent="0.2">
      <c r="A12" s="2">
        <v>772934</v>
      </c>
      <c r="B12" s="2" t="str">
        <f>INDEX(Tests!$B$4:$B$31,MATCH(A12,Tests!$A$4:$A$31,0))</f>
        <v>S-209</v>
      </c>
      <c r="C12" s="2" t="str">
        <f>INDEX(Tests!$C$4:$C$31,MATCH(A12,Tests!$A$4:$A$31,0))</f>
        <v>P-19</v>
      </c>
      <c r="D12" s="2" t="str">
        <f>INDEX(Tests!$E$4:$E$31,MATCH(A12,Tests!$A$4:$A$31,0))</f>
        <v>08/27/2026</v>
      </c>
      <c r="E12" s="2" t="str">
        <f>INDEX(Tests!$F$4:$F$31,MATCH(A12,Tests!$A$4:$A$31,0))</f>
        <v>08:14</v>
      </c>
      <c r="F12" s="2">
        <f>IF(INDEX(Tests!$S$4:$S$31,MATCH(A12,Tests!$A$4:$A$31,0))="Yes",INDEX(Tests!$J$4:$J$31,MATCH(A12,Tests!$A$4:$A$31,0)),"")</f>
        <v>6120</v>
      </c>
      <c r="G12" s="10">
        <f t="shared" si="0"/>
        <v>6203.3</v>
      </c>
      <c r="H12" s="2" t="str">
        <f>IF(G12="","",IF(G12&gt;=Parameters!$C$4,"Meets","Below f'c"))</f>
        <v>Meets</v>
      </c>
      <c r="I12" s="2" t="str">
        <f>IF(F12="","",IF(F12&gt;=Parameters!$C$4-Parameters!$C$5,"Meets","Fails"))</f>
        <v>Meets</v>
      </c>
      <c r="J12" s="2" t="str">
        <f>IF(F12="","Not used: "&amp;INDEX(Tests!$T$4:$T$31,MATCH(A12,Tests!$A$4:$A$31,0)),TRIM(INDEX(Tests!$O$4:$O$31,MATCH(A12,Tests!$A$4:$A$31,0))&amp;" "&amp;INDEX(Tests!$Q$4:$Q$31,MATCH(A12,Tests!$A$4:$A$31,0))))</f>
        <v/>
      </c>
      <c r="K12" s="2">
        <f>IF(F12="","",COUNT($F$4:F12))</f>
        <v>9</v>
      </c>
      <c r="L12" s="2" t="str">
        <f>IF(I12="Fails",COUNTIF($I$6:I12,"Fails"),"")</f>
        <v/>
      </c>
    </row>
    <row r="13" spans="1:12" x14ac:dyDescent="0.2">
      <c r="A13" s="2">
        <v>773471</v>
      </c>
      <c r="B13" s="2" t="str">
        <f>INDEX(Tests!$B$4:$B$31,MATCH(A13,Tests!$A$4:$A$31,0))</f>
        <v>S-211</v>
      </c>
      <c r="C13" s="2" t="str">
        <f>INDEX(Tests!$C$4:$C$31,MATCH(A13,Tests!$A$4:$A$31,0))</f>
        <v>P-22</v>
      </c>
      <c r="D13" s="2" t="str">
        <f>INDEX(Tests!$E$4:$E$31,MATCH(A13,Tests!$A$4:$A$31,0))</f>
        <v>09/02/2026</v>
      </c>
      <c r="E13" s="2" t="str">
        <f>INDEX(Tests!$F$4:$F$31,MATCH(A13,Tests!$A$4:$A$31,0))</f>
        <v>09:19</v>
      </c>
      <c r="F13" s="2">
        <f>IF(INDEX(Tests!$S$4:$S$31,MATCH(A13,Tests!$A$4:$A$31,0))="Yes",INDEX(Tests!$J$4:$J$31,MATCH(A13,Tests!$A$4:$A$31,0)),"")</f>
        <v>6060</v>
      </c>
      <c r="G13" s="10">
        <f t="shared" si="0"/>
        <v>6173.3</v>
      </c>
      <c r="H13" s="2" t="str">
        <f>IF(G13="","",IF(G13&gt;=Parameters!$C$4,"Meets","Below f'c"))</f>
        <v>Meets</v>
      </c>
      <c r="I13" s="2" t="str">
        <f>IF(F13="","",IF(F13&gt;=Parameters!$C$4-Parameters!$C$5,"Meets","Fails"))</f>
        <v>Meets</v>
      </c>
      <c r="J13" s="2" t="str">
        <f>IF(F13="","Not used: "&amp;INDEX(Tests!$T$4:$T$31,MATCH(A13,Tests!$A$4:$A$31,0)),TRIM(INDEX(Tests!$O$4:$O$31,MATCH(A13,Tests!$A$4:$A$31,0))&amp;" "&amp;INDEX(Tests!$Q$4:$Q$31,MATCH(A13,Tests!$A$4:$A$31,0))))</f>
        <v/>
      </c>
      <c r="K13" s="2">
        <f>IF(F13="","",COUNT($F$4:F13))</f>
        <v>10</v>
      </c>
      <c r="L13" s="2" t="str">
        <f>IF(I13="Fails",COUNTIF($I$6:I13,"Fails"),"")</f>
        <v/>
      </c>
    </row>
    <row r="14" spans="1:12" x14ac:dyDescent="0.2">
      <c r="A14" s="2">
        <v>773586</v>
      </c>
      <c r="B14" s="2" t="str">
        <f>INDEX(Tests!$B$4:$B$31,MATCH(A14,Tests!$A$4:$A$31,0))</f>
        <v>S-212</v>
      </c>
      <c r="C14" s="2" t="str">
        <f>INDEX(Tests!$C$4:$C$31,MATCH(A14,Tests!$A$4:$A$31,0))</f>
        <v>P-23</v>
      </c>
      <c r="D14" s="2" t="str">
        <f>INDEX(Tests!$E$4:$E$31,MATCH(A14,Tests!$A$4:$A$31,0))</f>
        <v>09/03/2026</v>
      </c>
      <c r="E14" s="2" t="str">
        <f>INDEX(Tests!$F$4:$F$31,MATCH(A14,Tests!$A$4:$A$31,0))</f>
        <v>08:07</v>
      </c>
      <c r="F14" s="2">
        <f>IF(INDEX(Tests!$S$4:$S$31,MATCH(A14,Tests!$A$4:$A$31,0))="Yes",INDEX(Tests!$J$4:$J$31,MATCH(A14,Tests!$A$4:$A$31,0)),"")</f>
        <v>5400</v>
      </c>
      <c r="G14" s="10">
        <f t="shared" si="0"/>
        <v>5860</v>
      </c>
      <c r="H14" s="2" t="str">
        <f>IF(G14="","",IF(G14&gt;=Parameters!$C$4,"Meets","Below f'c"))</f>
        <v>Below f'c</v>
      </c>
      <c r="I14" s="2" t="str">
        <f>IF(F14="","",IF(F14&gt;=Parameters!$C$4-Parameters!$C$5,"Meets","Fails"))</f>
        <v>Meets</v>
      </c>
      <c r="J14" s="2" t="str">
        <f>IF(F14="","Not used: "&amp;INDEX(Tests!$T$4:$T$31,MATCH(A14,Tests!$A$4:$A$31,0)),TRIM(INDEX(Tests!$O$4:$O$31,MATCH(A14,Tests!$A$4:$A$31,0))&amp;" "&amp;INDEX(Tests!$Q$4:$Q$31,MATCH(A14,Tests!$A$4:$A$31,0))))</f>
        <v>Range exceeds 3.10.4, counted</v>
      </c>
      <c r="K14" s="2">
        <f>IF(F14="","",COUNT($F$4:F14))</f>
        <v>11</v>
      </c>
      <c r="L14" s="2" t="str">
        <f>IF(I14="Fails",COUNTIF($I$6:I14,"Fails"),"")</f>
        <v/>
      </c>
    </row>
    <row r="15" spans="1:12" x14ac:dyDescent="0.2">
      <c r="A15" s="2">
        <v>774119</v>
      </c>
      <c r="B15" s="2" t="str">
        <f>INDEX(Tests!$B$4:$B$31,MATCH(A15,Tests!$A$4:$A$31,0))</f>
        <v>S-213</v>
      </c>
      <c r="C15" s="2" t="str">
        <f>INDEX(Tests!$C$4:$C$31,MATCH(A15,Tests!$A$4:$A$31,0))</f>
        <v>P-26</v>
      </c>
      <c r="D15" s="2" t="str">
        <f>INDEX(Tests!$E$4:$E$31,MATCH(A15,Tests!$A$4:$A$31,0))</f>
        <v>09/10/2026</v>
      </c>
      <c r="E15" s="2" t="str">
        <f>INDEX(Tests!$F$4:$F$31,MATCH(A15,Tests!$A$4:$A$31,0))</f>
        <v>12:52</v>
      </c>
      <c r="F15" s="2">
        <f>IF(INDEX(Tests!$S$4:$S$31,MATCH(A15,Tests!$A$4:$A$31,0))="Yes",INDEX(Tests!$J$4:$J$31,MATCH(A15,Tests!$A$4:$A$31,0)),"")</f>
        <v>6230</v>
      </c>
      <c r="G15" s="10">
        <f t="shared" si="0"/>
        <v>5896.7</v>
      </c>
      <c r="H15" s="2" t="str">
        <f>IF(G15="","",IF(G15&gt;=Parameters!$C$4,"Meets","Below f'c"))</f>
        <v>Below f'c</v>
      </c>
      <c r="I15" s="2" t="str">
        <f>IF(F15="","",IF(F15&gt;=Parameters!$C$4-Parameters!$C$5,"Meets","Fails"))</f>
        <v>Meets</v>
      </c>
      <c r="J15" s="2" t="str">
        <f>IF(F15="","Not used: "&amp;INDEX(Tests!$T$4:$T$31,MATCH(A15,Tests!$A$4:$A$31,0)),TRIM(INDEX(Tests!$O$4:$O$31,MATCH(A15,Tests!$A$4:$A$31,0))&amp;" "&amp;INDEX(Tests!$Q$4:$Q$31,MATCH(A15,Tests!$A$4:$A$31,0))))</f>
        <v/>
      </c>
      <c r="K15" s="2">
        <f>IF(F15="","",COUNT($F$4:F15))</f>
        <v>12</v>
      </c>
      <c r="L15" s="2" t="str">
        <f>IF(I15="Fails",COUNTIF($I$6:I15,"Fails"),"")</f>
        <v/>
      </c>
    </row>
    <row r="17" spans="1:2" x14ac:dyDescent="0.2">
      <c r="A17" s="2" t="s">
        <v>10</v>
      </c>
      <c r="B17" s="2">
        <f>COUNT(F6:F15)</f>
        <v>10</v>
      </c>
    </row>
    <row r="18" spans="1:2" x14ac:dyDescent="0.2">
      <c r="A18" s="2" t="s">
        <v>14</v>
      </c>
      <c r="B18" s="2">
        <f>MIN(F6:F15)</f>
        <v>5400</v>
      </c>
    </row>
    <row r="19" spans="1:2" x14ac:dyDescent="0.2">
      <c r="A19" s="2" t="s">
        <v>15</v>
      </c>
      <c r="B19" s="2">
        <f>COUNTIF(H6:H15,"Below*")</f>
        <v>5</v>
      </c>
    </row>
    <row r="20" spans="1:2" x14ac:dyDescent="0.2">
      <c r="A20" s="2" t="s">
        <v>16</v>
      </c>
      <c r="B20" s="10">
        <f>MIN(G6:G15)</f>
        <v>5860</v>
      </c>
    </row>
    <row r="21" spans="1:2" x14ac:dyDescent="0.2">
      <c r="A21" s="2" t="s">
        <v>17</v>
      </c>
      <c r="B21" s="2">
        <f>COUNTIF(I6:I15,"Fails")</f>
        <v>0</v>
      </c>
    </row>
    <row r="22" spans="1:2" x14ac:dyDescent="0.2">
      <c r="A22" s="2" t="s">
        <v>657</v>
      </c>
      <c r="B22" s="2" t="str">
        <f>IFERROR(INDEX(C6:C15,MATCH(1,L6:L15,0)),"")</f>
        <v/>
      </c>
    </row>
    <row r="23" spans="1:2" x14ac:dyDescent="0.2">
      <c r="A23" s="2" t="s">
        <v>658</v>
      </c>
      <c r="B23" s="2" t="str">
        <f>IFERROR(INDEX(C6:C15,MATCH(2,L6:L15,0)),"")</f>
        <v/>
      </c>
    </row>
    <row r="24" spans="1:2" x14ac:dyDescent="0.2">
      <c r="A24" s="2" t="s">
        <v>659</v>
      </c>
      <c r="B24" s="2" t="str">
        <f>IFERROR(INDEX(C6:C15,MATCH(3,L6:L15,0)),"")</f>
        <v/>
      </c>
    </row>
    <row r="25" spans="1:2" x14ac:dyDescent="0.2">
      <c r="A25" s="2" t="s">
        <v>18</v>
      </c>
      <c r="B25" s="2" t="str">
        <f>IF(B21=0,"None",TRIM(B22&amp;" "&amp;B23&amp;" "&amp;B24))</f>
        <v>None</v>
      </c>
    </row>
    <row r="26" spans="1:2" x14ac:dyDescent="0.2">
      <c r="A26" s="2" t="s">
        <v>19</v>
      </c>
      <c r="B26" s="2" t="str">
        <f>IF(AND(B19=0,B21=0),"Meets 3.11.1","Does not meet 3.11.1")</f>
        <v>Does not meet 3.11.1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2"/>
  <sheetViews>
    <sheetView workbookViewId="0"/>
  </sheetViews>
  <sheetFormatPr baseColWidth="10" defaultColWidth="8.83203125" defaultRowHeight="15" x14ac:dyDescent="0.2"/>
  <cols>
    <col min="1" max="1" width="12" customWidth="1"/>
    <col min="2" max="2" width="10" customWidth="1"/>
    <col min="3" max="3" width="14" customWidth="1"/>
    <col min="4" max="4" width="10" customWidth="1"/>
    <col min="5" max="5" width="12" customWidth="1"/>
    <col min="6" max="11" width="9" customWidth="1"/>
    <col min="12" max="12" width="64" customWidth="1"/>
    <col min="13" max="13" width="18" customWidth="1"/>
    <col min="14" max="14" width="90" customWidth="1"/>
  </cols>
  <sheetData>
    <row r="1" spans="1:14" ht="17" x14ac:dyDescent="0.2">
      <c r="A1" s="1" t="s">
        <v>666</v>
      </c>
    </row>
    <row r="3" spans="1:14" ht="32" x14ac:dyDescent="0.2">
      <c r="A3" s="3" t="s">
        <v>101</v>
      </c>
      <c r="B3" s="3" t="s">
        <v>108</v>
      </c>
      <c r="C3" s="3" t="s">
        <v>667</v>
      </c>
      <c r="D3" s="3" t="s">
        <v>104</v>
      </c>
      <c r="E3" s="3" t="s">
        <v>105</v>
      </c>
      <c r="F3" s="3" t="s">
        <v>668</v>
      </c>
      <c r="G3" s="3" t="s">
        <v>669</v>
      </c>
      <c r="H3" s="3" t="s">
        <v>670</v>
      </c>
      <c r="I3" s="3" t="s">
        <v>671</v>
      </c>
      <c r="J3" s="3" t="s">
        <v>672</v>
      </c>
      <c r="K3" s="3" t="s">
        <v>673</v>
      </c>
      <c r="L3" s="3" t="s">
        <v>674</v>
      </c>
      <c r="M3" s="3" t="s">
        <v>675</v>
      </c>
      <c r="N3" s="3" t="s">
        <v>676</v>
      </c>
    </row>
    <row r="4" spans="1:14" x14ac:dyDescent="0.2">
      <c r="A4" s="2" t="s">
        <v>110</v>
      </c>
      <c r="B4" s="2" t="s">
        <v>3</v>
      </c>
      <c r="C4" s="2" t="s">
        <v>109</v>
      </c>
      <c r="D4" s="2">
        <f>SUMIFS(Placements!$E$4:$E$30,Placements!$B$4:$B$30,A4,Placements!$I$4:$I$30,B4)</f>
        <v>104</v>
      </c>
      <c r="E4" s="2">
        <f>SUMIFS(Placements!$F$4:$F$30,Placements!$B$4:$B$30,A4,Placements!$I$4:$I$30,B4)</f>
        <v>4810</v>
      </c>
      <c r="F4" s="2">
        <f>ROUNDUP(D4/Parameters!$B$16,0)</f>
        <v>1</v>
      </c>
      <c r="G4" s="2">
        <f>ROUNDUP(E4/Parameters!$B$17,0)</f>
        <v>1</v>
      </c>
      <c r="H4" s="2">
        <f t="shared" ref="H4:H28" si="0">MAX(1,F4,G4)</f>
        <v>1</v>
      </c>
      <c r="I4" s="2">
        <f>COUNTIFS(Tests!$E$4:$E$31,A4,Tests!$D$4:$D$31,B4)</f>
        <v>1</v>
      </c>
      <c r="J4" s="2">
        <f>COUNTIFS(Tests!$E$4:$E$31,A4,Tests!$D$4:$D$31,B4,Tests!$S$4:$S$31,"Yes")</f>
        <v>1</v>
      </c>
      <c r="K4" s="2" t="str">
        <f t="shared" ref="K4:K28" si="1">IF(J4&lt;H4,"Short","Met")</f>
        <v>Met</v>
      </c>
      <c r="L4" s="2"/>
      <c r="M4" s="2" t="str">
        <f t="shared" ref="M4:M28" si="2">IF(K4="Short",LEFT(A4,5)&amp;" "&amp;B4,"")</f>
        <v/>
      </c>
      <c r="N4" s="2" t="str">
        <f>M4</f>
        <v/>
      </c>
    </row>
    <row r="5" spans="1:14" x14ac:dyDescent="0.2">
      <c r="A5" s="2" t="s">
        <v>115</v>
      </c>
      <c r="B5" s="2" t="s">
        <v>3</v>
      </c>
      <c r="C5" s="2" t="s">
        <v>677</v>
      </c>
      <c r="D5" s="2">
        <f>SUMIFS(Placements!$E$4:$E$30,Placements!$B$4:$B$30,A5,Placements!$I$4:$I$30,B5)</f>
        <v>107</v>
      </c>
      <c r="E5" s="2">
        <f>SUMIFS(Placements!$F$4:$F$30,Placements!$B$4:$B$30,A5,Placements!$I$4:$I$30,B5)</f>
        <v>4950</v>
      </c>
      <c r="F5" s="2">
        <f>ROUNDUP(D5/Parameters!$B$16,0)</f>
        <v>1</v>
      </c>
      <c r="G5" s="2">
        <f>ROUNDUP(E5/Parameters!$B$17,0)</f>
        <v>1</v>
      </c>
      <c r="H5" s="2">
        <f t="shared" si="0"/>
        <v>1</v>
      </c>
      <c r="I5" s="2">
        <f>COUNTIFS(Tests!$E$4:$E$31,A5,Tests!$D$4:$D$31,B5)</f>
        <v>1</v>
      </c>
      <c r="J5" s="2">
        <f>COUNTIFS(Tests!$E$4:$E$31,A5,Tests!$D$4:$D$31,B5,Tests!$S$4:$S$31,"Yes")</f>
        <v>1</v>
      </c>
      <c r="K5" s="2" t="str">
        <f t="shared" si="1"/>
        <v>Met</v>
      </c>
      <c r="L5" s="2" t="s">
        <v>678</v>
      </c>
      <c r="M5" s="2" t="str">
        <f t="shared" si="2"/>
        <v/>
      </c>
      <c r="N5" s="2" t="str">
        <f t="shared" ref="N5:N28" si="3">IF(M5="",N4,IF(N4="",M5,N4&amp;"; "&amp;M5))</f>
        <v/>
      </c>
    </row>
    <row r="6" spans="1:14" x14ac:dyDescent="0.2">
      <c r="A6" s="2" t="s">
        <v>124</v>
      </c>
      <c r="B6" s="2" t="s">
        <v>4</v>
      </c>
      <c r="C6" s="2" t="s">
        <v>123</v>
      </c>
      <c r="D6" s="2">
        <f>SUMIFS(Placements!$E$4:$E$30,Placements!$B$4:$B$30,A6,Placements!$I$4:$I$30,B6)</f>
        <v>38</v>
      </c>
      <c r="E6" s="2">
        <f>SUMIFS(Placements!$F$4:$F$30,Placements!$B$4:$B$30,A6,Placements!$I$4:$I$30,B6)</f>
        <v>0</v>
      </c>
      <c r="F6" s="2">
        <f>ROUNDUP(D6/Parameters!$B$16,0)</f>
        <v>1</v>
      </c>
      <c r="G6" s="2">
        <f>ROUNDUP(E6/Parameters!$B$17,0)</f>
        <v>0</v>
      </c>
      <c r="H6" s="2">
        <f t="shared" si="0"/>
        <v>1</v>
      </c>
      <c r="I6" s="2">
        <f>COUNTIFS(Tests!$E$4:$E$31,A6,Tests!$D$4:$D$31,B6)</f>
        <v>1</v>
      </c>
      <c r="J6" s="2">
        <f>COUNTIFS(Tests!$E$4:$E$31,A6,Tests!$D$4:$D$31,B6,Tests!$S$4:$S$31,"Yes")</f>
        <v>1</v>
      </c>
      <c r="K6" s="2" t="str">
        <f t="shared" si="1"/>
        <v>Met</v>
      </c>
      <c r="L6" s="2"/>
      <c r="M6" s="2" t="str">
        <f t="shared" si="2"/>
        <v/>
      </c>
      <c r="N6" s="2" t="str">
        <f t="shared" si="3"/>
        <v/>
      </c>
    </row>
    <row r="7" spans="1:14" x14ac:dyDescent="0.2">
      <c r="A7" s="2" t="s">
        <v>129</v>
      </c>
      <c r="B7" s="2" t="s">
        <v>3</v>
      </c>
      <c r="C7" s="2" t="s">
        <v>128</v>
      </c>
      <c r="D7" s="2">
        <f>SUMIFS(Placements!$E$4:$E$30,Placements!$B$4:$B$30,A7,Placements!$I$4:$I$30,B7)</f>
        <v>318</v>
      </c>
      <c r="E7" s="2">
        <f>SUMIFS(Placements!$F$4:$F$30,Placements!$B$4:$B$30,A7,Placements!$I$4:$I$30,B7)</f>
        <v>14720</v>
      </c>
      <c r="F7" s="2">
        <f>ROUNDUP(D7/Parameters!$B$16,0)</f>
        <v>3</v>
      </c>
      <c r="G7" s="2">
        <f>ROUNDUP(E7/Parameters!$B$17,0)</f>
        <v>3</v>
      </c>
      <c r="H7" s="2">
        <f t="shared" si="0"/>
        <v>3</v>
      </c>
      <c r="I7" s="2">
        <f>COUNTIFS(Tests!$E$4:$E$31,A7,Tests!$D$4:$D$31,B7)</f>
        <v>3</v>
      </c>
      <c r="J7" s="2">
        <f>COUNTIFS(Tests!$E$4:$E$31,A7,Tests!$D$4:$D$31,B7,Tests!$S$4:$S$31,"Yes")</f>
        <v>1</v>
      </c>
      <c r="K7" s="2" t="str">
        <f t="shared" si="1"/>
        <v>Short</v>
      </c>
      <c r="L7" s="2" t="s">
        <v>679</v>
      </c>
      <c r="M7" s="2" t="str">
        <f t="shared" si="2"/>
        <v>08/10 M-4000</v>
      </c>
      <c r="N7" s="2" t="str">
        <f t="shared" si="3"/>
        <v>08/10 M-4000</v>
      </c>
    </row>
    <row r="8" spans="1:14" x14ac:dyDescent="0.2">
      <c r="A8" s="2" t="s">
        <v>134</v>
      </c>
      <c r="B8" s="2" t="s">
        <v>3</v>
      </c>
      <c r="C8" s="2" t="s">
        <v>133</v>
      </c>
      <c r="D8" s="2">
        <f>SUMIFS(Placements!$E$4:$E$30,Placements!$B$4:$B$30,A8,Placements!$I$4:$I$30,B8)</f>
        <v>101</v>
      </c>
      <c r="E8" s="2">
        <f>SUMIFS(Placements!$F$4:$F$30,Placements!$B$4:$B$30,A8,Placements!$I$4:$I$30,B8)</f>
        <v>4670</v>
      </c>
      <c r="F8" s="2">
        <f>ROUNDUP(D8/Parameters!$B$16,0)</f>
        <v>1</v>
      </c>
      <c r="G8" s="2">
        <f>ROUNDUP(E8/Parameters!$B$17,0)</f>
        <v>1</v>
      </c>
      <c r="H8" s="2">
        <f t="shared" si="0"/>
        <v>1</v>
      </c>
      <c r="I8" s="2">
        <f>COUNTIFS(Tests!$E$4:$E$31,A8,Tests!$D$4:$D$31,B8)</f>
        <v>1</v>
      </c>
      <c r="J8" s="2">
        <f>COUNTIFS(Tests!$E$4:$E$31,A8,Tests!$D$4:$D$31,B8,Tests!$S$4:$S$31,"Yes")</f>
        <v>1</v>
      </c>
      <c r="K8" s="2" t="str">
        <f t="shared" si="1"/>
        <v>Met</v>
      </c>
      <c r="L8" s="2"/>
      <c r="M8" s="2" t="str">
        <f t="shared" si="2"/>
        <v/>
      </c>
      <c r="N8" s="2" t="str">
        <f t="shared" si="3"/>
        <v>08/10 M-4000</v>
      </c>
    </row>
    <row r="9" spans="1:14" x14ac:dyDescent="0.2">
      <c r="A9" s="2" t="s">
        <v>139</v>
      </c>
      <c r="B9" s="2" t="s">
        <v>4</v>
      </c>
      <c r="C9" s="2" t="s">
        <v>138</v>
      </c>
      <c r="D9" s="2">
        <f>SUMIFS(Placements!$E$4:$E$30,Placements!$B$4:$B$30,A9,Placements!$I$4:$I$30,B9)</f>
        <v>41</v>
      </c>
      <c r="E9" s="2">
        <f>SUMIFS(Placements!$F$4:$F$30,Placements!$B$4:$B$30,A9,Placements!$I$4:$I$30,B9)</f>
        <v>0</v>
      </c>
      <c r="F9" s="2">
        <f>ROUNDUP(D9/Parameters!$B$16,0)</f>
        <v>1</v>
      </c>
      <c r="G9" s="2">
        <f>ROUNDUP(E9/Parameters!$B$17,0)</f>
        <v>0</v>
      </c>
      <c r="H9" s="2">
        <f t="shared" si="0"/>
        <v>1</v>
      </c>
      <c r="I9" s="2">
        <f>COUNTIFS(Tests!$E$4:$E$31,A9,Tests!$D$4:$D$31,B9)</f>
        <v>1</v>
      </c>
      <c r="J9" s="2">
        <f>COUNTIFS(Tests!$E$4:$E$31,A9,Tests!$D$4:$D$31,B9,Tests!$S$4:$S$31,"Yes")</f>
        <v>1</v>
      </c>
      <c r="K9" s="2" t="str">
        <f t="shared" si="1"/>
        <v>Met</v>
      </c>
      <c r="L9" s="2"/>
      <c r="M9" s="2" t="str">
        <f t="shared" si="2"/>
        <v/>
      </c>
      <c r="N9" s="2" t="str">
        <f t="shared" si="3"/>
        <v>08/10 M-4000</v>
      </c>
    </row>
    <row r="10" spans="1:14" x14ac:dyDescent="0.2">
      <c r="A10" s="2" t="s">
        <v>144</v>
      </c>
      <c r="B10" s="2" t="s">
        <v>3</v>
      </c>
      <c r="C10" s="2" t="s">
        <v>143</v>
      </c>
      <c r="D10" s="2">
        <f>SUMIFS(Placements!$E$4:$E$30,Placements!$B$4:$B$30,A10,Placements!$I$4:$I$30,B10)</f>
        <v>112</v>
      </c>
      <c r="E10" s="2">
        <f>SUMIFS(Placements!$F$4:$F$30,Placements!$B$4:$B$30,A10,Placements!$I$4:$I$30,B10)</f>
        <v>5180</v>
      </c>
      <c r="F10" s="2">
        <f>ROUNDUP(D10/Parameters!$B$16,0)</f>
        <v>1</v>
      </c>
      <c r="G10" s="2">
        <f>ROUNDUP(E10/Parameters!$B$17,0)</f>
        <v>2</v>
      </c>
      <c r="H10" s="2">
        <f t="shared" si="0"/>
        <v>2</v>
      </c>
      <c r="I10" s="2">
        <f>COUNTIFS(Tests!$E$4:$E$31,A10,Tests!$D$4:$D$31,B10)</f>
        <v>2</v>
      </c>
      <c r="J10" s="2">
        <f>COUNTIFS(Tests!$E$4:$E$31,A10,Tests!$D$4:$D$31,B10,Tests!$S$4:$S$31,"Yes")</f>
        <v>1</v>
      </c>
      <c r="K10" s="2" t="str">
        <f t="shared" si="1"/>
        <v>Short</v>
      </c>
      <c r="L10" s="2" t="s">
        <v>680</v>
      </c>
      <c r="M10" s="2" t="str">
        <f t="shared" si="2"/>
        <v>08/14 M-4000</v>
      </c>
      <c r="N10" s="2" t="str">
        <f t="shared" si="3"/>
        <v>08/10 M-4000; 08/14 M-4000</v>
      </c>
    </row>
    <row r="11" spans="1:14" x14ac:dyDescent="0.2">
      <c r="A11" s="2" t="s">
        <v>149</v>
      </c>
      <c r="B11" s="2" t="s">
        <v>3</v>
      </c>
      <c r="C11" s="2" t="s">
        <v>148</v>
      </c>
      <c r="D11" s="2">
        <f>SUMIFS(Placements!$E$4:$E$30,Placements!$B$4:$B$30,A11,Placements!$I$4:$I$30,B11)</f>
        <v>150</v>
      </c>
      <c r="E11" s="2">
        <f>SUMIFS(Placements!$F$4:$F$30,Placements!$B$4:$B$30,A11,Placements!$I$4:$I$30,B11)</f>
        <v>4860</v>
      </c>
      <c r="F11" s="2">
        <f>ROUNDUP(D11/Parameters!$B$16,0)</f>
        <v>1</v>
      </c>
      <c r="G11" s="2">
        <f>ROUNDUP(E11/Parameters!$B$17,0)</f>
        <v>1</v>
      </c>
      <c r="H11" s="2">
        <f t="shared" si="0"/>
        <v>1</v>
      </c>
      <c r="I11" s="2">
        <f>COUNTIFS(Tests!$E$4:$E$31,A11,Tests!$D$4:$D$31,B11)</f>
        <v>1</v>
      </c>
      <c r="J11" s="2">
        <f>COUNTIFS(Tests!$E$4:$E$31,A11,Tests!$D$4:$D$31,B11,Tests!$S$4:$S$31,"Yes")</f>
        <v>1</v>
      </c>
      <c r="K11" s="2" t="str">
        <f t="shared" si="1"/>
        <v>Met</v>
      </c>
      <c r="L11" s="2"/>
      <c r="M11" s="2" t="str">
        <f t="shared" si="2"/>
        <v/>
      </c>
      <c r="N11" s="2" t="str">
        <f t="shared" si="3"/>
        <v>08/10 M-4000; 08/14 M-4000</v>
      </c>
    </row>
    <row r="12" spans="1:14" x14ac:dyDescent="0.2">
      <c r="A12" s="2" t="s">
        <v>154</v>
      </c>
      <c r="B12" s="2" t="s">
        <v>3</v>
      </c>
      <c r="C12" s="2" t="s">
        <v>153</v>
      </c>
      <c r="D12" s="2">
        <f>SUMIFS(Placements!$E$4:$E$30,Placements!$B$4:$B$30,A12,Placements!$I$4:$I$30,B12)</f>
        <v>151</v>
      </c>
      <c r="E12" s="2">
        <f>SUMIFS(Placements!$F$4:$F$30,Placements!$B$4:$B$30,A12,Placements!$I$4:$I$30,B12)</f>
        <v>6990</v>
      </c>
      <c r="F12" s="2">
        <f>ROUNDUP(D12/Parameters!$B$16,0)</f>
        <v>2</v>
      </c>
      <c r="G12" s="2">
        <f>ROUNDUP(E12/Parameters!$B$17,0)</f>
        <v>2</v>
      </c>
      <c r="H12" s="2">
        <f t="shared" si="0"/>
        <v>2</v>
      </c>
      <c r="I12" s="2">
        <f>COUNTIFS(Tests!$E$4:$E$31,A12,Tests!$D$4:$D$31,B12)</f>
        <v>1</v>
      </c>
      <c r="J12" s="2">
        <f>COUNTIFS(Tests!$E$4:$E$31,A12,Tests!$D$4:$D$31,B12,Tests!$S$4:$S$31,"Yes")</f>
        <v>1</v>
      </c>
      <c r="K12" s="2" t="str">
        <f t="shared" si="1"/>
        <v>Short</v>
      </c>
      <c r="L12" s="2" t="s">
        <v>681</v>
      </c>
      <c r="M12" s="2" t="str">
        <f t="shared" si="2"/>
        <v>08/17 M-4000</v>
      </c>
      <c r="N12" s="2" t="str">
        <f t="shared" si="3"/>
        <v>08/10 M-4000; 08/14 M-4000; 08/17 M-4000</v>
      </c>
    </row>
    <row r="13" spans="1:14" x14ac:dyDescent="0.2">
      <c r="A13" s="2" t="s">
        <v>159</v>
      </c>
      <c r="B13" s="2" t="s">
        <v>4</v>
      </c>
      <c r="C13" s="2" t="s">
        <v>158</v>
      </c>
      <c r="D13" s="2">
        <f>SUMIFS(Placements!$E$4:$E$30,Placements!$B$4:$B$30,A13,Placements!$I$4:$I$30,B13)</f>
        <v>36</v>
      </c>
      <c r="E13" s="2">
        <f>SUMIFS(Placements!$F$4:$F$30,Placements!$B$4:$B$30,A13,Placements!$I$4:$I$30,B13)</f>
        <v>0</v>
      </c>
      <c r="F13" s="2">
        <f>ROUNDUP(D13/Parameters!$B$16,0)</f>
        <v>1</v>
      </c>
      <c r="G13" s="2">
        <f>ROUNDUP(E13/Parameters!$B$17,0)</f>
        <v>0</v>
      </c>
      <c r="H13" s="2">
        <f t="shared" si="0"/>
        <v>1</v>
      </c>
      <c r="I13" s="2">
        <f>COUNTIFS(Tests!$E$4:$E$31,A13,Tests!$D$4:$D$31,B13)</f>
        <v>1</v>
      </c>
      <c r="J13" s="2">
        <f>COUNTIFS(Tests!$E$4:$E$31,A13,Tests!$D$4:$D$31,B13,Tests!$S$4:$S$31,"Yes")</f>
        <v>1</v>
      </c>
      <c r="K13" s="2" t="str">
        <f t="shared" si="1"/>
        <v>Met</v>
      </c>
      <c r="L13" s="2"/>
      <c r="M13" s="2" t="str">
        <f t="shared" si="2"/>
        <v/>
      </c>
      <c r="N13" s="2" t="str">
        <f t="shared" si="3"/>
        <v>08/10 M-4000; 08/14 M-4000; 08/17 M-4000</v>
      </c>
    </row>
    <row r="14" spans="1:14" x14ac:dyDescent="0.2">
      <c r="A14" s="2" t="s">
        <v>164</v>
      </c>
      <c r="B14" s="2" t="s">
        <v>3</v>
      </c>
      <c r="C14" s="2" t="s">
        <v>163</v>
      </c>
      <c r="D14" s="2">
        <f>SUMIFS(Placements!$E$4:$E$30,Placements!$B$4:$B$30,A14,Placements!$I$4:$I$30,B14)</f>
        <v>106</v>
      </c>
      <c r="E14" s="2">
        <f>SUMIFS(Placements!$F$4:$F$30,Placements!$B$4:$B$30,A14,Placements!$I$4:$I$30,B14)</f>
        <v>4905</v>
      </c>
      <c r="F14" s="2">
        <f>ROUNDUP(D14/Parameters!$B$16,0)</f>
        <v>1</v>
      </c>
      <c r="G14" s="2">
        <f>ROUNDUP(E14/Parameters!$B$17,0)</f>
        <v>1</v>
      </c>
      <c r="H14" s="2">
        <f t="shared" si="0"/>
        <v>1</v>
      </c>
      <c r="I14" s="2">
        <f>COUNTIFS(Tests!$E$4:$E$31,A14,Tests!$D$4:$D$31,B14)</f>
        <v>1</v>
      </c>
      <c r="J14" s="2">
        <f>COUNTIFS(Tests!$E$4:$E$31,A14,Tests!$D$4:$D$31,B14,Tests!$S$4:$S$31,"Yes")</f>
        <v>1</v>
      </c>
      <c r="K14" s="2" t="str">
        <f t="shared" si="1"/>
        <v>Met</v>
      </c>
      <c r="L14" s="2"/>
      <c r="M14" s="2" t="str">
        <f t="shared" si="2"/>
        <v/>
      </c>
      <c r="N14" s="2" t="str">
        <f t="shared" si="3"/>
        <v>08/10 M-4000; 08/14 M-4000; 08/17 M-4000</v>
      </c>
    </row>
    <row r="15" spans="1:14" x14ac:dyDescent="0.2">
      <c r="A15" s="2" t="s">
        <v>169</v>
      </c>
      <c r="B15" s="2" t="s">
        <v>4</v>
      </c>
      <c r="C15" s="2" t="s">
        <v>168</v>
      </c>
      <c r="D15" s="2">
        <f>SUMIFS(Placements!$E$4:$E$30,Placements!$B$4:$B$30,A15,Placements!$I$4:$I$30,B15)</f>
        <v>37</v>
      </c>
      <c r="E15" s="2">
        <f>SUMIFS(Placements!$F$4:$F$30,Placements!$B$4:$B$30,A15,Placements!$I$4:$I$30,B15)</f>
        <v>0</v>
      </c>
      <c r="F15" s="2">
        <f>ROUNDUP(D15/Parameters!$B$16,0)</f>
        <v>1</v>
      </c>
      <c r="G15" s="2">
        <f>ROUNDUP(E15/Parameters!$B$17,0)</f>
        <v>0</v>
      </c>
      <c r="H15" s="2">
        <f t="shared" si="0"/>
        <v>1</v>
      </c>
      <c r="I15" s="2">
        <f>COUNTIFS(Tests!$E$4:$E$31,A15,Tests!$D$4:$D$31,B15)</f>
        <v>1</v>
      </c>
      <c r="J15" s="2">
        <f>COUNTIFS(Tests!$E$4:$E$31,A15,Tests!$D$4:$D$31,B15,Tests!$S$4:$S$31,"Yes")</f>
        <v>1</v>
      </c>
      <c r="K15" s="2" t="str">
        <f t="shared" si="1"/>
        <v>Met</v>
      </c>
      <c r="L15" s="2"/>
      <c r="M15" s="2" t="str">
        <f t="shared" si="2"/>
        <v/>
      </c>
      <c r="N15" s="2" t="str">
        <f t="shared" si="3"/>
        <v>08/10 M-4000; 08/14 M-4000; 08/17 M-4000</v>
      </c>
    </row>
    <row r="16" spans="1:14" x14ac:dyDescent="0.2">
      <c r="A16" s="2" t="s">
        <v>173</v>
      </c>
      <c r="B16" s="2" t="s">
        <v>3</v>
      </c>
      <c r="C16" s="2" t="s">
        <v>172</v>
      </c>
      <c r="D16" s="2">
        <f>SUMIFS(Placements!$E$4:$E$30,Placements!$B$4:$B$30,A16,Placements!$I$4:$I$30,B16)</f>
        <v>96</v>
      </c>
      <c r="E16" s="2">
        <f>SUMIFS(Placements!$F$4:$F$30,Placements!$B$4:$B$30,A16,Placements!$I$4:$I$30,B16)</f>
        <v>3110</v>
      </c>
      <c r="F16" s="2">
        <f>ROUNDUP(D16/Parameters!$B$16,0)</f>
        <v>1</v>
      </c>
      <c r="G16" s="2">
        <f>ROUNDUP(E16/Parameters!$B$17,0)</f>
        <v>1</v>
      </c>
      <c r="H16" s="2">
        <f t="shared" si="0"/>
        <v>1</v>
      </c>
      <c r="I16" s="2">
        <f>COUNTIFS(Tests!$E$4:$E$31,A16,Tests!$D$4:$D$31,B16)</f>
        <v>1</v>
      </c>
      <c r="J16" s="2">
        <f>COUNTIFS(Tests!$E$4:$E$31,A16,Tests!$D$4:$D$31,B16,Tests!$S$4:$S$31,"Yes")</f>
        <v>0</v>
      </c>
      <c r="K16" s="2" t="str">
        <f t="shared" si="1"/>
        <v>Short</v>
      </c>
      <c r="L16" s="2" t="s">
        <v>682</v>
      </c>
      <c r="M16" s="2" t="str">
        <f t="shared" si="2"/>
        <v>08/21 M-4000</v>
      </c>
      <c r="N16" s="2" t="str">
        <f t="shared" si="3"/>
        <v>08/10 M-4000; 08/14 M-4000; 08/17 M-4000; 08/21 M-4000</v>
      </c>
    </row>
    <row r="17" spans="1:14" x14ac:dyDescent="0.2">
      <c r="A17" s="2" t="s">
        <v>178</v>
      </c>
      <c r="B17" s="2" t="s">
        <v>3</v>
      </c>
      <c r="C17" s="2" t="s">
        <v>177</v>
      </c>
      <c r="D17" s="2">
        <f>SUMIFS(Placements!$E$4:$E$30,Placements!$B$4:$B$30,A17,Placements!$I$4:$I$30,B17)</f>
        <v>103</v>
      </c>
      <c r="E17" s="2">
        <f>SUMIFS(Placements!$F$4:$F$30,Placements!$B$4:$B$30,A17,Placements!$I$4:$I$30,B17)</f>
        <v>4770</v>
      </c>
      <c r="F17" s="2">
        <f>ROUNDUP(D17/Parameters!$B$16,0)</f>
        <v>1</v>
      </c>
      <c r="G17" s="2">
        <f>ROUNDUP(E17/Parameters!$B$17,0)</f>
        <v>1</v>
      </c>
      <c r="H17" s="2">
        <f t="shared" si="0"/>
        <v>1</v>
      </c>
      <c r="I17" s="2">
        <f>COUNTIFS(Tests!$E$4:$E$31,A17,Tests!$D$4:$D$31,B17)</f>
        <v>1</v>
      </c>
      <c r="J17" s="2">
        <f>COUNTIFS(Tests!$E$4:$E$31,A17,Tests!$D$4:$D$31,B17,Tests!$S$4:$S$31,"Yes")</f>
        <v>1</v>
      </c>
      <c r="K17" s="2" t="str">
        <f t="shared" si="1"/>
        <v>Met</v>
      </c>
      <c r="L17" s="2"/>
      <c r="M17" s="2" t="str">
        <f t="shared" si="2"/>
        <v/>
      </c>
      <c r="N17" s="2" t="str">
        <f t="shared" si="3"/>
        <v>08/10 M-4000; 08/14 M-4000; 08/17 M-4000; 08/21 M-4000</v>
      </c>
    </row>
    <row r="18" spans="1:14" x14ac:dyDescent="0.2">
      <c r="A18" s="2" t="s">
        <v>178</v>
      </c>
      <c r="B18" s="2" t="s">
        <v>4</v>
      </c>
      <c r="C18" s="2" t="s">
        <v>182</v>
      </c>
      <c r="D18" s="2">
        <f>SUMIFS(Placements!$E$4:$E$30,Placements!$B$4:$B$30,A18,Placements!$I$4:$I$30,B18)</f>
        <v>39</v>
      </c>
      <c r="E18" s="2">
        <f>SUMIFS(Placements!$F$4:$F$30,Placements!$B$4:$B$30,A18,Placements!$I$4:$I$30,B18)</f>
        <v>0</v>
      </c>
      <c r="F18" s="2">
        <f>ROUNDUP(D18/Parameters!$B$16,0)</f>
        <v>1</v>
      </c>
      <c r="G18" s="2">
        <f>ROUNDUP(E18/Parameters!$B$17,0)</f>
        <v>0</v>
      </c>
      <c r="H18" s="2">
        <f t="shared" si="0"/>
        <v>1</v>
      </c>
      <c r="I18" s="2">
        <f>COUNTIFS(Tests!$E$4:$E$31,A18,Tests!$D$4:$D$31,B18)</f>
        <v>1</v>
      </c>
      <c r="J18" s="2">
        <f>COUNTIFS(Tests!$E$4:$E$31,A18,Tests!$D$4:$D$31,B18,Tests!$S$4:$S$31,"Yes")</f>
        <v>1</v>
      </c>
      <c r="K18" s="2" t="str">
        <f t="shared" si="1"/>
        <v>Met</v>
      </c>
      <c r="L18" s="2"/>
      <c r="M18" s="2" t="str">
        <f t="shared" si="2"/>
        <v/>
      </c>
      <c r="N18" s="2" t="str">
        <f t="shared" si="3"/>
        <v>08/10 M-4000; 08/14 M-4000; 08/17 M-4000; 08/21 M-4000</v>
      </c>
    </row>
    <row r="19" spans="1:14" x14ac:dyDescent="0.2">
      <c r="A19" s="2" t="s">
        <v>186</v>
      </c>
      <c r="B19" s="2" t="s">
        <v>3</v>
      </c>
      <c r="C19" s="2" t="s">
        <v>185</v>
      </c>
      <c r="D19" s="2">
        <f>SUMIFS(Placements!$E$4:$E$30,Placements!$B$4:$B$30,A19,Placements!$I$4:$I$30,B19)</f>
        <v>99</v>
      </c>
      <c r="E19" s="2">
        <f>SUMIFS(Placements!$F$4:$F$30,Placements!$B$4:$B$30,A19,Placements!$I$4:$I$30,B19)</f>
        <v>4580</v>
      </c>
      <c r="F19" s="2">
        <f>ROUNDUP(D19/Parameters!$B$16,0)</f>
        <v>1</v>
      </c>
      <c r="G19" s="2">
        <f>ROUNDUP(E19/Parameters!$B$17,0)</f>
        <v>1</v>
      </c>
      <c r="H19" s="2">
        <f t="shared" si="0"/>
        <v>1</v>
      </c>
      <c r="I19" s="2">
        <f>COUNTIFS(Tests!$E$4:$E$31,A19,Tests!$D$4:$D$31,B19)</f>
        <v>1</v>
      </c>
      <c r="J19" s="2">
        <f>COUNTIFS(Tests!$E$4:$E$31,A19,Tests!$D$4:$D$31,B19,Tests!$S$4:$S$31,"Yes")</f>
        <v>0</v>
      </c>
      <c r="K19" s="2" t="str">
        <f t="shared" si="1"/>
        <v>Short</v>
      </c>
      <c r="L19" s="2" t="s">
        <v>683</v>
      </c>
      <c r="M19" s="2" t="str">
        <f t="shared" si="2"/>
        <v>08/26 M-4000</v>
      </c>
      <c r="N19" s="2" t="str">
        <f t="shared" si="3"/>
        <v>08/10 M-4000; 08/14 M-4000; 08/17 M-4000; 08/21 M-4000; 08/26 M-4000</v>
      </c>
    </row>
    <row r="20" spans="1:14" x14ac:dyDescent="0.2">
      <c r="A20" s="2" t="s">
        <v>186</v>
      </c>
      <c r="B20" s="2" t="s">
        <v>4</v>
      </c>
      <c r="C20" s="2" t="s">
        <v>189</v>
      </c>
      <c r="D20" s="2">
        <f>SUMIFS(Placements!$E$4:$E$30,Placements!$B$4:$B$30,A20,Placements!$I$4:$I$30,B20)</f>
        <v>40</v>
      </c>
      <c r="E20" s="2">
        <f>SUMIFS(Placements!$F$4:$F$30,Placements!$B$4:$B$30,A20,Placements!$I$4:$I$30,B20)</f>
        <v>0</v>
      </c>
      <c r="F20" s="2">
        <f>ROUNDUP(D20/Parameters!$B$16,0)</f>
        <v>1</v>
      </c>
      <c r="G20" s="2">
        <f>ROUNDUP(E20/Parameters!$B$17,0)</f>
        <v>0</v>
      </c>
      <c r="H20" s="2">
        <f t="shared" si="0"/>
        <v>1</v>
      </c>
      <c r="I20" s="2">
        <f>COUNTIFS(Tests!$E$4:$E$31,A20,Tests!$D$4:$D$31,B20)</f>
        <v>1</v>
      </c>
      <c r="J20" s="2">
        <f>COUNTIFS(Tests!$E$4:$E$31,A20,Tests!$D$4:$D$31,B20,Tests!$S$4:$S$31,"Yes")</f>
        <v>1</v>
      </c>
      <c r="K20" s="2" t="str">
        <f t="shared" si="1"/>
        <v>Met</v>
      </c>
      <c r="L20" s="2"/>
      <c r="M20" s="2" t="str">
        <f t="shared" si="2"/>
        <v/>
      </c>
      <c r="N20" s="2" t="str">
        <f t="shared" si="3"/>
        <v>08/10 M-4000; 08/14 M-4000; 08/17 M-4000; 08/21 M-4000; 08/26 M-4000</v>
      </c>
    </row>
    <row r="21" spans="1:14" x14ac:dyDescent="0.2">
      <c r="A21" s="2" t="s">
        <v>194</v>
      </c>
      <c r="B21" s="2" t="s">
        <v>4</v>
      </c>
      <c r="C21" s="2" t="s">
        <v>193</v>
      </c>
      <c r="D21" s="2">
        <f>SUMIFS(Placements!$E$4:$E$30,Placements!$B$4:$B$30,A21,Placements!$I$4:$I$30,B21)</f>
        <v>52</v>
      </c>
      <c r="E21" s="2">
        <f>SUMIFS(Placements!$F$4:$F$30,Placements!$B$4:$B$30,A21,Placements!$I$4:$I$30,B21)</f>
        <v>1390</v>
      </c>
      <c r="F21" s="2">
        <f>ROUNDUP(D21/Parameters!$B$16,0)</f>
        <v>1</v>
      </c>
      <c r="G21" s="2">
        <f>ROUNDUP(E21/Parameters!$B$17,0)</f>
        <v>1</v>
      </c>
      <c r="H21" s="2">
        <f t="shared" si="0"/>
        <v>1</v>
      </c>
      <c r="I21" s="2">
        <f>COUNTIFS(Tests!$E$4:$E$31,A21,Tests!$D$4:$D$31,B21)</f>
        <v>1</v>
      </c>
      <c r="J21" s="2">
        <f>COUNTIFS(Tests!$E$4:$E$31,A21,Tests!$D$4:$D$31,B21,Tests!$S$4:$S$31,"Yes")</f>
        <v>1</v>
      </c>
      <c r="K21" s="2" t="str">
        <f t="shared" si="1"/>
        <v>Met</v>
      </c>
      <c r="L21" s="2"/>
      <c r="M21" s="2" t="str">
        <f t="shared" si="2"/>
        <v/>
      </c>
      <c r="N21" s="2" t="str">
        <f t="shared" si="3"/>
        <v>08/10 M-4000; 08/14 M-4000; 08/17 M-4000; 08/21 M-4000; 08/26 M-4000</v>
      </c>
    </row>
    <row r="22" spans="1:14" x14ac:dyDescent="0.2">
      <c r="A22" s="2" t="s">
        <v>199</v>
      </c>
      <c r="B22" s="2" t="s">
        <v>3</v>
      </c>
      <c r="C22" s="2" t="s">
        <v>198</v>
      </c>
      <c r="D22" s="2">
        <f>SUMIFS(Placements!$E$4:$E$30,Placements!$B$4:$B$30,A22,Placements!$I$4:$I$30,B22)</f>
        <v>107</v>
      </c>
      <c r="E22" s="2">
        <f>SUMIFS(Placements!$F$4:$F$30,Placements!$B$4:$B$30,A22,Placements!$I$4:$I$30,B22)</f>
        <v>4950</v>
      </c>
      <c r="F22" s="2">
        <f>ROUNDUP(D22/Parameters!$B$16,0)</f>
        <v>1</v>
      </c>
      <c r="G22" s="2">
        <f>ROUNDUP(E22/Parameters!$B$17,0)</f>
        <v>1</v>
      </c>
      <c r="H22" s="2">
        <f t="shared" si="0"/>
        <v>1</v>
      </c>
      <c r="I22" s="2">
        <f>COUNTIFS(Tests!$E$4:$E$31,A22,Tests!$D$4:$D$31,B22)</f>
        <v>1</v>
      </c>
      <c r="J22" s="2">
        <f>COUNTIFS(Tests!$E$4:$E$31,A22,Tests!$D$4:$D$31,B22,Tests!$S$4:$S$31,"Yes")</f>
        <v>0</v>
      </c>
      <c r="K22" s="2" t="str">
        <f t="shared" si="1"/>
        <v>Short</v>
      </c>
      <c r="L22" s="2" t="s">
        <v>684</v>
      </c>
      <c r="M22" s="2" t="str">
        <f t="shared" si="2"/>
        <v>08/29 M-4000</v>
      </c>
      <c r="N22" s="2" t="str">
        <f t="shared" si="3"/>
        <v>08/10 M-4000; 08/14 M-4000; 08/17 M-4000; 08/21 M-4000; 08/26 M-4000; 08/29 M-4000</v>
      </c>
    </row>
    <row r="23" spans="1:14" x14ac:dyDescent="0.2">
      <c r="A23" s="2" t="s">
        <v>204</v>
      </c>
      <c r="B23" s="2" t="s">
        <v>3</v>
      </c>
      <c r="C23" s="2" t="s">
        <v>203</v>
      </c>
      <c r="D23" s="2">
        <f>SUMIFS(Placements!$E$4:$E$30,Placements!$B$4:$B$30,A23,Placements!$I$4:$I$30,B23)</f>
        <v>212</v>
      </c>
      <c r="E23" s="2">
        <f>SUMIFS(Placements!$F$4:$F$30,Placements!$B$4:$B$30,A23,Placements!$I$4:$I$30,B23)</f>
        <v>9810</v>
      </c>
      <c r="F23" s="2">
        <f>ROUNDUP(D23/Parameters!$B$16,0)</f>
        <v>2</v>
      </c>
      <c r="G23" s="2">
        <f>ROUNDUP(E23/Parameters!$B$17,0)</f>
        <v>2</v>
      </c>
      <c r="H23" s="2">
        <f t="shared" si="0"/>
        <v>2</v>
      </c>
      <c r="I23" s="2">
        <f>COUNTIFS(Tests!$E$4:$E$31,A23,Tests!$D$4:$D$31,B23)</f>
        <v>2</v>
      </c>
      <c r="J23" s="2">
        <f>COUNTIFS(Tests!$E$4:$E$31,A23,Tests!$D$4:$D$31,B23,Tests!$S$4:$S$31,"Yes")</f>
        <v>2</v>
      </c>
      <c r="K23" s="2" t="str">
        <f t="shared" si="1"/>
        <v>Met</v>
      </c>
      <c r="L23" s="2"/>
      <c r="M23" s="2" t="str">
        <f t="shared" si="2"/>
        <v/>
      </c>
      <c r="N23" s="2" t="str">
        <f t="shared" si="3"/>
        <v>08/10 M-4000; 08/14 M-4000; 08/17 M-4000; 08/21 M-4000; 08/26 M-4000; 08/29 M-4000</v>
      </c>
    </row>
    <row r="24" spans="1:14" x14ac:dyDescent="0.2">
      <c r="A24" s="2" t="s">
        <v>209</v>
      </c>
      <c r="B24" s="2" t="s">
        <v>4</v>
      </c>
      <c r="C24" s="2" t="s">
        <v>208</v>
      </c>
      <c r="D24" s="2">
        <f>SUMIFS(Placements!$E$4:$E$30,Placements!$B$4:$B$30,A24,Placements!$I$4:$I$30,B24)</f>
        <v>38</v>
      </c>
      <c r="E24" s="2">
        <f>SUMIFS(Placements!$F$4:$F$30,Placements!$B$4:$B$30,A24,Placements!$I$4:$I$30,B24)</f>
        <v>0</v>
      </c>
      <c r="F24" s="2">
        <f>ROUNDUP(D24/Parameters!$B$16,0)</f>
        <v>1</v>
      </c>
      <c r="G24" s="2">
        <f>ROUNDUP(E24/Parameters!$B$17,0)</f>
        <v>0</v>
      </c>
      <c r="H24" s="2">
        <f t="shared" si="0"/>
        <v>1</v>
      </c>
      <c r="I24" s="2">
        <f>COUNTIFS(Tests!$E$4:$E$31,A24,Tests!$D$4:$D$31,B24)</f>
        <v>1</v>
      </c>
      <c r="J24" s="2">
        <f>COUNTIFS(Tests!$E$4:$E$31,A24,Tests!$D$4:$D$31,B24,Tests!$S$4:$S$31,"Yes")</f>
        <v>1</v>
      </c>
      <c r="K24" s="2" t="str">
        <f t="shared" si="1"/>
        <v>Met</v>
      </c>
      <c r="L24" s="2"/>
      <c r="M24" s="2" t="str">
        <f t="shared" si="2"/>
        <v/>
      </c>
      <c r="N24" s="2" t="str">
        <f t="shared" si="3"/>
        <v>08/10 M-4000; 08/14 M-4000; 08/17 M-4000; 08/21 M-4000; 08/26 M-4000; 08/29 M-4000</v>
      </c>
    </row>
    <row r="25" spans="1:14" x14ac:dyDescent="0.2">
      <c r="A25" s="2" t="s">
        <v>214</v>
      </c>
      <c r="B25" s="2" t="s">
        <v>4</v>
      </c>
      <c r="C25" s="2" t="s">
        <v>213</v>
      </c>
      <c r="D25" s="2">
        <f>SUMIFS(Placements!$E$4:$E$30,Placements!$B$4:$B$30,A25,Placements!$I$4:$I$30,B25)</f>
        <v>49</v>
      </c>
      <c r="E25" s="2">
        <f>SUMIFS(Placements!$F$4:$F$30,Placements!$B$4:$B$30,A25,Placements!$I$4:$I$30,B25)</f>
        <v>1310</v>
      </c>
      <c r="F25" s="2">
        <f>ROUNDUP(D25/Parameters!$B$16,0)</f>
        <v>1</v>
      </c>
      <c r="G25" s="2">
        <f>ROUNDUP(E25/Parameters!$B$17,0)</f>
        <v>1</v>
      </c>
      <c r="H25" s="2">
        <f t="shared" si="0"/>
        <v>1</v>
      </c>
      <c r="I25" s="2">
        <f>COUNTIFS(Tests!$E$4:$E$31,A25,Tests!$D$4:$D$31,B25)</f>
        <v>1</v>
      </c>
      <c r="J25" s="2">
        <f>COUNTIFS(Tests!$E$4:$E$31,A25,Tests!$D$4:$D$31,B25,Tests!$S$4:$S$31,"Yes")</f>
        <v>1</v>
      </c>
      <c r="K25" s="2" t="str">
        <f t="shared" si="1"/>
        <v>Met</v>
      </c>
      <c r="L25" s="2"/>
      <c r="M25" s="2" t="str">
        <f t="shared" si="2"/>
        <v/>
      </c>
      <c r="N25" s="2" t="str">
        <f t="shared" si="3"/>
        <v>08/10 M-4000; 08/14 M-4000; 08/17 M-4000; 08/21 M-4000; 08/26 M-4000; 08/29 M-4000</v>
      </c>
    </row>
    <row r="26" spans="1:14" x14ac:dyDescent="0.2">
      <c r="A26" s="2" t="s">
        <v>219</v>
      </c>
      <c r="B26" s="2" t="s">
        <v>3</v>
      </c>
      <c r="C26" s="2" t="s">
        <v>218</v>
      </c>
      <c r="D26" s="2">
        <f>SUMIFS(Placements!$E$4:$E$30,Placements!$B$4:$B$30,A26,Placements!$I$4:$I$30,B26)</f>
        <v>88</v>
      </c>
      <c r="E26" s="2">
        <f>SUMIFS(Placements!$F$4:$F$30,Placements!$B$4:$B$30,A26,Placements!$I$4:$I$30,B26)</f>
        <v>2850</v>
      </c>
      <c r="F26" s="2">
        <f>ROUNDUP(D26/Parameters!$B$16,0)</f>
        <v>1</v>
      </c>
      <c r="G26" s="2">
        <f>ROUNDUP(E26/Parameters!$B$17,0)</f>
        <v>1</v>
      </c>
      <c r="H26" s="2">
        <f t="shared" si="0"/>
        <v>1</v>
      </c>
      <c r="I26" s="2">
        <f>COUNTIFS(Tests!$E$4:$E$31,A26,Tests!$D$4:$D$31,B26)</f>
        <v>1</v>
      </c>
      <c r="J26" s="2">
        <f>COUNTIFS(Tests!$E$4:$E$31,A26,Tests!$D$4:$D$31,B26,Tests!$S$4:$S$31,"Yes")</f>
        <v>1</v>
      </c>
      <c r="K26" s="2" t="str">
        <f t="shared" si="1"/>
        <v>Met</v>
      </c>
      <c r="L26" s="2"/>
      <c r="M26" s="2" t="str">
        <f t="shared" si="2"/>
        <v/>
      </c>
      <c r="N26" s="2" t="str">
        <f t="shared" si="3"/>
        <v>08/10 M-4000; 08/14 M-4000; 08/17 M-4000; 08/21 M-4000; 08/26 M-4000; 08/29 M-4000</v>
      </c>
    </row>
    <row r="27" spans="1:14" x14ac:dyDescent="0.2">
      <c r="A27" s="2" t="s">
        <v>223</v>
      </c>
      <c r="B27" s="2" t="s">
        <v>4</v>
      </c>
      <c r="C27" s="2" t="s">
        <v>685</v>
      </c>
      <c r="D27" s="2">
        <f>SUMIFS(Placements!$E$4:$E$30,Placements!$B$4:$B$30,A27,Placements!$I$4:$I$30,B27)</f>
        <v>86</v>
      </c>
      <c r="E27" s="2">
        <f>SUMIFS(Placements!$F$4:$F$30,Placements!$B$4:$B$30,A27,Placements!$I$4:$I$30,B27)</f>
        <v>1310</v>
      </c>
      <c r="F27" s="2">
        <f>ROUNDUP(D27/Parameters!$B$16,0)</f>
        <v>1</v>
      </c>
      <c r="G27" s="2">
        <f>ROUNDUP(E27/Parameters!$B$17,0)</f>
        <v>1</v>
      </c>
      <c r="H27" s="2">
        <f t="shared" si="0"/>
        <v>1</v>
      </c>
      <c r="I27" s="2">
        <f>COUNTIFS(Tests!$E$4:$E$31,A27,Tests!$D$4:$D$31,B27)</f>
        <v>1</v>
      </c>
      <c r="J27" s="2">
        <f>COUNTIFS(Tests!$E$4:$E$31,A27,Tests!$D$4:$D$31,B27,Tests!$S$4:$S$31,"Yes")</f>
        <v>1</v>
      </c>
      <c r="K27" s="2" t="str">
        <f t="shared" si="1"/>
        <v>Met</v>
      </c>
      <c r="L27" s="2" t="s">
        <v>686</v>
      </c>
      <c r="M27" s="2" t="str">
        <f t="shared" si="2"/>
        <v/>
      </c>
      <c r="N27" s="2" t="str">
        <f t="shared" si="3"/>
        <v>08/10 M-4000; 08/14 M-4000; 08/17 M-4000; 08/21 M-4000; 08/26 M-4000; 08/29 M-4000</v>
      </c>
    </row>
    <row r="28" spans="1:14" x14ac:dyDescent="0.2">
      <c r="A28" s="2" t="s">
        <v>230</v>
      </c>
      <c r="B28" s="2" t="s">
        <v>3</v>
      </c>
      <c r="C28" s="2" t="s">
        <v>229</v>
      </c>
      <c r="D28" s="2">
        <f>SUMIFS(Placements!$E$4:$E$30,Placements!$B$4:$B$30,A28,Placements!$I$4:$I$30,B28)</f>
        <v>14</v>
      </c>
      <c r="E28" s="2">
        <f>SUMIFS(Placements!$F$4:$F$30,Placements!$B$4:$B$30,A28,Placements!$I$4:$I$30,B28)</f>
        <v>640</v>
      </c>
      <c r="F28" s="2">
        <f>ROUNDUP(D28/Parameters!$B$16,0)</f>
        <v>1</v>
      </c>
      <c r="G28" s="2">
        <f>ROUNDUP(E28/Parameters!$B$17,0)</f>
        <v>1</v>
      </c>
      <c r="H28" s="2">
        <f t="shared" si="0"/>
        <v>1</v>
      </c>
      <c r="I28" s="2">
        <f>COUNTIFS(Tests!$E$4:$E$31,A28,Tests!$D$4:$D$31,B28)</f>
        <v>0</v>
      </c>
      <c r="J28" s="2">
        <f>COUNTIFS(Tests!$E$4:$E$31,A28,Tests!$D$4:$D$31,B28,Tests!$S$4:$S$31,"Yes")</f>
        <v>0</v>
      </c>
      <c r="K28" s="2" t="str">
        <f t="shared" si="1"/>
        <v>Short</v>
      </c>
      <c r="L28" s="2" t="s">
        <v>687</v>
      </c>
      <c r="M28" s="2" t="str">
        <f t="shared" si="2"/>
        <v>09/11 M-4000</v>
      </c>
      <c r="N28" s="2" t="str">
        <f t="shared" si="3"/>
        <v>08/10 M-4000; 08/14 M-4000; 08/17 M-4000; 08/21 M-4000; 08/26 M-4000; 08/29 M-4000; 09/11 M-4000</v>
      </c>
    </row>
    <row r="30" spans="1:14" x14ac:dyDescent="0.2">
      <c r="A30" s="2" t="s">
        <v>688</v>
      </c>
      <c r="D30" s="2">
        <f>COUNTA(A4:A28)</f>
        <v>25</v>
      </c>
    </row>
    <row r="31" spans="1:14" x14ac:dyDescent="0.2">
      <c r="A31" s="2" t="s">
        <v>25</v>
      </c>
      <c r="D31" s="2">
        <f>COUNTIF(K4:K28,"Short")</f>
        <v>7</v>
      </c>
    </row>
    <row r="32" spans="1:14" x14ac:dyDescent="0.2">
      <c r="A32" s="2" t="s">
        <v>27</v>
      </c>
      <c r="D32" s="2" t="str">
        <f>N28</f>
        <v>08/10 M-4000; 08/14 M-4000; 08/17 M-4000; 08/21 M-4000; 08/26 M-4000; 08/29 M-4000; 09/11 M-4000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6"/>
  <sheetViews>
    <sheetView workbookViewId="0"/>
  </sheetViews>
  <sheetFormatPr baseColWidth="10" defaultColWidth="8.83203125" defaultRowHeight="15" x14ac:dyDescent="0.2"/>
  <cols>
    <col min="1" max="1" width="125" customWidth="1"/>
  </cols>
  <sheetData>
    <row r="1" spans="1:1" ht="17" x14ac:dyDescent="0.2">
      <c r="A1" s="1" t="s">
        <v>689</v>
      </c>
    </row>
    <row r="3" spans="1:1" ht="84" customHeight="1" x14ac:dyDescent="0.2">
      <c r="A3" s="4" t="s">
        <v>690</v>
      </c>
    </row>
    <row r="4" spans="1:1" ht="84" customHeight="1" x14ac:dyDescent="0.2">
      <c r="A4" s="4" t="s">
        <v>691</v>
      </c>
    </row>
    <row r="5" spans="1:1" ht="84" customHeight="1" x14ac:dyDescent="0.2">
      <c r="A5" s="4" t="s">
        <v>692</v>
      </c>
    </row>
    <row r="6" spans="1:1" ht="84" customHeight="1" x14ac:dyDescent="0.2">
      <c r="A6" s="4" t="s">
        <v>693</v>
      </c>
    </row>
    <row r="7" spans="1:1" ht="84" customHeight="1" x14ac:dyDescent="0.2">
      <c r="A7" s="4" t="s">
        <v>694</v>
      </c>
    </row>
    <row r="8" spans="1:1" ht="84" customHeight="1" x14ac:dyDescent="0.2">
      <c r="A8" s="4" t="s">
        <v>695</v>
      </c>
    </row>
    <row r="9" spans="1:1" ht="84" customHeight="1" x14ac:dyDescent="0.2">
      <c r="A9" s="4" t="s">
        <v>696</v>
      </c>
    </row>
    <row r="10" spans="1:1" ht="84" customHeight="1" x14ac:dyDescent="0.2">
      <c r="A10" s="4" t="s">
        <v>697</v>
      </c>
    </row>
    <row r="11" spans="1:1" ht="84" customHeight="1" x14ac:dyDescent="0.2">
      <c r="A11" s="4" t="s">
        <v>698</v>
      </c>
    </row>
    <row r="12" spans="1:1" ht="84" customHeight="1" x14ac:dyDescent="0.2">
      <c r="A12" s="4" t="s">
        <v>699</v>
      </c>
    </row>
    <row r="13" spans="1:1" ht="84" customHeight="1" x14ac:dyDescent="0.2">
      <c r="A13" s="4" t="s">
        <v>700</v>
      </c>
    </row>
    <row r="14" spans="1:1" ht="84" customHeight="1" x14ac:dyDescent="0.2">
      <c r="A14" s="4" t="s">
        <v>701</v>
      </c>
    </row>
    <row r="15" spans="1:1" ht="84" customHeight="1" x14ac:dyDescent="0.2">
      <c r="A15" s="4" t="s">
        <v>702</v>
      </c>
    </row>
    <row r="16" spans="1:1" ht="84" customHeight="1" x14ac:dyDescent="0.2">
      <c r="A16" s="4" t="s">
        <v>703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Parameters</vt:lpstr>
      <vt:lpstr>Placements</vt:lpstr>
      <vt:lpstr>Samples</vt:lpstr>
      <vt:lpstr>Cylinders</vt:lpstr>
      <vt:lpstr>Tests</vt:lpstr>
      <vt:lpstr>Acceptance decks</vt:lpstr>
      <vt:lpstr>Acceptance columns</vt:lpstr>
      <vt:lpstr>Sampling</vt:lpstr>
      <vt:lpstr>Note to Gunnar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Brekke Testing Laboratories</dc:creator>
  <dc:title xmlns:dc="http://purl.org/dc/elements/1.1/">Acceptance summary, project 2417, August and September 2026</dc:title>
  <dcterms:created xmlns:dcterms="http://purl.org/dc/terms/" xmlns:xsi="http://www.w3.org/2001/XMLSchema-instance" xsi:type="dcterms:W3CDTF">2026-10-15T08:02:33Z</dcterms:created>
  <dcterms:modified xmlns:dcterms="http://purl.org/dc/terms/" xmlns:xsi="http://www.w3.org/2001/XMLSchema-instance" xsi:type="dcterms:W3CDTF">2026-10-21T09:47:26Z</dcterms:modified>
  <cp:lastModifiedBy>Brekke Testing Laboratories</cp:lastModifiedBy>
</cp:coreProperties>
</file>