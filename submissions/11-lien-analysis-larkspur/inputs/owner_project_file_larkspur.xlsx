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xr:revisionPtr revIDLastSave="0" documentId="13_ncr:1_{CF4C1414-4665-FC40-95EB-15A5AEFC9528}" xr6:coauthVersionLast="47" xr6:coauthVersionMax="47" xr10:uidLastSave="{00000000-0000-0000-0000-000000000000}"/>
  <bookViews>
    <workbookView xWindow="0" yWindow="600" windowWidth="21600" windowHeight="36520" xr2:uid="{00000000-000D-0000-FFFF-FFFF00000000}"/>
  </bookViews>
  <sheets>
    <sheet name="Prelim Log" sheetId="1" r:id="rId1"/>
    <sheet name="Waiver Log" sheetId="2" r:id="rId2"/>
    <sheet name="Owner Payments" sheetId="3" r:id="rId3"/>
    <sheet name="Subcontractors" sheetId="4" r:id="rId4"/>
    <sheet name="Certified Mai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3" l="1"/>
  <c r="E13" i="3"/>
  <c r="D13" i="3"/>
</calcChain>
</file>

<file path=xl/sharedStrings.xml><?xml version="1.0" encoding="utf-8"?>
<sst xmlns="http://schemas.openxmlformats.org/spreadsheetml/2006/main" count="664" uniqueCount="308">
  <si>
    <t>Preliminary notices received, Larkspur Crossing Building B, job file 2210-B</t>
  </si>
  <si>
    <t>Entered by the owner from each notice as received. DATE_MAILED is the date on the claimant's proof of service or the postmark; RECEIVED is the date the notice reached our office.</t>
  </si>
  <si>
    <t>NOTICE_FROM</t>
  </si>
  <si>
    <t>TRADE_OR_MATERIAL</t>
  </si>
  <si>
    <t>CONTRACTED_WITH</t>
  </si>
  <si>
    <t>DATE_ON_NOTICE</t>
  </si>
  <si>
    <t>DATE_MAILED</t>
  </si>
  <si>
    <t>RECEIVED</t>
  </si>
  <si>
    <t>FIRST_FURNISHED_PER_NOTICE</t>
  </si>
  <si>
    <t>ESTIMATED_VALUE</t>
  </si>
  <si>
    <t>Ostrowski Electric, Inc.</t>
  </si>
  <si>
    <t>Electrical</t>
  </si>
  <si>
    <t>Dunmore-Kettle Builders, Inc.</t>
  </si>
  <si>
    <t>01/28/2026</t>
  </si>
  <si>
    <t>01/30/2026</t>
  </si>
  <si>
    <t>02/03/2026</t>
  </si>
  <si>
    <t>01/19/2026</t>
  </si>
  <si>
    <t>Tallac Concrete, Inc.</t>
  </si>
  <si>
    <t>Site concrete</t>
  </si>
  <si>
    <t>02/06/2026</t>
  </si>
  <si>
    <t>02/09/2026</t>
  </si>
  <si>
    <t>02/11/2026</t>
  </si>
  <si>
    <t>02/02/2026</t>
  </si>
  <si>
    <t>Foothill Ready Mix, Inc.</t>
  </si>
  <si>
    <t>Ready mixed concrete</t>
  </si>
  <si>
    <t>02/10/2026</t>
  </si>
  <si>
    <t>02/13/2026</t>
  </si>
  <si>
    <t>02/05/2026</t>
  </si>
  <si>
    <t>Petrakis Plumbing, Inc.</t>
  </si>
  <si>
    <t>Plumbing</t>
  </si>
  <si>
    <t>02/12/2026</t>
  </si>
  <si>
    <t>02/17/2026</t>
  </si>
  <si>
    <t>Capitol Wire &amp; Lighting, Inc.</t>
  </si>
  <si>
    <t>Switchgear, wire, fixtures</t>
  </si>
  <si>
    <t>02/16/2026</t>
  </si>
  <si>
    <t>02/18/2026</t>
  </si>
  <si>
    <t>02/04/2026</t>
  </si>
  <si>
    <t>R. Nakamura Framing, Inc.</t>
  </si>
  <si>
    <t>Rough carpentry</t>
  </si>
  <si>
    <t>02/27/2026</t>
  </si>
  <si>
    <t>03/02/2026</t>
  </si>
  <si>
    <t>03/04/2026</t>
  </si>
  <si>
    <t>02/23/2026</t>
  </si>
  <si>
    <t>Auburn Scaffold &amp; Shoring, Inc.</t>
  </si>
  <si>
    <t>Scaffold and shoring rental</t>
  </si>
  <si>
    <t>03/03/2026</t>
  </si>
  <si>
    <t>03/05/2026</t>
  </si>
  <si>
    <t>03/09/2026</t>
  </si>
  <si>
    <t>Lindqvist Fire Protection</t>
  </si>
  <si>
    <t>Fire sprinklers</t>
  </si>
  <si>
    <t>03/06/2026</t>
  </si>
  <si>
    <t>03/11/2026</t>
  </si>
  <si>
    <t>Fenwick Roofing, Inc.</t>
  </si>
  <si>
    <t>Roofing</t>
  </si>
  <si>
    <t>03/12/2026</t>
  </si>
  <si>
    <t>03/16/2026</t>
  </si>
  <si>
    <t>Sierra Pipe &amp; Supply, Inc.</t>
  </si>
  <si>
    <t>Pipe, fittings, fixtures</t>
  </si>
  <si>
    <t>03/13/2026</t>
  </si>
  <si>
    <t>03/18/2026</t>
  </si>
  <si>
    <t>Kastner Mechanical Contractors, Inc.</t>
  </si>
  <si>
    <t>HVAC</t>
  </si>
  <si>
    <t>03/20/2026</t>
  </si>
  <si>
    <t>03/24/2026</t>
  </si>
  <si>
    <t>Calder Drywall &amp; Plaster, LLC</t>
  </si>
  <si>
    <t>Drywall and plaster</t>
  </si>
  <si>
    <t>04/22/2026</t>
  </si>
  <si>
    <t>04/24/2026</t>
  </si>
  <si>
    <t>04/28/2026</t>
  </si>
  <si>
    <t>04/20/2026</t>
  </si>
  <si>
    <t>Calder Bros. Masonry, Inc.</t>
  </si>
  <si>
    <t>Masonry veneer, trash enclosure</t>
  </si>
  <si>
    <t>04/27/2026</t>
  </si>
  <si>
    <t>04/29/2026</t>
  </si>
  <si>
    <t>05/01/2026</t>
  </si>
  <si>
    <t>Abrego Glass &amp; Glazing</t>
  </si>
  <si>
    <t>Storefront and glazing</t>
  </si>
  <si>
    <t>05/04/2026</t>
  </si>
  <si>
    <t>05/06/2026</t>
  </si>
  <si>
    <t>Bautista Painting Co.</t>
  </si>
  <si>
    <t>Painting</t>
  </si>
  <si>
    <t>05/22/2026</t>
  </si>
  <si>
    <t>05/27/2026</t>
  </si>
  <si>
    <t>05/29/2026</t>
  </si>
  <si>
    <t>05/18/2026</t>
  </si>
  <si>
    <t>Hedrick &amp; Sons Building Supply</t>
  </si>
  <si>
    <t>Lumber, trusses, sheathing</t>
  </si>
  <si>
    <t>06/02/2026</t>
  </si>
  <si>
    <t>05/11/2026</t>
  </si>
  <si>
    <t>Waivers and releases received with payment applications, Larkspur Crossing Building B</t>
  </si>
  <si>
    <t>FORM_TITLE is the title printed on the document received; PAY_APP is the payment application the document came in with. CHECK_REF is the check the form names, where the form names one. EXCEPTIONS is what the form lists as excepted. The log continues in the right-hand block, columns J to R.</t>
  </si>
  <si>
    <t>CLAIMANT</t>
  </si>
  <si>
    <t>PAY_APP</t>
  </si>
  <si>
    <t>FORM_TITLE</t>
  </si>
  <si>
    <t>THROUGH_DATE</t>
  </si>
  <si>
    <t>AMOUNT</t>
  </si>
  <si>
    <t>EXCEPTIONS</t>
  </si>
  <si>
    <t>CHECK_REF</t>
  </si>
  <si>
    <t>DATE_SIGNED</t>
  </si>
  <si>
    <t>CLAIMANT_2</t>
  </si>
  <si>
    <t>PAY_APP_2</t>
  </si>
  <si>
    <t>FORM_TITLE_2</t>
  </si>
  <si>
    <t>THROUGH_DATE_2</t>
  </si>
  <si>
    <t>AMOUNT_2</t>
  </si>
  <si>
    <t>EXCEPTIONS_2</t>
  </si>
  <si>
    <t>CHECK_REF_2</t>
  </si>
  <si>
    <t>DATE_SIGNED_2</t>
  </si>
  <si>
    <t>RECEIVED_2</t>
  </si>
  <si>
    <t>Unconditional Waiver and Release on Progress Payment</t>
  </si>
  <si>
    <t>05/31/2026</t>
  </si>
  <si>
    <t>None</t>
  </si>
  <si>
    <t>07/01/2026</t>
  </si>
  <si>
    <t>07/06/2026</t>
  </si>
  <si>
    <t>02/28/2026</t>
  </si>
  <si>
    <t>03/31/2026</t>
  </si>
  <si>
    <t>04/03/2026</t>
  </si>
  <si>
    <t>06/30/2026</t>
  </si>
  <si>
    <t>08/03/2026</t>
  </si>
  <si>
    <t>05/05/2026</t>
  </si>
  <si>
    <t>07/02/2026</t>
  </si>
  <si>
    <t>04/30/2026</t>
  </si>
  <si>
    <t>06/01/2026</t>
  </si>
  <si>
    <t>06/03/2026</t>
  </si>
  <si>
    <t>07/31/2026</t>
  </si>
  <si>
    <t>08/26/2026</t>
  </si>
  <si>
    <t>Conditional Waiver and Release on Progress Payment</t>
  </si>
  <si>
    <t>Dunmore-Kettle Builders check 4461</t>
  </si>
  <si>
    <t>08/19/2026</t>
  </si>
  <si>
    <t>08/11/2026</t>
  </si>
  <si>
    <t>Dunmore-Kettle Builders check 4479</t>
  </si>
  <si>
    <t>09/30/2026</t>
  </si>
  <si>
    <t>10/01/2026</t>
  </si>
  <si>
    <t>Subcontractor's Release and Affidavit, Dunmore-Kettle form S-9</t>
  </si>
  <si>
    <t>None stated</t>
  </si>
  <si>
    <t>07/30/2026</t>
  </si>
  <si>
    <t>08/24/2026</t>
  </si>
  <si>
    <t>08/27/2026</t>
  </si>
  <si>
    <t>Conditional Waiver and Release on Final Payment</t>
  </si>
  <si>
    <t>Disputed claims for extras: $0.00</t>
  </si>
  <si>
    <t>Dunmore-Kettle Builders check 4448</t>
  </si>
  <si>
    <t>07/29/2026</t>
  </si>
  <si>
    <t>03/30/2026</t>
  </si>
  <si>
    <t>Dunmore-Kettle Builders check 4460</t>
  </si>
  <si>
    <t>08/18/2026</t>
  </si>
  <si>
    <t>Lien release letter on Tallac Concrete letterhead</t>
  </si>
  <si>
    <t>05/08/2026</t>
  </si>
  <si>
    <t>Letter says all claims for the May billing and retention are released on payment of the balance</t>
  </si>
  <si>
    <t>Disputed claims for extras: $14,540.00</t>
  </si>
  <si>
    <t>Dunmore-Kettle Builders check 4488</t>
  </si>
  <si>
    <t>10/08/2026</t>
  </si>
  <si>
    <t>10/12/2026</t>
  </si>
  <si>
    <t>Payments by the owner, Larkspur Crossing Building B. Dunmore-Kettle Builders, Inc., contract sum $3,748,250.00, approved change orders 1 to 6 $100,000.00, adjusted contract sum $3,848,250.00, retention 5 percent</t>
  </si>
  <si>
    <t>PERIOD_THROUGH</t>
  </si>
  <si>
    <t>AMOUNT_CERTIFIED</t>
  </si>
  <si>
    <t>RETENTION_WITHHELD</t>
  </si>
  <si>
    <t>AMOUNT_PAID</t>
  </si>
  <si>
    <t>CHECK_NO</t>
  </si>
  <si>
    <t>CHECK_DATE</t>
  </si>
  <si>
    <t>CLEARED</t>
  </si>
  <si>
    <t>STATUS</t>
  </si>
  <si>
    <t>01/31/2026</t>
  </si>
  <si>
    <t>02/20/2026</t>
  </si>
  <si>
    <t>02/25/2026</t>
  </si>
  <si>
    <t>Paid, cleared</t>
  </si>
  <si>
    <t>03/25/2026</t>
  </si>
  <si>
    <t>04/21/2026</t>
  </si>
  <si>
    <t>05/21/2026</t>
  </si>
  <si>
    <t>06/19/2026</t>
  </si>
  <si>
    <t>06/24/2026</t>
  </si>
  <si>
    <t>07/22/2026</t>
  </si>
  <si>
    <t>07/27/2026</t>
  </si>
  <si>
    <t>08/14/2026</t>
  </si>
  <si>
    <t>Held pending resolution of recorded claims</t>
  </si>
  <si>
    <t>Retention release</t>
  </si>
  <si>
    <t>Not paid; requested with application 8</t>
  </si>
  <si>
    <t>Totals</t>
  </si>
  <si>
    <t>Retention withheld to date on applications 1 through 8 is the figure the direct contractor asks to have released with application 8.</t>
  </si>
  <si>
    <t>Agreements the owner signed itself for the same project, paid from the owner's account</t>
  </si>
  <si>
    <t>VENDOR</t>
  </si>
  <si>
    <t>SCOPE</t>
  </si>
  <si>
    <t>AGREEMENT_DATE</t>
  </si>
  <si>
    <t>AGREEMENT_AMOUNT</t>
  </si>
  <si>
    <t>PAID_TO_DATE</t>
  </si>
  <si>
    <t>LAST_PAYMENT</t>
  </si>
  <si>
    <t>BALANCE</t>
  </si>
  <si>
    <t>WAIVER_ON_FILE</t>
  </si>
  <si>
    <t>Wexford Land Surveying</t>
  </si>
  <si>
    <t>Construction staking and ALTA survey</t>
  </si>
  <si>
    <t>01/08/2026</t>
  </si>
  <si>
    <t>07/24/2026</t>
  </si>
  <si>
    <t>None requested</t>
  </si>
  <si>
    <t>Paid in full</t>
  </si>
  <si>
    <t>Placer Materials Testing</t>
  </si>
  <si>
    <t>Special inspection and materials testing</t>
  </si>
  <si>
    <t>01/12/2026</t>
  </si>
  <si>
    <t>08/21/2026</t>
  </si>
  <si>
    <t>Sorensen Landscape Co.</t>
  </si>
  <si>
    <t>Landscape planting, irrigation, site furnishings</t>
  </si>
  <si>
    <t>05/19/2026</t>
  </si>
  <si>
    <t>Unconditional Waiver and Release on Progress Payment through 07/31/2026, signed 08/14/2026</t>
  </si>
  <si>
    <t>Final invoice held, plant replacement on the punch list</t>
  </si>
  <si>
    <t>Subcontractor list submitted by Dunmore-Kettle Builders, Inc. with payment application 1, updated through application 7</t>
  </si>
  <si>
    <t>SUBCONTRACTOR</t>
  </si>
  <si>
    <t>TRADE</t>
  </si>
  <si>
    <t>SUBCONTRACT_DATE</t>
  </si>
  <si>
    <t>SUBCONTRACT_VALUE</t>
  </si>
  <si>
    <t>CHANGE_ORDERS</t>
  </si>
  <si>
    <t>RETENTION_RATE</t>
  </si>
  <si>
    <t>SUPPLIERS_LISTED</t>
  </si>
  <si>
    <t>12/30/2025</t>
  </si>
  <si>
    <t>01/06/2026</t>
  </si>
  <si>
    <t>Norcal Rebar &amp; Mesh, LLC; Foothill Ready Mix, Inc.</t>
  </si>
  <si>
    <t>01/22/2026</t>
  </si>
  <si>
    <t>Hedrick &amp; Sons Building Supply; Auburn Scaffold &amp; Shoring</t>
  </si>
  <si>
    <t>Pacific Comfort Products; Granite Bay Sheet Metal; Sierra Test and Balance (sub-tier)</t>
  </si>
  <si>
    <t>02/26/2026</t>
  </si>
  <si>
    <t>04/08/2026</t>
  </si>
  <si>
    <t>04/14/2026</t>
  </si>
  <si>
    <t>Outgoing certified mail, job file 2210-B, Larkspur Crossing Building B</t>
  </si>
  <si>
    <t>Kept by the construction manager. RETURN_RECEIPT is the date on the green card when it came back, blank where it has not.</t>
  </si>
  <si>
    <t>ARTICLE_NO</t>
  </si>
  <si>
    <t>ADDRESSEE</t>
  </si>
  <si>
    <t>CITY</t>
  </si>
  <si>
    <t>CONTENTS</t>
  </si>
  <si>
    <t>RETURN_RECEIPT</t>
  </si>
  <si>
    <t>03/17/2026</t>
  </si>
  <si>
    <t>7021 0950 0001 8842 1176</t>
  </si>
  <si>
    <t>City of Roseville, Building Division</t>
  </si>
  <si>
    <t>Roseville</t>
  </si>
  <si>
    <t>Revised sheet S-201 and engineer's letter, permit B25-1187</t>
  </si>
  <si>
    <t>03/19/2026</t>
  </si>
  <si>
    <t>05/14/2026</t>
  </si>
  <si>
    <t>7021 0950 0001 8842 1244</t>
  </si>
  <si>
    <t>Dunmore-Kettle Builders</t>
  </si>
  <si>
    <t>Rocklin</t>
  </si>
  <si>
    <t>Owner's decision on change order request 6</t>
  </si>
  <si>
    <t>05/15/2026</t>
  </si>
  <si>
    <t>7021 0950 0001 8842 1329</t>
  </si>
  <si>
    <t>Tallac Concrete Inc</t>
  </si>
  <si>
    <t>Lincoln</t>
  </si>
  <si>
    <t>Letter on claim of lien, Doc. No. 2026-0060418</t>
  </si>
  <si>
    <t>07/09/2026</t>
  </si>
  <si>
    <t>7021 0950 0001 8842 1367</t>
  </si>
  <si>
    <t>Foothill Ready Mix</t>
  </si>
  <si>
    <t>Loomis</t>
  </si>
  <si>
    <t>Letter on claim of lien, Doc. No. 2026-0063905</t>
  </si>
  <si>
    <t>07/13/2026</t>
  </si>
  <si>
    <t>08/31/2026</t>
  </si>
  <si>
    <t>7022 1670 0002 3391 4108</t>
  </si>
  <si>
    <t>Ostrowski Electric Inc</t>
  </si>
  <si>
    <t>Sacramento</t>
  </si>
  <si>
    <t>Copy of notice of completion, Doc. No. 2026-0081562</t>
  </si>
  <si>
    <t>09/02/2026</t>
  </si>
  <si>
    <t>7022 1670 0002 3391 4122</t>
  </si>
  <si>
    <t>09/03/2026</t>
  </si>
  <si>
    <t>7022 1670 0002 3391 4153</t>
  </si>
  <si>
    <t>R Nakamura Framing</t>
  </si>
  <si>
    <t>Newcastle</t>
  </si>
  <si>
    <t>7022 1670 0002 3391 4160</t>
  </si>
  <si>
    <t>Rancho Cordova</t>
  </si>
  <si>
    <t>7022 1670 0002 3391 4191</t>
  </si>
  <si>
    <t>Fenwick Roofing Inc</t>
  </si>
  <si>
    <t>09/01/2026</t>
  </si>
  <si>
    <t>7022 1670 0002 3391 4214</t>
  </si>
  <si>
    <t>Kastner Mechanical</t>
  </si>
  <si>
    <t>7022 1670 0002 3391 4238</t>
  </si>
  <si>
    <t>Abrego Glass and Glazing</t>
  </si>
  <si>
    <t>09/04/2026</t>
  </si>
  <si>
    <t>7022 1670 0002 3391 4252</t>
  </si>
  <si>
    <t>Calder Bros Masonry</t>
  </si>
  <si>
    <t>Penryn</t>
  </si>
  <si>
    <t>7022 1670 0002 3391 4283</t>
  </si>
  <si>
    <t>7022 1670 0002 3391 4290</t>
  </si>
  <si>
    <t>Auburn Scaffold and Shoring</t>
  </si>
  <si>
    <t>Auburn</t>
  </si>
  <si>
    <t>09/08/2026</t>
  </si>
  <si>
    <t>7022 1670 0002 3391 4337</t>
  </si>
  <si>
    <t>Petrakis Plumbing</t>
  </si>
  <si>
    <t>09/09/2026</t>
  </si>
  <si>
    <t>7022 1670 0002 3391 4351</t>
  </si>
  <si>
    <t>Bautista Painting</t>
  </si>
  <si>
    <t>09/10/2026</t>
  </si>
  <si>
    <t>7022 1670 0002 3391 4375</t>
  </si>
  <si>
    <t>Hedrick and Sons Bldg Supply</t>
  </si>
  <si>
    <t>09/11/2026</t>
  </si>
  <si>
    <t>7022 1670 0002 3391 4382</t>
  </si>
  <si>
    <t>Sierra Test and Balance</t>
  </si>
  <si>
    <t>7022 1670 0002 3391 4399</t>
  </si>
  <si>
    <t>Sierra Pipe and Supply</t>
  </si>
  <si>
    <t>7022 1670 0002 3391 4629</t>
  </si>
  <si>
    <t>7022 1670 0002 3391 4643</t>
  </si>
  <si>
    <t>Capitol Wire and Lighting</t>
  </si>
  <si>
    <t>09/14/2026</t>
  </si>
  <si>
    <t>09/22/2026</t>
  </si>
  <si>
    <t>7022 1670 0002 3391 4711</t>
  </si>
  <si>
    <t>Notice that payment application 8 is held</t>
  </si>
  <si>
    <t>09/23/2026</t>
  </si>
  <si>
    <t>09/24/2026</t>
  </si>
  <si>
    <t>7022 1670 0002 3391 4738</t>
  </si>
  <si>
    <t>Sorensen Landscape Co</t>
  </si>
  <si>
    <t>Granite Bay</t>
  </si>
  <si>
    <t>Punch list on plant replacement, final invoice held</t>
  </si>
  <si>
    <t>09/28/2026</t>
  </si>
  <si>
    <t>Returned mail, job file 2210-B</t>
  </si>
  <si>
    <t>DATE_RETURNED</t>
  </si>
  <si>
    <t>REASON</t>
  </si>
  <si>
    <t>09/29/2026</t>
  </si>
  <si>
    <t>Unclaimed, returned to sender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</si>
</sst>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sz val="9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1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/>
    </xf>
    <xf numFmtId="4" fontId="4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3" fillId="0" borderId="0" xfId="0" applyFont="1"/>
    <xf numFmtId="4" fontId="4" fillId="0" borderId="0" xfId="0" applyNumberFormat="1" applyFont="1"/>
    <xf numFmtId="9" fontId="4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/>
  </sheetViews>
  <sheetFormatPr baseColWidth="10" defaultColWidth="8.83203125" defaultRowHeight="15" x14ac:dyDescent="0.2"/>
  <cols>
    <col min="1" max="1" width="36" customWidth="1"/>
    <col min="2" max="2" width="28" customWidth="1"/>
    <col min="3" max="3" width="30" customWidth="1"/>
    <col min="4" max="4" width="15" customWidth="1"/>
    <col min="5" max="5" width="13" customWidth="1"/>
    <col min="6" max="6" width="12" customWidth="1"/>
    <col min="7" max="7" width="26" customWidth="1"/>
    <col min="8" max="8" width="16" customWidth="1"/>
  </cols>
  <sheetData>
    <row r="1" spans="1:8" ht="17" customHeight="1" x14ac:dyDescent="0.2">
      <c r="A1" s="1" t="s">
        <v>0</v>
      </c>
    </row>
    <row r="2" spans="1:8" x14ac:dyDescent="0.2">
      <c r="A2" s="2" t="s">
        <v>1</v>
      </c>
    </row>
    <row r="4" spans="1:8" ht="30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5">
        <v>685000</v>
      </c>
    </row>
    <row r="6" spans="1:8" x14ac:dyDescent="0.2">
      <c r="A6" s="4" t="s">
        <v>17</v>
      </c>
      <c r="B6" s="4" t="s">
        <v>18</v>
      </c>
      <c r="C6" s="4" t="s">
        <v>12</v>
      </c>
      <c r="D6" s="4" t="s">
        <v>19</v>
      </c>
      <c r="E6" s="4" t="s">
        <v>20</v>
      </c>
      <c r="F6" s="4" t="s">
        <v>21</v>
      </c>
      <c r="G6" s="4" t="s">
        <v>22</v>
      </c>
      <c r="H6" s="5">
        <v>412000</v>
      </c>
    </row>
    <row r="7" spans="1:8" x14ac:dyDescent="0.2">
      <c r="A7" s="4" t="s">
        <v>23</v>
      </c>
      <c r="B7" s="4" t="s">
        <v>24</v>
      </c>
      <c r="C7" s="4" t="s">
        <v>17</v>
      </c>
      <c r="D7" s="4" t="s">
        <v>25</v>
      </c>
      <c r="E7" s="4" t="s">
        <v>21</v>
      </c>
      <c r="F7" s="4" t="s">
        <v>26</v>
      </c>
      <c r="G7" s="4" t="s">
        <v>27</v>
      </c>
      <c r="H7" s="5">
        <v>96000</v>
      </c>
    </row>
    <row r="8" spans="1:8" x14ac:dyDescent="0.2">
      <c r="A8" s="4" t="s">
        <v>28</v>
      </c>
      <c r="B8" s="4" t="s">
        <v>29</v>
      </c>
      <c r="C8" s="4" t="s">
        <v>12</v>
      </c>
      <c r="D8" s="4" t="s">
        <v>25</v>
      </c>
      <c r="E8" s="4" t="s">
        <v>30</v>
      </c>
      <c r="F8" s="4" t="s">
        <v>31</v>
      </c>
      <c r="G8" s="4" t="s">
        <v>20</v>
      </c>
      <c r="H8" s="5">
        <v>271300</v>
      </c>
    </row>
    <row r="9" spans="1:8" x14ac:dyDescent="0.2">
      <c r="A9" s="4" t="s">
        <v>32</v>
      </c>
      <c r="B9" s="4" t="s">
        <v>33</v>
      </c>
      <c r="C9" s="4" t="s">
        <v>10</v>
      </c>
      <c r="D9" s="4" t="s">
        <v>26</v>
      </c>
      <c r="E9" s="4" t="s">
        <v>34</v>
      </c>
      <c r="F9" s="4" t="s">
        <v>35</v>
      </c>
      <c r="G9" s="4" t="s">
        <v>36</v>
      </c>
      <c r="H9" s="5">
        <v>141500</v>
      </c>
    </row>
    <row r="10" spans="1:8" x14ac:dyDescent="0.2">
      <c r="A10" s="4" t="s">
        <v>37</v>
      </c>
      <c r="B10" s="4" t="s">
        <v>38</v>
      </c>
      <c r="C10" s="4" t="s">
        <v>12</v>
      </c>
      <c r="D10" s="4" t="s">
        <v>39</v>
      </c>
      <c r="E10" s="4" t="s">
        <v>40</v>
      </c>
      <c r="F10" s="4" t="s">
        <v>41</v>
      </c>
      <c r="G10" s="4" t="s">
        <v>42</v>
      </c>
      <c r="H10" s="5">
        <v>512400</v>
      </c>
    </row>
    <row r="11" spans="1:8" x14ac:dyDescent="0.2">
      <c r="A11" s="4" t="s">
        <v>43</v>
      </c>
      <c r="B11" s="4" t="s">
        <v>44</v>
      </c>
      <c r="C11" s="4" t="s">
        <v>37</v>
      </c>
      <c r="D11" s="4" t="s">
        <v>45</v>
      </c>
      <c r="E11" s="4" t="s">
        <v>46</v>
      </c>
      <c r="F11" s="4" t="s">
        <v>47</v>
      </c>
      <c r="G11" s="4" t="s">
        <v>39</v>
      </c>
      <c r="H11" s="5">
        <v>36000</v>
      </c>
    </row>
    <row r="12" spans="1:8" x14ac:dyDescent="0.2">
      <c r="A12" s="4" t="s">
        <v>48</v>
      </c>
      <c r="B12" s="4" t="s">
        <v>49</v>
      </c>
      <c r="C12" s="4" t="s">
        <v>12</v>
      </c>
      <c r="D12" s="4" t="s">
        <v>50</v>
      </c>
      <c r="E12" s="4" t="s">
        <v>47</v>
      </c>
      <c r="F12" s="4" t="s">
        <v>51</v>
      </c>
      <c r="G12" s="4" t="s">
        <v>40</v>
      </c>
      <c r="H12" s="5">
        <v>142650</v>
      </c>
    </row>
    <row r="13" spans="1:8" x14ac:dyDescent="0.2">
      <c r="A13" s="4" t="s">
        <v>52</v>
      </c>
      <c r="B13" s="4" t="s">
        <v>53</v>
      </c>
      <c r="C13" s="4" t="s">
        <v>12</v>
      </c>
      <c r="D13" s="4" t="s">
        <v>51</v>
      </c>
      <c r="E13" s="4" t="s">
        <v>54</v>
      </c>
      <c r="F13" s="4" t="s">
        <v>55</v>
      </c>
      <c r="G13" s="4" t="s">
        <v>47</v>
      </c>
      <c r="H13" s="5">
        <v>298750</v>
      </c>
    </row>
    <row r="14" spans="1:8" x14ac:dyDescent="0.2">
      <c r="A14" s="4" t="s">
        <v>56</v>
      </c>
      <c r="B14" s="4" t="s">
        <v>57</v>
      </c>
      <c r="C14" s="4" t="s">
        <v>28</v>
      </c>
      <c r="D14" s="4" t="s">
        <v>58</v>
      </c>
      <c r="E14" s="4" t="s">
        <v>55</v>
      </c>
      <c r="F14" s="4" t="s">
        <v>59</v>
      </c>
      <c r="G14" s="4" t="s">
        <v>45</v>
      </c>
      <c r="H14" s="5">
        <v>84500</v>
      </c>
    </row>
    <row r="15" spans="1:8" x14ac:dyDescent="0.2">
      <c r="A15" s="4" t="s">
        <v>60</v>
      </c>
      <c r="B15" s="4" t="s">
        <v>61</v>
      </c>
      <c r="C15" s="4" t="s">
        <v>12</v>
      </c>
      <c r="D15" s="4" t="s">
        <v>59</v>
      </c>
      <c r="E15" s="4" t="s">
        <v>62</v>
      </c>
      <c r="F15" s="4" t="s">
        <v>63</v>
      </c>
      <c r="G15" s="4" t="s">
        <v>55</v>
      </c>
      <c r="H15" s="5">
        <v>444600</v>
      </c>
    </row>
    <row r="16" spans="1:8" x14ac:dyDescent="0.2">
      <c r="A16" s="4" t="s">
        <v>64</v>
      </c>
      <c r="B16" s="4" t="s">
        <v>65</v>
      </c>
      <c r="C16" s="4" t="s">
        <v>12</v>
      </c>
      <c r="D16" s="4" t="s">
        <v>66</v>
      </c>
      <c r="E16" s="4" t="s">
        <v>67</v>
      </c>
      <c r="F16" s="4" t="s">
        <v>68</v>
      </c>
      <c r="G16" s="4" t="s">
        <v>69</v>
      </c>
      <c r="H16" s="5">
        <v>194300</v>
      </c>
    </row>
    <row r="17" spans="1:8" x14ac:dyDescent="0.2">
      <c r="A17" s="4" t="s">
        <v>70</v>
      </c>
      <c r="B17" s="4" t="s">
        <v>71</v>
      </c>
      <c r="C17" s="4" t="s">
        <v>12</v>
      </c>
      <c r="D17" s="4" t="s">
        <v>72</v>
      </c>
      <c r="E17" s="4" t="s">
        <v>73</v>
      </c>
      <c r="F17" s="4" t="s">
        <v>74</v>
      </c>
      <c r="G17" s="4" t="s">
        <v>66</v>
      </c>
      <c r="H17" s="5">
        <v>58600</v>
      </c>
    </row>
    <row r="18" spans="1:8" x14ac:dyDescent="0.2">
      <c r="A18" s="4" t="s">
        <v>75</v>
      </c>
      <c r="B18" s="4" t="s">
        <v>76</v>
      </c>
      <c r="C18" s="4" t="s">
        <v>12</v>
      </c>
      <c r="D18" s="4" t="s">
        <v>74</v>
      </c>
      <c r="E18" s="4" t="s">
        <v>77</v>
      </c>
      <c r="F18" s="4" t="s">
        <v>78</v>
      </c>
      <c r="G18" s="4" t="s">
        <v>72</v>
      </c>
      <c r="H18" s="5">
        <v>186900</v>
      </c>
    </row>
    <row r="19" spans="1:8" x14ac:dyDescent="0.2">
      <c r="A19" s="4" t="s">
        <v>79</v>
      </c>
      <c r="B19" s="4" t="s">
        <v>80</v>
      </c>
      <c r="C19" s="4" t="s">
        <v>12</v>
      </c>
      <c r="D19" s="4" t="s">
        <v>81</v>
      </c>
      <c r="E19" s="4" t="s">
        <v>82</v>
      </c>
      <c r="F19" s="4" t="s">
        <v>83</v>
      </c>
      <c r="G19" s="4" t="s">
        <v>84</v>
      </c>
      <c r="H19" s="5">
        <v>76900</v>
      </c>
    </row>
    <row r="20" spans="1:8" x14ac:dyDescent="0.2">
      <c r="A20" s="4" t="s">
        <v>85</v>
      </c>
      <c r="B20" s="4" t="s">
        <v>86</v>
      </c>
      <c r="C20" s="4" t="s">
        <v>37</v>
      </c>
      <c r="D20" s="4" t="s">
        <v>82</v>
      </c>
      <c r="E20" s="4" t="s">
        <v>83</v>
      </c>
      <c r="F20" s="4" t="s">
        <v>87</v>
      </c>
      <c r="G20" s="4" t="s">
        <v>88</v>
      </c>
      <c r="H20" s="5">
        <v>68500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4"/>
  <sheetViews>
    <sheetView workbookViewId="0"/>
  </sheetViews>
  <sheetFormatPr baseColWidth="10" defaultColWidth="8.83203125" defaultRowHeight="15" x14ac:dyDescent="0.2"/>
  <cols>
    <col min="1" max="1" width="34" customWidth="1"/>
    <col min="2" max="2" width="11" customWidth="1"/>
    <col min="3" max="3" width="46" customWidth="1"/>
    <col min="4" max="4" width="13" customWidth="1"/>
    <col min="5" max="5" width="12" customWidth="1"/>
    <col min="6" max="6" width="40" customWidth="1"/>
    <col min="7" max="7" width="32" customWidth="1"/>
    <col min="8" max="9" width="12" customWidth="1"/>
    <col min="10" max="10" width="34" customWidth="1"/>
    <col min="11" max="11" width="11" customWidth="1"/>
    <col min="12" max="12" width="46" customWidth="1"/>
    <col min="13" max="13" width="13" customWidth="1"/>
    <col min="14" max="14" width="12" customWidth="1"/>
    <col min="15" max="15" width="40" customWidth="1"/>
    <col min="16" max="16" width="32" customWidth="1"/>
    <col min="17" max="18" width="12" customWidth="1"/>
  </cols>
  <sheetData>
    <row r="1" spans="1:18" ht="17" customHeight="1" x14ac:dyDescent="0.2">
      <c r="A1" s="1" t="s">
        <v>89</v>
      </c>
    </row>
    <row r="2" spans="1:18" x14ac:dyDescent="0.2">
      <c r="A2" s="2" t="s">
        <v>90</v>
      </c>
    </row>
    <row r="4" spans="1:18" ht="30" customHeight="1" x14ac:dyDescent="0.2">
      <c r="A4" s="3" t="s">
        <v>91</v>
      </c>
      <c r="B4" s="3" t="s">
        <v>92</v>
      </c>
      <c r="C4" s="3" t="s">
        <v>93</v>
      </c>
      <c r="D4" s="3" t="s">
        <v>94</v>
      </c>
      <c r="E4" s="3" t="s">
        <v>95</v>
      </c>
      <c r="F4" s="3" t="s">
        <v>96</v>
      </c>
      <c r="G4" s="3" t="s">
        <v>97</v>
      </c>
      <c r="H4" s="3" t="s">
        <v>98</v>
      </c>
      <c r="I4" s="3" t="s">
        <v>7</v>
      </c>
      <c r="J4" s="3" t="s">
        <v>99</v>
      </c>
      <c r="K4" s="3" t="s">
        <v>100</v>
      </c>
      <c r="L4" s="3" t="s">
        <v>101</v>
      </c>
      <c r="M4" s="3" t="s">
        <v>102</v>
      </c>
      <c r="N4" s="3" t="s">
        <v>103</v>
      </c>
      <c r="O4" s="3" t="s">
        <v>104</v>
      </c>
      <c r="P4" s="3" t="s">
        <v>105</v>
      </c>
      <c r="Q4" s="3" t="s">
        <v>106</v>
      </c>
      <c r="R4" s="3" t="s">
        <v>107</v>
      </c>
    </row>
    <row r="5" spans="1:18" x14ac:dyDescent="0.2">
      <c r="A5" s="4" t="s">
        <v>75</v>
      </c>
      <c r="B5" s="4">
        <v>6</v>
      </c>
      <c r="C5" s="6" t="s">
        <v>108</v>
      </c>
      <c r="D5" s="4" t="s">
        <v>109</v>
      </c>
      <c r="E5" s="5">
        <v>112765</v>
      </c>
      <c r="F5" s="6" t="s">
        <v>110</v>
      </c>
      <c r="G5" s="4"/>
      <c r="H5" s="4" t="s">
        <v>111</v>
      </c>
      <c r="I5" s="4" t="s">
        <v>112</v>
      </c>
      <c r="J5" s="4" t="s">
        <v>10</v>
      </c>
      <c r="K5" s="4">
        <v>3</v>
      </c>
      <c r="L5" s="6" t="s">
        <v>108</v>
      </c>
      <c r="M5" s="4" t="s">
        <v>113</v>
      </c>
      <c r="N5" s="5">
        <v>152950</v>
      </c>
      <c r="O5" s="6" t="s">
        <v>110</v>
      </c>
      <c r="P5" s="4"/>
      <c r="Q5" s="4" t="s">
        <v>114</v>
      </c>
      <c r="R5" s="4" t="s">
        <v>115</v>
      </c>
    </row>
    <row r="6" spans="1:18" x14ac:dyDescent="0.2">
      <c r="A6" s="4" t="s">
        <v>75</v>
      </c>
      <c r="B6" s="4">
        <v>7</v>
      </c>
      <c r="C6" s="6" t="s">
        <v>108</v>
      </c>
      <c r="D6" s="4" t="s">
        <v>116</v>
      </c>
      <c r="E6" s="5">
        <v>64790</v>
      </c>
      <c r="F6" s="6" t="s">
        <v>110</v>
      </c>
      <c r="G6" s="4"/>
      <c r="H6" s="4" t="s">
        <v>117</v>
      </c>
      <c r="I6" s="4" t="s">
        <v>117</v>
      </c>
      <c r="J6" s="4" t="s">
        <v>10</v>
      </c>
      <c r="K6" s="4">
        <v>4</v>
      </c>
      <c r="L6" s="6" t="s">
        <v>108</v>
      </c>
      <c r="M6" s="4" t="s">
        <v>114</v>
      </c>
      <c r="N6" s="5">
        <v>121600</v>
      </c>
      <c r="O6" s="6" t="s">
        <v>110</v>
      </c>
      <c r="P6" s="4"/>
      <c r="Q6" s="4" t="s">
        <v>74</v>
      </c>
      <c r="R6" s="4" t="s">
        <v>118</v>
      </c>
    </row>
    <row r="7" spans="1:18" x14ac:dyDescent="0.2">
      <c r="A7" s="4" t="s">
        <v>79</v>
      </c>
      <c r="B7" s="4">
        <v>6</v>
      </c>
      <c r="C7" s="6" t="s">
        <v>108</v>
      </c>
      <c r="D7" s="4" t="s">
        <v>109</v>
      </c>
      <c r="E7" s="5">
        <v>12825</v>
      </c>
      <c r="F7" s="6" t="s">
        <v>110</v>
      </c>
      <c r="G7" s="4"/>
      <c r="H7" s="4" t="s">
        <v>119</v>
      </c>
      <c r="I7" s="4" t="s">
        <v>112</v>
      </c>
      <c r="J7" s="4" t="s">
        <v>10</v>
      </c>
      <c r="K7" s="4">
        <v>5</v>
      </c>
      <c r="L7" s="6" t="s">
        <v>108</v>
      </c>
      <c r="M7" s="4" t="s">
        <v>120</v>
      </c>
      <c r="N7" s="5">
        <v>98325</v>
      </c>
      <c r="O7" s="6" t="s">
        <v>110</v>
      </c>
      <c r="P7" s="4"/>
      <c r="Q7" s="4" t="s">
        <v>121</v>
      </c>
      <c r="R7" s="4" t="s">
        <v>122</v>
      </c>
    </row>
    <row r="8" spans="1:18" x14ac:dyDescent="0.2">
      <c r="A8" s="4" t="s">
        <v>79</v>
      </c>
      <c r="B8" s="4">
        <v>7</v>
      </c>
      <c r="C8" s="6" t="s">
        <v>108</v>
      </c>
      <c r="D8" s="4" t="s">
        <v>116</v>
      </c>
      <c r="E8" s="5">
        <v>21755</v>
      </c>
      <c r="F8" s="6" t="s">
        <v>110</v>
      </c>
      <c r="G8" s="4"/>
      <c r="H8" s="4" t="s">
        <v>117</v>
      </c>
      <c r="I8" s="4" t="s">
        <v>117</v>
      </c>
      <c r="J8" s="4" t="s">
        <v>10</v>
      </c>
      <c r="K8" s="4">
        <v>6</v>
      </c>
      <c r="L8" s="6" t="s">
        <v>108</v>
      </c>
      <c r="M8" s="4" t="s">
        <v>109</v>
      </c>
      <c r="N8" s="5">
        <v>89305</v>
      </c>
      <c r="O8" s="6" t="s">
        <v>110</v>
      </c>
      <c r="P8" s="4"/>
      <c r="Q8" s="4" t="s">
        <v>116</v>
      </c>
      <c r="R8" s="4" t="s">
        <v>112</v>
      </c>
    </row>
    <row r="9" spans="1:18" x14ac:dyDescent="0.2">
      <c r="A9" s="4" t="s">
        <v>79</v>
      </c>
      <c r="B9" s="4">
        <v>8</v>
      </c>
      <c r="C9" s="6" t="s">
        <v>108</v>
      </c>
      <c r="D9" s="4" t="s">
        <v>123</v>
      </c>
      <c r="E9" s="5">
        <v>38475</v>
      </c>
      <c r="F9" s="6" t="s">
        <v>110</v>
      </c>
      <c r="G9" s="4"/>
      <c r="H9" s="4" t="s">
        <v>117</v>
      </c>
      <c r="I9" s="4" t="s">
        <v>124</v>
      </c>
      <c r="J9" s="4" t="s">
        <v>10</v>
      </c>
      <c r="K9" s="4">
        <v>7</v>
      </c>
      <c r="L9" s="6" t="s">
        <v>108</v>
      </c>
      <c r="M9" s="4" t="s">
        <v>116</v>
      </c>
      <c r="N9" s="5">
        <v>120113</v>
      </c>
      <c r="O9" s="6" t="s">
        <v>110</v>
      </c>
      <c r="P9" s="4"/>
      <c r="Q9" s="4" t="s">
        <v>123</v>
      </c>
      <c r="R9" s="4" t="s">
        <v>117</v>
      </c>
    </row>
    <row r="10" spans="1:18" x14ac:dyDescent="0.2">
      <c r="A10" s="4" t="s">
        <v>70</v>
      </c>
      <c r="B10" s="4">
        <v>6</v>
      </c>
      <c r="C10" s="6" t="s">
        <v>108</v>
      </c>
      <c r="D10" s="4" t="s">
        <v>109</v>
      </c>
      <c r="E10" s="5">
        <v>31350</v>
      </c>
      <c r="F10" s="6" t="s">
        <v>110</v>
      </c>
      <c r="G10" s="4"/>
      <c r="H10" s="4" t="s">
        <v>119</v>
      </c>
      <c r="I10" s="4" t="s">
        <v>112</v>
      </c>
      <c r="J10" s="4" t="s">
        <v>10</v>
      </c>
      <c r="K10" s="4">
        <v>8</v>
      </c>
      <c r="L10" s="6" t="s">
        <v>125</v>
      </c>
      <c r="M10" s="4" t="s">
        <v>123</v>
      </c>
      <c r="N10" s="5">
        <v>41230</v>
      </c>
      <c r="O10" s="6" t="s">
        <v>110</v>
      </c>
      <c r="P10" s="4" t="s">
        <v>126</v>
      </c>
      <c r="Q10" s="4" t="s">
        <v>127</v>
      </c>
      <c r="R10" s="4" t="s">
        <v>124</v>
      </c>
    </row>
    <row r="11" spans="1:18" x14ac:dyDescent="0.2">
      <c r="A11" s="4" t="s">
        <v>64</v>
      </c>
      <c r="B11" s="4">
        <v>5</v>
      </c>
      <c r="C11" s="6" t="s">
        <v>108</v>
      </c>
      <c r="D11" s="4" t="s">
        <v>120</v>
      </c>
      <c r="E11" s="5">
        <v>8700</v>
      </c>
      <c r="F11" s="6" t="s">
        <v>110</v>
      </c>
      <c r="G11" s="4"/>
      <c r="H11" s="4" t="s">
        <v>87</v>
      </c>
      <c r="I11" s="4" t="s">
        <v>122</v>
      </c>
      <c r="J11" s="4" t="s">
        <v>10</v>
      </c>
      <c r="K11" s="4"/>
      <c r="L11" s="6" t="s">
        <v>125</v>
      </c>
      <c r="M11" s="4" t="s">
        <v>128</v>
      </c>
      <c r="N11" s="5">
        <v>27227</v>
      </c>
      <c r="O11" s="6" t="s">
        <v>110</v>
      </c>
      <c r="P11" s="4" t="s">
        <v>129</v>
      </c>
      <c r="Q11" s="4" t="s">
        <v>130</v>
      </c>
      <c r="R11" s="4" t="s">
        <v>131</v>
      </c>
    </row>
    <row r="12" spans="1:18" x14ac:dyDescent="0.2">
      <c r="A12" s="4" t="s">
        <v>64</v>
      </c>
      <c r="B12" s="4">
        <v>6</v>
      </c>
      <c r="C12" s="6" t="s">
        <v>108</v>
      </c>
      <c r="D12" s="4" t="s">
        <v>109</v>
      </c>
      <c r="E12" s="5">
        <v>46170</v>
      </c>
      <c r="F12" s="6" t="s">
        <v>110</v>
      </c>
      <c r="G12" s="4"/>
      <c r="H12" s="4" t="s">
        <v>111</v>
      </c>
      <c r="I12" s="4" t="s">
        <v>112</v>
      </c>
      <c r="J12" s="4" t="s">
        <v>28</v>
      </c>
      <c r="K12" s="4">
        <v>3</v>
      </c>
      <c r="L12" s="6" t="s">
        <v>108</v>
      </c>
      <c r="M12" s="4" t="s">
        <v>113</v>
      </c>
      <c r="N12" s="5">
        <v>61370</v>
      </c>
      <c r="O12" s="6" t="s">
        <v>110</v>
      </c>
      <c r="P12" s="4"/>
      <c r="Q12" s="4" t="s">
        <v>114</v>
      </c>
      <c r="R12" s="4" t="s">
        <v>115</v>
      </c>
    </row>
    <row r="13" spans="1:18" x14ac:dyDescent="0.2">
      <c r="A13" s="4" t="s">
        <v>64</v>
      </c>
      <c r="B13" s="4">
        <v>7</v>
      </c>
      <c r="C13" s="6" t="s">
        <v>108</v>
      </c>
      <c r="D13" s="4" t="s">
        <v>116</v>
      </c>
      <c r="E13" s="5">
        <v>100515</v>
      </c>
      <c r="F13" s="6" t="s">
        <v>110</v>
      </c>
      <c r="G13" s="4"/>
      <c r="H13" s="4" t="s">
        <v>123</v>
      </c>
      <c r="I13" s="4" t="s">
        <v>117</v>
      </c>
      <c r="J13" s="4" t="s">
        <v>28</v>
      </c>
      <c r="K13" s="4">
        <v>4</v>
      </c>
      <c r="L13" s="6" t="s">
        <v>108</v>
      </c>
      <c r="M13" s="4" t="s">
        <v>114</v>
      </c>
      <c r="N13" s="5">
        <v>48830</v>
      </c>
      <c r="O13" s="6" t="s">
        <v>110</v>
      </c>
      <c r="P13" s="4"/>
      <c r="Q13" s="4" t="s">
        <v>74</v>
      </c>
      <c r="R13" s="4" t="s">
        <v>118</v>
      </c>
    </row>
    <row r="14" spans="1:18" ht="30" customHeight="1" x14ac:dyDescent="0.2">
      <c r="A14" s="4" t="s">
        <v>64</v>
      </c>
      <c r="B14" s="4">
        <v>8</v>
      </c>
      <c r="C14" s="6" t="s">
        <v>132</v>
      </c>
      <c r="D14" s="4" t="s">
        <v>123</v>
      </c>
      <c r="E14" s="5">
        <v>29200</v>
      </c>
      <c r="F14" s="6" t="s">
        <v>133</v>
      </c>
      <c r="G14" s="4"/>
      <c r="H14" s="4" t="s">
        <v>117</v>
      </c>
      <c r="I14" s="4" t="s">
        <v>124</v>
      </c>
      <c r="J14" s="4" t="s">
        <v>28</v>
      </c>
      <c r="K14" s="4">
        <v>7</v>
      </c>
      <c r="L14" s="6" t="s">
        <v>108</v>
      </c>
      <c r="M14" s="4" t="s">
        <v>116</v>
      </c>
      <c r="N14" s="5">
        <v>116525</v>
      </c>
      <c r="O14" s="6" t="s">
        <v>110</v>
      </c>
      <c r="P14" s="4"/>
      <c r="Q14" s="4" t="s">
        <v>134</v>
      </c>
      <c r="R14" s="4" t="s">
        <v>117</v>
      </c>
    </row>
    <row r="15" spans="1:18" x14ac:dyDescent="0.2">
      <c r="A15" s="4" t="s">
        <v>52</v>
      </c>
      <c r="B15" s="4">
        <v>4</v>
      </c>
      <c r="C15" s="6" t="s">
        <v>108</v>
      </c>
      <c r="D15" s="4" t="s">
        <v>114</v>
      </c>
      <c r="E15" s="5">
        <v>95410</v>
      </c>
      <c r="F15" s="6" t="s">
        <v>110</v>
      </c>
      <c r="G15" s="4"/>
      <c r="H15" s="4" t="s">
        <v>77</v>
      </c>
      <c r="I15" s="4" t="s">
        <v>118</v>
      </c>
      <c r="J15" s="4" t="s">
        <v>28</v>
      </c>
      <c r="K15" s="4">
        <v>8</v>
      </c>
      <c r="L15" s="6" t="s">
        <v>108</v>
      </c>
      <c r="M15" s="4" t="s">
        <v>123</v>
      </c>
      <c r="N15" s="5">
        <v>37166</v>
      </c>
      <c r="O15" s="6" t="s">
        <v>110</v>
      </c>
      <c r="P15" s="4"/>
      <c r="Q15" s="4" t="s">
        <v>135</v>
      </c>
      <c r="R15" s="4" t="s">
        <v>136</v>
      </c>
    </row>
    <row r="16" spans="1:18" x14ac:dyDescent="0.2">
      <c r="A16" s="4" t="s">
        <v>52</v>
      </c>
      <c r="B16" s="4">
        <v>5</v>
      </c>
      <c r="C16" s="6" t="s">
        <v>108</v>
      </c>
      <c r="D16" s="4" t="s">
        <v>120</v>
      </c>
      <c r="E16" s="5">
        <v>173465</v>
      </c>
      <c r="F16" s="6" t="s">
        <v>110</v>
      </c>
      <c r="G16" s="4"/>
      <c r="H16" s="4" t="s">
        <v>121</v>
      </c>
      <c r="I16" s="4" t="s">
        <v>122</v>
      </c>
      <c r="J16" s="4" t="s">
        <v>37</v>
      </c>
      <c r="K16" s="4">
        <v>4</v>
      </c>
      <c r="L16" s="6" t="s">
        <v>108</v>
      </c>
      <c r="M16" s="4" t="s">
        <v>114</v>
      </c>
      <c r="N16" s="5">
        <v>164730</v>
      </c>
      <c r="O16" s="6" t="s">
        <v>110</v>
      </c>
      <c r="P16" s="4"/>
      <c r="Q16" s="4" t="s">
        <v>77</v>
      </c>
      <c r="R16" s="4" t="s">
        <v>118</v>
      </c>
    </row>
    <row r="17" spans="1:18" x14ac:dyDescent="0.2">
      <c r="A17" s="4" t="s">
        <v>52</v>
      </c>
      <c r="B17" s="4">
        <v>7</v>
      </c>
      <c r="C17" s="6" t="s">
        <v>137</v>
      </c>
      <c r="D17" s="4"/>
      <c r="E17" s="5">
        <v>14937.5</v>
      </c>
      <c r="F17" s="6" t="s">
        <v>138</v>
      </c>
      <c r="G17" s="4" t="s">
        <v>139</v>
      </c>
      <c r="H17" s="4" t="s">
        <v>140</v>
      </c>
      <c r="I17" s="4" t="s">
        <v>117</v>
      </c>
      <c r="J17" s="4" t="s">
        <v>37</v>
      </c>
      <c r="K17" s="4">
        <v>5</v>
      </c>
      <c r="L17" s="6" t="s">
        <v>108</v>
      </c>
      <c r="M17" s="4" t="s">
        <v>120</v>
      </c>
      <c r="N17" s="5">
        <v>194370</v>
      </c>
      <c r="O17" s="6" t="s">
        <v>110</v>
      </c>
      <c r="P17" s="4"/>
      <c r="Q17" s="4" t="s">
        <v>121</v>
      </c>
      <c r="R17" s="4" t="s">
        <v>122</v>
      </c>
    </row>
    <row r="18" spans="1:18" x14ac:dyDescent="0.2">
      <c r="A18" s="4" t="s">
        <v>60</v>
      </c>
      <c r="B18" s="4">
        <v>4</v>
      </c>
      <c r="C18" s="6" t="s">
        <v>108</v>
      </c>
      <c r="D18" s="4" t="s">
        <v>114</v>
      </c>
      <c r="E18" s="5">
        <v>32110</v>
      </c>
      <c r="F18" s="6" t="s">
        <v>110</v>
      </c>
      <c r="G18" s="4"/>
      <c r="H18" s="4" t="s">
        <v>74</v>
      </c>
      <c r="I18" s="4" t="s">
        <v>118</v>
      </c>
      <c r="J18" s="4" t="s">
        <v>37</v>
      </c>
      <c r="K18" s="4">
        <v>6</v>
      </c>
      <c r="L18" s="6" t="s">
        <v>108</v>
      </c>
      <c r="M18" s="4" t="s">
        <v>109</v>
      </c>
      <c r="N18" s="5">
        <v>106400</v>
      </c>
      <c r="O18" s="6" t="s">
        <v>110</v>
      </c>
      <c r="P18" s="4"/>
      <c r="Q18" s="4" t="s">
        <v>116</v>
      </c>
      <c r="R18" s="4" t="s">
        <v>112</v>
      </c>
    </row>
    <row r="19" spans="1:18" x14ac:dyDescent="0.2">
      <c r="A19" s="4" t="s">
        <v>60</v>
      </c>
      <c r="B19" s="4">
        <v>5</v>
      </c>
      <c r="C19" s="6" t="s">
        <v>108</v>
      </c>
      <c r="D19" s="4" t="s">
        <v>120</v>
      </c>
      <c r="E19" s="5">
        <v>97565</v>
      </c>
      <c r="F19" s="6" t="s">
        <v>110</v>
      </c>
      <c r="G19" s="4"/>
      <c r="H19" s="4" t="s">
        <v>121</v>
      </c>
      <c r="I19" s="4" t="s">
        <v>122</v>
      </c>
      <c r="J19" s="4" t="s">
        <v>37</v>
      </c>
      <c r="K19" s="4">
        <v>7</v>
      </c>
      <c r="L19" s="6" t="s">
        <v>108</v>
      </c>
      <c r="M19" s="4" t="s">
        <v>116</v>
      </c>
      <c r="N19" s="5">
        <v>21280</v>
      </c>
      <c r="O19" s="6" t="s">
        <v>110</v>
      </c>
      <c r="P19" s="4"/>
      <c r="Q19" s="4" t="s">
        <v>123</v>
      </c>
      <c r="R19" s="4" t="s">
        <v>117</v>
      </c>
    </row>
    <row r="20" spans="1:18" x14ac:dyDescent="0.2">
      <c r="A20" s="4" t="s">
        <v>60</v>
      </c>
      <c r="B20" s="4">
        <v>6</v>
      </c>
      <c r="C20" s="6" t="s">
        <v>108</v>
      </c>
      <c r="D20" s="4" t="s">
        <v>109</v>
      </c>
      <c r="E20" s="5">
        <v>66860</v>
      </c>
      <c r="F20" s="6" t="s">
        <v>110</v>
      </c>
      <c r="G20" s="4"/>
      <c r="H20" s="4" t="s">
        <v>116</v>
      </c>
      <c r="I20" s="4" t="s">
        <v>112</v>
      </c>
      <c r="J20" s="4" t="s">
        <v>17</v>
      </c>
      <c r="K20" s="4">
        <v>3</v>
      </c>
      <c r="L20" s="6" t="s">
        <v>108</v>
      </c>
      <c r="M20" s="4" t="s">
        <v>113</v>
      </c>
      <c r="N20" s="5">
        <v>71250</v>
      </c>
      <c r="O20" s="6" t="s">
        <v>110</v>
      </c>
      <c r="P20" s="4"/>
      <c r="Q20" s="4" t="s">
        <v>141</v>
      </c>
      <c r="R20" s="4" t="s">
        <v>115</v>
      </c>
    </row>
    <row r="21" spans="1:18" x14ac:dyDescent="0.2">
      <c r="A21" s="4" t="s">
        <v>60</v>
      </c>
      <c r="B21" s="4">
        <v>7</v>
      </c>
      <c r="C21" s="6" t="s">
        <v>108</v>
      </c>
      <c r="D21" s="4" t="s">
        <v>116</v>
      </c>
      <c r="E21" s="5">
        <v>88920</v>
      </c>
      <c r="F21" s="6" t="s">
        <v>110</v>
      </c>
      <c r="G21" s="4"/>
      <c r="H21" s="4" t="s">
        <v>123</v>
      </c>
      <c r="I21" s="4" t="s">
        <v>117</v>
      </c>
      <c r="J21" s="4" t="s">
        <v>17</v>
      </c>
      <c r="K21" s="4">
        <v>4</v>
      </c>
      <c r="L21" s="6" t="s">
        <v>108</v>
      </c>
      <c r="M21" s="4" t="s">
        <v>114</v>
      </c>
      <c r="N21" s="5">
        <v>158650</v>
      </c>
      <c r="O21" s="6" t="s">
        <v>110</v>
      </c>
      <c r="P21" s="4"/>
      <c r="Q21" s="4" t="s">
        <v>74</v>
      </c>
      <c r="R21" s="4" t="s">
        <v>118</v>
      </c>
    </row>
    <row r="22" spans="1:18" x14ac:dyDescent="0.2">
      <c r="A22" s="4" t="s">
        <v>60</v>
      </c>
      <c r="B22" s="4">
        <v>8</v>
      </c>
      <c r="C22" s="6" t="s">
        <v>125</v>
      </c>
      <c r="D22" s="4" t="s">
        <v>123</v>
      </c>
      <c r="E22" s="5">
        <v>73910</v>
      </c>
      <c r="F22" s="6" t="s">
        <v>110</v>
      </c>
      <c r="G22" s="4" t="s">
        <v>142</v>
      </c>
      <c r="H22" s="4" t="s">
        <v>143</v>
      </c>
      <c r="I22" s="4" t="s">
        <v>124</v>
      </c>
      <c r="J22" s="4" t="s">
        <v>17</v>
      </c>
      <c r="K22" s="4">
        <v>5</v>
      </c>
      <c r="L22" s="6" t="s">
        <v>108</v>
      </c>
      <c r="M22" s="4" t="s">
        <v>120</v>
      </c>
      <c r="N22" s="5">
        <v>143710</v>
      </c>
      <c r="O22" s="6" t="s">
        <v>110</v>
      </c>
      <c r="P22" s="4"/>
      <c r="Q22" s="4" t="s">
        <v>121</v>
      </c>
      <c r="R22" s="4" t="s">
        <v>122</v>
      </c>
    </row>
    <row r="23" spans="1:18" ht="30" customHeight="1" x14ac:dyDescent="0.2">
      <c r="A23" s="4" t="s">
        <v>48</v>
      </c>
      <c r="B23" s="4">
        <v>5</v>
      </c>
      <c r="C23" s="6" t="s">
        <v>108</v>
      </c>
      <c r="D23" s="4" t="s">
        <v>120</v>
      </c>
      <c r="E23" s="5">
        <v>69501.5</v>
      </c>
      <c r="F23" s="6" t="s">
        <v>110</v>
      </c>
      <c r="G23" s="4"/>
      <c r="H23" s="4" t="s">
        <v>87</v>
      </c>
      <c r="I23" s="4" t="s">
        <v>122</v>
      </c>
      <c r="J23" s="4" t="s">
        <v>17</v>
      </c>
      <c r="K23" s="4">
        <v>6</v>
      </c>
      <c r="L23" s="6" t="s">
        <v>144</v>
      </c>
      <c r="M23" s="4" t="s">
        <v>145</v>
      </c>
      <c r="N23" s="5">
        <v>12675</v>
      </c>
      <c r="O23" s="6" t="s">
        <v>146</v>
      </c>
      <c r="P23" s="4"/>
      <c r="Q23" s="4" t="s">
        <v>83</v>
      </c>
      <c r="R23" s="4" t="s">
        <v>112</v>
      </c>
    </row>
    <row r="24" spans="1:18" x14ac:dyDescent="0.2">
      <c r="A24" s="4" t="s">
        <v>48</v>
      </c>
      <c r="B24" s="4">
        <v>7</v>
      </c>
      <c r="C24" s="6" t="s">
        <v>108</v>
      </c>
      <c r="D24" s="4" t="s">
        <v>116</v>
      </c>
      <c r="E24" s="5">
        <v>66016</v>
      </c>
      <c r="F24" s="6" t="s">
        <v>110</v>
      </c>
      <c r="G24" s="4"/>
      <c r="H24" s="4" t="s">
        <v>117</v>
      </c>
      <c r="I24" s="4" t="s">
        <v>117</v>
      </c>
      <c r="J24" t="s">
        <v>32</v>
      </c>
      <c r="K24">
        <v>8</v>
      </c>
      <c r="L24" t="s">
        <v>137</v>
      </c>
      <c r="N24">
        <v>8940</v>
      </c>
      <c r="O24" t="s">
        <v>147</v>
      </c>
      <c r="P24" t="s">
        <v>148</v>
      </c>
      <c r="Q24" t="s">
        <v>149</v>
      </c>
      <c r="R24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workbookViewId="0"/>
  </sheetViews>
  <sheetFormatPr baseColWidth="10" defaultColWidth="8.83203125" defaultRowHeight="15" x14ac:dyDescent="0.2"/>
  <cols>
    <col min="1" max="1" width="26" customWidth="1"/>
    <col min="2" max="2" width="30" customWidth="1"/>
    <col min="3" max="3" width="17" customWidth="1"/>
    <col min="4" max="5" width="19" customWidth="1"/>
    <col min="6" max="6" width="15" customWidth="1"/>
    <col min="7" max="7" width="12" customWidth="1"/>
    <col min="8" max="8" width="44" customWidth="1"/>
    <col min="9" max="10" width="40" customWidth="1"/>
  </cols>
  <sheetData>
    <row r="1" spans="1:10" ht="17" customHeight="1" x14ac:dyDescent="0.2">
      <c r="A1" s="1" t="s">
        <v>151</v>
      </c>
    </row>
    <row r="3" spans="1:10" ht="30" customHeight="1" x14ac:dyDescent="0.2">
      <c r="A3" s="3" t="s">
        <v>92</v>
      </c>
      <c r="B3" s="3" t="s">
        <v>152</v>
      </c>
      <c r="C3" s="3" t="s">
        <v>7</v>
      </c>
      <c r="D3" s="3" t="s">
        <v>153</v>
      </c>
      <c r="E3" s="3" t="s">
        <v>154</v>
      </c>
      <c r="F3" s="3" t="s">
        <v>155</v>
      </c>
      <c r="G3" s="3" t="s">
        <v>156</v>
      </c>
      <c r="H3" s="3" t="s">
        <v>157</v>
      </c>
      <c r="I3" s="3" t="s">
        <v>158</v>
      </c>
      <c r="J3" s="3" t="s">
        <v>159</v>
      </c>
    </row>
    <row r="4" spans="1:10" x14ac:dyDescent="0.2">
      <c r="A4" s="4">
        <v>1</v>
      </c>
      <c r="B4" s="4" t="s">
        <v>160</v>
      </c>
      <c r="C4" s="4" t="s">
        <v>36</v>
      </c>
      <c r="D4" s="5">
        <v>128640</v>
      </c>
      <c r="E4" s="5">
        <v>6432</v>
      </c>
      <c r="F4" s="5">
        <v>122208</v>
      </c>
      <c r="G4" s="4">
        <v>10877</v>
      </c>
      <c r="H4" s="4" t="s">
        <v>161</v>
      </c>
      <c r="I4" s="4" t="s">
        <v>162</v>
      </c>
      <c r="J4" s="4" t="s">
        <v>163</v>
      </c>
    </row>
    <row r="5" spans="1:10" x14ac:dyDescent="0.2">
      <c r="A5" s="4">
        <v>2</v>
      </c>
      <c r="B5" s="4" t="s">
        <v>113</v>
      </c>
      <c r="C5" s="4" t="s">
        <v>41</v>
      </c>
      <c r="D5" s="5">
        <v>333680</v>
      </c>
      <c r="E5" s="5">
        <v>16684</v>
      </c>
      <c r="F5" s="5">
        <v>316996</v>
      </c>
      <c r="G5" s="4">
        <v>10880</v>
      </c>
      <c r="H5" s="4" t="s">
        <v>62</v>
      </c>
      <c r="I5" s="4" t="s">
        <v>164</v>
      </c>
      <c r="J5" s="4" t="s">
        <v>163</v>
      </c>
    </row>
    <row r="6" spans="1:10" x14ac:dyDescent="0.2">
      <c r="A6" s="4">
        <v>3</v>
      </c>
      <c r="B6" s="4" t="s">
        <v>114</v>
      </c>
      <c r="C6" s="4" t="s">
        <v>115</v>
      </c>
      <c r="D6" s="5">
        <v>719435</v>
      </c>
      <c r="E6" s="5">
        <v>35971.75</v>
      </c>
      <c r="F6" s="5">
        <v>683463.25</v>
      </c>
      <c r="G6" s="4">
        <v>10885</v>
      </c>
      <c r="H6" s="4" t="s">
        <v>165</v>
      </c>
      <c r="I6" s="4" t="s">
        <v>67</v>
      </c>
      <c r="J6" s="4" t="s">
        <v>163</v>
      </c>
    </row>
    <row r="7" spans="1:10" x14ac:dyDescent="0.2">
      <c r="A7" s="4">
        <v>4</v>
      </c>
      <c r="B7" s="4" t="s">
        <v>120</v>
      </c>
      <c r="C7" s="4" t="s">
        <v>118</v>
      </c>
      <c r="D7" s="5">
        <v>901415</v>
      </c>
      <c r="E7" s="5">
        <v>45070.75</v>
      </c>
      <c r="F7" s="5">
        <v>856344.25</v>
      </c>
      <c r="G7" s="4">
        <v>10889</v>
      </c>
      <c r="H7" s="4" t="s">
        <v>166</v>
      </c>
      <c r="I7" s="4" t="s">
        <v>82</v>
      </c>
      <c r="J7" s="4" t="s">
        <v>163</v>
      </c>
    </row>
    <row r="8" spans="1:10" x14ac:dyDescent="0.2">
      <c r="A8" s="4">
        <v>5</v>
      </c>
      <c r="B8" s="4" t="s">
        <v>109</v>
      </c>
      <c r="C8" s="4" t="s">
        <v>122</v>
      </c>
      <c r="D8" s="5">
        <v>643750</v>
      </c>
      <c r="E8" s="5">
        <v>32187.5</v>
      </c>
      <c r="F8" s="5">
        <v>611562.5</v>
      </c>
      <c r="G8" s="4">
        <v>10895</v>
      </c>
      <c r="H8" s="4" t="s">
        <v>167</v>
      </c>
      <c r="I8" s="4" t="s">
        <v>168</v>
      </c>
      <c r="J8" s="4" t="s">
        <v>163</v>
      </c>
    </row>
    <row r="9" spans="1:10" x14ac:dyDescent="0.2">
      <c r="A9" s="4">
        <v>6</v>
      </c>
      <c r="B9" s="4" t="s">
        <v>116</v>
      </c>
      <c r="C9" s="4" t="s">
        <v>112</v>
      </c>
      <c r="D9" s="5">
        <v>656610</v>
      </c>
      <c r="E9" s="5">
        <v>32830.5</v>
      </c>
      <c r="F9" s="5">
        <v>623779.5</v>
      </c>
      <c r="G9" s="4">
        <v>10898</v>
      </c>
      <c r="H9" s="4" t="s">
        <v>169</v>
      </c>
      <c r="I9" s="4" t="s">
        <v>170</v>
      </c>
      <c r="J9" s="4" t="s">
        <v>163</v>
      </c>
    </row>
    <row r="10" spans="1:10" x14ac:dyDescent="0.2">
      <c r="A10" s="4">
        <v>7</v>
      </c>
      <c r="B10" s="4" t="s">
        <v>123</v>
      </c>
      <c r="C10" s="4" t="s">
        <v>117</v>
      </c>
      <c r="D10" s="5">
        <v>312390</v>
      </c>
      <c r="E10" s="5">
        <v>15619.5</v>
      </c>
      <c r="F10" s="5">
        <v>296770.5</v>
      </c>
      <c r="G10" s="4">
        <v>10905</v>
      </c>
      <c r="H10" s="4" t="s">
        <v>171</v>
      </c>
      <c r="I10" s="4" t="s">
        <v>143</v>
      </c>
      <c r="J10" s="4" t="s">
        <v>163</v>
      </c>
    </row>
    <row r="11" spans="1:10" x14ac:dyDescent="0.2">
      <c r="A11" s="4">
        <v>8</v>
      </c>
      <c r="B11" s="4" t="s">
        <v>128</v>
      </c>
      <c r="C11" s="4" t="s">
        <v>124</v>
      </c>
      <c r="D11" s="5">
        <v>152330</v>
      </c>
      <c r="E11" s="5">
        <v>7616.5</v>
      </c>
      <c r="F11" s="5">
        <v>0</v>
      </c>
      <c r="G11" s="4"/>
      <c r="H11" s="4"/>
      <c r="I11" s="4"/>
      <c r="J11" s="4" t="s">
        <v>172</v>
      </c>
    </row>
    <row r="12" spans="1:10" x14ac:dyDescent="0.2">
      <c r="A12" s="4" t="s">
        <v>173</v>
      </c>
      <c r="B12" s="4"/>
      <c r="C12" s="4"/>
      <c r="D12" s="4"/>
      <c r="E12" s="4"/>
      <c r="F12" s="5">
        <v>0</v>
      </c>
      <c r="G12" s="4"/>
      <c r="H12" s="4"/>
      <c r="I12" s="4"/>
      <c r="J12" s="4" t="s">
        <v>174</v>
      </c>
    </row>
    <row r="13" spans="1:10" x14ac:dyDescent="0.2">
      <c r="A13" s="7" t="s">
        <v>175</v>
      </c>
      <c r="D13" s="8">
        <f>SUM(D4:D12)</f>
        <v>3848250</v>
      </c>
      <c r="E13" s="8">
        <f>SUM(E4:E12)</f>
        <v>192412.5</v>
      </c>
      <c r="F13" s="8">
        <f>SUM(F4:F12)</f>
        <v>3511124</v>
      </c>
    </row>
    <row r="14" spans="1:10" x14ac:dyDescent="0.2">
      <c r="A14" s="2" t="s">
        <v>176</v>
      </c>
    </row>
    <row r="16" spans="1:10" x14ac:dyDescent="0.2">
      <c r="A16" s="7" t="s">
        <v>177</v>
      </c>
    </row>
    <row r="17" spans="1:9" ht="30" customHeight="1" x14ac:dyDescent="0.2">
      <c r="A17" s="3" t="s">
        <v>178</v>
      </c>
      <c r="B17" s="3" t="s">
        <v>179</v>
      </c>
      <c r="C17" s="3" t="s">
        <v>180</v>
      </c>
      <c r="D17" s="3" t="s">
        <v>181</v>
      </c>
      <c r="E17" s="3" t="s">
        <v>182</v>
      </c>
      <c r="F17" s="3" t="s">
        <v>183</v>
      </c>
      <c r="G17" s="3" t="s">
        <v>184</v>
      </c>
      <c r="H17" s="3" t="s">
        <v>185</v>
      </c>
      <c r="I17" s="3" t="s">
        <v>159</v>
      </c>
    </row>
    <row r="18" spans="1:9" ht="42" customHeight="1" x14ac:dyDescent="0.2">
      <c r="A18" s="4" t="s">
        <v>186</v>
      </c>
      <c r="B18" s="6" t="s">
        <v>187</v>
      </c>
      <c r="C18" s="4" t="s">
        <v>188</v>
      </c>
      <c r="D18" s="5">
        <v>14900</v>
      </c>
      <c r="E18" s="5">
        <v>14900</v>
      </c>
      <c r="F18" s="4" t="s">
        <v>189</v>
      </c>
      <c r="G18" s="5">
        <v>0</v>
      </c>
      <c r="H18" s="6" t="s">
        <v>190</v>
      </c>
      <c r="I18" s="6" t="s">
        <v>191</v>
      </c>
    </row>
    <row r="19" spans="1:9" ht="42" customHeight="1" x14ac:dyDescent="0.2">
      <c r="A19" s="4" t="s">
        <v>192</v>
      </c>
      <c r="B19" s="6" t="s">
        <v>193</v>
      </c>
      <c r="C19" s="4" t="s">
        <v>194</v>
      </c>
      <c r="D19" s="5">
        <v>27350</v>
      </c>
      <c r="E19" s="5">
        <v>27350</v>
      </c>
      <c r="F19" s="4" t="s">
        <v>195</v>
      </c>
      <c r="G19" s="5">
        <v>0</v>
      </c>
      <c r="H19" s="6" t="s">
        <v>190</v>
      </c>
      <c r="I19" s="6" t="s">
        <v>191</v>
      </c>
    </row>
    <row r="20" spans="1:9" ht="42" customHeight="1" x14ac:dyDescent="0.2">
      <c r="A20" s="4" t="s">
        <v>196</v>
      </c>
      <c r="B20" s="6" t="s">
        <v>197</v>
      </c>
      <c r="C20" s="4" t="s">
        <v>198</v>
      </c>
      <c r="D20" s="5">
        <v>88400</v>
      </c>
      <c r="E20" s="5">
        <v>63320</v>
      </c>
      <c r="F20" s="4" t="s">
        <v>171</v>
      </c>
      <c r="G20" s="5">
        <v>25080</v>
      </c>
      <c r="H20" s="6" t="s">
        <v>199</v>
      </c>
      <c r="I20" s="6" t="s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workbookViewId="0"/>
  </sheetViews>
  <sheetFormatPr baseColWidth="10" defaultColWidth="8.83203125" defaultRowHeight="15" x14ac:dyDescent="0.2"/>
  <cols>
    <col min="1" max="1" width="36" customWidth="1"/>
    <col min="2" max="2" width="30" customWidth="1"/>
    <col min="3" max="3" width="17" customWidth="1"/>
    <col min="4" max="4" width="18" customWidth="1"/>
    <col min="5" max="6" width="15" customWidth="1"/>
    <col min="7" max="7" width="50" customWidth="1"/>
  </cols>
  <sheetData>
    <row r="1" spans="1:7" ht="17" customHeight="1" x14ac:dyDescent="0.2">
      <c r="A1" s="1" t="s">
        <v>201</v>
      </c>
    </row>
    <row r="3" spans="1:7" ht="30" customHeight="1" x14ac:dyDescent="0.2">
      <c r="A3" s="3" t="s">
        <v>202</v>
      </c>
      <c r="B3" s="3" t="s">
        <v>203</v>
      </c>
      <c r="C3" s="3" t="s">
        <v>204</v>
      </c>
      <c r="D3" s="3" t="s">
        <v>205</v>
      </c>
      <c r="E3" s="3" t="s">
        <v>206</v>
      </c>
      <c r="F3" s="3" t="s">
        <v>207</v>
      </c>
      <c r="G3" s="3" t="s">
        <v>208</v>
      </c>
    </row>
    <row r="4" spans="1:7" x14ac:dyDescent="0.2">
      <c r="A4" s="4" t="s">
        <v>10</v>
      </c>
      <c r="B4" s="4" t="s">
        <v>11</v>
      </c>
      <c r="C4" s="4" t="s">
        <v>209</v>
      </c>
      <c r="D4" s="5">
        <v>685000</v>
      </c>
      <c r="E4" s="5">
        <v>0</v>
      </c>
      <c r="F4" s="9">
        <v>0.05</v>
      </c>
      <c r="G4" s="4" t="s">
        <v>32</v>
      </c>
    </row>
    <row r="5" spans="1:7" x14ac:dyDescent="0.2">
      <c r="A5" s="4" t="s">
        <v>17</v>
      </c>
      <c r="B5" s="4" t="s">
        <v>18</v>
      </c>
      <c r="C5" s="4" t="s">
        <v>210</v>
      </c>
      <c r="D5" s="5">
        <v>412000</v>
      </c>
      <c r="E5" s="5">
        <v>0</v>
      </c>
      <c r="F5" s="9">
        <v>0.05</v>
      </c>
      <c r="G5" s="4" t="s">
        <v>211</v>
      </c>
    </row>
    <row r="6" spans="1:7" x14ac:dyDescent="0.2">
      <c r="A6" s="4" t="s">
        <v>28</v>
      </c>
      <c r="B6" s="4" t="s">
        <v>29</v>
      </c>
      <c r="C6" s="4" t="s">
        <v>212</v>
      </c>
      <c r="D6" s="5">
        <v>271300</v>
      </c>
      <c r="E6" s="5">
        <v>6480</v>
      </c>
      <c r="F6" s="9">
        <v>0.05</v>
      </c>
      <c r="G6" s="4" t="s">
        <v>56</v>
      </c>
    </row>
    <row r="7" spans="1:7" x14ac:dyDescent="0.2">
      <c r="A7" s="4" t="s">
        <v>37</v>
      </c>
      <c r="B7" s="4" t="s">
        <v>38</v>
      </c>
      <c r="C7" s="4" t="s">
        <v>21</v>
      </c>
      <c r="D7" s="5">
        <v>512400</v>
      </c>
      <c r="E7" s="5">
        <v>0</v>
      </c>
      <c r="F7" s="9">
        <v>0.05</v>
      </c>
      <c r="G7" s="4" t="s">
        <v>213</v>
      </c>
    </row>
    <row r="8" spans="1:7" x14ac:dyDescent="0.2">
      <c r="A8" s="4" t="s">
        <v>48</v>
      </c>
      <c r="B8" s="4" t="s">
        <v>49</v>
      </c>
      <c r="C8" s="4" t="s">
        <v>35</v>
      </c>
      <c r="D8" s="5">
        <v>142650</v>
      </c>
      <c r="E8" s="5">
        <v>0</v>
      </c>
      <c r="F8" s="9">
        <v>0.05</v>
      </c>
      <c r="G8" s="4"/>
    </row>
    <row r="9" spans="1:7" x14ac:dyDescent="0.2">
      <c r="A9" s="4" t="s">
        <v>60</v>
      </c>
      <c r="B9" s="4" t="s">
        <v>61</v>
      </c>
      <c r="C9" s="4" t="s">
        <v>161</v>
      </c>
      <c r="D9" s="5">
        <v>444600</v>
      </c>
      <c r="E9" s="5">
        <v>0</v>
      </c>
      <c r="F9" s="9">
        <v>0.05</v>
      </c>
      <c r="G9" s="4" t="s">
        <v>214</v>
      </c>
    </row>
    <row r="10" spans="1:7" x14ac:dyDescent="0.2">
      <c r="A10" s="4" t="s">
        <v>52</v>
      </c>
      <c r="B10" s="4" t="s">
        <v>53</v>
      </c>
      <c r="C10" s="4" t="s">
        <v>215</v>
      </c>
      <c r="D10" s="5">
        <v>298750</v>
      </c>
      <c r="E10" s="5">
        <v>0</v>
      </c>
      <c r="F10" s="9">
        <v>0.05</v>
      </c>
      <c r="G10" s="4"/>
    </row>
    <row r="11" spans="1:7" x14ac:dyDescent="0.2">
      <c r="A11" s="4" t="s">
        <v>64</v>
      </c>
      <c r="B11" s="4" t="s">
        <v>65</v>
      </c>
      <c r="C11" s="4" t="s">
        <v>63</v>
      </c>
      <c r="D11" s="5">
        <v>194300</v>
      </c>
      <c r="E11" s="5">
        <v>0</v>
      </c>
      <c r="F11" s="9">
        <v>0.05</v>
      </c>
      <c r="G11" s="4"/>
    </row>
    <row r="12" spans="1:7" x14ac:dyDescent="0.2">
      <c r="A12" s="4" t="s">
        <v>75</v>
      </c>
      <c r="B12" s="4" t="s">
        <v>76</v>
      </c>
      <c r="C12" s="4" t="s">
        <v>216</v>
      </c>
      <c r="D12" s="5">
        <v>186900</v>
      </c>
      <c r="E12" s="5">
        <v>0</v>
      </c>
      <c r="F12" s="9">
        <v>0.05</v>
      </c>
      <c r="G12" s="4"/>
    </row>
    <row r="13" spans="1:7" x14ac:dyDescent="0.2">
      <c r="A13" s="4" t="s">
        <v>70</v>
      </c>
      <c r="B13" s="4" t="s">
        <v>71</v>
      </c>
      <c r="C13" s="4" t="s">
        <v>217</v>
      </c>
      <c r="D13" s="5">
        <v>58600</v>
      </c>
      <c r="E13" s="5">
        <v>0</v>
      </c>
      <c r="F13" s="9">
        <v>0.05</v>
      </c>
      <c r="G13" s="4"/>
    </row>
    <row r="14" spans="1:7" x14ac:dyDescent="0.2">
      <c r="A14" s="4" t="s">
        <v>79</v>
      </c>
      <c r="B14" s="4" t="s">
        <v>80</v>
      </c>
      <c r="C14" s="4" t="s">
        <v>120</v>
      </c>
      <c r="D14" s="5">
        <v>76900</v>
      </c>
      <c r="E14" s="5">
        <v>4280</v>
      </c>
      <c r="F14" s="9">
        <v>0.05</v>
      </c>
      <c r="G14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workbookViewId="0"/>
  </sheetViews>
  <sheetFormatPr baseColWidth="10" defaultColWidth="8.83203125" defaultRowHeight="15" x14ac:dyDescent="0.2"/>
  <cols>
    <col min="1" max="1" width="13" customWidth="1"/>
    <col min="2" max="2" width="26" customWidth="1"/>
    <col min="3" max="3" width="36" customWidth="1"/>
    <col min="4" max="4" width="17" customWidth="1"/>
    <col min="5" max="5" width="56" customWidth="1"/>
    <col min="6" max="6" width="16" customWidth="1"/>
  </cols>
  <sheetData>
    <row r="1" spans="1:6" ht="17" customHeight="1" x14ac:dyDescent="0.2">
      <c r="A1" s="1" t="s">
        <v>218</v>
      </c>
    </row>
    <row r="2" spans="1:6" x14ac:dyDescent="0.2">
      <c r="A2" s="2" t="s">
        <v>219</v>
      </c>
    </row>
    <row r="4" spans="1:6" ht="30" customHeight="1" x14ac:dyDescent="0.2">
      <c r="A4" s="3" t="s">
        <v>6</v>
      </c>
      <c r="B4" s="3" t="s">
        <v>220</v>
      </c>
      <c r="C4" s="3" t="s">
        <v>221</v>
      </c>
      <c r="D4" s="3" t="s">
        <v>222</v>
      </c>
      <c r="E4" s="3" t="s">
        <v>223</v>
      </c>
      <c r="F4" s="3" t="s">
        <v>224</v>
      </c>
    </row>
    <row r="5" spans="1:6" x14ac:dyDescent="0.2">
      <c r="A5" s="4" t="s">
        <v>225</v>
      </c>
      <c r="B5" s="4" t="s">
        <v>226</v>
      </c>
      <c r="C5" s="4" t="s">
        <v>227</v>
      </c>
      <c r="D5" s="4" t="s">
        <v>228</v>
      </c>
      <c r="E5" s="4" t="s">
        <v>229</v>
      </c>
      <c r="F5" s="4" t="s">
        <v>230</v>
      </c>
    </row>
    <row r="6" spans="1:6" x14ac:dyDescent="0.2">
      <c r="A6" s="4" t="s">
        <v>231</v>
      </c>
      <c r="B6" s="4" t="s">
        <v>232</v>
      </c>
      <c r="C6" s="4" t="s">
        <v>233</v>
      </c>
      <c r="D6" s="4" t="s">
        <v>234</v>
      </c>
      <c r="E6" s="4" t="s">
        <v>235</v>
      </c>
      <c r="F6" s="4" t="s">
        <v>236</v>
      </c>
    </row>
    <row r="7" spans="1:6" x14ac:dyDescent="0.2">
      <c r="A7" s="4" t="s">
        <v>116</v>
      </c>
      <c r="B7" s="4" t="s">
        <v>237</v>
      </c>
      <c r="C7" s="4" t="s">
        <v>238</v>
      </c>
      <c r="D7" s="4" t="s">
        <v>239</v>
      </c>
      <c r="E7" s="4" t="s">
        <v>240</v>
      </c>
      <c r="F7" s="4" t="s">
        <v>119</v>
      </c>
    </row>
    <row r="8" spans="1:6" x14ac:dyDescent="0.2">
      <c r="A8" s="4" t="s">
        <v>241</v>
      </c>
      <c r="B8" s="4" t="s">
        <v>242</v>
      </c>
      <c r="C8" s="4" t="s">
        <v>243</v>
      </c>
      <c r="D8" s="4" t="s">
        <v>244</v>
      </c>
      <c r="E8" s="4" t="s">
        <v>245</v>
      </c>
      <c r="F8" s="4" t="s">
        <v>246</v>
      </c>
    </row>
    <row r="9" spans="1:6" x14ac:dyDescent="0.2">
      <c r="A9" s="4" t="s">
        <v>247</v>
      </c>
      <c r="B9" s="4" t="s">
        <v>248</v>
      </c>
      <c r="C9" s="4" t="s">
        <v>249</v>
      </c>
      <c r="D9" s="4" t="s">
        <v>250</v>
      </c>
      <c r="E9" s="4" t="s">
        <v>251</v>
      </c>
      <c r="F9" s="4" t="s">
        <v>252</v>
      </c>
    </row>
    <row r="10" spans="1:6" x14ac:dyDescent="0.2">
      <c r="A10" s="4" t="s">
        <v>247</v>
      </c>
      <c r="B10" s="4" t="s">
        <v>253</v>
      </c>
      <c r="C10" s="4" t="s">
        <v>238</v>
      </c>
      <c r="D10" s="4" t="s">
        <v>239</v>
      </c>
      <c r="E10" s="4" t="s">
        <v>251</v>
      </c>
      <c r="F10" s="4" t="s">
        <v>254</v>
      </c>
    </row>
    <row r="11" spans="1:6" x14ac:dyDescent="0.2">
      <c r="A11" s="4" t="s">
        <v>247</v>
      </c>
      <c r="B11" s="4" t="s">
        <v>255</v>
      </c>
      <c r="C11" s="4" t="s">
        <v>256</v>
      </c>
      <c r="D11" s="4" t="s">
        <v>257</v>
      </c>
      <c r="E11" s="4" t="s">
        <v>251</v>
      </c>
      <c r="F11" s="4" t="s">
        <v>252</v>
      </c>
    </row>
    <row r="12" spans="1:6" x14ac:dyDescent="0.2">
      <c r="A12" s="4" t="s">
        <v>247</v>
      </c>
      <c r="B12" s="4" t="s">
        <v>258</v>
      </c>
      <c r="C12" s="4" t="s">
        <v>48</v>
      </c>
      <c r="D12" s="4" t="s">
        <v>259</v>
      </c>
      <c r="E12" s="4" t="s">
        <v>251</v>
      </c>
      <c r="F12" s="4" t="s">
        <v>254</v>
      </c>
    </row>
    <row r="13" spans="1:6" x14ac:dyDescent="0.2">
      <c r="A13" s="4" t="s">
        <v>247</v>
      </c>
      <c r="B13" s="4" t="s">
        <v>260</v>
      </c>
      <c r="C13" s="4" t="s">
        <v>261</v>
      </c>
      <c r="D13" s="4" t="s">
        <v>234</v>
      </c>
      <c r="E13" s="4" t="s">
        <v>251</v>
      </c>
      <c r="F13" s="4" t="s">
        <v>262</v>
      </c>
    </row>
    <row r="14" spans="1:6" x14ac:dyDescent="0.2">
      <c r="A14" s="4" t="s">
        <v>247</v>
      </c>
      <c r="B14" s="4" t="s">
        <v>263</v>
      </c>
      <c r="C14" s="4" t="s">
        <v>264</v>
      </c>
      <c r="D14" s="4" t="s">
        <v>250</v>
      </c>
      <c r="E14" s="4" t="s">
        <v>251</v>
      </c>
      <c r="F14" s="4" t="s">
        <v>252</v>
      </c>
    </row>
    <row r="15" spans="1:6" x14ac:dyDescent="0.2">
      <c r="A15" s="4" t="s">
        <v>247</v>
      </c>
      <c r="B15" s="4" t="s">
        <v>265</v>
      </c>
      <c r="C15" s="4" t="s">
        <v>266</v>
      </c>
      <c r="D15" s="4" t="s">
        <v>250</v>
      </c>
      <c r="E15" s="4" t="s">
        <v>251</v>
      </c>
      <c r="F15" s="4" t="s">
        <v>267</v>
      </c>
    </row>
    <row r="16" spans="1:6" x14ac:dyDescent="0.2">
      <c r="A16" s="4" t="s">
        <v>247</v>
      </c>
      <c r="B16" s="4" t="s">
        <v>268</v>
      </c>
      <c r="C16" s="4" t="s">
        <v>269</v>
      </c>
      <c r="D16" s="4" t="s">
        <v>270</v>
      </c>
      <c r="E16" s="4" t="s">
        <v>251</v>
      </c>
      <c r="F16" s="4" t="s">
        <v>252</v>
      </c>
    </row>
    <row r="17" spans="1:6" x14ac:dyDescent="0.2">
      <c r="A17" s="4" t="s">
        <v>247</v>
      </c>
      <c r="B17" s="4" t="s">
        <v>271</v>
      </c>
      <c r="C17" s="4" t="s">
        <v>243</v>
      </c>
      <c r="D17" s="4" t="s">
        <v>244</v>
      </c>
      <c r="E17" s="4" t="s">
        <v>251</v>
      </c>
      <c r="F17" s="4" t="s">
        <v>262</v>
      </c>
    </row>
    <row r="18" spans="1:6" x14ac:dyDescent="0.2">
      <c r="A18" s="4" t="s">
        <v>247</v>
      </c>
      <c r="B18" s="4" t="s">
        <v>272</v>
      </c>
      <c r="C18" s="4" t="s">
        <v>273</v>
      </c>
      <c r="D18" s="4" t="s">
        <v>274</v>
      </c>
      <c r="E18" s="4" t="s">
        <v>251</v>
      </c>
      <c r="F18" s="4" t="s">
        <v>252</v>
      </c>
    </row>
    <row r="19" spans="1:6" x14ac:dyDescent="0.2">
      <c r="A19" s="4" t="s">
        <v>275</v>
      </c>
      <c r="B19" s="4" t="s">
        <v>276</v>
      </c>
      <c r="C19" s="4" t="s">
        <v>277</v>
      </c>
      <c r="D19" s="4" t="s">
        <v>228</v>
      </c>
      <c r="E19" s="4" t="s">
        <v>251</v>
      </c>
      <c r="F19" s="4" t="s">
        <v>278</v>
      </c>
    </row>
    <row r="20" spans="1:6" x14ac:dyDescent="0.2">
      <c r="A20" s="4" t="s">
        <v>275</v>
      </c>
      <c r="B20" s="4" t="s">
        <v>279</v>
      </c>
      <c r="C20" s="4" t="s">
        <v>280</v>
      </c>
      <c r="D20" s="4" t="s">
        <v>228</v>
      </c>
      <c r="E20" s="4" t="s">
        <v>251</v>
      </c>
      <c r="F20" s="4" t="s">
        <v>281</v>
      </c>
    </row>
    <row r="21" spans="1:6" x14ac:dyDescent="0.2">
      <c r="A21" s="4" t="s">
        <v>275</v>
      </c>
      <c r="B21" s="4" t="s">
        <v>282</v>
      </c>
      <c r="C21" s="4" t="s">
        <v>283</v>
      </c>
      <c r="D21" s="4" t="s">
        <v>274</v>
      </c>
      <c r="E21" s="4" t="s">
        <v>251</v>
      </c>
      <c r="F21" s="4" t="s">
        <v>284</v>
      </c>
    </row>
    <row r="22" spans="1:6" x14ac:dyDescent="0.2">
      <c r="A22" s="4" t="s">
        <v>275</v>
      </c>
      <c r="B22" s="4" t="s">
        <v>285</v>
      </c>
      <c r="C22" s="4" t="s">
        <v>286</v>
      </c>
      <c r="D22" s="4" t="s">
        <v>259</v>
      </c>
      <c r="E22" s="4" t="s">
        <v>251</v>
      </c>
      <c r="F22" s="4" t="s">
        <v>281</v>
      </c>
    </row>
    <row r="23" spans="1:6" x14ac:dyDescent="0.2">
      <c r="A23" s="4" t="s">
        <v>275</v>
      </c>
      <c r="B23" s="4" t="s">
        <v>287</v>
      </c>
      <c r="C23" s="4" t="s">
        <v>288</v>
      </c>
      <c r="D23" s="4" t="s">
        <v>259</v>
      </c>
      <c r="E23" s="4" t="s">
        <v>251</v>
      </c>
      <c r="F23" s="4"/>
    </row>
    <row r="24" spans="1:6" x14ac:dyDescent="0.2">
      <c r="A24" s="4" t="s">
        <v>278</v>
      </c>
      <c r="B24" s="4" t="s">
        <v>289</v>
      </c>
      <c r="C24" s="4" t="s">
        <v>233</v>
      </c>
      <c r="D24" s="4" t="s">
        <v>234</v>
      </c>
      <c r="E24" s="4" t="s">
        <v>251</v>
      </c>
      <c r="F24" s="4" t="s">
        <v>281</v>
      </c>
    </row>
    <row r="25" spans="1:6" x14ac:dyDescent="0.2">
      <c r="A25" s="4" t="s">
        <v>278</v>
      </c>
      <c r="B25" s="4" t="s">
        <v>290</v>
      </c>
      <c r="C25" s="4" t="s">
        <v>291</v>
      </c>
      <c r="D25" s="4" t="s">
        <v>250</v>
      </c>
      <c r="E25" s="4" t="s">
        <v>251</v>
      </c>
      <c r="F25" s="4" t="s">
        <v>292</v>
      </c>
    </row>
    <row r="26" spans="1:6" x14ac:dyDescent="0.2">
      <c r="A26" s="4" t="s">
        <v>293</v>
      </c>
      <c r="B26" s="4" t="s">
        <v>294</v>
      </c>
      <c r="C26" s="4" t="s">
        <v>233</v>
      </c>
      <c r="D26" s="4" t="s">
        <v>234</v>
      </c>
      <c r="E26" s="4" t="s">
        <v>295</v>
      </c>
      <c r="F26" s="4" t="s">
        <v>296</v>
      </c>
    </row>
    <row r="27" spans="1:6" x14ac:dyDescent="0.2">
      <c r="A27" s="4" t="s">
        <v>297</v>
      </c>
      <c r="B27" s="4" t="s">
        <v>298</v>
      </c>
      <c r="C27" s="4" t="s">
        <v>299</v>
      </c>
      <c r="D27" s="4" t="s">
        <v>300</v>
      </c>
      <c r="E27" s="4" t="s">
        <v>301</v>
      </c>
      <c r="F27" s="4" t="s">
        <v>302</v>
      </c>
    </row>
    <row r="28" spans="1:6" ht="17" customHeight="1" x14ac:dyDescent="0.2"/>
    <row r="29" spans="1:6" ht="30" customHeight="1" x14ac:dyDescent="0.2">
      <c r="A29" s="1" t="s">
        <v>303</v>
      </c>
    </row>
    <row r="30" spans="1:6" ht="30" x14ac:dyDescent="0.2">
      <c r="A30" s="3" t="s">
        <v>304</v>
      </c>
      <c r="B30" s="3" t="s">
        <v>220</v>
      </c>
      <c r="C30" s="3" t="s">
        <v>305</v>
      </c>
    </row>
    <row r="31" spans="1:6" x14ac:dyDescent="0.2">
      <c r="A31" s="4" t="s">
        <v>306</v>
      </c>
      <c r="B31" s="4" t="s">
        <v>287</v>
      </c>
      <c r="C31" s="4" t="s">
        <v>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Prelim Log</vt:lpstr>
      <vt:lpstr>Waiver Log</vt:lpstr>
      <vt:lpstr>Owner Payments</vt:lpstr>
      <vt:lpstr>Subcontractors</vt:lpstr>
      <vt:lpstr>Certified Mail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Piedmont Ridge Properties, LLC</dc:creator>
  <dc:title xmlns:dc="http://purl.org/dc/elements/1.1/">Larkspur Crossing Building B, project file: preliminary notices, waivers, payments, subcontractors</dc:title>
  <dcterms:created xmlns:dcterms="http://purl.org/dc/terms/" xmlns:xsi="http://www.w3.org/2001/XMLSchema-instance" xsi:type="dcterms:W3CDTF">2026-01-21T09:12:44Z</dcterms:created>
  <dcterms:modified xmlns:dcterms="http://purl.org/dc/terms/" xmlns:xsi="http://www.w3.org/2001/XMLSchema-instance" xsi:type="dcterms:W3CDTF">2026-10-13T09:40:05Z</dcterms:modified>
  <cp:lastModifiedBy>Nadia Ferris</cp:lastModifiedBy>
</cp:coreProperties>
</file>