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xr:revisionPtr revIDLastSave="0" documentId="13_ncr:1_{6E431631-9764-B640-8073-53201174FCAC}" xr6:coauthVersionLast="47" xr6:coauthVersionMax="47" xr10:uidLastSave="{00000000-0000-0000-0000-000000000000}"/>
  <bookViews>
    <workbookView xWindow="0" yWindow="0" windowWidth="21600" windowHeight="38400" xr2:uid="{00000000-000D-0000-FFFF-FFFF00000000}"/>
  </bookViews>
  <sheets>
    <sheet name="Summary" sheetId="1" r:id="rId1"/>
    <sheet name="Parameters" sheetId="2" r:id="rId2"/>
    <sheet name="DK Ledger" sheetId="3" r:id="rId3"/>
    <sheet name="Prelim Notices" sheetId="4" r:id="rId4"/>
    <sheet name="Deadlines" sheetId="5" r:id="rId5"/>
    <sheet name="Waivers" sheetId="6" r:id="rId6"/>
    <sheet name="Amounts" sheetId="7" r:id="rId7"/>
    <sheet name="Claims" sheetId="8" r:id="rId8"/>
    <sheet name="Note to Marguerite"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8" l="1"/>
  <c r="E10" i="8"/>
  <c r="C10" i="8"/>
  <c r="B10" i="8"/>
  <c r="B23" i="1" s="1"/>
  <c r="E9" i="8"/>
  <c r="C9" i="8"/>
  <c r="B9" i="8"/>
  <c r="B22" i="1" s="1"/>
  <c r="E8" i="8"/>
  <c r="C8" i="8"/>
  <c r="B8" i="8"/>
  <c r="B21" i="1" s="1"/>
  <c r="E7" i="8"/>
  <c r="C7" i="8"/>
  <c r="B7" i="8"/>
  <c r="B20" i="1" s="1"/>
  <c r="E6" i="8"/>
  <c r="C6" i="8"/>
  <c r="B6" i="8"/>
  <c r="B19" i="1" s="1"/>
  <c r="C5" i="8"/>
  <c r="B5" i="8"/>
  <c r="B18" i="1" s="1"/>
  <c r="C4" i="8"/>
  <c r="B4" i="8"/>
  <c r="B17" i="1" s="1"/>
  <c r="G22" i="7"/>
  <c r="D22" i="7"/>
  <c r="F22" i="7" s="1"/>
  <c r="H22" i="7" s="1"/>
  <c r="D21" i="7"/>
  <c r="G20" i="7"/>
  <c r="D20" i="7"/>
  <c r="F20" i="7" s="1"/>
  <c r="H20" i="7" s="1"/>
  <c r="D19" i="7"/>
  <c r="D18" i="7"/>
  <c r="G17" i="7"/>
  <c r="D17" i="7"/>
  <c r="F17" i="7" s="1"/>
  <c r="H17" i="7" s="1"/>
  <c r="D16" i="7"/>
  <c r="G15" i="7"/>
  <c r="D15" i="7"/>
  <c r="F15" i="7" s="1"/>
  <c r="H15" i="7" s="1"/>
  <c r="D14" i="7"/>
  <c r="D13" i="7"/>
  <c r="G12" i="7"/>
  <c r="D12" i="7"/>
  <c r="F12" i="7" s="1"/>
  <c r="H12" i="7" s="1"/>
  <c r="D11" i="7"/>
  <c r="D10" i="7"/>
  <c r="D9" i="7"/>
  <c r="D8" i="7"/>
  <c r="D7" i="7"/>
  <c r="D6" i="7"/>
  <c r="D5" i="7"/>
  <c r="G4" i="7"/>
  <c r="D4" i="7"/>
  <c r="F4" i="7" s="1"/>
  <c r="H4" i="7" s="1"/>
  <c r="J24" i="6"/>
  <c r="I24" i="6"/>
  <c r="H24" i="6"/>
  <c r="D24" i="6"/>
  <c r="J23" i="6"/>
  <c r="I23" i="6"/>
  <c r="H23" i="6"/>
  <c r="D23" i="6"/>
  <c r="J22" i="6"/>
  <c r="I22" i="6"/>
  <c r="H22" i="6"/>
  <c r="D22" i="6"/>
  <c r="J21" i="6"/>
  <c r="H21" i="6"/>
  <c r="I21" i="6" s="1"/>
  <c r="D21" i="6"/>
  <c r="L20" i="6"/>
  <c r="J20" i="6"/>
  <c r="K20" i="6" s="1"/>
  <c r="I20" i="6"/>
  <c r="H20" i="6"/>
  <c r="D20" i="6"/>
  <c r="J19" i="6"/>
  <c r="I19" i="6"/>
  <c r="H19" i="6"/>
  <c r="D19" i="6"/>
  <c r="J18" i="6"/>
  <c r="I18" i="6"/>
  <c r="H18" i="6"/>
  <c r="D18" i="6"/>
  <c r="J17" i="6"/>
  <c r="I17" i="6"/>
  <c r="H17" i="6"/>
  <c r="D17" i="6"/>
  <c r="J16" i="6"/>
  <c r="I16" i="6"/>
  <c r="H16" i="6"/>
  <c r="D16" i="6"/>
  <c r="J15" i="6"/>
  <c r="I15" i="6"/>
  <c r="H15" i="6"/>
  <c r="D15" i="6"/>
  <c r="J14" i="6"/>
  <c r="I14" i="6"/>
  <c r="H14" i="6"/>
  <c r="D14" i="6"/>
  <c r="J13" i="6"/>
  <c r="I13" i="6"/>
  <c r="H13" i="6"/>
  <c r="D13" i="6"/>
  <c r="J12" i="6"/>
  <c r="H12" i="6"/>
  <c r="I12" i="6" s="1"/>
  <c r="D12" i="6"/>
  <c r="J11" i="6"/>
  <c r="I11" i="6"/>
  <c r="H11" i="6"/>
  <c r="D11" i="6"/>
  <c r="L10" i="6"/>
  <c r="J10" i="6"/>
  <c r="K10" i="6" s="1"/>
  <c r="I10" i="6"/>
  <c r="H10" i="6"/>
  <c r="D10" i="6"/>
  <c r="J9" i="6"/>
  <c r="I9" i="6"/>
  <c r="H9" i="6"/>
  <c r="D9" i="6"/>
  <c r="J8" i="6"/>
  <c r="I8" i="6"/>
  <c r="H8" i="6"/>
  <c r="D8" i="6"/>
  <c r="J7" i="6"/>
  <c r="I7" i="6"/>
  <c r="H7" i="6"/>
  <c r="D7" i="6"/>
  <c r="J6" i="6"/>
  <c r="I6" i="6"/>
  <c r="H6" i="6"/>
  <c r="D6" i="6"/>
  <c r="J5" i="6"/>
  <c r="I5" i="6"/>
  <c r="H5" i="6"/>
  <c r="D5" i="6"/>
  <c r="J4" i="6"/>
  <c r="I4" i="6"/>
  <c r="H4" i="6"/>
  <c r="D4" i="6"/>
  <c r="C10" i="5"/>
  <c r="C9" i="5"/>
  <c r="H8" i="5"/>
  <c r="G8" i="5"/>
  <c r="C8" i="5"/>
  <c r="D8" i="5" s="1"/>
  <c r="C7" i="5"/>
  <c r="C6" i="5"/>
  <c r="C5" i="5"/>
  <c r="C4" i="5"/>
  <c r="K10" i="4"/>
  <c r="E10" i="4"/>
  <c r="F10" i="4" s="1"/>
  <c r="G10" i="4" s="1"/>
  <c r="I10" i="4" s="1"/>
  <c r="H10" i="4" s="1"/>
  <c r="C10" i="4"/>
  <c r="K9" i="4"/>
  <c r="E9" i="4"/>
  <c r="F9" i="4" s="1"/>
  <c r="G9" i="4" s="1"/>
  <c r="I9" i="4" s="1"/>
  <c r="H9" i="4" s="1"/>
  <c r="C9" i="4"/>
  <c r="K8" i="4"/>
  <c r="E8" i="4"/>
  <c r="F8" i="4" s="1"/>
  <c r="G8" i="4" s="1"/>
  <c r="I8" i="4" s="1"/>
  <c r="H8" i="4" s="1"/>
  <c r="C8" i="4"/>
  <c r="K7" i="4"/>
  <c r="E7" i="4"/>
  <c r="F7" i="4" s="1"/>
  <c r="G7" i="4" s="1"/>
  <c r="I7" i="4" s="1"/>
  <c r="H7" i="4" s="1"/>
  <c r="C7" i="4"/>
  <c r="K6" i="4"/>
  <c r="E6" i="4"/>
  <c r="F6" i="4" s="1"/>
  <c r="G6" i="4" s="1"/>
  <c r="I6" i="4" s="1"/>
  <c r="H6" i="4" s="1"/>
  <c r="C6" i="4"/>
  <c r="K5" i="4"/>
  <c r="E5" i="8" s="1"/>
  <c r="E5" i="4"/>
  <c r="F5" i="4" s="1"/>
  <c r="G5" i="4" s="1"/>
  <c r="I5" i="4" s="1"/>
  <c r="H5" i="4" s="1"/>
  <c r="C5" i="4"/>
  <c r="K4" i="4"/>
  <c r="E4" i="8" s="1"/>
  <c r="E4" i="4"/>
  <c r="F4" i="4" s="1"/>
  <c r="G4" i="4" s="1"/>
  <c r="I4" i="4" s="1"/>
  <c r="H4" i="4" s="1"/>
  <c r="C4" i="4"/>
  <c r="B32" i="2"/>
  <c r="C18" i="2"/>
  <c r="C17" i="2"/>
  <c r="C16" i="2"/>
  <c r="C5" i="2"/>
  <c r="C4" i="2"/>
  <c r="C31" i="2" s="1"/>
  <c r="B31" i="2" s="1"/>
  <c r="C23" i="1"/>
  <c r="A23" i="1"/>
  <c r="C22" i="1"/>
  <c r="B26" i="1" s="1"/>
  <c r="A22" i="1"/>
  <c r="C21" i="1"/>
  <c r="A21" i="1"/>
  <c r="C20" i="1"/>
  <c r="A20" i="1"/>
  <c r="C19" i="1"/>
  <c r="A19" i="1"/>
  <c r="C18" i="1"/>
  <c r="A18" i="1"/>
  <c r="C17" i="1"/>
  <c r="A17" i="1"/>
  <c r="B14" i="1"/>
  <c r="B13" i="1"/>
  <c r="B12" i="1"/>
  <c r="B7" i="1"/>
  <c r="B6" i="1"/>
  <c r="D23" i="1" l="1"/>
  <c r="D22" i="1"/>
  <c r="D21" i="1"/>
  <c r="D20" i="1"/>
  <c r="D19" i="1"/>
  <c r="F21" i="7"/>
  <c r="F19" i="7"/>
  <c r="G18" i="7"/>
  <c r="F18" i="7"/>
  <c r="G16" i="7"/>
  <c r="F16" i="7"/>
  <c r="G14" i="7"/>
  <c r="F14" i="7"/>
  <c r="F13" i="7"/>
  <c r="G13" i="7"/>
  <c r="G11" i="7"/>
  <c r="F11" i="7"/>
  <c r="F10" i="7"/>
  <c r="G10" i="7"/>
  <c r="G9" i="7"/>
  <c r="F9" i="7"/>
  <c r="G8" i="7"/>
  <c r="F8" i="7"/>
  <c r="F7" i="7"/>
  <c r="G7" i="7"/>
  <c r="F6" i="7"/>
  <c r="G6" i="7"/>
  <c r="F5" i="7"/>
  <c r="G5" i="7"/>
  <c r="L24" i="6"/>
  <c r="K24" i="6"/>
  <c r="L23" i="6"/>
  <c r="K23" i="6"/>
  <c r="L22" i="6"/>
  <c r="K22" i="6"/>
  <c r="G21" i="7" s="1"/>
  <c r="L21" i="6"/>
  <c r="K21" i="6"/>
  <c r="L19" i="6"/>
  <c r="K19" i="6"/>
  <c r="G19" i="7" s="1"/>
  <c r="L18" i="6"/>
  <c r="K18" i="6"/>
  <c r="K17" i="6"/>
  <c r="L17" i="6"/>
  <c r="K16" i="6"/>
  <c r="L16" i="6"/>
  <c r="K15" i="6"/>
  <c r="L15" i="6"/>
  <c r="K14" i="6"/>
  <c r="L14" i="6"/>
  <c r="K13" i="6"/>
  <c r="L13" i="6"/>
  <c r="K12" i="6"/>
  <c r="L12" i="6"/>
  <c r="K11" i="6"/>
  <c r="L11" i="6"/>
  <c r="L9" i="6"/>
  <c r="K9" i="6"/>
  <c r="K8" i="6"/>
  <c r="L8" i="6"/>
  <c r="K7" i="6"/>
  <c r="L7" i="6"/>
  <c r="K6" i="6"/>
  <c r="L6" i="6"/>
  <c r="K5" i="6"/>
  <c r="L5" i="6"/>
  <c r="K4" i="6"/>
  <c r="L4" i="6"/>
  <c r="H10" i="5"/>
  <c r="D10" i="5"/>
  <c r="H9" i="5"/>
  <c r="D9" i="5"/>
  <c r="F9" i="5"/>
  <c r="F9" i="8" s="1"/>
  <c r="H7" i="5"/>
  <c r="G7" i="5" s="1"/>
  <c r="D7" i="5"/>
  <c r="D6" i="5"/>
  <c r="H6" i="5"/>
  <c r="G6" i="5" s="1"/>
  <c r="D5" i="5"/>
  <c r="H5" i="5"/>
  <c r="H4" i="5"/>
  <c r="G4" i="5" s="1"/>
  <c r="D4" i="5"/>
  <c r="H5" i="8"/>
  <c r="D18" i="1"/>
  <c r="D17" i="1"/>
  <c r="J7" i="5"/>
  <c r="G7" i="8" s="1"/>
  <c r="F20" i="1" s="1"/>
  <c r="J4" i="5"/>
  <c r="G4" i="8" s="1"/>
  <c r="F17" i="1" s="1"/>
  <c r="J6" i="5"/>
  <c r="G6" i="8" s="1"/>
  <c r="F19" i="1" s="1"/>
  <c r="J8" i="5"/>
  <c r="G8" i="8" s="1"/>
  <c r="F21" i="1" s="1"/>
  <c r="B25" i="2"/>
  <c r="B8" i="1" s="1"/>
  <c r="B26" i="2"/>
  <c r="B9" i="1" s="1"/>
  <c r="B27" i="2"/>
  <c r="C27" i="2"/>
  <c r="B28" i="2"/>
  <c r="C29" i="2"/>
  <c r="C30" i="2"/>
  <c r="B30" i="2" s="1"/>
  <c r="B11" i="1" s="1"/>
  <c r="I5" i="8" l="1"/>
  <c r="G18" i="1"/>
  <c r="K5" i="8"/>
  <c r="I18" i="1" s="1"/>
  <c r="L5" i="8"/>
  <c r="J18" i="1" s="1"/>
  <c r="F8" i="5"/>
  <c r="F8" i="8" s="1"/>
  <c r="B29" i="2"/>
  <c r="H19" i="7"/>
  <c r="H14" i="7"/>
  <c r="H9" i="7"/>
  <c r="H6" i="7"/>
  <c r="H5" i="7"/>
  <c r="H21" i="7"/>
  <c r="H13" i="7"/>
  <c r="H8" i="7"/>
  <c r="H18" i="7"/>
  <c r="H16" i="7"/>
  <c r="H11" i="7"/>
  <c r="H10" i="7"/>
  <c r="H7" i="7"/>
  <c r="G10" i="5"/>
  <c r="J10" i="5"/>
  <c r="G10" i="8" s="1"/>
  <c r="F23" i="1" s="1"/>
  <c r="G9" i="5"/>
  <c r="J9" i="5"/>
  <c r="G9" i="8" s="1"/>
  <c r="F22" i="1" s="1"/>
  <c r="E22" i="1"/>
  <c r="H9" i="8"/>
  <c r="G5" i="5"/>
  <c r="J5" i="5"/>
  <c r="G5" i="8" s="1"/>
  <c r="F18" i="1" s="1"/>
  <c r="F10" i="5"/>
  <c r="F10" i="8" s="1"/>
  <c r="F7" i="5"/>
  <c r="F7" i="8" s="1"/>
  <c r="F6" i="5"/>
  <c r="F6" i="8" s="1"/>
  <c r="F5" i="5"/>
  <c r="F5" i="8" s="1"/>
  <c r="E18" i="1" s="1"/>
  <c r="F4" i="5"/>
  <c r="F4" i="8" s="1"/>
  <c r="J5" i="8" l="1"/>
  <c r="H18" i="1"/>
  <c r="H8" i="8"/>
  <c r="E21" i="1"/>
  <c r="E8" i="5"/>
  <c r="B10" i="1"/>
  <c r="E4" i="5"/>
  <c r="E5" i="5"/>
  <c r="E6" i="5"/>
  <c r="E7" i="5"/>
  <c r="E9" i="5"/>
  <c r="E10" i="5"/>
  <c r="G22" i="1"/>
  <c r="L9" i="8"/>
  <c r="J22" i="1" s="1"/>
  <c r="I9" i="8"/>
  <c r="K9" i="8" s="1"/>
  <c r="I22" i="1" s="1"/>
  <c r="H10" i="8"/>
  <c r="E23" i="1"/>
  <c r="H7" i="8"/>
  <c r="E20" i="1"/>
  <c r="H6" i="8"/>
  <c r="E19" i="1"/>
  <c r="H4" i="8"/>
  <c r="E17" i="1"/>
  <c r="G21" i="1" l="1"/>
  <c r="L8" i="8"/>
  <c r="J21" i="1" s="1"/>
  <c r="I8" i="8"/>
  <c r="K8" i="8" s="1"/>
  <c r="I21" i="1" s="1"/>
  <c r="J9" i="8"/>
  <c r="H22" i="1"/>
  <c r="G23" i="1"/>
  <c r="L10" i="8"/>
  <c r="J23" i="1" s="1"/>
  <c r="K10" i="8"/>
  <c r="I23" i="1" s="1"/>
  <c r="I10" i="8"/>
  <c r="G20" i="1"/>
  <c r="L7" i="8"/>
  <c r="J20" i="1" s="1"/>
  <c r="I7" i="8"/>
  <c r="K7" i="8" s="1"/>
  <c r="I20" i="1" s="1"/>
  <c r="G19" i="1"/>
  <c r="L6" i="8"/>
  <c r="J19" i="1" s="1"/>
  <c r="I6" i="8"/>
  <c r="K6" i="8" s="1"/>
  <c r="I19" i="1" s="1"/>
  <c r="D12" i="8"/>
  <c r="G17" i="1"/>
  <c r="D13" i="8"/>
  <c r="D14" i="8"/>
  <c r="B29" i="1" s="1"/>
  <c r="L4" i="8"/>
  <c r="K4" i="8"/>
  <c r="I17" i="1" s="1"/>
  <c r="I4" i="8"/>
  <c r="J8" i="8" l="1"/>
  <c r="H21" i="1"/>
  <c r="J10" i="8"/>
  <c r="H23" i="1"/>
  <c r="J7" i="8"/>
  <c r="H20" i="1"/>
  <c r="J6" i="8"/>
  <c r="H19" i="1"/>
  <c r="J17" i="1"/>
  <c r="B28" i="1" s="1"/>
  <c r="L11" i="8"/>
  <c r="J4" i="8"/>
  <c r="H17" i="1"/>
  <c r="I11" i="8"/>
  <c r="J11" i="8" l="1"/>
  <c r="B27" i="1"/>
</calcChain>
</file>

<file path=xl/sharedStrings.xml><?xml version="1.0" encoding="utf-8"?>
<sst xmlns="http://schemas.openxmlformats.org/spreadsheetml/2006/main" count="639" uniqueCount="332">
  <si>
    <t>Recorded claims of mechanics lien, Larkspur Crossing Building B, 2210 Pleasant Grove Boulevard, Roseville: analysis for the refinance</t>
  </si>
  <si>
    <t>Prepared for Marguerite Okonjo for Piedmont Ridge Properties, LLC, from the recorder's copies of the seven claims, the owner's project file, the direct contractor's payment ledger, and the close-out file</t>
  </si>
  <si>
    <t>Dates that govern every claim</t>
  </si>
  <si>
    <t>Date</t>
  </si>
  <si>
    <t>Value</t>
  </si>
  <si>
    <t>Read from</t>
  </si>
  <si>
    <t>Completion of the work of improvement</t>
  </si>
  <si>
    <t>Completion memorandum and notice of completion item 5</t>
  </si>
  <si>
    <t>Notice of completion recorded</t>
  </si>
  <si>
    <t>Document No. 2026-0079143</t>
  </si>
  <si>
    <t>Days from completion to recording</t>
  </si>
  <si>
    <t>Within the 15 days section 8182(a) allows</t>
  </si>
  <si>
    <t>Notice of completion effective</t>
  </si>
  <si>
    <t>section 8182(a)</t>
  </si>
  <si>
    <t>Last day to record, claimants other than the direct contractor</t>
  </si>
  <si>
    <t>The thirtieth day, 09/19/2026, was a Saturday, so section 12a runs the period to the Monday</t>
  </si>
  <si>
    <t>Last day to record, direct contractor</t>
  </si>
  <si>
    <t>section 8412; no claim by Dunmore-Kettle Builders is of record</t>
  </si>
  <si>
    <t>Civil index and recorder searches run</t>
  </si>
  <si>
    <t>No action by any claimant found; no notice of pendency of action</t>
  </si>
  <si>
    <t>Bank's date for releases and bonds of record</t>
  </si>
  <si>
    <t>Sutter Valley Bank counsel, per the September 25 email</t>
  </si>
  <si>
    <t>Refinance closing</t>
  </si>
  <si>
    <t>September 25 email</t>
  </si>
  <si>
    <t>The seven recorded claims</t>
  </si>
  <si>
    <t>CLAIMANT</t>
  </si>
  <si>
    <t>RECORDED</t>
  </si>
  <si>
    <t>AMOUNT_AS_RECORDED</t>
  </si>
  <si>
    <t>LIEN_RIGHTS</t>
  </si>
  <si>
    <t>TIMELY</t>
  </si>
  <si>
    <t>EXPIRED</t>
  </si>
  <si>
    <t>STANDING</t>
  </si>
  <si>
    <t>ENFORCEABLE_AMOUNT</t>
  </si>
  <si>
    <t>WHAT_WE_DO</t>
  </si>
  <si>
    <t>RELEASE_BOND</t>
  </si>
  <si>
    <t>PRELIMINARY_NOTICE</t>
  </si>
  <si>
    <t>WAIVERS_ON_FILE</t>
  </si>
  <si>
    <t>Given 02/09/2026, within 20 days of first furnishing on 02/02/2026</t>
  </si>
  <si>
    <t>Unconditional progress waivers through 04/30/2026; the May release letter is not in the statutory form and releases nothing</t>
  </si>
  <si>
    <t>Given 02/17/2026 to the direct contractor only; never given to the owner</t>
  </si>
  <si>
    <t>None on file</t>
  </si>
  <si>
    <t>Given 05/29/2026, 53 days after first furnishing on 04/06/2026; covers deliveries from 05/09/2026</t>
  </si>
  <si>
    <t>Given 03/20/2026, within 20 days of first furnishing on 03/16/2026</t>
  </si>
  <si>
    <t>Unconditional progress waivers through 06/30/2026; the conditional waiver through 07/31/2026 rests on check 4460, which was stopped, so it releases nothing</t>
  </si>
  <si>
    <t>Given 05/27/2026, within 20 days of first furnishing on 05/18/2026</t>
  </si>
  <si>
    <t>Unconditional progress waivers through 07/31/2026, the last signed 08/03/2026 and never paid, releasing the July billing and excepting retention of $3,845.00</t>
  </si>
  <si>
    <t>Given 01/30/2026, within 20 days of first furnishing on 01/19/2026</t>
  </si>
  <si>
    <t>Unconditional progress waivers through 06/30/2026; the conditional waiver through 07/31/2026 rests on check 4461, which cleared, so the July billing is released</t>
  </si>
  <si>
    <t>Given 04/24/2026, within 20 days of first furnishing on 04/20/2026</t>
  </si>
  <si>
    <t>Unconditional progress waivers through 06/30/2026; nothing covers the July billing</t>
  </si>
  <si>
    <t>Totals</t>
  </si>
  <si>
    <t>Total</t>
  </si>
  <si>
    <t>Amount of the seven claims as recorded</t>
  </si>
  <si>
    <t>Amount the claimants could enforce against the property</t>
  </si>
  <si>
    <t>Release bonds required, total penal sum at 125 percent</t>
  </si>
  <si>
    <t>Recorded amount of the claims to demand released</t>
  </si>
  <si>
    <t>Every value on this page reads from the tabs behind it. Standing, enforceable amount, and bond are worked on the Claims tab from the Prelim Notices, Deadlines, Waivers, and Amounts tabs; the governing dates are on the Parameters tab.</t>
  </si>
  <si>
    <t>Dates and rule constants the analysis applies, with the source of each</t>
  </si>
  <si>
    <t>PARAMETER</t>
  </si>
  <si>
    <t>VALUE</t>
  </si>
  <si>
    <t>SERIAL</t>
  </si>
  <si>
    <t>SOURCE</t>
  </si>
  <si>
    <t>08/11/2026</t>
  </si>
  <si>
    <t>Completion memorandum of August 14, 2026, final inspection and last labor; notice of completion item 5</t>
  </si>
  <si>
    <t>08/20/2026</t>
  </si>
  <si>
    <t>Notice of completion, Document No. 2026-0079143</t>
  </si>
  <si>
    <t>Days allowed to record a notice of completion after completion</t>
  </si>
  <si>
    <t>Days after the notice of completion to record, claimants other than the direct contractor</t>
  </si>
  <si>
    <t>section 8414</t>
  </si>
  <si>
    <t>Days after the notice of completion to record, direct contractor</t>
  </si>
  <si>
    <t>section 8412</t>
  </si>
  <si>
    <t>Days after first furnishing for a timely preliminary notice</t>
  </si>
  <si>
    <t>section 8204(a)</t>
  </si>
  <si>
    <t>Days a late preliminary notice reaches back</t>
  </si>
  <si>
    <t>section 8204(b)</t>
  </si>
  <si>
    <t>Days after recording to commence an action</t>
  </si>
  <si>
    <t>section 8460(a)</t>
  </si>
  <si>
    <t>Release bond, percent of the recorded claim</t>
  </si>
  <si>
    <t>section 8424(b)</t>
  </si>
  <si>
    <t>Days between the demand for release and a petition</t>
  </si>
  <si>
    <t>section 8482</t>
  </si>
  <si>
    <t>Days after completion for payment of retention</t>
  </si>
  <si>
    <t>section 8812(a)</t>
  </si>
  <si>
    <t>Percent of a disputed amount the owner may withhold from retention</t>
  </si>
  <si>
    <t>section 8812(c)</t>
  </si>
  <si>
    <t>09/25/2026</t>
  </si>
  <si>
    <t>Close-out file, part D</t>
  </si>
  <si>
    <t>11/20/2026</t>
  </si>
  <si>
    <t>Nadia Ferris email of September 25, 2026</t>
  </si>
  <si>
    <t>11/06/2026</t>
  </si>
  <si>
    <t>Retention withheld from the direct contractor</t>
  </si>
  <si>
    <t>Owner Payments tab of the project file; completion memorandum</t>
  </si>
  <si>
    <t>Direct contractor's estimate to correct the two rooftop units</t>
  </si>
  <si>
    <t>Completion memorandum, item for the file</t>
  </si>
  <si>
    <t>Contract sum, Dunmore-Kettle Builders, Inc.</t>
  </si>
  <si>
    <t>Owner Payments tab of the project file</t>
  </si>
  <si>
    <t>Derived dates</t>
  </si>
  <si>
    <t>Days from completion to the recording of the notice of completion</t>
  </si>
  <si>
    <t>Completion and recording rows above</t>
  </si>
  <si>
    <t>Notice of completion effective under section 8182</t>
  </si>
  <si>
    <t>Thirtieth day after the notice of completion</t>
  </si>
  <si>
    <t>section 8414, before the section 12a extension</t>
  </si>
  <si>
    <t>Weekday of the thirtieth day</t>
  </si>
  <si>
    <t>Code of Civil Procedure section 12a</t>
  </si>
  <si>
    <t>section 8414 with the section 12a extension</t>
  </si>
  <si>
    <t>section 8412 with the section 12a extension</t>
  </si>
  <si>
    <t>Retention due to the direct contractor</t>
  </si>
  <si>
    <t>Retention the owner may withhold for the rooftop unit correction</t>
  </si>
  <si>
    <t>section 8812(c), 150 percent of the disputed amount</t>
  </si>
  <si>
    <t>Dunmore-Kettle Builders subcontractor payment ledger, dk_subcontractor_payments.csv, copied line for line</t>
  </si>
  <si>
    <t>CHECK_NO</t>
  </si>
  <si>
    <t>CHECK_DATE</t>
  </si>
  <si>
    <t>PAYEE</t>
  </si>
  <si>
    <t>TRADE</t>
  </si>
  <si>
    <t>PAY_APP</t>
  </si>
  <si>
    <t>AMOUNT</t>
  </si>
  <si>
    <t>STATUS</t>
  </si>
  <si>
    <t>STATUS_DATE</t>
  </si>
  <si>
    <t>03/27/2026</t>
  </si>
  <si>
    <t>Ostrowski Electric Inc</t>
  </si>
  <si>
    <t>Electrical</t>
  </si>
  <si>
    <t>Cleared</t>
  </si>
  <si>
    <t>04/01/2026</t>
  </si>
  <si>
    <t>Tallac Concrete Inc</t>
  </si>
  <si>
    <t>Site concrete</t>
  </si>
  <si>
    <t>03/31/2026</t>
  </si>
  <si>
    <t>Petrakis Plumbing Inc</t>
  </si>
  <si>
    <t>Plumbing</t>
  </si>
  <si>
    <t>04/02/2026</t>
  </si>
  <si>
    <t>04/28/2026</t>
  </si>
  <si>
    <t>05/01/2026</t>
  </si>
  <si>
    <t>04/30/2026</t>
  </si>
  <si>
    <t>R Nakamura Framing Inc</t>
  </si>
  <si>
    <t>Rough carpentry</t>
  </si>
  <si>
    <t>05/04/2026</t>
  </si>
  <si>
    <t>Fenwick Roofing Systems</t>
  </si>
  <si>
    <t>Roofing</t>
  </si>
  <si>
    <t>04/29/2026</t>
  </si>
  <si>
    <t>Kastner Mechanical Contractors Inc</t>
  </si>
  <si>
    <t>HVAC</t>
  </si>
  <si>
    <t>05/05/2026</t>
  </si>
  <si>
    <t>05/29/2026</t>
  </si>
  <si>
    <t>06/03/2026</t>
  </si>
  <si>
    <t>06/02/2026</t>
  </si>
  <si>
    <t>Calder Drywall and Plaster LLC</t>
  </si>
  <si>
    <t>Drywall and plaster</t>
  </si>
  <si>
    <t>06/04/2026</t>
  </si>
  <si>
    <t>06/01/2026</t>
  </si>
  <si>
    <t>Lindqvist Fire Protection</t>
  </si>
  <si>
    <t>Fire sprinklers</t>
  </si>
  <si>
    <t>06/05/2026</t>
  </si>
  <si>
    <t>06/26/2026</t>
  </si>
  <si>
    <t>07/01/2026</t>
  </si>
  <si>
    <t>06/30/2026</t>
  </si>
  <si>
    <t>07/02/2026</t>
  </si>
  <si>
    <t>06/29/2026</t>
  </si>
  <si>
    <t>07/06/2026</t>
  </si>
  <si>
    <t>Bautista Painting Co</t>
  </si>
  <si>
    <t>Painting</t>
  </si>
  <si>
    <t>07/07/2026</t>
  </si>
  <si>
    <t>Abrego Glass and Glazing</t>
  </si>
  <si>
    <t>Storefront and glazing</t>
  </si>
  <si>
    <t>07/29/2026</t>
  </si>
  <si>
    <t>08/03/2026</t>
  </si>
  <si>
    <t>08/04/2026</t>
  </si>
  <si>
    <t>07/30/2026</t>
  </si>
  <si>
    <t>08/05/2026</t>
  </si>
  <si>
    <t>07/31/2026</t>
  </si>
  <si>
    <t>Sorensen Landscape Co</t>
  </si>
  <si>
    <t>Landscape and irrigation</t>
  </si>
  <si>
    <t>Capitol Door and Hardware</t>
  </si>
  <si>
    <t>Doors frames hardware</t>
  </si>
  <si>
    <t>08/06/2026</t>
  </si>
  <si>
    <t>08/18/2026</t>
  </si>
  <si>
    <t>Stopped</t>
  </si>
  <si>
    <t>08/24/2026</t>
  </si>
  <si>
    <t>08/19/2026</t>
  </si>
  <si>
    <t>08/25/2026</t>
  </si>
  <si>
    <t>08/26/2026</t>
  </si>
  <si>
    <t>Preliminary notice by claimant: when it was given, whether it was timely, what it covers, and whether the owner was served</t>
  </si>
  <si>
    <t>FIRST_FURNISHED</t>
  </si>
  <si>
    <t>FIRST_SERIAL</t>
  </si>
  <si>
    <t>NOTICE_GIVEN</t>
  </si>
  <si>
    <t>NOTICE_SERIAL</t>
  </si>
  <si>
    <t>DAYS_TO_NOTICE</t>
  </si>
  <si>
    <t>TIMELY_NOTICE</t>
  </si>
  <si>
    <t>COVERAGE_FROM</t>
  </si>
  <si>
    <t>COVERAGE_SERIAL</t>
  </si>
  <si>
    <t>SERVED_ON_OWNER</t>
  </si>
  <si>
    <t>READ_FROM</t>
  </si>
  <si>
    <t>Tallac Concrete, Inc.</t>
  </si>
  <si>
    <t>02/02/2026</t>
  </si>
  <si>
    <t>02/09/2026</t>
  </si>
  <si>
    <t>Yes, owner log entry mailed 02/09/2026</t>
  </si>
  <si>
    <t>Claim 1 item 7; Prelim Log row for Tallac Concrete</t>
  </si>
  <si>
    <t>Norcal Rebar &amp; Mesh, LLC</t>
  </si>
  <si>
    <t>02/03/2026</t>
  </si>
  <si>
    <t>02/17/2026</t>
  </si>
  <si>
    <t>No, Exhibit A proof of service names the direct contractor only and the owner log has no entry</t>
  </si>
  <si>
    <t>Claim 2 item 7 and Exhibit A; Prelim Log, no entry</t>
  </si>
  <si>
    <t>Hedrick &amp; Sons Building Supply</t>
  </si>
  <si>
    <t>04/06/2026</t>
  </si>
  <si>
    <t>Yes, owner log entry mailed 05/29/2026</t>
  </si>
  <si>
    <t>Claim 3 item 7 and Exhibit A; Prelim Log row for Hedrick &amp; Sons</t>
  </si>
  <si>
    <t>Kastner Mechanical Contractors, Inc.</t>
  </si>
  <si>
    <t>03/16/2026</t>
  </si>
  <si>
    <t>03/20/2026</t>
  </si>
  <si>
    <t>Yes, owner log entry mailed 03/20/2026</t>
  </si>
  <si>
    <t>Claim 4 item 7; Prelim Log row for Kastner Mechanical</t>
  </si>
  <si>
    <t>Bautista Painting Co.</t>
  </si>
  <si>
    <t>05/18/2026</t>
  </si>
  <si>
    <t>05/27/2026</t>
  </si>
  <si>
    <t>Yes, owner log entry mailed 05/27/2026</t>
  </si>
  <si>
    <t>Claim 5 item 7; Prelim Log row for Bautista Painting</t>
  </si>
  <si>
    <t>Ostrowski Electric, Inc.</t>
  </si>
  <si>
    <t>01/19/2026</t>
  </si>
  <si>
    <t>01/30/2026</t>
  </si>
  <si>
    <t>Yes, owner log entry mailed 01/30/2026</t>
  </si>
  <si>
    <t>Claim 6 item 7; Prelim Log row for Ostrowski Electric</t>
  </si>
  <si>
    <t>Calder Drywall &amp; Plaster, LLC</t>
  </si>
  <si>
    <t>04/20/2026</t>
  </si>
  <si>
    <t>04/24/2026</t>
  </si>
  <si>
    <t>Yes, owner log entry mailed 04/24/2026</t>
  </si>
  <si>
    <t>Claim 7 item 7; Prelim Log row for Calder Drywall</t>
  </si>
  <si>
    <t>Notice given is the date of deposit on the proof of service (section 8116), read from the owner's log or the exhibit to the claim. A late notice covers work furnished from the twentieth day before the notice is given, the day of giving not counted, so a notice given 05/29/2026 covers work from 05/09/2026. A notice that was never given to the owner leaves the claimant without lien rights against the property (section 8200(a) and section 8410).</t>
  </si>
  <si>
    <t>Recording and enforcement deadlines by claim, counted under Code of Civil Procedure sections 12 and 12a</t>
  </si>
  <si>
    <t>RECORDED_SERIAL</t>
  </si>
  <si>
    <t>DAYS_AFTER_NOC</t>
  </si>
  <si>
    <t>LAST_DAY_TO_RECORD</t>
  </si>
  <si>
    <t>ACTION_DUE_BY</t>
  </si>
  <si>
    <t>ACTION_DUE_SERIAL</t>
  </si>
  <si>
    <t>ACTION_ON_INDEX</t>
  </si>
  <si>
    <t>DOC_NO</t>
  </si>
  <si>
    <t>06/22/2026</t>
  </si>
  <si>
    <t>None</t>
  </si>
  <si>
    <t>2026-0058802</t>
  </si>
  <si>
    <t>09/08/2026</t>
  </si>
  <si>
    <t>2026-0093115</t>
  </si>
  <si>
    <t>09/10/2026</t>
  </si>
  <si>
    <t>2026-0093970</t>
  </si>
  <si>
    <t>09/14/2026</t>
  </si>
  <si>
    <t>2026-0095281</t>
  </si>
  <si>
    <t>09/15/2026</t>
  </si>
  <si>
    <t>2026-0095774</t>
  </si>
  <si>
    <t>09/21/2026</t>
  </si>
  <si>
    <t>2026-0097902</t>
  </si>
  <si>
    <t>09/22/2026</t>
  </si>
  <si>
    <t>2026-0098344</t>
  </si>
  <si>
    <t>Every claimant here is a claimant other than the direct contractor, so the last day to record is the thirtieth day after the notice of completion was recorded, extended to the next court day where it falls on a weekend (section 8414 and Code of Civil Procedure section 12a). The direct contractor's last day is on the Parameters tab. ACTION_ON_INDEX is read from the civil index search of 09/25/2026, which found no action by any claimant; a lien on which no action was commenced by its ACTION_DUE_BY date has expired (section 8460(a)).</t>
  </si>
  <si>
    <t>Every waiver on the owner's log from a claimant, read against the payment ledger</t>
  </si>
  <si>
    <t>FORM_TITLE</t>
  </si>
  <si>
    <t>THROUGH_DATE</t>
  </si>
  <si>
    <t>THROUGH_SERIAL</t>
  </si>
  <si>
    <t>EXCEPTIONS</t>
  </si>
  <si>
    <t>CHECK_REF</t>
  </si>
  <si>
    <t>PAYMENT_PER_LEDGER</t>
  </si>
  <si>
    <t>STATUTORY_FORM</t>
  </si>
  <si>
    <t>EFFECTIVE</t>
  </si>
  <si>
    <t>WHY</t>
  </si>
  <si>
    <t>Unconditional Waiver and Release on Progress Payment</t>
  </si>
  <si>
    <t>02/28/2026</t>
  </si>
  <si>
    <t>Lien release letter on Tallac Concrete letterhead</t>
  </si>
  <si>
    <t>05/08/2026</t>
  </si>
  <si>
    <t>Letter says all claims for the May billing and retention are released on payment of the balance</t>
  </si>
  <si>
    <t>05/31/2026</t>
  </si>
  <si>
    <t>Conditional Waiver and Release on Progress Payment</t>
  </si>
  <si>
    <t>Dunmore-Kettle Builders check 4460</t>
  </si>
  <si>
    <t>Retention: $3,845.00</t>
  </si>
  <si>
    <t>Dunmore-Kettle Builders check 4461</t>
  </si>
  <si>
    <t>Hedrick &amp; Sons Building Supply and Norcal Rebar &amp; Mesh, LLC have no waiver on the owner's log. PAYMENT_PER_LEDGER is read from the direct contractor's ledger by check number. A waiver in the statutory form releases the claimant's lien for work furnished through THROUGH_DATE, except the exceptions the form states; retention stated as an exception and work furnished after the through date are not released (section 8134).</t>
  </si>
  <si>
    <t>The recorded claims built up from each claimant's own statement, with the part of each the claimant could enforce</t>
  </si>
  <si>
    <t>COMPONENT</t>
  </si>
  <si>
    <t>FURNISHED_THROUGH</t>
  </si>
  <si>
    <t>FURNISHED_SERIAL</t>
  </si>
  <si>
    <t>IN_NOTICE_COVERAGE</t>
  </si>
  <si>
    <t>RELEASED_BY_WAIVER</t>
  </si>
  <si>
    <t>ENFORCEABLE_PART</t>
  </si>
  <si>
    <t>Retention withheld, 5 percent of the $412,000.00 subcontract</t>
  </si>
  <si>
    <t>Subcontractors tab; claim 1 item 2</t>
  </si>
  <si>
    <t>Balance of the May 2026 billing after the short payment on check 4436</t>
  </si>
  <si>
    <t>Claim 1 item 2; lien release letter amount; Reid Castellano email</t>
  </si>
  <si>
    <t>Reinforcing steel and mesh delivered to Tallac Concrete, February 3 to April 21, 2026</t>
  </si>
  <si>
    <t>04/21/2026</t>
  </si>
  <si>
    <t>Claim 2 items 2 and 7</t>
  </si>
  <si>
    <t>Invoice S-40702, framing lumber, second floor package</t>
  </si>
  <si>
    <t>Claim 3 Exhibit A</t>
  </si>
  <si>
    <t>Invoice S-40915, roof trusses, lot 1</t>
  </si>
  <si>
    <t>Invoice S-41188, roof trusses, lot 2, and sheathing</t>
  </si>
  <si>
    <t>05/12/2026</t>
  </si>
  <si>
    <t>Invoice S-41420, sheathing and blocking, roof</t>
  </si>
  <si>
    <t>05/26/2026</t>
  </si>
  <si>
    <t>Invoice S-41733, exterior sheathing and weather barrier</t>
  </si>
  <si>
    <t>06/09/2026</t>
  </si>
  <si>
    <t>Invoice S-41990, backing, blocking, and fastener package</t>
  </si>
  <si>
    <t>06/23/2026</t>
  </si>
  <si>
    <t>Progress payment for the period ending July 31, 2026, check 4460 stopped</t>
  </si>
  <si>
    <t>Claim 4 item 6; DK Ledger check 4460</t>
  </si>
  <si>
    <t>Final billing for the period ending August 11, 2026</t>
  </si>
  <si>
    <t>Claim 4 item 6</t>
  </si>
  <si>
    <t>Retention withheld, 5 percent of the $444,600.00 subcontract</t>
  </si>
  <si>
    <t>08/10/2026</t>
  </si>
  <si>
    <t>Claim 4 item 6; Subcontractors tab</t>
  </si>
  <si>
    <t>Progress payment for the period ending July 31, 2026, no check issued</t>
  </si>
  <si>
    <t>Claim 5 item 6; Reid Castellano email</t>
  </si>
  <si>
    <t>Retention withheld, 5 percent of the $76,900.00 subcontract</t>
  </si>
  <si>
    <t>08/07/2026</t>
  </si>
  <si>
    <t>Claim 5 item 6; Subcontractors tab</t>
  </si>
  <si>
    <t>Invoice BP-2262, punch list work August 1 to August 7, 2026, change order 1</t>
  </si>
  <si>
    <t>Claim 5 item 6; Subcontractors tab change orders</t>
  </si>
  <si>
    <t>Final progress payment for the period ending August 11, 2026</t>
  </si>
  <si>
    <t>Claim 6 item 6</t>
  </si>
  <si>
    <t>Retention withheld, 5 percent of the $685,000.00 subcontract</t>
  </si>
  <si>
    <t>Claim 6 item 6; Subcontractors tab</t>
  </si>
  <si>
    <t>Progress payment for the period ending July 31, 2026, held against a back charge</t>
  </si>
  <si>
    <t>Claim 7 item 6; Reid Castellano email</t>
  </si>
  <si>
    <t>Retention withheld, 5 percent of the $194,300.00 subcontract</t>
  </si>
  <si>
    <t>07/24/2026</t>
  </si>
  <si>
    <t>Claim 7 item 6; Subcontractors tab</t>
  </si>
  <si>
    <t>Each claimant's components sum to the amount of its claim of lien as recorded, which the claimant states after deducting payments received (section 8430(a)). A component is enforceable when it falls inside the period the claimant's preliminary notice covers and no effective waiver releases it. Whether the claimant can enforce anything at all is decided on the Claims tab from its lien rights, the recording deadline, and the enforcement deadline.</t>
  </si>
  <si>
    <t>Standing of each recorded claim and what the owner does about it</t>
  </si>
  <si>
    <t>OVERSTATED_BY</t>
  </si>
  <si>
    <t>ACTION</t>
  </si>
  <si>
    <t>Claims to bond</t>
  </si>
  <si>
    <t>Claims to demand released</t>
  </si>
  <si>
    <t>STANDING reads the three tests in order: a claimant without lien rights has nothing to enforce whatever its dates; a claim recorded after the last day is unenforceable; a lien on which no action was commenced within 90 days has expired. The release bond is measured by the recorded amount (section 8424(b)), not by the enforceable amount, so an overstated but enforceable claim is either bonded at the recorded figure or reduced by an amended claim.</t>
  </si>
  <si>
    <t>Note to Marguerite Okonjo on the Larkspur Crossing Building B claims</t>
  </si>
  <si>
    <t>Marguerite, this is the analysis of the seven claims of mechanics lien recorded against Larkspur Crossing Building B, worked from the recorder's copies, the owner's project file, Dunmore-Kettle's payment ledger, and the close-out file under PN-14. The notice of completion was recorded on August 20, 2026, nine days after completion on August 11, so it is effective, and the last day for a claimant other than the direct contractor to record was Monday, September 21, 2026, because the thirtieth day fell on a Saturday. Nadia expects every claim to be late, waived, or Dunmore-Kettle's problem. Three of the seven are, and four are not.</t>
  </si>
  <si>
    <t>Four claims have to be bonded or settled before the bank's November 6 date. Kastner Mechanical recorded on September 14 for $159,145.00, all of which it could enforce: its July progress payment of $73,910.00 was released only by a conditional waiver that rests on check 4460, and Dunmore-Kettle stopped that check on August 24, so under section 8124 there is no evidence of payment and the waiver releases nothing. The dispute over the two rooftop units is between Dunmore-Kettle and Kastner and does not reduce the claim against the property. Ostrowski Electric recorded on September 21 for $61,477.00, and the claim is timely on the section 12a extension. Its July draw was paid on check 4461, which cleared, so the conditional waiver for July is effective. What remains is the final draw and retention, all of it unreleased. Hedrick &amp; Sons recorded on September 10 for $52,318.44, but its preliminary notice was given on May 29, 53 days after it first delivered on April 6, so under section 8204(b) the notice reaches back only to May 9. The two invoices delivered April 28 and May 5, $18,336.25 together, are outside the notice, and the enforceable amount is $33,982.19. Bautista Painting recorded on September 15 for $46,600.00. Efren Bautista signed an unconditional waiver through July 31 on August 3 and was never paid, and under section 8134 the waiver is effective when signed, so the $38,475.00 July draw is released against the property and Bautista's remedy for it is against Dunmore-Kettle. The retention of $3,845.00 is excepted on the form and the August punch list invoice of $4,280.00 postdates the through date, so $8,125.00 is enforceable.</t>
  </si>
  <si>
    <t>The release bonds on those four claims total $399,425.55, at 125 percent of the recorded amounts under section 8424(b): $198,931.25 for Kastner, $76,846.25 for Ostrowski, $65,398.05 for Hedrick, and $58,250.00 for Bautista. The bond is measured by the recorded claim, so on Hedrick and Bautista the choice is between bonding the full recorded figure and negotiating an amended claim at the enforceable amount, $33,982.19 and $8,125.00, before the bond is written. Kastner and Ostrowski can be bonded in full or paid in full against unconditional final releases; the second course costs Piedmont Ridge nothing it does not already owe through the retention it holds.</t>
  </si>
  <si>
    <t>Three claims should be demanded released under section 8482, with the petition under sections 8480 to 8488 ready if the 10 days pass. Calder Drywall recorded on Tuesday, September 22, one day after the extended last day, and the claim is untimely under section 8414. Norcal Rebar's claim of $27,640.00 fails for want of preliminary notice: the proof of service attached to its claim as Exhibit A shows the February 17 notice served on Dunmore-Kettle alone, the owner's log has no entry from Norcal, and section 8200(a) required notice to the owner, so under section 8410 Norcal has no lien to enforce against the property. Tallac Concrete recorded on June 22, which it was entitled to do after it ceased work on May 8, but the 90 days to commence an action ran out on Monday, September 21, the 90th day being a Sunday, and the civil index search of September 25 shows no action, so the lien has expired under section 8460(a). The three claims total $99,830.00 as recorded, and none of it is enforceable.</t>
  </si>
  <si>
    <t>What the file leaves open. Dunmore-Kettle has not recorded a claim, and as direct contractor it has until October 19, 2026 to do so under section 8412; Reid Castellano's September 24 message says it will record if the retention is not released by the middle of October. The retention of $187,412.50 was due on September 25 under section 8812(a), but the recorded claims of $419,370.44 exceed it, which under PN-14 entitles Piedmont Ridge to withhold it while the claims stand, and the $22,000.00 rooftop unit correction supports withholding $33,000.00 on its own under section 8812(c). A claim by Dunmore-Kettle would need its own bond at 125 percent of whatever it records, so the retention should be settled with Dunmore-Kettle at the same time as the four bonds, against an unconditional final waiver.</t>
  </si>
  <si>
    <t>Three other points are for you rather than for me to decide. The civil index was searched on September 25, four days after Tallac's last day to sue; an action filed on September 21 and indexed late would not have shown, so the index should be run again on the day the Tallac demand goes out. Norcal's position turns entirely on the absence of notice to the owner, and if Norcal produces a proof of service on Piedmont Ridge dated within 20 days of February 3 the claim becomes timely and enforceable in full at $27,640.00, with a bond of $34,550.00, because its September 8 recording is inside the window. Hedrick's enforceable figure rests on the delivery dates in its own statement of account, which the framing foreman signed for; Nakamura's dispute over returned trusses does not change what was delivered, but Dunmore-Kettle should confirm the dates against its receiving tickets before an amended claim is negotiated. Bautista's August invoice sits unapproved in Dunmore-Kettle's payables, and if the punch list work is disputed the enforceable figure moves by up to $4,280.00. The demands on Calder, Norcal, and Tallac should go out in the first week of October so that a petition can be heard before November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</si>
</sst>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3"/>
      <name val="Calibri"/>
      <family val="2"/>
    </font>
    <font>
      <b/>
      <sz val="10"/>
      <name val="Calibri"/>
      <family val="2"/>
    </font>
    <font>
      <sz val="10"/>
      <name val="Calibri"/>
      <family val="2"/>
    </font>
    <font>
      <i/>
      <sz val="9"/>
      <name val="Calibri"/>
      <family val="2"/>
    </font>
    <font>
      <i/>
      <sz val="10"/>
      <name val="Calibri"/>
      <family val="2"/>
    </font>
  </fonts>
  <fills count="3">
    <fill>
      <patternFill patternType="none"/>
    </fill>
    <fill>
      <patternFill patternType="gray125"/>
    </fill>
    <fill>
      <patternFill patternType="solid">
        <fgColor rgb="FFE7E1D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0" borderId="0" xfId="0" applyFont="1"/>
    <xf numFmtId="0" fontId="5" fillId="0" borderId="0" xfId="0" applyFont="1"/>
    <xf numFmtId="0" fontId="2" fillId="0" borderId="0" xfId="0" applyFont="1"/>
    <xf numFmtId="0" fontId="2" fillId="2" borderId="1" xfId="0" applyFont="1" applyFill="1" applyBorder="1" applyAlignment="1">
      <alignment vertical="top" wrapText="1"/>
    </xf>
    <xf numFmtId="0" fontId="3" fillId="0" borderId="1" xfId="0" applyFont="1" applyBorder="1" applyAlignment="1">
      <alignment vertical="top"/>
    </xf>
    <xf numFmtId="4" fontId="3" fillId="0" borderId="1" xfId="0" applyNumberFormat="1" applyFont="1" applyBorder="1" applyAlignment="1">
      <alignment vertical="top"/>
    </xf>
    <xf numFmtId="0" fontId="3" fillId="0" borderId="1" xfId="0" applyFont="1" applyBorder="1" applyAlignment="1">
      <alignment vertical="top" wrapText="1"/>
    </xf>
    <xf numFmtId="0" fontId="4" fillId="0" borderId="0" xfId="0" applyFont="1"/>
    <xf numFmtId="4" fontId="0" fillId="0" borderId="0" xfId="0" applyNumberFormat="1"/>
    <xf numFmtId="0" fontId="3"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1"/>
  <sheetViews>
    <sheetView tabSelected="1" workbookViewId="0"/>
  </sheetViews>
  <sheetFormatPr baseColWidth="10" defaultColWidth="8.83203125" defaultRowHeight="15" x14ac:dyDescent="0.2"/>
  <cols>
    <col min="1" max="1" width="58" customWidth="1"/>
    <col min="2" max="2" width="22" customWidth="1"/>
    <col min="3" max="4" width="16" customWidth="1"/>
    <col min="5" max="5" width="14" customWidth="1"/>
    <col min="6" max="7" width="10" customWidth="1"/>
    <col min="8" max="8" width="14" customWidth="1"/>
    <col min="9" max="9" width="16" customWidth="1"/>
    <col min="10" max="10" width="60" customWidth="1"/>
    <col min="11" max="11" width="16" customWidth="1"/>
    <col min="12" max="12" width="14" customWidth="1"/>
  </cols>
  <sheetData>
    <row r="1" spans="1:12" ht="17" x14ac:dyDescent="0.2">
      <c r="A1" s="1" t="s">
        <v>0</v>
      </c>
    </row>
    <row r="2" spans="1:12" x14ac:dyDescent="0.2">
      <c r="A2" s="2" t="s">
        <v>1</v>
      </c>
    </row>
    <row r="4" spans="1:12" x14ac:dyDescent="0.2">
      <c r="A4" s="3" t="s">
        <v>2</v>
      </c>
    </row>
    <row r="5" spans="1:12" x14ac:dyDescent="0.2">
      <c r="A5" s="4" t="s">
        <v>3</v>
      </c>
      <c r="B5" s="4" t="s">
        <v>4</v>
      </c>
      <c r="C5" s="4" t="s">
        <v>5</v>
      </c>
    </row>
    <row r="6" spans="1:12" x14ac:dyDescent="0.2">
      <c r="A6" s="5" t="s">
        <v>6</v>
      </c>
      <c r="B6" s="5" t="str">
        <f>Parameters!B4</f>
        <v>08/11/2026</v>
      </c>
      <c r="C6" s="5" t="s">
        <v>7</v>
      </c>
    </row>
    <row r="7" spans="1:12" x14ac:dyDescent="0.2">
      <c r="A7" s="5" t="s">
        <v>8</v>
      </c>
      <c r="B7" s="5" t="str">
        <f>Parameters!B5</f>
        <v>08/20/2026</v>
      </c>
      <c r="C7" s="5" t="s">
        <v>9</v>
      </c>
    </row>
    <row r="8" spans="1:12" x14ac:dyDescent="0.2">
      <c r="A8" s="5" t="s">
        <v>10</v>
      </c>
      <c r="B8" s="5">
        <f>Parameters!$B$25</f>
        <v>9</v>
      </c>
      <c r="C8" s="5" t="s">
        <v>11</v>
      </c>
    </row>
    <row r="9" spans="1:12" x14ac:dyDescent="0.2">
      <c r="A9" s="5" t="s">
        <v>12</v>
      </c>
      <c r="B9" s="5" t="str">
        <f>Parameters!$B$26</f>
        <v>Yes, recorded within 15 days of completion</v>
      </c>
      <c r="C9" s="5" t="s">
        <v>13</v>
      </c>
    </row>
    <row r="10" spans="1:12" x14ac:dyDescent="0.2">
      <c r="A10" s="5" t="s">
        <v>14</v>
      </c>
      <c r="B10" s="5" t="str">
        <f>Parameters!$B$29</f>
        <v>09/21/2026</v>
      </c>
      <c r="C10" s="5" t="s">
        <v>15</v>
      </c>
    </row>
    <row r="11" spans="1:12" x14ac:dyDescent="0.2">
      <c r="A11" s="5" t="s">
        <v>16</v>
      </c>
      <c r="B11" s="5" t="str">
        <f>Parameters!$B$30</f>
        <v>10/19/2026</v>
      </c>
      <c r="C11" s="5" t="s">
        <v>17</v>
      </c>
    </row>
    <row r="12" spans="1:12" x14ac:dyDescent="0.2">
      <c r="A12" s="5" t="s">
        <v>18</v>
      </c>
      <c r="B12" s="5" t="str">
        <f>Parameters!B16</f>
        <v>09/25/2026</v>
      </c>
      <c r="C12" s="5" t="s">
        <v>19</v>
      </c>
    </row>
    <row r="13" spans="1:12" x14ac:dyDescent="0.2">
      <c r="A13" s="5" t="s">
        <v>20</v>
      </c>
      <c r="B13" s="5" t="str">
        <f>Parameters!B18</f>
        <v>11/06/2026</v>
      </c>
      <c r="C13" s="5" t="s">
        <v>21</v>
      </c>
    </row>
    <row r="14" spans="1:12" x14ac:dyDescent="0.2">
      <c r="A14" s="5" t="s">
        <v>22</v>
      </c>
      <c r="B14" s="5" t="str">
        <f>Parameters!B17</f>
        <v>11/20/2026</v>
      </c>
      <c r="C14" s="5" t="s">
        <v>23</v>
      </c>
    </row>
    <row r="15" spans="1:12" x14ac:dyDescent="0.2">
      <c r="A15" s="3" t="s">
        <v>24</v>
      </c>
    </row>
    <row r="16" spans="1:12" ht="30" x14ac:dyDescent="0.2">
      <c r="A16" s="4" t="s">
        <v>25</v>
      </c>
      <c r="B16" s="4" t="s">
        <v>26</v>
      </c>
      <c r="C16" s="4" t="s">
        <v>27</v>
      </c>
      <c r="D16" s="4" t="s">
        <v>28</v>
      </c>
      <c r="E16" s="4" t="s">
        <v>29</v>
      </c>
      <c r="F16" s="4" t="s">
        <v>30</v>
      </c>
      <c r="G16" s="4" t="s">
        <v>31</v>
      </c>
      <c r="H16" s="4" t="s">
        <v>32</v>
      </c>
      <c r="I16" s="4" t="s">
        <v>33</v>
      </c>
      <c r="J16" s="4" t="s">
        <v>34</v>
      </c>
      <c r="K16" s="4" t="s">
        <v>35</v>
      </c>
      <c r="L16" s="4" t="s">
        <v>36</v>
      </c>
    </row>
    <row r="17" spans="1:12" ht="120" x14ac:dyDescent="0.2">
      <c r="A17" s="5" t="str">
        <f>Claims!A4</f>
        <v>Tallac Concrete, Inc.</v>
      </c>
      <c r="B17" s="5" t="str">
        <f>Claims!B4</f>
        <v>06/22/2026</v>
      </c>
      <c r="C17" s="6">
        <f>Claims!D4</f>
        <v>33275</v>
      </c>
      <c r="D17" s="5" t="str">
        <f>Claims!E4</f>
        <v>Yes</v>
      </c>
      <c r="E17" s="5" t="str">
        <f>Claims!F4</f>
        <v>Yes</v>
      </c>
      <c r="F17" s="5" t="str">
        <f>Claims!G4</f>
        <v>Yes</v>
      </c>
      <c r="G17" s="5" t="str">
        <f>Claims!H4</f>
        <v>Expired</v>
      </c>
      <c r="H17" s="6">
        <f>Claims!I4</f>
        <v>0</v>
      </c>
      <c r="I17" s="7" t="str">
        <f>Claims!K4</f>
        <v>Demand a release under section 8482; petition for a release order under sections 8480 to 8488 if none is recorded within 10 days</v>
      </c>
      <c r="J17" s="6">
        <f>Claims!L4</f>
        <v>0</v>
      </c>
      <c r="K17" s="7" t="s">
        <v>37</v>
      </c>
      <c r="L17" s="7" t="s">
        <v>38</v>
      </c>
    </row>
    <row r="18" spans="1:12" ht="60" x14ac:dyDescent="0.2">
      <c r="A18" s="5" t="str">
        <f>Claims!A5</f>
        <v>Norcal Rebar &amp; Mesh, LLC</v>
      </c>
      <c r="B18" s="5" t="str">
        <f>Claims!B5</f>
        <v>09/08/2026</v>
      </c>
      <c r="C18" s="6">
        <f>Claims!D5</f>
        <v>27640</v>
      </c>
      <c r="D18" s="5" t="str">
        <f>Claims!E5</f>
        <v>No</v>
      </c>
      <c r="E18" s="5" t="str">
        <f>Claims!F5</f>
        <v>Yes</v>
      </c>
      <c r="F18" s="5" t="str">
        <f>Claims!G5</f>
        <v>No</v>
      </c>
      <c r="G18" s="5" t="str">
        <f>Claims!H5</f>
        <v>No lien rights</v>
      </c>
      <c r="H18" s="6">
        <f>Claims!I5</f>
        <v>0</v>
      </c>
      <c r="I18" s="7" t="str">
        <f>Claims!K5</f>
        <v>Demand a release under section 8482; petition for a release order under sections 8480 to 8488 if none is recorded within 10 days</v>
      </c>
      <c r="J18" s="6">
        <f>Claims!L5</f>
        <v>0</v>
      </c>
      <c r="K18" s="7" t="s">
        <v>39</v>
      </c>
      <c r="L18" s="7" t="s">
        <v>40</v>
      </c>
    </row>
    <row r="19" spans="1:12" ht="90" x14ac:dyDescent="0.2">
      <c r="A19" s="5" t="str">
        <f>Claims!A6</f>
        <v>Hedrick &amp; Sons Building Supply</v>
      </c>
      <c r="B19" s="5" t="str">
        <f>Claims!B6</f>
        <v>09/10/2026</v>
      </c>
      <c r="C19" s="6">
        <f>Claims!D6</f>
        <v>52318.44</v>
      </c>
      <c r="D19" s="5" t="str">
        <f>Claims!E6</f>
        <v>Yes</v>
      </c>
      <c r="E19" s="5" t="str">
        <f>Claims!F6</f>
        <v>Yes</v>
      </c>
      <c r="F19" s="5" t="str">
        <f>Claims!G6</f>
        <v>No</v>
      </c>
      <c r="G19" s="5" t="str">
        <f>Claims!H6</f>
        <v>Enforceable</v>
      </c>
      <c r="H19" s="6">
        <f>Claims!I6</f>
        <v>33982.19</v>
      </c>
      <c r="I19" s="7" t="str">
        <f>Claims!K6</f>
        <v>Record a release bond under section 8424(b) at 125 percent of the recorded claim, or negotiate an amended claim at the enforceable amount</v>
      </c>
      <c r="J19" s="6">
        <f>Claims!L6</f>
        <v>65398.05</v>
      </c>
      <c r="K19" s="7" t="s">
        <v>41</v>
      </c>
      <c r="L19" s="7" t="s">
        <v>40</v>
      </c>
    </row>
    <row r="20" spans="1:12" ht="165" x14ac:dyDescent="0.2">
      <c r="A20" s="5" t="str">
        <f>Claims!A7</f>
        <v>Kastner Mechanical Contractors, Inc.</v>
      </c>
      <c r="B20" s="5" t="str">
        <f>Claims!B7</f>
        <v>09/14/2026</v>
      </c>
      <c r="C20" s="6">
        <f>Claims!D7</f>
        <v>159145</v>
      </c>
      <c r="D20" s="5" t="str">
        <f>Claims!E7</f>
        <v>Yes</v>
      </c>
      <c r="E20" s="5" t="str">
        <f>Claims!F7</f>
        <v>Yes</v>
      </c>
      <c r="F20" s="5" t="str">
        <f>Claims!G7</f>
        <v>No</v>
      </c>
      <c r="G20" s="5" t="str">
        <f>Claims!H7</f>
        <v>Enforceable</v>
      </c>
      <c r="H20" s="6">
        <f>Claims!I7</f>
        <v>159145</v>
      </c>
      <c r="I20" s="7" t="str">
        <f>Claims!K7</f>
        <v>Record a release bond under section 8424(b) at 125 percent of the recorded claim, or pay the enforceable amount against an unconditional final release</v>
      </c>
      <c r="J20" s="6">
        <f>Claims!L7</f>
        <v>198931.25</v>
      </c>
      <c r="K20" s="7" t="s">
        <v>42</v>
      </c>
      <c r="L20" s="7" t="s">
        <v>43</v>
      </c>
    </row>
    <row r="21" spans="1:12" ht="165" x14ac:dyDescent="0.2">
      <c r="A21" s="5" t="str">
        <f>Claims!A8</f>
        <v>Bautista Painting Co.</v>
      </c>
      <c r="B21" s="5" t="str">
        <f>Claims!B8</f>
        <v>09/15/2026</v>
      </c>
      <c r="C21" s="6">
        <f>Claims!D8</f>
        <v>46600</v>
      </c>
      <c r="D21" s="5" t="str">
        <f>Claims!E8</f>
        <v>Yes</v>
      </c>
      <c r="E21" s="5" t="str">
        <f>Claims!F8</f>
        <v>Yes</v>
      </c>
      <c r="F21" s="5" t="str">
        <f>Claims!G8</f>
        <v>No</v>
      </c>
      <c r="G21" s="5" t="str">
        <f>Claims!H8</f>
        <v>Enforceable</v>
      </c>
      <c r="H21" s="6">
        <f>Claims!I8</f>
        <v>8125</v>
      </c>
      <c r="I21" s="7" t="str">
        <f>Claims!K8</f>
        <v>Record a release bond under section 8424(b) at 125 percent of the recorded claim, or negotiate an amended claim at the enforceable amount</v>
      </c>
      <c r="J21" s="6">
        <f>Claims!L8</f>
        <v>58250</v>
      </c>
      <c r="K21" s="7" t="s">
        <v>44</v>
      </c>
      <c r="L21" s="7" t="s">
        <v>45</v>
      </c>
    </row>
    <row r="22" spans="1:12" ht="165" x14ac:dyDescent="0.2">
      <c r="A22" s="5" t="str">
        <f>Claims!A9</f>
        <v>Ostrowski Electric, Inc.</v>
      </c>
      <c r="B22" s="5" t="str">
        <f>Claims!B9</f>
        <v>09/21/2026</v>
      </c>
      <c r="C22" s="6">
        <f>Claims!D9</f>
        <v>61477</v>
      </c>
      <c r="D22" s="5" t="str">
        <f>Claims!E9</f>
        <v>Yes</v>
      </c>
      <c r="E22" s="5" t="str">
        <f>Claims!F9</f>
        <v>Yes</v>
      </c>
      <c r="F22" s="5" t="str">
        <f>Claims!G9</f>
        <v>No</v>
      </c>
      <c r="G22" s="5" t="str">
        <f>Claims!H9</f>
        <v>Enforceable</v>
      </c>
      <c r="H22" s="6">
        <f>Claims!I9</f>
        <v>61477</v>
      </c>
      <c r="I22" s="7" t="str">
        <f>Claims!K9</f>
        <v>Record a release bond under section 8424(b) at 125 percent of the recorded claim, or pay the enforceable amount against an unconditional final release</v>
      </c>
      <c r="J22" s="6">
        <f>Claims!L9</f>
        <v>76846.25</v>
      </c>
      <c r="K22" s="7" t="s">
        <v>46</v>
      </c>
      <c r="L22" s="7" t="s">
        <v>47</v>
      </c>
    </row>
    <row r="23" spans="1:12" ht="90" x14ac:dyDescent="0.2">
      <c r="A23" s="5" t="str">
        <f>Claims!A10</f>
        <v>Calder Drywall &amp; Plaster, LLC</v>
      </c>
      <c r="B23" s="5" t="str">
        <f>Claims!B10</f>
        <v>09/22/2026</v>
      </c>
      <c r="C23" s="6">
        <f>Claims!D10</f>
        <v>38915</v>
      </c>
      <c r="D23" s="5" t="str">
        <f>Claims!E10</f>
        <v>Yes</v>
      </c>
      <c r="E23" s="5" t="str">
        <f>Claims!F10</f>
        <v>No</v>
      </c>
      <c r="F23" s="5" t="str">
        <f>Claims!G10</f>
        <v>No</v>
      </c>
      <c r="G23" s="5" t="str">
        <f>Claims!H10</f>
        <v>Untimely</v>
      </c>
      <c r="H23" s="6">
        <f>Claims!I10</f>
        <v>0</v>
      </c>
      <c r="I23" s="7" t="str">
        <f>Claims!K10</f>
        <v>Demand a release under section 8482; petition for a release order under sections 8480 to 8488 if none is recorded within 10 days</v>
      </c>
      <c r="J23" s="6">
        <f>Claims!L10</f>
        <v>0</v>
      </c>
      <c r="K23" s="7" t="s">
        <v>48</v>
      </c>
      <c r="L23" s="7" t="s">
        <v>49</v>
      </c>
    </row>
    <row r="24" spans="1:12" x14ac:dyDescent="0.2">
      <c r="A24" s="3" t="s">
        <v>50</v>
      </c>
    </row>
    <row r="25" spans="1:12" x14ac:dyDescent="0.2">
      <c r="A25" s="4" t="s">
        <v>51</v>
      </c>
      <c r="B25" s="4" t="s">
        <v>4</v>
      </c>
    </row>
    <row r="26" spans="1:12" x14ac:dyDescent="0.2">
      <c r="A26" s="5" t="s">
        <v>52</v>
      </c>
      <c r="B26" s="6">
        <f>SUM(C17:C23)</f>
        <v>419370.44</v>
      </c>
    </row>
    <row r="27" spans="1:12" x14ac:dyDescent="0.2">
      <c r="A27" s="5" t="s">
        <v>53</v>
      </c>
      <c r="B27" s="6">
        <f>SUM(H17:H23)</f>
        <v>262729.19</v>
      </c>
    </row>
    <row r="28" spans="1:12" x14ac:dyDescent="0.2">
      <c r="A28" s="5" t="s">
        <v>54</v>
      </c>
      <c r="B28" s="6">
        <f>SUM(J17:J23)</f>
        <v>399425.55</v>
      </c>
    </row>
    <row r="29" spans="1:12" x14ac:dyDescent="0.2">
      <c r="A29" s="5" t="s">
        <v>55</v>
      </c>
      <c r="B29" s="6">
        <f>Claims!D14</f>
        <v>99830</v>
      </c>
    </row>
    <row r="31" spans="1:12" x14ac:dyDescent="0.2">
      <c r="A31" s="8" t="s">
        <v>56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2"/>
  <sheetViews>
    <sheetView workbookViewId="0"/>
  </sheetViews>
  <sheetFormatPr baseColWidth="10" defaultColWidth="8.83203125" defaultRowHeight="15" x14ac:dyDescent="0.2"/>
  <cols>
    <col min="1" max="1" width="74" customWidth="1"/>
    <col min="2" max="2" width="14" customWidth="1"/>
    <col min="3" max="3" width="12" customWidth="1"/>
    <col min="4" max="4" width="84" customWidth="1"/>
  </cols>
  <sheetData>
    <row r="1" spans="1:4" ht="17" x14ac:dyDescent="0.2">
      <c r="A1" s="1" t="s">
        <v>57</v>
      </c>
    </row>
    <row r="3" spans="1:4" x14ac:dyDescent="0.2">
      <c r="A3" s="4" t="s">
        <v>58</v>
      </c>
      <c r="B3" s="4" t="s">
        <v>59</v>
      </c>
      <c r="C3" s="4" t="s">
        <v>60</v>
      </c>
      <c r="D3" s="4" t="s">
        <v>61</v>
      </c>
    </row>
    <row r="4" spans="1:4" x14ac:dyDescent="0.2">
      <c r="A4" s="5" t="s">
        <v>6</v>
      </c>
      <c r="B4" s="5" t="s">
        <v>62</v>
      </c>
      <c r="C4" s="5">
        <f>DATE(VALUE(RIGHT(B4,4)),VALUE(LEFT(B4,2)),VALUE(MID(B4,4,2)))</f>
        <v>46245</v>
      </c>
      <c r="D4" s="5" t="s">
        <v>63</v>
      </c>
    </row>
    <row r="5" spans="1:4" x14ac:dyDescent="0.2">
      <c r="A5" s="5" t="s">
        <v>8</v>
      </c>
      <c r="B5" s="5" t="s">
        <v>64</v>
      </c>
      <c r="C5" s="5">
        <f>DATE(VALUE(RIGHT(B5,4)),VALUE(LEFT(B5,2)),VALUE(MID(B5,4,2)))</f>
        <v>46254</v>
      </c>
      <c r="D5" s="5" t="s">
        <v>65</v>
      </c>
    </row>
    <row r="6" spans="1:4" x14ac:dyDescent="0.2">
      <c r="A6" s="5" t="s">
        <v>66</v>
      </c>
      <c r="B6" s="5">
        <v>15</v>
      </c>
      <c r="C6" s="5"/>
      <c r="D6" s="5" t="s">
        <v>13</v>
      </c>
    </row>
    <row r="7" spans="1:4" x14ac:dyDescent="0.2">
      <c r="A7" s="5" t="s">
        <v>67</v>
      </c>
      <c r="B7" s="5">
        <v>30</v>
      </c>
      <c r="C7" s="5"/>
      <c r="D7" s="5" t="s">
        <v>68</v>
      </c>
    </row>
    <row r="8" spans="1:4" x14ac:dyDescent="0.2">
      <c r="A8" s="5" t="s">
        <v>69</v>
      </c>
      <c r="B8" s="5">
        <v>60</v>
      </c>
      <c r="C8" s="5"/>
      <c r="D8" s="5" t="s">
        <v>70</v>
      </c>
    </row>
    <row r="9" spans="1:4" x14ac:dyDescent="0.2">
      <c r="A9" s="5" t="s">
        <v>71</v>
      </c>
      <c r="B9" s="5">
        <v>20</v>
      </c>
      <c r="C9" s="5"/>
      <c r="D9" s="5" t="s">
        <v>72</v>
      </c>
    </row>
    <row r="10" spans="1:4" x14ac:dyDescent="0.2">
      <c r="A10" s="5" t="s">
        <v>73</v>
      </c>
      <c r="B10" s="5">
        <v>20</v>
      </c>
      <c r="C10" s="5"/>
      <c r="D10" s="5" t="s">
        <v>74</v>
      </c>
    </row>
    <row r="11" spans="1:4" x14ac:dyDescent="0.2">
      <c r="A11" s="5" t="s">
        <v>75</v>
      </c>
      <c r="B11" s="5">
        <v>90</v>
      </c>
      <c r="C11" s="5"/>
      <c r="D11" s="5" t="s">
        <v>76</v>
      </c>
    </row>
    <row r="12" spans="1:4" x14ac:dyDescent="0.2">
      <c r="A12" s="5" t="s">
        <v>77</v>
      </c>
      <c r="B12" s="5">
        <v>125</v>
      </c>
      <c r="C12" s="5"/>
      <c r="D12" s="5" t="s">
        <v>78</v>
      </c>
    </row>
    <row r="13" spans="1:4" x14ac:dyDescent="0.2">
      <c r="A13" s="5" t="s">
        <v>79</v>
      </c>
      <c r="B13" s="5">
        <v>10</v>
      </c>
      <c r="C13" s="5"/>
      <c r="D13" s="5" t="s">
        <v>80</v>
      </c>
    </row>
    <row r="14" spans="1:4" x14ac:dyDescent="0.2">
      <c r="A14" s="5" t="s">
        <v>81</v>
      </c>
      <c r="B14" s="5">
        <v>45</v>
      </c>
      <c r="C14" s="5"/>
      <c r="D14" s="5" t="s">
        <v>82</v>
      </c>
    </row>
    <row r="15" spans="1:4" x14ac:dyDescent="0.2">
      <c r="A15" s="5" t="s">
        <v>83</v>
      </c>
      <c r="B15" s="5">
        <v>150</v>
      </c>
      <c r="C15" s="5"/>
      <c r="D15" s="5" t="s">
        <v>84</v>
      </c>
    </row>
    <row r="16" spans="1:4" x14ac:dyDescent="0.2">
      <c r="A16" s="5" t="s">
        <v>18</v>
      </c>
      <c r="B16" s="5" t="s">
        <v>85</v>
      </c>
      <c r="C16" s="5">
        <f>DATE(VALUE(RIGHT(B16,4)),VALUE(LEFT(B16,2)),VALUE(MID(B16,4,2)))</f>
        <v>46290</v>
      </c>
      <c r="D16" s="5" t="s">
        <v>86</v>
      </c>
    </row>
    <row r="17" spans="1:4" x14ac:dyDescent="0.2">
      <c r="A17" s="5" t="s">
        <v>22</v>
      </c>
      <c r="B17" s="5" t="s">
        <v>87</v>
      </c>
      <c r="C17" s="5">
        <f>DATE(VALUE(RIGHT(B17,4)),VALUE(LEFT(B17,2)),VALUE(MID(B17,4,2)))</f>
        <v>46346</v>
      </c>
      <c r="D17" s="5" t="s">
        <v>88</v>
      </c>
    </row>
    <row r="18" spans="1:4" x14ac:dyDescent="0.2">
      <c r="A18" s="5" t="s">
        <v>20</v>
      </c>
      <c r="B18" s="5" t="s">
        <v>89</v>
      </c>
      <c r="C18" s="5">
        <f>DATE(VALUE(RIGHT(B18,4)),VALUE(LEFT(B18,2)),VALUE(MID(B18,4,2)))</f>
        <v>46332</v>
      </c>
      <c r="D18" s="5" t="s">
        <v>88</v>
      </c>
    </row>
    <row r="19" spans="1:4" x14ac:dyDescent="0.2">
      <c r="A19" s="5" t="s">
        <v>90</v>
      </c>
      <c r="B19" s="6">
        <v>187412.5</v>
      </c>
      <c r="C19" s="5"/>
      <c r="D19" s="5" t="s">
        <v>91</v>
      </c>
    </row>
    <row r="20" spans="1:4" x14ac:dyDescent="0.2">
      <c r="A20" s="5" t="s">
        <v>92</v>
      </c>
      <c r="B20" s="6">
        <v>22000</v>
      </c>
      <c r="C20" s="5"/>
      <c r="D20" s="5" t="s">
        <v>93</v>
      </c>
    </row>
    <row r="21" spans="1:4" x14ac:dyDescent="0.2">
      <c r="A21" s="5" t="s">
        <v>94</v>
      </c>
      <c r="B21" s="6">
        <v>3748250</v>
      </c>
      <c r="C21" s="5"/>
      <c r="D21" s="5" t="s">
        <v>95</v>
      </c>
    </row>
    <row r="23" spans="1:4" x14ac:dyDescent="0.2">
      <c r="A23" s="3" t="s">
        <v>96</v>
      </c>
    </row>
    <row r="24" spans="1:4" x14ac:dyDescent="0.2">
      <c r="A24" s="4" t="s">
        <v>58</v>
      </c>
      <c r="B24" s="4" t="s">
        <v>59</v>
      </c>
      <c r="C24" s="4" t="s">
        <v>60</v>
      </c>
      <c r="D24" s="4" t="s">
        <v>61</v>
      </c>
    </row>
    <row r="25" spans="1:4" x14ac:dyDescent="0.2">
      <c r="A25" s="5" t="s">
        <v>97</v>
      </c>
      <c r="B25" s="5">
        <f>Parameters!$C$5-Parameters!$C$4</f>
        <v>9</v>
      </c>
      <c r="C25" s="5"/>
      <c r="D25" s="5" t="s">
        <v>98</v>
      </c>
    </row>
    <row r="26" spans="1:4" x14ac:dyDescent="0.2">
      <c r="A26" s="5" t="s">
        <v>99</v>
      </c>
      <c r="B26" s="5" t="str">
        <f>IF((Parameters!$C$5-Parameters!$C$4)&lt;=Parameters!$B$6,"Yes, recorded within 15 days of completion","No, recorded more than 15 days after completion")</f>
        <v>Yes, recorded within 15 days of completion</v>
      </c>
      <c r="C26" s="5"/>
      <c r="D26" s="5" t="s">
        <v>13</v>
      </c>
    </row>
    <row r="27" spans="1:4" x14ac:dyDescent="0.2">
      <c r="A27" s="5" t="s">
        <v>100</v>
      </c>
      <c r="B27" s="5" t="str">
        <f>TEXT(Parameters!$C$5+Parameters!$B$7,"mm/dd/yyyy")</f>
        <v>09/19/2026</v>
      </c>
      <c r="C27" s="5">
        <f>Parameters!$C$5+Parameters!$B$7</f>
        <v>46284</v>
      </c>
      <c r="D27" s="5" t="s">
        <v>101</v>
      </c>
    </row>
    <row r="28" spans="1:4" x14ac:dyDescent="0.2">
      <c r="A28" s="5" t="s">
        <v>102</v>
      </c>
      <c r="B28" s="5" t="str">
        <f>TEXT(Parameters!$C$5+Parameters!$B$7,"dddd")</f>
        <v>Saturday</v>
      </c>
      <c r="C28" s="5"/>
      <c r="D28" s="5" t="s">
        <v>103</v>
      </c>
    </row>
    <row r="29" spans="1:4" x14ac:dyDescent="0.2">
      <c r="A29" s="5" t="s">
        <v>14</v>
      </c>
      <c r="B29" s="5" t="str">
        <f>TEXT(C29,"mm/dd/yyyy")</f>
        <v>09/21/2026</v>
      </c>
      <c r="C29" s="5">
        <f>IF(WEEKDAY(Parameters!$C$5+Parameters!$B$7,2)=6,Parameters!$C$5+Parameters!$B$7+2,IF(WEEKDAY(Parameters!$C$5+Parameters!$B$7,2)=7,Parameters!$C$5+Parameters!$B$7+1,Parameters!$C$5+Parameters!$B$7))</f>
        <v>46286</v>
      </c>
      <c r="D29" s="5" t="s">
        <v>104</v>
      </c>
    </row>
    <row r="30" spans="1:4" x14ac:dyDescent="0.2">
      <c r="A30" s="5" t="s">
        <v>16</v>
      </c>
      <c r="B30" s="5" t="str">
        <f>TEXT(C30,"mm/dd/yyyy")</f>
        <v>10/19/2026</v>
      </c>
      <c r="C30" s="5">
        <f>IF(WEEKDAY(Parameters!$C$5+Parameters!$B$8,2)=6,Parameters!$C$5+Parameters!$B$8+2,IF(WEEKDAY(Parameters!$C$5+Parameters!$B$8,2)=7,Parameters!$C$5+Parameters!$B$8+1,Parameters!$C$5+Parameters!$B$8))</f>
        <v>46314</v>
      </c>
      <c r="D30" s="5" t="s">
        <v>105</v>
      </c>
    </row>
    <row r="31" spans="1:4" x14ac:dyDescent="0.2">
      <c r="A31" s="5" t="s">
        <v>106</v>
      </c>
      <c r="B31" s="5" t="str">
        <f>TEXT(C31,"mm/dd/yyyy")</f>
        <v>09/25/2026</v>
      </c>
      <c r="C31" s="5">
        <f>IF(WEEKDAY(Parameters!$C$4+Parameters!$B$14,2)=6,Parameters!$C$4+Parameters!$B$14+2,IF(WEEKDAY(Parameters!$C$4+Parameters!$B$14,2)=7,Parameters!$C$4+Parameters!$B$14+1,Parameters!$C$4+Parameters!$B$14))</f>
        <v>46290</v>
      </c>
      <c r="D31" s="5" t="s">
        <v>82</v>
      </c>
    </row>
    <row r="32" spans="1:4" x14ac:dyDescent="0.2">
      <c r="A32" s="5" t="s">
        <v>107</v>
      </c>
      <c r="B32" s="6">
        <f>ROUND(Parameters!$B$20*Parameters!$B$15/100,2)</f>
        <v>33000</v>
      </c>
      <c r="C32" s="5"/>
      <c r="D32" s="5" t="s">
        <v>108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42"/>
  <sheetViews>
    <sheetView workbookViewId="0"/>
  </sheetViews>
  <sheetFormatPr baseColWidth="10" defaultColWidth="8.83203125" defaultRowHeight="15" x14ac:dyDescent="0.2"/>
  <cols>
    <col min="1" max="1" width="11" customWidth="1"/>
    <col min="2" max="2" width="12" customWidth="1"/>
    <col min="3" max="3" width="36" customWidth="1"/>
    <col min="4" max="4" width="24" customWidth="1"/>
    <col min="5" max="5" width="9" customWidth="1"/>
    <col min="6" max="6" width="14" customWidth="1"/>
    <col min="7" max="7" width="10" customWidth="1"/>
    <col min="8" max="8" width="12" customWidth="1"/>
  </cols>
  <sheetData>
    <row r="1" spans="1:8" ht="17" x14ac:dyDescent="0.2">
      <c r="A1" s="1" t="s">
        <v>109</v>
      </c>
    </row>
    <row r="3" spans="1:8" x14ac:dyDescent="0.2">
      <c r="A3" s="4" t="s">
        <v>110</v>
      </c>
      <c r="B3" s="4" t="s">
        <v>111</v>
      </c>
      <c r="C3" s="4" t="s">
        <v>112</v>
      </c>
      <c r="D3" s="4" t="s">
        <v>113</v>
      </c>
      <c r="E3" s="4" t="s">
        <v>114</v>
      </c>
      <c r="F3" s="4" t="s">
        <v>115</v>
      </c>
      <c r="G3" s="4" t="s">
        <v>116</v>
      </c>
      <c r="H3" s="4" t="s">
        <v>117</v>
      </c>
    </row>
    <row r="4" spans="1:8" x14ac:dyDescent="0.2">
      <c r="A4" s="5">
        <v>4390</v>
      </c>
      <c r="B4" s="5" t="s">
        <v>118</v>
      </c>
      <c r="C4" s="5" t="s">
        <v>119</v>
      </c>
      <c r="D4" s="5" t="s">
        <v>120</v>
      </c>
      <c r="E4" s="5">
        <v>2</v>
      </c>
      <c r="F4" s="6">
        <v>152950</v>
      </c>
      <c r="G4" s="5" t="s">
        <v>121</v>
      </c>
      <c r="H4" s="5" t="s">
        <v>122</v>
      </c>
    </row>
    <row r="5" spans="1:8" x14ac:dyDescent="0.2">
      <c r="A5" s="5">
        <v>4391</v>
      </c>
      <c r="B5" s="5" t="s">
        <v>118</v>
      </c>
      <c r="C5" s="5" t="s">
        <v>123</v>
      </c>
      <c r="D5" s="5" t="s">
        <v>124</v>
      </c>
      <c r="E5" s="5">
        <v>2</v>
      </c>
      <c r="F5" s="6">
        <v>71250</v>
      </c>
      <c r="G5" s="5" t="s">
        <v>121</v>
      </c>
      <c r="H5" s="5" t="s">
        <v>125</v>
      </c>
    </row>
    <row r="6" spans="1:8" x14ac:dyDescent="0.2">
      <c r="A6" s="5">
        <v>4393</v>
      </c>
      <c r="B6" s="5" t="s">
        <v>118</v>
      </c>
      <c r="C6" s="5" t="s">
        <v>126</v>
      </c>
      <c r="D6" s="5" t="s">
        <v>127</v>
      </c>
      <c r="E6" s="5">
        <v>2</v>
      </c>
      <c r="F6" s="6">
        <v>61370</v>
      </c>
      <c r="G6" s="5" t="s">
        <v>121</v>
      </c>
      <c r="H6" s="5" t="s">
        <v>128</v>
      </c>
    </row>
    <row r="7" spans="1:8" x14ac:dyDescent="0.2">
      <c r="A7" s="5">
        <v>4402</v>
      </c>
      <c r="B7" s="5" t="s">
        <v>129</v>
      </c>
      <c r="C7" s="5" t="s">
        <v>119</v>
      </c>
      <c r="D7" s="5" t="s">
        <v>120</v>
      </c>
      <c r="E7" s="5">
        <v>3</v>
      </c>
      <c r="F7" s="6">
        <v>121600</v>
      </c>
      <c r="G7" s="5" t="s">
        <v>121</v>
      </c>
      <c r="H7" s="5" t="s">
        <v>130</v>
      </c>
    </row>
    <row r="8" spans="1:8" x14ac:dyDescent="0.2">
      <c r="A8" s="5">
        <v>4403</v>
      </c>
      <c r="B8" s="5" t="s">
        <v>129</v>
      </c>
      <c r="C8" s="5" t="s">
        <v>123</v>
      </c>
      <c r="D8" s="5" t="s">
        <v>124</v>
      </c>
      <c r="E8" s="5">
        <v>3</v>
      </c>
      <c r="F8" s="6">
        <v>158650</v>
      </c>
      <c r="G8" s="5" t="s">
        <v>121</v>
      </c>
      <c r="H8" s="5" t="s">
        <v>131</v>
      </c>
    </row>
    <row r="9" spans="1:8" x14ac:dyDescent="0.2">
      <c r="A9" s="5">
        <v>4404</v>
      </c>
      <c r="B9" s="5" t="s">
        <v>129</v>
      </c>
      <c r="C9" s="5" t="s">
        <v>132</v>
      </c>
      <c r="D9" s="5" t="s">
        <v>133</v>
      </c>
      <c r="E9" s="5">
        <v>3</v>
      </c>
      <c r="F9" s="6">
        <v>164730</v>
      </c>
      <c r="G9" s="5" t="s">
        <v>121</v>
      </c>
      <c r="H9" s="5" t="s">
        <v>134</v>
      </c>
    </row>
    <row r="10" spans="1:8" x14ac:dyDescent="0.2">
      <c r="A10" s="5">
        <v>4405</v>
      </c>
      <c r="B10" s="5" t="s">
        <v>129</v>
      </c>
      <c r="C10" s="5" t="s">
        <v>135</v>
      </c>
      <c r="D10" s="5" t="s">
        <v>136</v>
      </c>
      <c r="E10" s="5">
        <v>3</v>
      </c>
      <c r="F10" s="6">
        <v>95410</v>
      </c>
      <c r="G10" s="5" t="s">
        <v>121</v>
      </c>
      <c r="H10" s="5" t="s">
        <v>130</v>
      </c>
    </row>
    <row r="11" spans="1:8" x14ac:dyDescent="0.2">
      <c r="A11" s="5">
        <v>4407</v>
      </c>
      <c r="B11" s="5" t="s">
        <v>137</v>
      </c>
      <c r="C11" s="5" t="s">
        <v>138</v>
      </c>
      <c r="D11" s="5" t="s">
        <v>139</v>
      </c>
      <c r="E11" s="5">
        <v>3</v>
      </c>
      <c r="F11" s="6">
        <v>32110</v>
      </c>
      <c r="G11" s="5" t="s">
        <v>121</v>
      </c>
      <c r="H11" s="5" t="s">
        <v>134</v>
      </c>
    </row>
    <row r="12" spans="1:8" x14ac:dyDescent="0.2">
      <c r="A12" s="5">
        <v>4409</v>
      </c>
      <c r="B12" s="5" t="s">
        <v>137</v>
      </c>
      <c r="C12" s="5" t="s">
        <v>126</v>
      </c>
      <c r="D12" s="5" t="s">
        <v>127</v>
      </c>
      <c r="E12" s="5">
        <v>3</v>
      </c>
      <c r="F12" s="6">
        <v>48830</v>
      </c>
      <c r="G12" s="5" t="s">
        <v>121</v>
      </c>
      <c r="H12" s="5" t="s">
        <v>140</v>
      </c>
    </row>
    <row r="13" spans="1:8" x14ac:dyDescent="0.2">
      <c r="A13" s="5">
        <v>4418</v>
      </c>
      <c r="B13" s="5" t="s">
        <v>141</v>
      </c>
      <c r="C13" s="5" t="s">
        <v>119</v>
      </c>
      <c r="D13" s="5" t="s">
        <v>120</v>
      </c>
      <c r="E13" s="5">
        <v>4</v>
      </c>
      <c r="F13" s="6">
        <v>98325</v>
      </c>
      <c r="G13" s="5" t="s">
        <v>121</v>
      </c>
      <c r="H13" s="5" t="s">
        <v>142</v>
      </c>
    </row>
    <row r="14" spans="1:8" x14ac:dyDescent="0.2">
      <c r="A14" s="5">
        <v>4419</v>
      </c>
      <c r="B14" s="5" t="s">
        <v>141</v>
      </c>
      <c r="C14" s="5" t="s">
        <v>132</v>
      </c>
      <c r="D14" s="5" t="s">
        <v>133</v>
      </c>
      <c r="E14" s="5">
        <v>4</v>
      </c>
      <c r="F14" s="6">
        <v>194370</v>
      </c>
      <c r="G14" s="5" t="s">
        <v>121</v>
      </c>
      <c r="H14" s="5" t="s">
        <v>143</v>
      </c>
    </row>
    <row r="15" spans="1:8" x14ac:dyDescent="0.2">
      <c r="A15" s="5">
        <v>4420</v>
      </c>
      <c r="B15" s="5" t="s">
        <v>141</v>
      </c>
      <c r="C15" s="5" t="s">
        <v>138</v>
      </c>
      <c r="D15" s="5" t="s">
        <v>139</v>
      </c>
      <c r="E15" s="5">
        <v>4</v>
      </c>
      <c r="F15" s="6">
        <v>97565</v>
      </c>
      <c r="G15" s="5" t="s">
        <v>121</v>
      </c>
      <c r="H15" s="5" t="s">
        <v>142</v>
      </c>
    </row>
    <row r="16" spans="1:8" x14ac:dyDescent="0.2">
      <c r="A16" s="5">
        <v>4422</v>
      </c>
      <c r="B16" s="5" t="s">
        <v>141</v>
      </c>
      <c r="C16" s="5" t="s">
        <v>144</v>
      </c>
      <c r="D16" s="5" t="s">
        <v>145</v>
      </c>
      <c r="E16" s="5">
        <v>4</v>
      </c>
      <c r="F16" s="6">
        <v>8700</v>
      </c>
      <c r="G16" s="5" t="s">
        <v>121</v>
      </c>
      <c r="H16" s="5" t="s">
        <v>146</v>
      </c>
    </row>
    <row r="17" spans="1:8" x14ac:dyDescent="0.2">
      <c r="A17" s="5">
        <v>4423</v>
      </c>
      <c r="B17" s="5" t="s">
        <v>141</v>
      </c>
      <c r="C17" s="5" t="s">
        <v>135</v>
      </c>
      <c r="D17" s="5" t="s">
        <v>136</v>
      </c>
      <c r="E17" s="5">
        <v>4</v>
      </c>
      <c r="F17" s="6">
        <v>173465</v>
      </c>
      <c r="G17" s="5" t="s">
        <v>121</v>
      </c>
      <c r="H17" s="5" t="s">
        <v>143</v>
      </c>
    </row>
    <row r="18" spans="1:8" x14ac:dyDescent="0.2">
      <c r="A18" s="5">
        <v>4424</v>
      </c>
      <c r="B18" s="5" t="s">
        <v>147</v>
      </c>
      <c r="C18" s="5" t="s">
        <v>148</v>
      </c>
      <c r="D18" s="5" t="s">
        <v>149</v>
      </c>
      <c r="E18" s="5">
        <v>4</v>
      </c>
      <c r="F18" s="6">
        <v>69501.5</v>
      </c>
      <c r="G18" s="5" t="s">
        <v>121</v>
      </c>
      <c r="H18" s="5" t="s">
        <v>150</v>
      </c>
    </row>
    <row r="19" spans="1:8" x14ac:dyDescent="0.2">
      <c r="A19" s="5">
        <v>4426</v>
      </c>
      <c r="B19" s="5" t="s">
        <v>147</v>
      </c>
      <c r="C19" s="5" t="s">
        <v>123</v>
      </c>
      <c r="D19" s="5" t="s">
        <v>124</v>
      </c>
      <c r="E19" s="5">
        <v>4</v>
      </c>
      <c r="F19" s="6">
        <v>143710</v>
      </c>
      <c r="G19" s="5" t="s">
        <v>121</v>
      </c>
      <c r="H19" s="5" t="s">
        <v>146</v>
      </c>
    </row>
    <row r="20" spans="1:8" x14ac:dyDescent="0.2">
      <c r="A20" s="5">
        <v>4433</v>
      </c>
      <c r="B20" s="5" t="s">
        <v>151</v>
      </c>
      <c r="C20" s="5" t="s">
        <v>119</v>
      </c>
      <c r="D20" s="5" t="s">
        <v>120</v>
      </c>
      <c r="E20" s="5">
        <v>5</v>
      </c>
      <c r="F20" s="6">
        <v>89305</v>
      </c>
      <c r="G20" s="5" t="s">
        <v>121</v>
      </c>
      <c r="H20" s="5" t="s">
        <v>152</v>
      </c>
    </row>
    <row r="21" spans="1:8" x14ac:dyDescent="0.2">
      <c r="A21" s="5">
        <v>4434</v>
      </c>
      <c r="B21" s="5" t="s">
        <v>151</v>
      </c>
      <c r="C21" s="5" t="s">
        <v>132</v>
      </c>
      <c r="D21" s="5" t="s">
        <v>133</v>
      </c>
      <c r="E21" s="5">
        <v>5</v>
      </c>
      <c r="F21" s="6">
        <v>106400</v>
      </c>
      <c r="G21" s="5" t="s">
        <v>121</v>
      </c>
      <c r="H21" s="5" t="s">
        <v>152</v>
      </c>
    </row>
    <row r="22" spans="1:8" x14ac:dyDescent="0.2">
      <c r="A22" s="5">
        <v>4435</v>
      </c>
      <c r="B22" s="5" t="s">
        <v>151</v>
      </c>
      <c r="C22" s="5" t="s">
        <v>138</v>
      </c>
      <c r="D22" s="5" t="s">
        <v>139</v>
      </c>
      <c r="E22" s="5">
        <v>5</v>
      </c>
      <c r="F22" s="6">
        <v>66860</v>
      </c>
      <c r="G22" s="5" t="s">
        <v>121</v>
      </c>
      <c r="H22" s="5" t="s">
        <v>153</v>
      </c>
    </row>
    <row r="23" spans="1:8" x14ac:dyDescent="0.2">
      <c r="A23" s="5">
        <v>4436</v>
      </c>
      <c r="B23" s="5" t="s">
        <v>151</v>
      </c>
      <c r="C23" s="5" t="s">
        <v>123</v>
      </c>
      <c r="D23" s="5" t="s">
        <v>124</v>
      </c>
      <c r="E23" s="5">
        <v>5</v>
      </c>
      <c r="F23" s="6">
        <v>5115</v>
      </c>
      <c r="G23" s="5" t="s">
        <v>121</v>
      </c>
      <c r="H23" s="5" t="s">
        <v>154</v>
      </c>
    </row>
    <row r="24" spans="1:8" x14ac:dyDescent="0.2">
      <c r="A24" s="5">
        <v>4437</v>
      </c>
      <c r="B24" s="5" t="s">
        <v>155</v>
      </c>
      <c r="C24" s="5" t="s">
        <v>144</v>
      </c>
      <c r="D24" s="5" t="s">
        <v>145</v>
      </c>
      <c r="E24" s="5">
        <v>5</v>
      </c>
      <c r="F24" s="6">
        <v>46170</v>
      </c>
      <c r="G24" s="5" t="s">
        <v>121</v>
      </c>
      <c r="H24" s="5" t="s">
        <v>156</v>
      </c>
    </row>
    <row r="25" spans="1:8" x14ac:dyDescent="0.2">
      <c r="A25" s="5">
        <v>4438</v>
      </c>
      <c r="B25" s="5" t="s">
        <v>155</v>
      </c>
      <c r="C25" s="5" t="s">
        <v>157</v>
      </c>
      <c r="D25" s="5" t="s">
        <v>158</v>
      </c>
      <c r="E25" s="5">
        <v>5</v>
      </c>
      <c r="F25" s="6">
        <v>12825</v>
      </c>
      <c r="G25" s="5" t="s">
        <v>121</v>
      </c>
      <c r="H25" s="5" t="s">
        <v>159</v>
      </c>
    </row>
    <row r="26" spans="1:8" x14ac:dyDescent="0.2">
      <c r="A26" s="5">
        <v>4439</v>
      </c>
      <c r="B26" s="5" t="s">
        <v>155</v>
      </c>
      <c r="C26" s="5" t="s">
        <v>160</v>
      </c>
      <c r="D26" s="5" t="s">
        <v>161</v>
      </c>
      <c r="E26" s="5">
        <v>5</v>
      </c>
      <c r="F26" s="6">
        <v>112765</v>
      </c>
      <c r="G26" s="5" t="s">
        <v>121</v>
      </c>
      <c r="H26" s="5" t="s">
        <v>154</v>
      </c>
    </row>
    <row r="27" spans="1:8" x14ac:dyDescent="0.2">
      <c r="A27" s="5">
        <v>4440</v>
      </c>
      <c r="B27" s="5" t="s">
        <v>153</v>
      </c>
      <c r="C27" s="5" t="s">
        <v>126</v>
      </c>
      <c r="D27" s="5" t="s">
        <v>127</v>
      </c>
      <c r="E27" s="5">
        <v>5</v>
      </c>
      <c r="F27" s="6">
        <v>116525</v>
      </c>
      <c r="G27" s="5" t="s">
        <v>121</v>
      </c>
      <c r="H27" s="5" t="s">
        <v>156</v>
      </c>
    </row>
    <row r="28" spans="1:8" x14ac:dyDescent="0.2">
      <c r="A28" s="5">
        <v>4448</v>
      </c>
      <c r="B28" s="5" t="s">
        <v>162</v>
      </c>
      <c r="C28" s="5" t="s">
        <v>135</v>
      </c>
      <c r="D28" s="5" t="s">
        <v>136</v>
      </c>
      <c r="E28" s="5">
        <v>6</v>
      </c>
      <c r="F28" s="6">
        <v>14937.5</v>
      </c>
      <c r="G28" s="5" t="s">
        <v>121</v>
      </c>
      <c r="H28" s="5" t="s">
        <v>163</v>
      </c>
    </row>
    <row r="29" spans="1:8" x14ac:dyDescent="0.2">
      <c r="A29" s="5">
        <v>4449</v>
      </c>
      <c r="B29" s="5" t="s">
        <v>162</v>
      </c>
      <c r="C29" s="5" t="s">
        <v>119</v>
      </c>
      <c r="D29" s="5" t="s">
        <v>120</v>
      </c>
      <c r="E29" s="5">
        <v>6</v>
      </c>
      <c r="F29" s="6">
        <v>120113</v>
      </c>
      <c r="G29" s="5" t="s">
        <v>121</v>
      </c>
      <c r="H29" s="5" t="s">
        <v>163</v>
      </c>
    </row>
    <row r="30" spans="1:8" x14ac:dyDescent="0.2">
      <c r="A30" s="5">
        <v>4451</v>
      </c>
      <c r="B30" s="5" t="s">
        <v>162</v>
      </c>
      <c r="C30" s="5" t="s">
        <v>132</v>
      </c>
      <c r="D30" s="5" t="s">
        <v>133</v>
      </c>
      <c r="E30" s="5">
        <v>6</v>
      </c>
      <c r="F30" s="6">
        <v>21280</v>
      </c>
      <c r="G30" s="5" t="s">
        <v>121</v>
      </c>
      <c r="H30" s="5" t="s">
        <v>164</v>
      </c>
    </row>
    <row r="31" spans="1:8" x14ac:dyDescent="0.2">
      <c r="A31" s="5">
        <v>4452</v>
      </c>
      <c r="B31" s="5" t="s">
        <v>162</v>
      </c>
      <c r="C31" s="5" t="s">
        <v>138</v>
      </c>
      <c r="D31" s="5" t="s">
        <v>139</v>
      </c>
      <c r="E31" s="5">
        <v>6</v>
      </c>
      <c r="F31" s="6">
        <v>88920</v>
      </c>
      <c r="G31" s="5" t="s">
        <v>121</v>
      </c>
      <c r="H31" s="5" t="s">
        <v>163</v>
      </c>
    </row>
    <row r="32" spans="1:8" x14ac:dyDescent="0.2">
      <c r="A32" s="5">
        <v>4453</v>
      </c>
      <c r="B32" s="5" t="s">
        <v>165</v>
      </c>
      <c r="C32" s="5" t="s">
        <v>157</v>
      </c>
      <c r="D32" s="5" t="s">
        <v>158</v>
      </c>
      <c r="E32" s="5">
        <v>6</v>
      </c>
      <c r="F32" s="6">
        <v>21755</v>
      </c>
      <c r="G32" s="5" t="s">
        <v>121</v>
      </c>
      <c r="H32" s="5" t="s">
        <v>166</v>
      </c>
    </row>
    <row r="33" spans="1:8" x14ac:dyDescent="0.2">
      <c r="A33" s="5">
        <v>4454</v>
      </c>
      <c r="B33" s="5" t="s">
        <v>165</v>
      </c>
      <c r="C33" s="5" t="s">
        <v>160</v>
      </c>
      <c r="D33" s="5" t="s">
        <v>161</v>
      </c>
      <c r="E33" s="5">
        <v>6</v>
      </c>
      <c r="F33" s="6">
        <v>64790</v>
      </c>
      <c r="G33" s="5" t="s">
        <v>121</v>
      </c>
      <c r="H33" s="5" t="s">
        <v>164</v>
      </c>
    </row>
    <row r="34" spans="1:8" x14ac:dyDescent="0.2">
      <c r="A34" s="5">
        <v>4455</v>
      </c>
      <c r="B34" s="5" t="s">
        <v>165</v>
      </c>
      <c r="C34" s="5" t="s">
        <v>148</v>
      </c>
      <c r="D34" s="5" t="s">
        <v>149</v>
      </c>
      <c r="E34" s="5">
        <v>6</v>
      </c>
      <c r="F34" s="6">
        <v>66016</v>
      </c>
      <c r="G34" s="5" t="s">
        <v>121</v>
      </c>
      <c r="H34" s="5" t="s">
        <v>166</v>
      </c>
    </row>
    <row r="35" spans="1:8" x14ac:dyDescent="0.2">
      <c r="A35" s="5">
        <v>4456</v>
      </c>
      <c r="B35" s="5" t="s">
        <v>165</v>
      </c>
      <c r="C35" s="5" t="s">
        <v>144</v>
      </c>
      <c r="D35" s="5" t="s">
        <v>145</v>
      </c>
      <c r="E35" s="5">
        <v>6</v>
      </c>
      <c r="F35" s="6">
        <v>100515</v>
      </c>
      <c r="G35" s="5" t="s">
        <v>121</v>
      </c>
      <c r="H35" s="5" t="s">
        <v>164</v>
      </c>
    </row>
    <row r="36" spans="1:8" x14ac:dyDescent="0.2">
      <c r="A36" s="5">
        <v>4457</v>
      </c>
      <c r="B36" s="5" t="s">
        <v>167</v>
      </c>
      <c r="C36" s="5" t="s">
        <v>168</v>
      </c>
      <c r="D36" s="5" t="s">
        <v>169</v>
      </c>
      <c r="E36" s="5">
        <v>6</v>
      </c>
      <c r="F36" s="6">
        <v>44200</v>
      </c>
      <c r="G36" s="5" t="s">
        <v>121</v>
      </c>
      <c r="H36" s="5" t="s">
        <v>166</v>
      </c>
    </row>
    <row r="37" spans="1:8" x14ac:dyDescent="0.2">
      <c r="A37" s="5">
        <v>4458</v>
      </c>
      <c r="B37" s="5" t="s">
        <v>167</v>
      </c>
      <c r="C37" s="5" t="s">
        <v>170</v>
      </c>
      <c r="D37" s="5" t="s">
        <v>171</v>
      </c>
      <c r="E37" s="5">
        <v>6</v>
      </c>
      <c r="F37" s="6">
        <v>29750</v>
      </c>
      <c r="G37" s="5" t="s">
        <v>121</v>
      </c>
      <c r="H37" s="5" t="s">
        <v>172</v>
      </c>
    </row>
    <row r="38" spans="1:8" x14ac:dyDescent="0.2">
      <c r="A38" s="5">
        <v>4460</v>
      </c>
      <c r="B38" s="5" t="s">
        <v>173</v>
      </c>
      <c r="C38" s="5" t="s">
        <v>138</v>
      </c>
      <c r="D38" s="5" t="s">
        <v>139</v>
      </c>
      <c r="E38" s="5">
        <v>7</v>
      </c>
      <c r="F38" s="6">
        <v>73910</v>
      </c>
      <c r="G38" s="5" t="s">
        <v>174</v>
      </c>
      <c r="H38" s="5" t="s">
        <v>175</v>
      </c>
    </row>
    <row r="39" spans="1:8" x14ac:dyDescent="0.2">
      <c r="A39" s="5">
        <v>4461</v>
      </c>
      <c r="B39" s="5" t="s">
        <v>176</v>
      </c>
      <c r="C39" s="5" t="s">
        <v>119</v>
      </c>
      <c r="D39" s="5" t="s">
        <v>120</v>
      </c>
      <c r="E39" s="5">
        <v>7</v>
      </c>
      <c r="F39" s="6">
        <v>41230</v>
      </c>
      <c r="G39" s="5" t="s">
        <v>121</v>
      </c>
      <c r="H39" s="5" t="s">
        <v>175</v>
      </c>
    </row>
    <row r="40" spans="1:8" x14ac:dyDescent="0.2">
      <c r="A40" s="5">
        <v>4463</v>
      </c>
      <c r="B40" s="5" t="s">
        <v>176</v>
      </c>
      <c r="C40" s="5" t="s">
        <v>126</v>
      </c>
      <c r="D40" s="5" t="s">
        <v>127</v>
      </c>
      <c r="E40" s="5">
        <v>7</v>
      </c>
      <c r="F40" s="6">
        <v>37166</v>
      </c>
      <c r="G40" s="5" t="s">
        <v>121</v>
      </c>
      <c r="H40" s="5" t="s">
        <v>177</v>
      </c>
    </row>
    <row r="41" spans="1:8" x14ac:dyDescent="0.2">
      <c r="A41" s="5">
        <v>4465</v>
      </c>
      <c r="B41" s="5" t="s">
        <v>176</v>
      </c>
      <c r="C41" s="5" t="s">
        <v>168</v>
      </c>
      <c r="D41" s="5" t="s">
        <v>169</v>
      </c>
      <c r="E41" s="5">
        <v>7</v>
      </c>
      <c r="F41" s="6">
        <v>35360</v>
      </c>
      <c r="G41" s="5" t="s">
        <v>121</v>
      </c>
      <c r="H41" s="5" t="s">
        <v>175</v>
      </c>
    </row>
    <row r="42" spans="1:8" x14ac:dyDescent="0.2">
      <c r="A42" s="5">
        <v>4466</v>
      </c>
      <c r="B42" s="5" t="s">
        <v>64</v>
      </c>
      <c r="C42" s="5" t="s">
        <v>170</v>
      </c>
      <c r="D42" s="5" t="s">
        <v>171</v>
      </c>
      <c r="E42" s="5">
        <v>7</v>
      </c>
      <c r="F42" s="6">
        <v>28437.5</v>
      </c>
      <c r="G42" s="5" t="s">
        <v>121</v>
      </c>
      <c r="H42" s="5" t="s">
        <v>178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2"/>
  <sheetViews>
    <sheetView workbookViewId="0"/>
  </sheetViews>
  <sheetFormatPr baseColWidth="10" defaultColWidth="8.83203125" defaultRowHeight="15" x14ac:dyDescent="0.2"/>
  <cols>
    <col min="1" max="1" width="36" customWidth="1"/>
    <col min="2" max="2" width="15" customWidth="1"/>
    <col min="3" max="3" width="11" customWidth="1"/>
    <col min="4" max="4" width="14" customWidth="1"/>
    <col min="5" max="5" width="11" customWidth="1"/>
    <col min="6" max="7" width="12" customWidth="1"/>
    <col min="8" max="8" width="14" customWidth="1"/>
    <col min="9" max="9" width="12" customWidth="1"/>
    <col min="10" max="10" width="58" customWidth="1"/>
    <col min="11" max="11" width="11" customWidth="1"/>
    <col min="12" max="12" width="52" customWidth="1"/>
  </cols>
  <sheetData>
    <row r="1" spans="1:12" ht="17" x14ac:dyDescent="0.2">
      <c r="A1" s="1" t="s">
        <v>179</v>
      </c>
    </row>
    <row r="3" spans="1:12" ht="30" x14ac:dyDescent="0.2">
      <c r="A3" s="4" t="s">
        <v>25</v>
      </c>
      <c r="B3" s="4" t="s">
        <v>180</v>
      </c>
      <c r="C3" s="4" t="s">
        <v>181</v>
      </c>
      <c r="D3" s="4" t="s">
        <v>182</v>
      </c>
      <c r="E3" s="4" t="s">
        <v>183</v>
      </c>
      <c r="F3" s="4" t="s">
        <v>184</v>
      </c>
      <c r="G3" s="4" t="s">
        <v>185</v>
      </c>
      <c r="H3" s="4" t="s">
        <v>186</v>
      </c>
      <c r="I3" s="4" t="s">
        <v>187</v>
      </c>
      <c r="J3" s="4" t="s">
        <v>188</v>
      </c>
      <c r="K3" s="4" t="s">
        <v>28</v>
      </c>
      <c r="L3" s="4" t="s">
        <v>189</v>
      </c>
    </row>
    <row r="4" spans="1:12" x14ac:dyDescent="0.2">
      <c r="A4" s="5" t="s">
        <v>190</v>
      </c>
      <c r="B4" s="5" t="s">
        <v>191</v>
      </c>
      <c r="C4" s="5">
        <f t="shared" ref="C4:C10" si="0">DATE(VALUE(RIGHT(B4,4)),VALUE(LEFT(B4,2)),VALUE(MID(B4,4,2)))</f>
        <v>46055</v>
      </c>
      <c r="D4" s="5" t="s">
        <v>192</v>
      </c>
      <c r="E4" s="5">
        <f t="shared" ref="E4:E10" si="1">DATE(VALUE(RIGHT(D4,4)),VALUE(LEFT(D4,2)),VALUE(MID(D4,4,2)))</f>
        <v>46062</v>
      </c>
      <c r="F4" s="5">
        <f t="shared" ref="F4:F10" si="2">E4-C4</f>
        <v>7</v>
      </c>
      <c r="G4" s="5" t="str">
        <f>IF(F4&lt;=Parameters!$B$9,"Yes","No")</f>
        <v>Yes</v>
      </c>
      <c r="H4" s="5" t="str">
        <f t="shared" ref="H4:H10" si="3">TEXT(I4,"mm/dd/yyyy")</f>
        <v>02/02/2026</v>
      </c>
      <c r="I4" s="5">
        <f>IF(G4="Yes",C4,E4-Parameters!$B$10)</f>
        <v>46055</v>
      </c>
      <c r="J4" s="7" t="s">
        <v>193</v>
      </c>
      <c r="K4" s="5" t="str">
        <f t="shared" ref="K4:K10" si="4">IF(LEFT(J4,3)="Yes","Yes","No")</f>
        <v>Yes</v>
      </c>
      <c r="L4" s="7" t="s">
        <v>194</v>
      </c>
    </row>
    <row r="5" spans="1:12" ht="30" x14ac:dyDescent="0.2">
      <c r="A5" s="5" t="s">
        <v>195</v>
      </c>
      <c r="B5" s="5" t="s">
        <v>196</v>
      </c>
      <c r="C5" s="5">
        <f t="shared" si="0"/>
        <v>46056</v>
      </c>
      <c r="D5" s="5" t="s">
        <v>197</v>
      </c>
      <c r="E5" s="5">
        <f t="shared" si="1"/>
        <v>46070</v>
      </c>
      <c r="F5" s="5">
        <f t="shared" si="2"/>
        <v>14</v>
      </c>
      <c r="G5" s="5" t="str">
        <f>IF(F5&lt;=Parameters!$B$9,"Yes","No")</f>
        <v>Yes</v>
      </c>
      <c r="H5" s="5" t="str">
        <f t="shared" si="3"/>
        <v>02/03/2026</v>
      </c>
      <c r="I5" s="5">
        <f>IF(G5="Yes",C5,E5-Parameters!$B$10)</f>
        <v>46056</v>
      </c>
      <c r="J5" s="7" t="s">
        <v>198</v>
      </c>
      <c r="K5" s="5" t="str">
        <f t="shared" si="4"/>
        <v>No</v>
      </c>
      <c r="L5" s="7" t="s">
        <v>199</v>
      </c>
    </row>
    <row r="6" spans="1:12" x14ac:dyDescent="0.2">
      <c r="A6" s="5" t="s">
        <v>200</v>
      </c>
      <c r="B6" s="5" t="s">
        <v>201</v>
      </c>
      <c r="C6" s="5">
        <f t="shared" si="0"/>
        <v>46118</v>
      </c>
      <c r="D6" s="5" t="s">
        <v>141</v>
      </c>
      <c r="E6" s="5">
        <f t="shared" si="1"/>
        <v>46171</v>
      </c>
      <c r="F6" s="5">
        <f t="shared" si="2"/>
        <v>53</v>
      </c>
      <c r="G6" s="5" t="str">
        <f>IF(F6&lt;=Parameters!$B$9,"Yes","No")</f>
        <v>No</v>
      </c>
      <c r="H6" s="5" t="str">
        <f t="shared" si="3"/>
        <v>05/09/2026</v>
      </c>
      <c r="I6" s="5">
        <f>IF(G6="Yes",C6,E6-Parameters!$B$10)</f>
        <v>46151</v>
      </c>
      <c r="J6" s="7" t="s">
        <v>202</v>
      </c>
      <c r="K6" s="5" t="str">
        <f t="shared" si="4"/>
        <v>Yes</v>
      </c>
      <c r="L6" s="7" t="s">
        <v>203</v>
      </c>
    </row>
    <row r="7" spans="1:12" x14ac:dyDescent="0.2">
      <c r="A7" s="5" t="s">
        <v>204</v>
      </c>
      <c r="B7" s="5" t="s">
        <v>205</v>
      </c>
      <c r="C7" s="5">
        <f t="shared" si="0"/>
        <v>46097</v>
      </c>
      <c r="D7" s="5" t="s">
        <v>206</v>
      </c>
      <c r="E7" s="5">
        <f t="shared" si="1"/>
        <v>46101</v>
      </c>
      <c r="F7" s="5">
        <f t="shared" si="2"/>
        <v>4</v>
      </c>
      <c r="G7" s="5" t="str">
        <f>IF(F7&lt;=Parameters!$B$9,"Yes","No")</f>
        <v>Yes</v>
      </c>
      <c r="H7" s="5" t="str">
        <f t="shared" si="3"/>
        <v>03/16/2026</v>
      </c>
      <c r="I7" s="5">
        <f>IF(G7="Yes",C7,E7-Parameters!$B$10)</f>
        <v>46097</v>
      </c>
      <c r="J7" s="7" t="s">
        <v>207</v>
      </c>
      <c r="K7" s="5" t="str">
        <f t="shared" si="4"/>
        <v>Yes</v>
      </c>
      <c r="L7" s="7" t="s">
        <v>208</v>
      </c>
    </row>
    <row r="8" spans="1:12" x14ac:dyDescent="0.2">
      <c r="A8" s="5" t="s">
        <v>209</v>
      </c>
      <c r="B8" s="5" t="s">
        <v>210</v>
      </c>
      <c r="C8" s="5">
        <f t="shared" si="0"/>
        <v>46160</v>
      </c>
      <c r="D8" s="5" t="s">
        <v>211</v>
      </c>
      <c r="E8" s="5">
        <f t="shared" si="1"/>
        <v>46169</v>
      </c>
      <c r="F8" s="5">
        <f t="shared" si="2"/>
        <v>9</v>
      </c>
      <c r="G8" s="5" t="str">
        <f>IF(F8&lt;=Parameters!$B$9,"Yes","No")</f>
        <v>Yes</v>
      </c>
      <c r="H8" s="5" t="str">
        <f t="shared" si="3"/>
        <v>05/18/2026</v>
      </c>
      <c r="I8" s="5">
        <f>IF(G8="Yes",C8,E8-Parameters!$B$10)</f>
        <v>46160</v>
      </c>
      <c r="J8" s="7" t="s">
        <v>212</v>
      </c>
      <c r="K8" s="5" t="str">
        <f t="shared" si="4"/>
        <v>Yes</v>
      </c>
      <c r="L8" s="7" t="s">
        <v>213</v>
      </c>
    </row>
    <row r="9" spans="1:12" x14ac:dyDescent="0.2">
      <c r="A9" s="5" t="s">
        <v>214</v>
      </c>
      <c r="B9" s="5" t="s">
        <v>215</v>
      </c>
      <c r="C9" s="5">
        <f t="shared" si="0"/>
        <v>46041</v>
      </c>
      <c r="D9" s="5" t="s">
        <v>216</v>
      </c>
      <c r="E9" s="5">
        <f t="shared" si="1"/>
        <v>46052</v>
      </c>
      <c r="F9" s="5">
        <f t="shared" si="2"/>
        <v>11</v>
      </c>
      <c r="G9" s="5" t="str">
        <f>IF(F9&lt;=Parameters!$B$9,"Yes","No")</f>
        <v>Yes</v>
      </c>
      <c r="H9" s="5" t="str">
        <f t="shared" si="3"/>
        <v>01/19/2026</v>
      </c>
      <c r="I9" s="5">
        <f>IF(G9="Yes",C9,E9-Parameters!$B$10)</f>
        <v>46041</v>
      </c>
      <c r="J9" s="7" t="s">
        <v>217</v>
      </c>
      <c r="K9" s="5" t="str">
        <f t="shared" si="4"/>
        <v>Yes</v>
      </c>
      <c r="L9" s="7" t="s">
        <v>218</v>
      </c>
    </row>
    <row r="10" spans="1:12" x14ac:dyDescent="0.2">
      <c r="A10" s="5" t="s">
        <v>219</v>
      </c>
      <c r="B10" s="5" t="s">
        <v>220</v>
      </c>
      <c r="C10" s="5">
        <f t="shared" si="0"/>
        <v>46132</v>
      </c>
      <c r="D10" s="5" t="s">
        <v>221</v>
      </c>
      <c r="E10" s="5">
        <f t="shared" si="1"/>
        <v>46136</v>
      </c>
      <c r="F10" s="5">
        <f t="shared" si="2"/>
        <v>4</v>
      </c>
      <c r="G10" s="5" t="str">
        <f>IF(F10&lt;=Parameters!$B$9,"Yes","No")</f>
        <v>Yes</v>
      </c>
      <c r="H10" s="5" t="str">
        <f t="shared" si="3"/>
        <v>04/20/2026</v>
      </c>
      <c r="I10" s="5">
        <f>IF(G10="Yes",C10,E10-Parameters!$B$10)</f>
        <v>46132</v>
      </c>
      <c r="J10" s="7" t="s">
        <v>222</v>
      </c>
      <c r="K10" s="5" t="str">
        <f t="shared" si="4"/>
        <v>Yes</v>
      </c>
      <c r="L10" s="7" t="s">
        <v>223</v>
      </c>
    </row>
    <row r="12" spans="1:12" x14ac:dyDescent="0.2">
      <c r="A12" s="8" t="s">
        <v>224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
  <sheetViews>
    <sheetView workbookViewId="0"/>
  </sheetViews>
  <sheetFormatPr baseColWidth="10" defaultColWidth="8.83203125" defaultRowHeight="15" x14ac:dyDescent="0.2"/>
  <cols>
    <col min="1" max="1" width="36" customWidth="1"/>
    <col min="2" max="4" width="12" customWidth="1"/>
    <col min="5" max="5" width="16" customWidth="1"/>
    <col min="6" max="6" width="9" customWidth="1"/>
    <col min="7" max="7" width="14" customWidth="1"/>
    <col min="8" max="8" width="12" customWidth="1"/>
    <col min="9" max="9" width="14" customWidth="1"/>
    <col min="10" max="10" width="9" customWidth="1"/>
    <col min="11" max="11" width="14" customWidth="1"/>
  </cols>
  <sheetData>
    <row r="1" spans="1:11" ht="17" x14ac:dyDescent="0.2">
      <c r="A1" s="1" t="s">
        <v>225</v>
      </c>
    </row>
    <row r="3" spans="1:11" ht="30" x14ac:dyDescent="0.2">
      <c r="A3" s="4" t="s">
        <v>25</v>
      </c>
      <c r="B3" s="4" t="s">
        <v>26</v>
      </c>
      <c r="C3" s="4" t="s">
        <v>226</v>
      </c>
      <c r="D3" s="4" t="s">
        <v>227</v>
      </c>
      <c r="E3" s="4" t="s">
        <v>228</v>
      </c>
      <c r="F3" s="4" t="s">
        <v>29</v>
      </c>
      <c r="G3" s="4" t="s">
        <v>229</v>
      </c>
      <c r="H3" s="4" t="s">
        <v>230</v>
      </c>
      <c r="I3" s="4" t="s">
        <v>231</v>
      </c>
      <c r="J3" s="4" t="s">
        <v>30</v>
      </c>
      <c r="K3" s="4" t="s">
        <v>232</v>
      </c>
    </row>
    <row r="4" spans="1:11" x14ac:dyDescent="0.2">
      <c r="A4" s="5" t="s">
        <v>190</v>
      </c>
      <c r="B4" s="5" t="s">
        <v>233</v>
      </c>
      <c r="C4" s="5">
        <f t="shared" ref="C4:C10" si="0">DATE(VALUE(RIGHT(B4,4)),VALUE(LEFT(B4,2)),VALUE(MID(B4,4,2)))</f>
        <v>46195</v>
      </c>
      <c r="D4" s="5">
        <f>C4-Parameters!$C$5</f>
        <v>-59</v>
      </c>
      <c r="E4" s="5" t="str">
        <f>Parameters!$B$29</f>
        <v>09/21/2026</v>
      </c>
      <c r="F4" s="5" t="str">
        <f>IF(C4&lt;=Parameters!$C$29,"Yes","No")</f>
        <v>Yes</v>
      </c>
      <c r="G4" s="5" t="str">
        <f t="shared" ref="G4:G10" si="1">TEXT(H4,"mm/dd/yyyy")</f>
        <v>09/21/2026</v>
      </c>
      <c r="H4" s="5">
        <f>IF(WEEKDAY(C4+Parameters!$B$11,2)=6,C4+Parameters!$B$11+2,IF(WEEKDAY(C4+Parameters!$B$11,2)=7,C4+Parameters!$B$11+1,C4+Parameters!$B$11))</f>
        <v>46286</v>
      </c>
      <c r="I4" s="5" t="s">
        <v>234</v>
      </c>
      <c r="J4" s="5" t="str">
        <f>IF(AND(I4="None",Parameters!$C$16&gt;H4),"Yes","No")</f>
        <v>Yes</v>
      </c>
      <c r="K4" s="5" t="s">
        <v>235</v>
      </c>
    </row>
    <row r="5" spans="1:11" x14ac:dyDescent="0.2">
      <c r="A5" s="5" t="s">
        <v>195</v>
      </c>
      <c r="B5" s="5" t="s">
        <v>236</v>
      </c>
      <c r="C5" s="5">
        <f t="shared" si="0"/>
        <v>46273</v>
      </c>
      <c r="D5" s="5">
        <f>C5-Parameters!$C$5</f>
        <v>19</v>
      </c>
      <c r="E5" s="5" t="str">
        <f>Parameters!$B$29</f>
        <v>09/21/2026</v>
      </c>
      <c r="F5" s="5" t="str">
        <f>IF(C5&lt;=Parameters!$C$29,"Yes","No")</f>
        <v>Yes</v>
      </c>
      <c r="G5" s="5" t="str">
        <f t="shared" si="1"/>
        <v>12/07/2026</v>
      </c>
      <c r="H5" s="5">
        <f>IF(WEEKDAY(C5+Parameters!$B$11,2)=6,C5+Parameters!$B$11+2,IF(WEEKDAY(C5+Parameters!$B$11,2)=7,C5+Parameters!$B$11+1,C5+Parameters!$B$11))</f>
        <v>46363</v>
      </c>
      <c r="I5" s="5" t="s">
        <v>234</v>
      </c>
      <c r="J5" s="5" t="str">
        <f>IF(AND(I5="None",Parameters!$C$16&gt;H5),"Yes","No")</f>
        <v>No</v>
      </c>
      <c r="K5" s="5" t="s">
        <v>237</v>
      </c>
    </row>
    <row r="6" spans="1:11" x14ac:dyDescent="0.2">
      <c r="A6" s="5" t="s">
        <v>200</v>
      </c>
      <c r="B6" s="5" t="s">
        <v>238</v>
      </c>
      <c r="C6" s="5">
        <f t="shared" si="0"/>
        <v>46275</v>
      </c>
      <c r="D6" s="5">
        <f>C6-Parameters!$C$5</f>
        <v>21</v>
      </c>
      <c r="E6" s="5" t="str">
        <f>Parameters!$B$29</f>
        <v>09/21/2026</v>
      </c>
      <c r="F6" s="5" t="str">
        <f>IF(C6&lt;=Parameters!$C$29,"Yes","No")</f>
        <v>Yes</v>
      </c>
      <c r="G6" s="5" t="str">
        <f t="shared" si="1"/>
        <v>12/09/2026</v>
      </c>
      <c r="H6" s="5">
        <f>IF(WEEKDAY(C6+Parameters!$B$11,2)=6,C6+Parameters!$B$11+2,IF(WEEKDAY(C6+Parameters!$B$11,2)=7,C6+Parameters!$B$11+1,C6+Parameters!$B$11))</f>
        <v>46365</v>
      </c>
      <c r="I6" s="5" t="s">
        <v>234</v>
      </c>
      <c r="J6" s="5" t="str">
        <f>IF(AND(I6="None",Parameters!$C$16&gt;H6),"Yes","No")</f>
        <v>No</v>
      </c>
      <c r="K6" s="5" t="s">
        <v>239</v>
      </c>
    </row>
    <row r="7" spans="1:11" x14ac:dyDescent="0.2">
      <c r="A7" s="5" t="s">
        <v>204</v>
      </c>
      <c r="B7" s="5" t="s">
        <v>240</v>
      </c>
      <c r="C7" s="5">
        <f t="shared" si="0"/>
        <v>46279</v>
      </c>
      <c r="D7" s="5">
        <f>C7-Parameters!$C$5</f>
        <v>25</v>
      </c>
      <c r="E7" s="5" t="str">
        <f>Parameters!$B$29</f>
        <v>09/21/2026</v>
      </c>
      <c r="F7" s="5" t="str">
        <f>IF(C7&lt;=Parameters!$C$29,"Yes","No")</f>
        <v>Yes</v>
      </c>
      <c r="G7" s="5" t="str">
        <f t="shared" si="1"/>
        <v>12/14/2026</v>
      </c>
      <c r="H7" s="5">
        <f>IF(WEEKDAY(C7+Parameters!$B$11,2)=6,C7+Parameters!$B$11+2,IF(WEEKDAY(C7+Parameters!$B$11,2)=7,C7+Parameters!$B$11+1,C7+Parameters!$B$11))</f>
        <v>46370</v>
      </c>
      <c r="I7" s="5" t="s">
        <v>234</v>
      </c>
      <c r="J7" s="5" t="str">
        <f>IF(AND(I7="None",Parameters!$C$16&gt;H7),"Yes","No")</f>
        <v>No</v>
      </c>
      <c r="K7" s="5" t="s">
        <v>241</v>
      </c>
    </row>
    <row r="8" spans="1:11" x14ac:dyDescent="0.2">
      <c r="A8" s="5" t="s">
        <v>209</v>
      </c>
      <c r="B8" s="5" t="s">
        <v>242</v>
      </c>
      <c r="C8" s="5">
        <f t="shared" si="0"/>
        <v>46280</v>
      </c>
      <c r="D8" s="5">
        <f>C8-Parameters!$C$5</f>
        <v>26</v>
      </c>
      <c r="E8" s="5" t="str">
        <f>Parameters!$B$29</f>
        <v>09/21/2026</v>
      </c>
      <c r="F8" s="5" t="str">
        <f>IF(C8&lt;=Parameters!$C$29,"Yes","No")</f>
        <v>Yes</v>
      </c>
      <c r="G8" s="5" t="str">
        <f t="shared" si="1"/>
        <v>12/14/2026</v>
      </c>
      <c r="H8" s="5">
        <f>IF(WEEKDAY(C8+Parameters!$B$11,2)=6,C8+Parameters!$B$11+2,IF(WEEKDAY(C8+Parameters!$B$11,2)=7,C8+Parameters!$B$11+1,C8+Parameters!$B$11))</f>
        <v>46370</v>
      </c>
      <c r="I8" s="5" t="s">
        <v>234</v>
      </c>
      <c r="J8" s="5" t="str">
        <f>IF(AND(I8="None",Parameters!$C$16&gt;H8),"Yes","No")</f>
        <v>No</v>
      </c>
      <c r="K8" s="5" t="s">
        <v>243</v>
      </c>
    </row>
    <row r="9" spans="1:11" x14ac:dyDescent="0.2">
      <c r="A9" s="5" t="s">
        <v>214</v>
      </c>
      <c r="B9" s="5" t="s">
        <v>244</v>
      </c>
      <c r="C9" s="5">
        <f t="shared" si="0"/>
        <v>46286</v>
      </c>
      <c r="D9" s="5">
        <f>C9-Parameters!$C$5</f>
        <v>32</v>
      </c>
      <c r="E9" s="5" t="str">
        <f>Parameters!$B$29</f>
        <v>09/21/2026</v>
      </c>
      <c r="F9" s="5" t="str">
        <f>IF(C9&lt;=Parameters!$C$29,"Yes","No")</f>
        <v>Yes</v>
      </c>
      <c r="G9" s="5" t="str">
        <f t="shared" si="1"/>
        <v>12/21/2026</v>
      </c>
      <c r="H9" s="5">
        <f>IF(WEEKDAY(C9+Parameters!$B$11,2)=6,C9+Parameters!$B$11+2,IF(WEEKDAY(C9+Parameters!$B$11,2)=7,C9+Parameters!$B$11+1,C9+Parameters!$B$11))</f>
        <v>46377</v>
      </c>
      <c r="I9" s="5" t="s">
        <v>234</v>
      </c>
      <c r="J9" s="5" t="str">
        <f>IF(AND(I9="None",Parameters!$C$16&gt;H9),"Yes","No")</f>
        <v>No</v>
      </c>
      <c r="K9" s="5" t="s">
        <v>245</v>
      </c>
    </row>
    <row r="10" spans="1:11" x14ac:dyDescent="0.2">
      <c r="A10" s="5" t="s">
        <v>219</v>
      </c>
      <c r="B10" s="5" t="s">
        <v>246</v>
      </c>
      <c r="C10" s="5">
        <f t="shared" si="0"/>
        <v>46287</v>
      </c>
      <c r="D10" s="5">
        <f>C10-Parameters!$C$5</f>
        <v>33</v>
      </c>
      <c r="E10" s="5" t="str">
        <f>Parameters!$B$29</f>
        <v>09/21/2026</v>
      </c>
      <c r="F10" s="5" t="str">
        <f>IF(C10&lt;=Parameters!$C$29,"Yes","No")</f>
        <v>No</v>
      </c>
      <c r="G10" s="5" t="str">
        <f t="shared" si="1"/>
        <v>12/21/2026</v>
      </c>
      <c r="H10" s="5">
        <f>IF(WEEKDAY(C10+Parameters!$B$11,2)=6,C10+Parameters!$B$11+2,IF(WEEKDAY(C10+Parameters!$B$11,2)=7,C10+Parameters!$B$11+1,C10+Parameters!$B$11))</f>
        <v>46377</v>
      </c>
      <c r="I10" s="5" t="s">
        <v>234</v>
      </c>
      <c r="J10" s="5" t="str">
        <f>IF(AND(I10="None",Parameters!$C$16&gt;H10),"Yes","No")</f>
        <v>No</v>
      </c>
      <c r="K10" s="5" t="s">
        <v>247</v>
      </c>
    </row>
    <row r="12" spans="1:11" x14ac:dyDescent="0.2">
      <c r="A12" s="8" t="s">
        <v>248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26"/>
  <sheetViews>
    <sheetView workbookViewId="0"/>
  </sheetViews>
  <sheetFormatPr baseColWidth="10" defaultColWidth="8.83203125" defaultRowHeight="15" x14ac:dyDescent="0.2"/>
  <cols>
    <col min="1" max="1" width="34" customWidth="1"/>
    <col min="2" max="2" width="46" customWidth="1"/>
    <col min="3" max="3" width="13" customWidth="1"/>
    <col min="4" max="4" width="12" customWidth="1"/>
    <col min="5" max="5" width="13" customWidth="1"/>
    <col min="6" max="6" width="40" customWidth="1"/>
    <col min="7" max="7" width="34" customWidth="1"/>
    <col min="8" max="8" width="10" customWidth="1"/>
    <col min="9" max="9" width="20" customWidth="1"/>
    <col min="10" max="10" width="11" customWidth="1"/>
    <col min="11" max="11" width="10" customWidth="1"/>
    <col min="12" max="12" width="62" customWidth="1"/>
  </cols>
  <sheetData>
    <row r="1" spans="1:12" ht="17" x14ac:dyDescent="0.2">
      <c r="A1" s="1" t="s">
        <v>249</v>
      </c>
    </row>
    <row r="3" spans="1:12" ht="30" x14ac:dyDescent="0.2">
      <c r="A3" s="4" t="s">
        <v>25</v>
      </c>
      <c r="B3" s="4" t="s">
        <v>250</v>
      </c>
      <c r="C3" s="4" t="s">
        <v>251</v>
      </c>
      <c r="D3" s="4" t="s">
        <v>252</v>
      </c>
      <c r="E3" s="4" t="s">
        <v>115</v>
      </c>
      <c r="F3" s="4" t="s">
        <v>253</v>
      </c>
      <c r="G3" s="4" t="s">
        <v>254</v>
      </c>
      <c r="H3" s="4" t="s">
        <v>110</v>
      </c>
      <c r="I3" s="4" t="s">
        <v>255</v>
      </c>
      <c r="J3" s="4" t="s">
        <v>256</v>
      </c>
      <c r="K3" s="4" t="s">
        <v>257</v>
      </c>
      <c r="L3" s="4" t="s">
        <v>258</v>
      </c>
    </row>
    <row r="4" spans="1:12" x14ac:dyDescent="0.2">
      <c r="A4" s="5" t="s">
        <v>190</v>
      </c>
      <c r="B4" s="5" t="s">
        <v>259</v>
      </c>
      <c r="C4" s="5" t="s">
        <v>260</v>
      </c>
      <c r="D4" s="5">
        <f t="shared" ref="D4:D24" si="0">DATE(VALUE(RIGHT(C4,4)),VALUE(LEFT(C4,2)),VALUE(MID(C4,4,2)))</f>
        <v>46081</v>
      </c>
      <c r="E4" s="6">
        <v>71250</v>
      </c>
      <c r="F4" s="7" t="s">
        <v>234</v>
      </c>
      <c r="G4" s="5"/>
      <c r="H4" s="5" t="str">
        <f t="shared" ref="H4:H24" si="1">IF(G4="","",VALUE(RIGHT(G4,4)))</f>
        <v/>
      </c>
      <c r="I4" s="5" t="str">
        <f>IF(G4="","No payment named",IFERROR(INDEX('DK Ledger'!$G$4:$G$42,MATCH(H4,'DK Ledger'!$A$4:$A$42,0))&amp;" "&amp;INDEX('DK Ledger'!$H$4:$H$42,MATCH(H4,'DK Ledger'!$A$4:$A$42,0)),"Not on the ledger"))</f>
        <v>No payment named</v>
      </c>
      <c r="J4" s="5" t="str">
        <f t="shared" ref="J4:J24" si="2">IF(OR(LEFT(B4,13)="Unconditional",LEFT(B4,11)="Conditional"),"Yes","No")</f>
        <v>Yes</v>
      </c>
      <c r="K4" s="5" t="str">
        <f t="shared" ref="K4:K24" si="3">IF(J4="No","No",IF(LEFT(B4,13)="Unconditional","Yes",IF(LEFT(I4,7)="Cleared","Yes","No")))</f>
        <v>Yes</v>
      </c>
      <c r="L4" s="7" t="str">
        <f t="shared" ref="L4:L24" si="4">IF(J4="No","Not in the statutory form, section 8132(a), releases nothing",IF(LEFT(B4,13)="Unconditional","Effective when signed whether or not paid, section 8134, except the exceptions stated",IF(LEFT(I4,7)="Cleared","Check paid, evidence of payment under section 8126, effective","Check not paid, no evidence of payment under section 8126, releases nothing")))</f>
        <v>Effective when signed whether or not paid, section 8134, except the exceptions stated</v>
      </c>
    </row>
    <row r="5" spans="1:12" x14ac:dyDescent="0.2">
      <c r="A5" s="5" t="s">
        <v>190</v>
      </c>
      <c r="B5" s="5" t="s">
        <v>259</v>
      </c>
      <c r="C5" s="5" t="s">
        <v>125</v>
      </c>
      <c r="D5" s="5">
        <f t="shared" si="0"/>
        <v>46112</v>
      </c>
      <c r="E5" s="6">
        <v>158650</v>
      </c>
      <c r="F5" s="7" t="s">
        <v>234</v>
      </c>
      <c r="G5" s="5"/>
      <c r="H5" s="5" t="str">
        <f t="shared" si="1"/>
        <v/>
      </c>
      <c r="I5" s="5" t="str">
        <f>IF(G5="","No payment named",IFERROR(INDEX('DK Ledger'!$G$4:$G$42,MATCH(H5,'DK Ledger'!$A$4:$A$42,0))&amp;" "&amp;INDEX('DK Ledger'!$H$4:$H$42,MATCH(H5,'DK Ledger'!$A$4:$A$42,0)),"Not on the ledger"))</f>
        <v>No payment named</v>
      </c>
      <c r="J5" s="5" t="str">
        <f t="shared" si="2"/>
        <v>Yes</v>
      </c>
      <c r="K5" s="5" t="str">
        <f t="shared" si="3"/>
        <v>Yes</v>
      </c>
      <c r="L5" s="7" t="str">
        <f t="shared" si="4"/>
        <v>Effective when signed whether or not paid, section 8134, except the exceptions stated</v>
      </c>
    </row>
    <row r="6" spans="1:12" x14ac:dyDescent="0.2">
      <c r="A6" s="5" t="s">
        <v>190</v>
      </c>
      <c r="B6" s="5" t="s">
        <v>259</v>
      </c>
      <c r="C6" s="5" t="s">
        <v>131</v>
      </c>
      <c r="D6" s="5">
        <f t="shared" si="0"/>
        <v>46142</v>
      </c>
      <c r="E6" s="6">
        <v>143710</v>
      </c>
      <c r="F6" s="7" t="s">
        <v>234</v>
      </c>
      <c r="G6" s="5"/>
      <c r="H6" s="5" t="str">
        <f t="shared" si="1"/>
        <v/>
      </c>
      <c r="I6" s="5" t="str">
        <f>IF(G6="","No payment named",IFERROR(INDEX('DK Ledger'!$G$4:$G$42,MATCH(H6,'DK Ledger'!$A$4:$A$42,0))&amp;" "&amp;INDEX('DK Ledger'!$H$4:$H$42,MATCH(H6,'DK Ledger'!$A$4:$A$42,0)),"Not on the ledger"))</f>
        <v>No payment named</v>
      </c>
      <c r="J6" s="5" t="str">
        <f t="shared" si="2"/>
        <v>Yes</v>
      </c>
      <c r="K6" s="5" t="str">
        <f t="shared" si="3"/>
        <v>Yes</v>
      </c>
      <c r="L6" s="7" t="str">
        <f t="shared" si="4"/>
        <v>Effective when signed whether or not paid, section 8134, except the exceptions stated</v>
      </c>
    </row>
    <row r="7" spans="1:12" ht="30" x14ac:dyDescent="0.2">
      <c r="A7" s="5" t="s">
        <v>190</v>
      </c>
      <c r="B7" s="5" t="s">
        <v>261</v>
      </c>
      <c r="C7" s="5" t="s">
        <v>262</v>
      </c>
      <c r="D7" s="5">
        <f t="shared" si="0"/>
        <v>46150</v>
      </c>
      <c r="E7" s="6">
        <v>12675</v>
      </c>
      <c r="F7" s="7" t="s">
        <v>263</v>
      </c>
      <c r="G7" s="5"/>
      <c r="H7" s="5" t="str">
        <f t="shared" si="1"/>
        <v/>
      </c>
      <c r="I7" s="5" t="str">
        <f>IF(G7="","No payment named",IFERROR(INDEX('DK Ledger'!$G$4:$G$42,MATCH(H7,'DK Ledger'!$A$4:$A$42,0))&amp;" "&amp;INDEX('DK Ledger'!$H$4:$H$42,MATCH(H7,'DK Ledger'!$A$4:$A$42,0)),"Not on the ledger"))</f>
        <v>No payment named</v>
      </c>
      <c r="J7" s="5" t="str">
        <f t="shared" si="2"/>
        <v>No</v>
      </c>
      <c r="K7" s="5" t="str">
        <f t="shared" si="3"/>
        <v>No</v>
      </c>
      <c r="L7" s="7" t="str">
        <f t="shared" si="4"/>
        <v>Not in the statutory form, section 8132(a), releases nothing</v>
      </c>
    </row>
    <row r="8" spans="1:12" x14ac:dyDescent="0.2">
      <c r="A8" s="5" t="s">
        <v>204</v>
      </c>
      <c r="B8" s="5" t="s">
        <v>259</v>
      </c>
      <c r="C8" s="5" t="s">
        <v>125</v>
      </c>
      <c r="D8" s="5">
        <f t="shared" si="0"/>
        <v>46112</v>
      </c>
      <c r="E8" s="6">
        <v>32110</v>
      </c>
      <c r="F8" s="7" t="s">
        <v>234</v>
      </c>
      <c r="G8" s="5"/>
      <c r="H8" s="5" t="str">
        <f t="shared" si="1"/>
        <v/>
      </c>
      <c r="I8" s="5" t="str">
        <f>IF(G8="","No payment named",IFERROR(INDEX('DK Ledger'!$G$4:$G$42,MATCH(H8,'DK Ledger'!$A$4:$A$42,0))&amp;" "&amp;INDEX('DK Ledger'!$H$4:$H$42,MATCH(H8,'DK Ledger'!$A$4:$A$42,0)),"Not on the ledger"))</f>
        <v>No payment named</v>
      </c>
      <c r="J8" s="5" t="str">
        <f t="shared" si="2"/>
        <v>Yes</v>
      </c>
      <c r="K8" s="5" t="str">
        <f t="shared" si="3"/>
        <v>Yes</v>
      </c>
      <c r="L8" s="7" t="str">
        <f t="shared" si="4"/>
        <v>Effective when signed whether or not paid, section 8134, except the exceptions stated</v>
      </c>
    </row>
    <row r="9" spans="1:12" x14ac:dyDescent="0.2">
      <c r="A9" s="5" t="s">
        <v>204</v>
      </c>
      <c r="B9" s="5" t="s">
        <v>259</v>
      </c>
      <c r="C9" s="5" t="s">
        <v>131</v>
      </c>
      <c r="D9" s="5">
        <f t="shared" si="0"/>
        <v>46142</v>
      </c>
      <c r="E9" s="6">
        <v>97565</v>
      </c>
      <c r="F9" s="7" t="s">
        <v>234</v>
      </c>
      <c r="G9" s="5"/>
      <c r="H9" s="5" t="str">
        <f t="shared" si="1"/>
        <v/>
      </c>
      <c r="I9" s="5" t="str">
        <f>IF(G9="","No payment named",IFERROR(INDEX('DK Ledger'!$G$4:$G$42,MATCH(H9,'DK Ledger'!$A$4:$A$42,0))&amp;" "&amp;INDEX('DK Ledger'!$H$4:$H$42,MATCH(H9,'DK Ledger'!$A$4:$A$42,0)),"Not on the ledger"))</f>
        <v>No payment named</v>
      </c>
      <c r="J9" s="5" t="str">
        <f t="shared" si="2"/>
        <v>Yes</v>
      </c>
      <c r="K9" s="5" t="str">
        <f t="shared" si="3"/>
        <v>Yes</v>
      </c>
      <c r="L9" s="7" t="str">
        <f t="shared" si="4"/>
        <v>Effective when signed whether or not paid, section 8134, except the exceptions stated</v>
      </c>
    </row>
    <row r="10" spans="1:12" x14ac:dyDescent="0.2">
      <c r="A10" s="5" t="s">
        <v>204</v>
      </c>
      <c r="B10" s="5" t="s">
        <v>259</v>
      </c>
      <c r="C10" s="5" t="s">
        <v>264</v>
      </c>
      <c r="D10" s="5">
        <f t="shared" si="0"/>
        <v>46173</v>
      </c>
      <c r="E10" s="6">
        <v>66860</v>
      </c>
      <c r="F10" s="7" t="s">
        <v>234</v>
      </c>
      <c r="G10" s="5"/>
      <c r="H10" s="5" t="str">
        <f t="shared" si="1"/>
        <v/>
      </c>
      <c r="I10" s="5" t="str">
        <f>IF(G10="","No payment named",IFERROR(INDEX('DK Ledger'!$G$4:$G$42,MATCH(H10,'DK Ledger'!$A$4:$A$42,0))&amp;" "&amp;INDEX('DK Ledger'!$H$4:$H$42,MATCH(H10,'DK Ledger'!$A$4:$A$42,0)),"Not on the ledger"))</f>
        <v>No payment named</v>
      </c>
      <c r="J10" s="5" t="str">
        <f t="shared" si="2"/>
        <v>Yes</v>
      </c>
      <c r="K10" s="5" t="str">
        <f t="shared" si="3"/>
        <v>Yes</v>
      </c>
      <c r="L10" s="7" t="str">
        <f t="shared" si="4"/>
        <v>Effective when signed whether or not paid, section 8134, except the exceptions stated</v>
      </c>
    </row>
    <row r="11" spans="1:12" x14ac:dyDescent="0.2">
      <c r="A11" s="5" t="s">
        <v>204</v>
      </c>
      <c r="B11" s="5" t="s">
        <v>259</v>
      </c>
      <c r="C11" s="5" t="s">
        <v>153</v>
      </c>
      <c r="D11" s="5">
        <f t="shared" si="0"/>
        <v>46203</v>
      </c>
      <c r="E11" s="6">
        <v>88920</v>
      </c>
      <c r="F11" s="7" t="s">
        <v>234</v>
      </c>
      <c r="G11" s="5"/>
      <c r="H11" s="5" t="str">
        <f t="shared" si="1"/>
        <v/>
      </c>
      <c r="I11" s="5" t="str">
        <f>IF(G11="","No payment named",IFERROR(INDEX('DK Ledger'!$G$4:$G$42,MATCH(H11,'DK Ledger'!$A$4:$A$42,0))&amp;" "&amp;INDEX('DK Ledger'!$H$4:$H$42,MATCH(H11,'DK Ledger'!$A$4:$A$42,0)),"Not on the ledger"))</f>
        <v>No payment named</v>
      </c>
      <c r="J11" s="5" t="str">
        <f t="shared" si="2"/>
        <v>Yes</v>
      </c>
      <c r="K11" s="5" t="str">
        <f t="shared" si="3"/>
        <v>Yes</v>
      </c>
      <c r="L11" s="7" t="str">
        <f t="shared" si="4"/>
        <v>Effective when signed whether or not paid, section 8134, except the exceptions stated</v>
      </c>
    </row>
    <row r="12" spans="1:12" x14ac:dyDescent="0.2">
      <c r="A12" s="5" t="s">
        <v>204</v>
      </c>
      <c r="B12" s="5" t="s">
        <v>265</v>
      </c>
      <c r="C12" s="5" t="s">
        <v>167</v>
      </c>
      <c r="D12" s="5">
        <f t="shared" si="0"/>
        <v>46234</v>
      </c>
      <c r="E12" s="6">
        <v>73910</v>
      </c>
      <c r="F12" s="7" t="s">
        <v>234</v>
      </c>
      <c r="G12" s="5" t="s">
        <v>266</v>
      </c>
      <c r="H12" s="5">
        <f t="shared" si="1"/>
        <v>4460</v>
      </c>
      <c r="I12" s="5" t="str">
        <f>IF(G12="","No payment named",IFERROR(INDEX('DK Ledger'!$G$4:$G$42,MATCH(H12,'DK Ledger'!$A$4:$A$42,0))&amp;" "&amp;INDEX('DK Ledger'!$H$4:$H$42,MATCH(H12,'DK Ledger'!$A$4:$A$42,0)),"Not on the ledger"))</f>
        <v>Stopped 08/24/2026</v>
      </c>
      <c r="J12" s="5" t="str">
        <f t="shared" si="2"/>
        <v>Yes</v>
      </c>
      <c r="K12" s="5" t="str">
        <f t="shared" si="3"/>
        <v>No</v>
      </c>
      <c r="L12" s="7" t="str">
        <f t="shared" si="4"/>
        <v>Check not paid, no evidence of payment under section 8126, releases nothing</v>
      </c>
    </row>
    <row r="13" spans="1:12" x14ac:dyDescent="0.2">
      <c r="A13" s="5" t="s">
        <v>209</v>
      </c>
      <c r="B13" s="5" t="s">
        <v>259</v>
      </c>
      <c r="C13" s="5" t="s">
        <v>264</v>
      </c>
      <c r="D13" s="5">
        <f t="shared" si="0"/>
        <v>46173</v>
      </c>
      <c r="E13" s="6">
        <v>12825</v>
      </c>
      <c r="F13" s="7" t="s">
        <v>234</v>
      </c>
      <c r="G13" s="5"/>
      <c r="H13" s="5" t="str">
        <f t="shared" si="1"/>
        <v/>
      </c>
      <c r="I13" s="5" t="str">
        <f>IF(G13="","No payment named",IFERROR(INDEX('DK Ledger'!$G$4:$G$42,MATCH(H13,'DK Ledger'!$A$4:$A$42,0))&amp;" "&amp;INDEX('DK Ledger'!$H$4:$H$42,MATCH(H13,'DK Ledger'!$A$4:$A$42,0)),"Not on the ledger"))</f>
        <v>No payment named</v>
      </c>
      <c r="J13" s="5" t="str">
        <f t="shared" si="2"/>
        <v>Yes</v>
      </c>
      <c r="K13" s="5" t="str">
        <f t="shared" si="3"/>
        <v>Yes</v>
      </c>
      <c r="L13" s="7" t="str">
        <f t="shared" si="4"/>
        <v>Effective when signed whether or not paid, section 8134, except the exceptions stated</v>
      </c>
    </row>
    <row r="14" spans="1:12" x14ac:dyDescent="0.2">
      <c r="A14" s="5" t="s">
        <v>209</v>
      </c>
      <c r="B14" s="5" t="s">
        <v>259</v>
      </c>
      <c r="C14" s="5" t="s">
        <v>153</v>
      </c>
      <c r="D14" s="5">
        <f t="shared" si="0"/>
        <v>46203</v>
      </c>
      <c r="E14" s="6">
        <v>21755</v>
      </c>
      <c r="F14" s="7" t="s">
        <v>234</v>
      </c>
      <c r="G14" s="5"/>
      <c r="H14" s="5" t="str">
        <f t="shared" si="1"/>
        <v/>
      </c>
      <c r="I14" s="5" t="str">
        <f>IF(G14="","No payment named",IFERROR(INDEX('DK Ledger'!$G$4:$G$42,MATCH(H14,'DK Ledger'!$A$4:$A$42,0))&amp;" "&amp;INDEX('DK Ledger'!$H$4:$H$42,MATCH(H14,'DK Ledger'!$A$4:$A$42,0)),"Not on the ledger"))</f>
        <v>No payment named</v>
      </c>
      <c r="J14" s="5" t="str">
        <f t="shared" si="2"/>
        <v>Yes</v>
      </c>
      <c r="K14" s="5" t="str">
        <f t="shared" si="3"/>
        <v>Yes</v>
      </c>
      <c r="L14" s="7" t="str">
        <f t="shared" si="4"/>
        <v>Effective when signed whether or not paid, section 8134, except the exceptions stated</v>
      </c>
    </row>
    <row r="15" spans="1:12" x14ac:dyDescent="0.2">
      <c r="A15" s="5" t="s">
        <v>209</v>
      </c>
      <c r="B15" s="5" t="s">
        <v>259</v>
      </c>
      <c r="C15" s="5" t="s">
        <v>167</v>
      </c>
      <c r="D15" s="5">
        <f t="shared" si="0"/>
        <v>46234</v>
      </c>
      <c r="E15" s="6">
        <v>38475</v>
      </c>
      <c r="F15" s="7" t="s">
        <v>267</v>
      </c>
      <c r="G15" s="5"/>
      <c r="H15" s="5" t="str">
        <f t="shared" si="1"/>
        <v/>
      </c>
      <c r="I15" s="5" t="str">
        <f>IF(G15="","No payment named",IFERROR(INDEX('DK Ledger'!$G$4:$G$42,MATCH(H15,'DK Ledger'!$A$4:$A$42,0))&amp;" "&amp;INDEX('DK Ledger'!$H$4:$H$42,MATCH(H15,'DK Ledger'!$A$4:$A$42,0)),"Not on the ledger"))</f>
        <v>No payment named</v>
      </c>
      <c r="J15" s="5" t="str">
        <f t="shared" si="2"/>
        <v>Yes</v>
      </c>
      <c r="K15" s="5" t="str">
        <f t="shared" si="3"/>
        <v>Yes</v>
      </c>
      <c r="L15" s="7" t="str">
        <f t="shared" si="4"/>
        <v>Effective when signed whether or not paid, section 8134, except the exceptions stated</v>
      </c>
    </row>
    <row r="16" spans="1:12" x14ac:dyDescent="0.2">
      <c r="A16" s="5" t="s">
        <v>214</v>
      </c>
      <c r="B16" s="5" t="s">
        <v>259</v>
      </c>
      <c r="C16" s="5" t="s">
        <v>260</v>
      </c>
      <c r="D16" s="5">
        <f t="shared" si="0"/>
        <v>46081</v>
      </c>
      <c r="E16" s="6">
        <v>152950</v>
      </c>
      <c r="F16" s="7" t="s">
        <v>234</v>
      </c>
      <c r="G16" s="5"/>
      <c r="H16" s="5" t="str">
        <f t="shared" si="1"/>
        <v/>
      </c>
      <c r="I16" s="5" t="str">
        <f>IF(G16="","No payment named",IFERROR(INDEX('DK Ledger'!$G$4:$G$42,MATCH(H16,'DK Ledger'!$A$4:$A$42,0))&amp;" "&amp;INDEX('DK Ledger'!$H$4:$H$42,MATCH(H16,'DK Ledger'!$A$4:$A$42,0)),"Not on the ledger"))</f>
        <v>No payment named</v>
      </c>
      <c r="J16" s="5" t="str">
        <f t="shared" si="2"/>
        <v>Yes</v>
      </c>
      <c r="K16" s="5" t="str">
        <f t="shared" si="3"/>
        <v>Yes</v>
      </c>
      <c r="L16" s="7" t="str">
        <f t="shared" si="4"/>
        <v>Effective when signed whether or not paid, section 8134, except the exceptions stated</v>
      </c>
    </row>
    <row r="17" spans="1:12" x14ac:dyDescent="0.2">
      <c r="A17" s="5" t="s">
        <v>214</v>
      </c>
      <c r="B17" s="5" t="s">
        <v>259</v>
      </c>
      <c r="C17" s="5" t="s">
        <v>125</v>
      </c>
      <c r="D17" s="5">
        <f t="shared" si="0"/>
        <v>46112</v>
      </c>
      <c r="E17" s="6">
        <v>121600</v>
      </c>
      <c r="F17" s="7" t="s">
        <v>234</v>
      </c>
      <c r="G17" s="5"/>
      <c r="H17" s="5" t="str">
        <f t="shared" si="1"/>
        <v/>
      </c>
      <c r="I17" s="5" t="str">
        <f>IF(G17="","No payment named",IFERROR(INDEX('DK Ledger'!$G$4:$G$42,MATCH(H17,'DK Ledger'!$A$4:$A$42,0))&amp;" "&amp;INDEX('DK Ledger'!$H$4:$H$42,MATCH(H17,'DK Ledger'!$A$4:$A$42,0)),"Not on the ledger"))</f>
        <v>No payment named</v>
      </c>
      <c r="J17" s="5" t="str">
        <f t="shared" si="2"/>
        <v>Yes</v>
      </c>
      <c r="K17" s="5" t="str">
        <f t="shared" si="3"/>
        <v>Yes</v>
      </c>
      <c r="L17" s="7" t="str">
        <f t="shared" si="4"/>
        <v>Effective when signed whether or not paid, section 8134, except the exceptions stated</v>
      </c>
    </row>
    <row r="18" spans="1:12" x14ac:dyDescent="0.2">
      <c r="A18" s="5" t="s">
        <v>214</v>
      </c>
      <c r="B18" s="5" t="s">
        <v>259</v>
      </c>
      <c r="C18" s="5" t="s">
        <v>131</v>
      </c>
      <c r="D18" s="5">
        <f t="shared" si="0"/>
        <v>46142</v>
      </c>
      <c r="E18" s="6">
        <v>98325</v>
      </c>
      <c r="F18" s="7" t="s">
        <v>234</v>
      </c>
      <c r="G18" s="5"/>
      <c r="H18" s="5" t="str">
        <f t="shared" si="1"/>
        <v/>
      </c>
      <c r="I18" s="5" t="str">
        <f>IF(G18="","No payment named",IFERROR(INDEX('DK Ledger'!$G$4:$G$42,MATCH(H18,'DK Ledger'!$A$4:$A$42,0))&amp;" "&amp;INDEX('DK Ledger'!$H$4:$H$42,MATCH(H18,'DK Ledger'!$A$4:$A$42,0)),"Not on the ledger"))</f>
        <v>No payment named</v>
      </c>
      <c r="J18" s="5" t="str">
        <f t="shared" si="2"/>
        <v>Yes</v>
      </c>
      <c r="K18" s="5" t="str">
        <f t="shared" si="3"/>
        <v>Yes</v>
      </c>
      <c r="L18" s="7" t="str">
        <f t="shared" si="4"/>
        <v>Effective when signed whether or not paid, section 8134, except the exceptions stated</v>
      </c>
    </row>
    <row r="19" spans="1:12" x14ac:dyDescent="0.2">
      <c r="A19" s="5" t="s">
        <v>214</v>
      </c>
      <c r="B19" s="5" t="s">
        <v>259</v>
      </c>
      <c r="C19" s="5" t="s">
        <v>264</v>
      </c>
      <c r="D19" s="5">
        <f t="shared" si="0"/>
        <v>46173</v>
      </c>
      <c r="E19" s="6">
        <v>89305</v>
      </c>
      <c r="F19" s="7" t="s">
        <v>234</v>
      </c>
      <c r="G19" s="5"/>
      <c r="H19" s="5" t="str">
        <f t="shared" si="1"/>
        <v/>
      </c>
      <c r="I19" s="5" t="str">
        <f>IF(G19="","No payment named",IFERROR(INDEX('DK Ledger'!$G$4:$G$42,MATCH(H19,'DK Ledger'!$A$4:$A$42,0))&amp;" "&amp;INDEX('DK Ledger'!$H$4:$H$42,MATCH(H19,'DK Ledger'!$A$4:$A$42,0)),"Not on the ledger"))</f>
        <v>No payment named</v>
      </c>
      <c r="J19" s="5" t="str">
        <f t="shared" si="2"/>
        <v>Yes</v>
      </c>
      <c r="K19" s="5" t="str">
        <f t="shared" si="3"/>
        <v>Yes</v>
      </c>
      <c r="L19" s="7" t="str">
        <f t="shared" si="4"/>
        <v>Effective when signed whether or not paid, section 8134, except the exceptions stated</v>
      </c>
    </row>
    <row r="20" spans="1:12" x14ac:dyDescent="0.2">
      <c r="A20" s="5" t="s">
        <v>214</v>
      </c>
      <c r="B20" s="5" t="s">
        <v>259</v>
      </c>
      <c r="C20" s="5" t="s">
        <v>153</v>
      </c>
      <c r="D20" s="5">
        <f t="shared" si="0"/>
        <v>46203</v>
      </c>
      <c r="E20" s="6">
        <v>120113</v>
      </c>
      <c r="F20" s="7" t="s">
        <v>234</v>
      </c>
      <c r="G20" s="5"/>
      <c r="H20" s="5" t="str">
        <f t="shared" si="1"/>
        <v/>
      </c>
      <c r="I20" s="5" t="str">
        <f>IF(G20="","No payment named",IFERROR(INDEX('DK Ledger'!$G$4:$G$42,MATCH(H20,'DK Ledger'!$A$4:$A$42,0))&amp;" "&amp;INDEX('DK Ledger'!$H$4:$H$42,MATCH(H20,'DK Ledger'!$A$4:$A$42,0)),"Not on the ledger"))</f>
        <v>No payment named</v>
      </c>
      <c r="J20" s="5" t="str">
        <f t="shared" si="2"/>
        <v>Yes</v>
      </c>
      <c r="K20" s="5" t="str">
        <f t="shared" si="3"/>
        <v>Yes</v>
      </c>
      <c r="L20" s="7" t="str">
        <f t="shared" si="4"/>
        <v>Effective when signed whether or not paid, section 8134, except the exceptions stated</v>
      </c>
    </row>
    <row r="21" spans="1:12" x14ac:dyDescent="0.2">
      <c r="A21" s="5" t="s">
        <v>214</v>
      </c>
      <c r="B21" s="5" t="s">
        <v>265</v>
      </c>
      <c r="C21" s="5" t="s">
        <v>167</v>
      </c>
      <c r="D21" s="5">
        <f t="shared" si="0"/>
        <v>46234</v>
      </c>
      <c r="E21" s="6">
        <v>41230</v>
      </c>
      <c r="F21" s="7" t="s">
        <v>234</v>
      </c>
      <c r="G21" s="5" t="s">
        <v>268</v>
      </c>
      <c r="H21" s="5">
        <f t="shared" si="1"/>
        <v>4461</v>
      </c>
      <c r="I21" s="5" t="str">
        <f>IF(G21="","No payment named",IFERROR(INDEX('DK Ledger'!$G$4:$G$42,MATCH(H21,'DK Ledger'!$A$4:$A$42,0))&amp;" "&amp;INDEX('DK Ledger'!$H$4:$H$42,MATCH(H21,'DK Ledger'!$A$4:$A$42,0)),"Not on the ledger"))</f>
        <v>Cleared 08/24/2026</v>
      </c>
      <c r="J21" s="5" t="str">
        <f t="shared" si="2"/>
        <v>Yes</v>
      </c>
      <c r="K21" s="5" t="str">
        <f t="shared" si="3"/>
        <v>Yes</v>
      </c>
      <c r="L21" s="7" t="str">
        <f t="shared" si="4"/>
        <v>Check paid, evidence of payment under section 8126, effective</v>
      </c>
    </row>
    <row r="22" spans="1:12" x14ac:dyDescent="0.2">
      <c r="A22" s="5" t="s">
        <v>219</v>
      </c>
      <c r="B22" s="5" t="s">
        <v>259</v>
      </c>
      <c r="C22" s="5" t="s">
        <v>131</v>
      </c>
      <c r="D22" s="5">
        <f t="shared" si="0"/>
        <v>46142</v>
      </c>
      <c r="E22" s="6">
        <v>8700</v>
      </c>
      <c r="F22" s="7" t="s">
        <v>234</v>
      </c>
      <c r="G22" s="5"/>
      <c r="H22" s="5" t="str">
        <f t="shared" si="1"/>
        <v/>
      </c>
      <c r="I22" s="5" t="str">
        <f>IF(G22="","No payment named",IFERROR(INDEX('DK Ledger'!$G$4:$G$42,MATCH(H22,'DK Ledger'!$A$4:$A$42,0))&amp;" "&amp;INDEX('DK Ledger'!$H$4:$H$42,MATCH(H22,'DK Ledger'!$A$4:$A$42,0)),"Not on the ledger"))</f>
        <v>No payment named</v>
      </c>
      <c r="J22" s="5" t="str">
        <f t="shared" si="2"/>
        <v>Yes</v>
      </c>
      <c r="K22" s="5" t="str">
        <f t="shared" si="3"/>
        <v>Yes</v>
      </c>
      <c r="L22" s="7" t="str">
        <f t="shared" si="4"/>
        <v>Effective when signed whether or not paid, section 8134, except the exceptions stated</v>
      </c>
    </row>
    <row r="23" spans="1:12" x14ac:dyDescent="0.2">
      <c r="A23" s="5" t="s">
        <v>219</v>
      </c>
      <c r="B23" s="5" t="s">
        <v>259</v>
      </c>
      <c r="C23" s="5" t="s">
        <v>264</v>
      </c>
      <c r="D23" s="5">
        <f t="shared" si="0"/>
        <v>46173</v>
      </c>
      <c r="E23" s="6">
        <v>46170</v>
      </c>
      <c r="F23" s="7" t="s">
        <v>234</v>
      </c>
      <c r="G23" s="5"/>
      <c r="H23" s="5" t="str">
        <f t="shared" si="1"/>
        <v/>
      </c>
      <c r="I23" s="5" t="str">
        <f>IF(G23="","No payment named",IFERROR(INDEX('DK Ledger'!$G$4:$G$42,MATCH(H23,'DK Ledger'!$A$4:$A$42,0))&amp;" "&amp;INDEX('DK Ledger'!$H$4:$H$42,MATCH(H23,'DK Ledger'!$A$4:$A$42,0)),"Not on the ledger"))</f>
        <v>No payment named</v>
      </c>
      <c r="J23" s="5" t="str">
        <f t="shared" si="2"/>
        <v>Yes</v>
      </c>
      <c r="K23" s="5" t="str">
        <f t="shared" si="3"/>
        <v>Yes</v>
      </c>
      <c r="L23" s="7" t="str">
        <f t="shared" si="4"/>
        <v>Effective when signed whether or not paid, section 8134, except the exceptions stated</v>
      </c>
    </row>
    <row r="24" spans="1:12" x14ac:dyDescent="0.2">
      <c r="A24" s="5" t="s">
        <v>219</v>
      </c>
      <c r="B24" s="5" t="s">
        <v>259</v>
      </c>
      <c r="C24" s="5" t="s">
        <v>153</v>
      </c>
      <c r="D24" s="5">
        <f t="shared" si="0"/>
        <v>46203</v>
      </c>
      <c r="E24" s="6">
        <v>100515</v>
      </c>
      <c r="F24" s="7" t="s">
        <v>234</v>
      </c>
      <c r="G24" s="5"/>
      <c r="H24" s="5" t="str">
        <f t="shared" si="1"/>
        <v/>
      </c>
      <c r="I24" s="5" t="str">
        <f>IF(G24="","No payment named",IFERROR(INDEX('DK Ledger'!$G$4:$G$42,MATCH(H24,'DK Ledger'!$A$4:$A$42,0))&amp;" "&amp;INDEX('DK Ledger'!$H$4:$H$42,MATCH(H24,'DK Ledger'!$A$4:$A$42,0)),"Not on the ledger"))</f>
        <v>No payment named</v>
      </c>
      <c r="J24" s="5" t="str">
        <f t="shared" si="2"/>
        <v>Yes</v>
      </c>
      <c r="K24" s="5" t="str">
        <f t="shared" si="3"/>
        <v>Yes</v>
      </c>
      <c r="L24" s="7" t="str">
        <f t="shared" si="4"/>
        <v>Effective when signed whether or not paid, section 8134, except the exceptions stated</v>
      </c>
    </row>
    <row r="26" spans="1:12" x14ac:dyDescent="0.2">
      <c r="A26" s="8" t="s">
        <v>269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25"/>
  <sheetViews>
    <sheetView workbookViewId="0"/>
  </sheetViews>
  <sheetFormatPr baseColWidth="10" defaultColWidth="8.83203125" defaultRowHeight="15" x14ac:dyDescent="0.2"/>
  <cols>
    <col min="1" max="1" width="34" customWidth="1"/>
    <col min="2" max="2" width="66" customWidth="1"/>
    <col min="3" max="3" width="14" customWidth="1"/>
    <col min="4" max="4" width="12" customWidth="1"/>
    <col min="5" max="5" width="13" customWidth="1"/>
    <col min="6" max="6" width="12" customWidth="1"/>
    <col min="7" max="7" width="22" customWidth="1"/>
    <col min="8" max="8" width="14" customWidth="1"/>
    <col min="9" max="9" width="48" customWidth="1"/>
  </cols>
  <sheetData>
    <row r="1" spans="1:9" ht="17" x14ac:dyDescent="0.2">
      <c r="A1" s="1" t="s">
        <v>270</v>
      </c>
    </row>
    <row r="3" spans="1:9" ht="30" x14ac:dyDescent="0.2">
      <c r="A3" s="4" t="s">
        <v>25</v>
      </c>
      <c r="B3" s="4" t="s">
        <v>271</v>
      </c>
      <c r="C3" s="4" t="s">
        <v>272</v>
      </c>
      <c r="D3" s="4" t="s">
        <v>273</v>
      </c>
      <c r="E3" s="4" t="s">
        <v>115</v>
      </c>
      <c r="F3" s="4" t="s">
        <v>274</v>
      </c>
      <c r="G3" s="4" t="s">
        <v>275</v>
      </c>
      <c r="H3" s="4" t="s">
        <v>276</v>
      </c>
      <c r="I3" s="4" t="s">
        <v>189</v>
      </c>
    </row>
    <row r="4" spans="1:9" x14ac:dyDescent="0.2">
      <c r="A4" s="5" t="s">
        <v>190</v>
      </c>
      <c r="B4" s="7" t="s">
        <v>277</v>
      </c>
      <c r="C4" s="5" t="s">
        <v>262</v>
      </c>
      <c r="D4" s="5">
        <f t="shared" ref="D4:D22" si="0">DATE(VALUE(RIGHT(C4,4)),VALUE(LEFT(C4,2)),VALUE(MID(C4,4,2)))</f>
        <v>46150</v>
      </c>
      <c r="E4" s="6">
        <v>20600</v>
      </c>
      <c r="F4" s="5" t="str">
        <f>IF(D4&gt;=INDEX('Prelim Notices'!$I$4:$I$10,MATCH(A4,'Prelim Notices'!$A$4:$A$10,0)),"Yes","No")</f>
        <v>Yes</v>
      </c>
      <c r="G4" s="5" t="str">
        <f>IF(LEFT(B4,9)="Retention","No, retention is excepted",IF(COUNTIFS(Waivers!$A$4:$A$24,A4,Waivers!$K$4:$K$24,"Yes",Waivers!$D$4:$D$24,"&gt;="&amp;D4)&gt;0,"Yes","No"))</f>
        <v>No, retention is excepted</v>
      </c>
      <c r="H4" s="6">
        <f t="shared" ref="H4:H22" si="1">IF(AND(F4="Yes",LEFT(G4,2)="No"),E4,0)</f>
        <v>20600</v>
      </c>
      <c r="I4" s="7" t="s">
        <v>278</v>
      </c>
    </row>
    <row r="5" spans="1:9" x14ac:dyDescent="0.2">
      <c r="A5" s="5" t="s">
        <v>190</v>
      </c>
      <c r="B5" s="7" t="s">
        <v>279</v>
      </c>
      <c r="C5" s="5" t="s">
        <v>262</v>
      </c>
      <c r="D5" s="5">
        <f t="shared" si="0"/>
        <v>46150</v>
      </c>
      <c r="E5" s="6">
        <v>12675</v>
      </c>
      <c r="F5" s="5" t="str">
        <f>IF(D5&gt;=INDEX('Prelim Notices'!$I$4:$I$10,MATCH(A5,'Prelim Notices'!$A$4:$A$10,0)),"Yes","No")</f>
        <v>Yes</v>
      </c>
      <c r="G5" s="5" t="str">
        <f>IF(LEFT(B5,9)="Retention","No, retention is excepted",IF(COUNTIFS(Waivers!$A$4:$A$24,A5,Waivers!$K$4:$K$24,"Yes",Waivers!$D$4:$D$24,"&gt;="&amp;D5)&gt;0,"Yes","No"))</f>
        <v>No</v>
      </c>
      <c r="H5" s="6">
        <f t="shared" si="1"/>
        <v>12675</v>
      </c>
      <c r="I5" s="7" t="s">
        <v>280</v>
      </c>
    </row>
    <row r="6" spans="1:9" x14ac:dyDescent="0.2">
      <c r="A6" s="5" t="s">
        <v>195</v>
      </c>
      <c r="B6" s="7" t="s">
        <v>281</v>
      </c>
      <c r="C6" s="5" t="s">
        <v>282</v>
      </c>
      <c r="D6" s="5">
        <f t="shared" si="0"/>
        <v>46133</v>
      </c>
      <c r="E6" s="6">
        <v>27640</v>
      </c>
      <c r="F6" s="5" t="str">
        <f>IF(D6&gt;=INDEX('Prelim Notices'!$I$4:$I$10,MATCH(A6,'Prelim Notices'!$A$4:$A$10,0)),"Yes","No")</f>
        <v>Yes</v>
      </c>
      <c r="G6" s="5" t="str">
        <f>IF(LEFT(B6,9)="Retention","No, retention is excepted",IF(COUNTIFS(Waivers!$A$4:$A$24,A6,Waivers!$K$4:$K$24,"Yes",Waivers!$D$4:$D$24,"&gt;="&amp;D6)&gt;0,"Yes","No"))</f>
        <v>No</v>
      </c>
      <c r="H6" s="6">
        <f t="shared" si="1"/>
        <v>27640</v>
      </c>
      <c r="I6" s="7" t="s">
        <v>283</v>
      </c>
    </row>
    <row r="7" spans="1:9" x14ac:dyDescent="0.2">
      <c r="A7" s="5" t="s">
        <v>200</v>
      </c>
      <c r="B7" s="7" t="s">
        <v>284</v>
      </c>
      <c r="C7" s="5" t="s">
        <v>129</v>
      </c>
      <c r="D7" s="5">
        <f t="shared" si="0"/>
        <v>46140</v>
      </c>
      <c r="E7" s="6">
        <v>11406.25</v>
      </c>
      <c r="F7" s="5" t="str">
        <f>IF(D7&gt;=INDEX('Prelim Notices'!$I$4:$I$10,MATCH(A7,'Prelim Notices'!$A$4:$A$10,0)),"Yes","No")</f>
        <v>No</v>
      </c>
      <c r="G7" s="5" t="str">
        <f>IF(LEFT(B7,9)="Retention","No, retention is excepted",IF(COUNTIFS(Waivers!$A$4:$A$24,A7,Waivers!$K$4:$K$24,"Yes",Waivers!$D$4:$D$24,"&gt;="&amp;D7)&gt;0,"Yes","No"))</f>
        <v>No</v>
      </c>
      <c r="H7" s="6">
        <f t="shared" si="1"/>
        <v>0</v>
      </c>
      <c r="I7" s="7" t="s">
        <v>285</v>
      </c>
    </row>
    <row r="8" spans="1:9" x14ac:dyDescent="0.2">
      <c r="A8" s="5" t="s">
        <v>200</v>
      </c>
      <c r="B8" s="7" t="s">
        <v>286</v>
      </c>
      <c r="C8" s="5" t="s">
        <v>140</v>
      </c>
      <c r="D8" s="5">
        <f t="shared" si="0"/>
        <v>46147</v>
      </c>
      <c r="E8" s="6">
        <v>6930</v>
      </c>
      <c r="F8" s="5" t="str">
        <f>IF(D8&gt;=INDEX('Prelim Notices'!$I$4:$I$10,MATCH(A8,'Prelim Notices'!$A$4:$A$10,0)),"Yes","No")</f>
        <v>No</v>
      </c>
      <c r="G8" s="5" t="str">
        <f>IF(LEFT(B8,9)="Retention","No, retention is excepted",IF(COUNTIFS(Waivers!$A$4:$A$24,A8,Waivers!$K$4:$K$24,"Yes",Waivers!$D$4:$D$24,"&gt;="&amp;D8)&gt;0,"Yes","No"))</f>
        <v>No</v>
      </c>
      <c r="H8" s="6">
        <f t="shared" si="1"/>
        <v>0</v>
      </c>
      <c r="I8" s="7" t="s">
        <v>285</v>
      </c>
    </row>
    <row r="9" spans="1:9" x14ac:dyDescent="0.2">
      <c r="A9" s="5" t="s">
        <v>200</v>
      </c>
      <c r="B9" s="7" t="s">
        <v>287</v>
      </c>
      <c r="C9" s="5" t="s">
        <v>288</v>
      </c>
      <c r="D9" s="5">
        <f t="shared" si="0"/>
        <v>46154</v>
      </c>
      <c r="E9" s="6">
        <v>8118.75</v>
      </c>
      <c r="F9" s="5" t="str">
        <f>IF(D9&gt;=INDEX('Prelim Notices'!$I$4:$I$10,MATCH(A9,'Prelim Notices'!$A$4:$A$10,0)),"Yes","No")</f>
        <v>Yes</v>
      </c>
      <c r="G9" s="5" t="str">
        <f>IF(LEFT(B9,9)="Retention","No, retention is excepted",IF(COUNTIFS(Waivers!$A$4:$A$24,A9,Waivers!$K$4:$K$24,"Yes",Waivers!$D$4:$D$24,"&gt;="&amp;D9)&gt;0,"Yes","No"))</f>
        <v>No</v>
      </c>
      <c r="H9" s="6">
        <f t="shared" si="1"/>
        <v>8118.75</v>
      </c>
      <c r="I9" s="7" t="s">
        <v>285</v>
      </c>
    </row>
    <row r="10" spans="1:9" x14ac:dyDescent="0.2">
      <c r="A10" s="5" t="s">
        <v>200</v>
      </c>
      <c r="B10" s="7" t="s">
        <v>289</v>
      </c>
      <c r="C10" s="5" t="s">
        <v>290</v>
      </c>
      <c r="D10" s="5">
        <f t="shared" si="0"/>
        <v>46168</v>
      </c>
      <c r="E10" s="6">
        <v>9447.2</v>
      </c>
      <c r="F10" s="5" t="str">
        <f>IF(D10&gt;=INDEX('Prelim Notices'!$I$4:$I$10,MATCH(A10,'Prelim Notices'!$A$4:$A$10,0)),"Yes","No")</f>
        <v>Yes</v>
      </c>
      <c r="G10" s="5" t="str">
        <f>IF(LEFT(B10,9)="Retention","No, retention is excepted",IF(COUNTIFS(Waivers!$A$4:$A$24,A10,Waivers!$K$4:$K$24,"Yes",Waivers!$D$4:$D$24,"&gt;="&amp;D10)&gt;0,"Yes","No"))</f>
        <v>No</v>
      </c>
      <c r="H10" s="6">
        <f t="shared" si="1"/>
        <v>9447.2</v>
      </c>
      <c r="I10" s="7" t="s">
        <v>285</v>
      </c>
    </row>
    <row r="11" spans="1:9" x14ac:dyDescent="0.2">
      <c r="A11" s="5" t="s">
        <v>200</v>
      </c>
      <c r="B11" s="7" t="s">
        <v>291</v>
      </c>
      <c r="C11" s="5" t="s">
        <v>292</v>
      </c>
      <c r="D11" s="5">
        <f t="shared" si="0"/>
        <v>46182</v>
      </c>
      <c r="E11" s="6">
        <v>10220.4</v>
      </c>
      <c r="F11" s="5" t="str">
        <f>IF(D11&gt;=INDEX('Prelim Notices'!$I$4:$I$10,MATCH(A11,'Prelim Notices'!$A$4:$A$10,0)),"Yes","No")</f>
        <v>Yes</v>
      </c>
      <c r="G11" s="5" t="str">
        <f>IF(LEFT(B11,9)="Retention","No, retention is excepted",IF(COUNTIFS(Waivers!$A$4:$A$24,A11,Waivers!$K$4:$K$24,"Yes",Waivers!$D$4:$D$24,"&gt;="&amp;D11)&gt;0,"Yes","No"))</f>
        <v>No</v>
      </c>
      <c r="H11" s="6">
        <f t="shared" si="1"/>
        <v>10220.4</v>
      </c>
      <c r="I11" s="7" t="s">
        <v>285</v>
      </c>
    </row>
    <row r="12" spans="1:9" x14ac:dyDescent="0.2">
      <c r="A12" s="5" t="s">
        <v>200</v>
      </c>
      <c r="B12" s="7" t="s">
        <v>293</v>
      </c>
      <c r="C12" s="5" t="s">
        <v>294</v>
      </c>
      <c r="D12" s="5">
        <f t="shared" si="0"/>
        <v>46196</v>
      </c>
      <c r="E12" s="6">
        <v>6195.84</v>
      </c>
      <c r="F12" s="5" t="str">
        <f>IF(D12&gt;=INDEX('Prelim Notices'!$I$4:$I$10,MATCH(A12,'Prelim Notices'!$A$4:$A$10,0)),"Yes","No")</f>
        <v>Yes</v>
      </c>
      <c r="G12" s="5" t="str">
        <f>IF(LEFT(B12,9)="Retention","No, retention is excepted",IF(COUNTIFS(Waivers!$A$4:$A$24,A12,Waivers!$K$4:$K$24,"Yes",Waivers!$D$4:$D$24,"&gt;="&amp;D12)&gt;0,"Yes","No"))</f>
        <v>No</v>
      </c>
      <c r="H12" s="6">
        <f t="shared" si="1"/>
        <v>6195.84</v>
      </c>
      <c r="I12" s="7" t="s">
        <v>285</v>
      </c>
    </row>
    <row r="13" spans="1:9" x14ac:dyDescent="0.2">
      <c r="A13" s="5" t="s">
        <v>204</v>
      </c>
      <c r="B13" s="7" t="s">
        <v>295</v>
      </c>
      <c r="C13" s="5" t="s">
        <v>167</v>
      </c>
      <c r="D13" s="5">
        <f t="shared" si="0"/>
        <v>46234</v>
      </c>
      <c r="E13" s="6">
        <v>73910</v>
      </c>
      <c r="F13" s="5" t="str">
        <f>IF(D13&gt;=INDEX('Prelim Notices'!$I$4:$I$10,MATCH(A13,'Prelim Notices'!$A$4:$A$10,0)),"Yes","No")</f>
        <v>Yes</v>
      </c>
      <c r="G13" s="5" t="str">
        <f>IF(LEFT(B13,9)="Retention","No, retention is excepted",IF(COUNTIFS(Waivers!$A$4:$A$24,A13,Waivers!$K$4:$K$24,"Yes",Waivers!$D$4:$D$24,"&gt;="&amp;D13)&gt;0,"Yes","No"))</f>
        <v>No</v>
      </c>
      <c r="H13" s="6">
        <f t="shared" si="1"/>
        <v>73910</v>
      </c>
      <c r="I13" s="7" t="s">
        <v>296</v>
      </c>
    </row>
    <row r="14" spans="1:9" x14ac:dyDescent="0.2">
      <c r="A14" s="5" t="s">
        <v>204</v>
      </c>
      <c r="B14" s="7" t="s">
        <v>297</v>
      </c>
      <c r="C14" s="5" t="s">
        <v>62</v>
      </c>
      <c r="D14" s="5">
        <f t="shared" si="0"/>
        <v>46245</v>
      </c>
      <c r="E14" s="6">
        <v>63005</v>
      </c>
      <c r="F14" s="5" t="str">
        <f>IF(D14&gt;=INDEX('Prelim Notices'!$I$4:$I$10,MATCH(A14,'Prelim Notices'!$A$4:$A$10,0)),"Yes","No")</f>
        <v>Yes</v>
      </c>
      <c r="G14" s="5" t="str">
        <f>IF(LEFT(B14,9)="Retention","No, retention is excepted",IF(COUNTIFS(Waivers!$A$4:$A$24,A14,Waivers!$K$4:$K$24,"Yes",Waivers!$D$4:$D$24,"&gt;="&amp;D14)&gt;0,"Yes","No"))</f>
        <v>No</v>
      </c>
      <c r="H14" s="6">
        <f t="shared" si="1"/>
        <v>63005</v>
      </c>
      <c r="I14" s="7" t="s">
        <v>298</v>
      </c>
    </row>
    <row r="15" spans="1:9" x14ac:dyDescent="0.2">
      <c r="A15" s="5" t="s">
        <v>204</v>
      </c>
      <c r="B15" s="7" t="s">
        <v>299</v>
      </c>
      <c r="C15" s="5" t="s">
        <v>300</v>
      </c>
      <c r="D15" s="5">
        <f t="shared" si="0"/>
        <v>46244</v>
      </c>
      <c r="E15" s="6">
        <v>22230</v>
      </c>
      <c r="F15" s="5" t="str">
        <f>IF(D15&gt;=INDEX('Prelim Notices'!$I$4:$I$10,MATCH(A15,'Prelim Notices'!$A$4:$A$10,0)),"Yes","No")</f>
        <v>Yes</v>
      </c>
      <c r="G15" s="5" t="str">
        <f>IF(LEFT(B15,9)="Retention","No, retention is excepted",IF(COUNTIFS(Waivers!$A$4:$A$24,A15,Waivers!$K$4:$K$24,"Yes",Waivers!$D$4:$D$24,"&gt;="&amp;D15)&gt;0,"Yes","No"))</f>
        <v>No, retention is excepted</v>
      </c>
      <c r="H15" s="6">
        <f t="shared" si="1"/>
        <v>22230</v>
      </c>
      <c r="I15" s="7" t="s">
        <v>301</v>
      </c>
    </row>
    <row r="16" spans="1:9" x14ac:dyDescent="0.2">
      <c r="A16" s="5" t="s">
        <v>209</v>
      </c>
      <c r="B16" s="7" t="s">
        <v>302</v>
      </c>
      <c r="C16" s="5" t="s">
        <v>167</v>
      </c>
      <c r="D16" s="5">
        <f t="shared" si="0"/>
        <v>46234</v>
      </c>
      <c r="E16" s="6">
        <v>38475</v>
      </c>
      <c r="F16" s="5" t="str">
        <f>IF(D16&gt;=INDEX('Prelim Notices'!$I$4:$I$10,MATCH(A16,'Prelim Notices'!$A$4:$A$10,0)),"Yes","No")</f>
        <v>Yes</v>
      </c>
      <c r="G16" s="5" t="str">
        <f>IF(LEFT(B16,9)="Retention","No, retention is excepted",IF(COUNTIFS(Waivers!$A$4:$A$24,A16,Waivers!$K$4:$K$24,"Yes",Waivers!$D$4:$D$24,"&gt;="&amp;D16)&gt;0,"Yes","No"))</f>
        <v>Yes</v>
      </c>
      <c r="H16" s="6">
        <f t="shared" si="1"/>
        <v>0</v>
      </c>
      <c r="I16" s="7" t="s">
        <v>303</v>
      </c>
    </row>
    <row r="17" spans="1:9" x14ac:dyDescent="0.2">
      <c r="A17" s="5" t="s">
        <v>209</v>
      </c>
      <c r="B17" s="7" t="s">
        <v>304</v>
      </c>
      <c r="C17" s="5" t="s">
        <v>305</v>
      </c>
      <c r="D17" s="5">
        <f t="shared" si="0"/>
        <v>46241</v>
      </c>
      <c r="E17" s="6">
        <v>3845</v>
      </c>
      <c r="F17" s="5" t="str">
        <f>IF(D17&gt;=INDEX('Prelim Notices'!$I$4:$I$10,MATCH(A17,'Prelim Notices'!$A$4:$A$10,0)),"Yes","No")</f>
        <v>Yes</v>
      </c>
      <c r="G17" s="5" t="str">
        <f>IF(LEFT(B17,9)="Retention","No, retention is excepted",IF(COUNTIFS(Waivers!$A$4:$A$24,A17,Waivers!$K$4:$K$24,"Yes",Waivers!$D$4:$D$24,"&gt;="&amp;D17)&gt;0,"Yes","No"))</f>
        <v>No, retention is excepted</v>
      </c>
      <c r="H17" s="6">
        <f t="shared" si="1"/>
        <v>3845</v>
      </c>
      <c r="I17" s="7" t="s">
        <v>306</v>
      </c>
    </row>
    <row r="18" spans="1:9" x14ac:dyDescent="0.2">
      <c r="A18" s="5" t="s">
        <v>209</v>
      </c>
      <c r="B18" s="7" t="s">
        <v>307</v>
      </c>
      <c r="C18" s="5" t="s">
        <v>305</v>
      </c>
      <c r="D18" s="5">
        <f t="shared" si="0"/>
        <v>46241</v>
      </c>
      <c r="E18" s="6">
        <v>4280</v>
      </c>
      <c r="F18" s="5" t="str">
        <f>IF(D18&gt;=INDEX('Prelim Notices'!$I$4:$I$10,MATCH(A18,'Prelim Notices'!$A$4:$A$10,0)),"Yes","No")</f>
        <v>Yes</v>
      </c>
      <c r="G18" s="5" t="str">
        <f>IF(LEFT(B18,9)="Retention","No, retention is excepted",IF(COUNTIFS(Waivers!$A$4:$A$24,A18,Waivers!$K$4:$K$24,"Yes",Waivers!$D$4:$D$24,"&gt;="&amp;D18)&gt;0,"Yes","No"))</f>
        <v>No</v>
      </c>
      <c r="H18" s="6">
        <f t="shared" si="1"/>
        <v>4280</v>
      </c>
      <c r="I18" s="7" t="s">
        <v>308</v>
      </c>
    </row>
    <row r="19" spans="1:9" x14ac:dyDescent="0.2">
      <c r="A19" s="5" t="s">
        <v>214</v>
      </c>
      <c r="B19" s="7" t="s">
        <v>309</v>
      </c>
      <c r="C19" s="5" t="s">
        <v>62</v>
      </c>
      <c r="D19" s="5">
        <f t="shared" si="0"/>
        <v>46245</v>
      </c>
      <c r="E19" s="6">
        <v>27227</v>
      </c>
      <c r="F19" s="5" t="str">
        <f>IF(D19&gt;=INDEX('Prelim Notices'!$I$4:$I$10,MATCH(A19,'Prelim Notices'!$A$4:$A$10,0)),"Yes","No")</f>
        <v>Yes</v>
      </c>
      <c r="G19" s="5" t="str">
        <f>IF(LEFT(B19,9)="Retention","No, retention is excepted",IF(COUNTIFS(Waivers!$A$4:$A$24,A19,Waivers!$K$4:$K$24,"Yes",Waivers!$D$4:$D$24,"&gt;="&amp;D19)&gt;0,"Yes","No"))</f>
        <v>No</v>
      </c>
      <c r="H19" s="6">
        <f t="shared" si="1"/>
        <v>27227</v>
      </c>
      <c r="I19" s="7" t="s">
        <v>310</v>
      </c>
    </row>
    <row r="20" spans="1:9" x14ac:dyDescent="0.2">
      <c r="A20" s="5" t="s">
        <v>214</v>
      </c>
      <c r="B20" s="7" t="s">
        <v>311</v>
      </c>
      <c r="C20" s="5" t="s">
        <v>62</v>
      </c>
      <c r="D20" s="5">
        <f t="shared" si="0"/>
        <v>46245</v>
      </c>
      <c r="E20" s="6">
        <v>34250</v>
      </c>
      <c r="F20" s="5" t="str">
        <f>IF(D20&gt;=INDEX('Prelim Notices'!$I$4:$I$10,MATCH(A20,'Prelim Notices'!$A$4:$A$10,0)),"Yes","No")</f>
        <v>Yes</v>
      </c>
      <c r="G20" s="5" t="str">
        <f>IF(LEFT(B20,9)="Retention","No, retention is excepted",IF(COUNTIFS(Waivers!$A$4:$A$24,A20,Waivers!$K$4:$K$24,"Yes",Waivers!$D$4:$D$24,"&gt;="&amp;D20)&gt;0,"Yes","No"))</f>
        <v>No, retention is excepted</v>
      </c>
      <c r="H20" s="6">
        <f t="shared" si="1"/>
        <v>34250</v>
      </c>
      <c r="I20" s="7" t="s">
        <v>312</v>
      </c>
    </row>
    <row r="21" spans="1:9" x14ac:dyDescent="0.2">
      <c r="A21" s="5" t="s">
        <v>219</v>
      </c>
      <c r="B21" s="7" t="s">
        <v>313</v>
      </c>
      <c r="C21" s="5" t="s">
        <v>167</v>
      </c>
      <c r="D21" s="5">
        <f t="shared" si="0"/>
        <v>46234</v>
      </c>
      <c r="E21" s="6">
        <v>29200</v>
      </c>
      <c r="F21" s="5" t="str">
        <f>IF(D21&gt;=INDEX('Prelim Notices'!$I$4:$I$10,MATCH(A21,'Prelim Notices'!$A$4:$A$10,0)),"Yes","No")</f>
        <v>Yes</v>
      </c>
      <c r="G21" s="5" t="str">
        <f>IF(LEFT(B21,9)="Retention","No, retention is excepted",IF(COUNTIFS(Waivers!$A$4:$A$24,A21,Waivers!$K$4:$K$24,"Yes",Waivers!$D$4:$D$24,"&gt;="&amp;D21)&gt;0,"Yes","No"))</f>
        <v>No</v>
      </c>
      <c r="H21" s="6">
        <f t="shared" si="1"/>
        <v>29200</v>
      </c>
      <c r="I21" s="7" t="s">
        <v>314</v>
      </c>
    </row>
    <row r="22" spans="1:9" x14ac:dyDescent="0.2">
      <c r="A22" s="5" t="s">
        <v>219</v>
      </c>
      <c r="B22" s="7" t="s">
        <v>315</v>
      </c>
      <c r="C22" s="5" t="s">
        <v>316</v>
      </c>
      <c r="D22" s="5">
        <f t="shared" si="0"/>
        <v>46227</v>
      </c>
      <c r="E22" s="6">
        <v>9715</v>
      </c>
      <c r="F22" s="5" t="str">
        <f>IF(D22&gt;=INDEX('Prelim Notices'!$I$4:$I$10,MATCH(A22,'Prelim Notices'!$A$4:$A$10,0)),"Yes","No")</f>
        <v>Yes</v>
      </c>
      <c r="G22" s="5" t="str">
        <f>IF(LEFT(B22,9)="Retention","No, retention is excepted",IF(COUNTIFS(Waivers!$A$4:$A$24,A22,Waivers!$K$4:$K$24,"Yes",Waivers!$D$4:$D$24,"&gt;="&amp;D22)&gt;0,"Yes","No"))</f>
        <v>No, retention is excepted</v>
      </c>
      <c r="H22" s="6">
        <f t="shared" si="1"/>
        <v>9715</v>
      </c>
      <c r="I22" s="7" t="s">
        <v>317</v>
      </c>
    </row>
    <row r="25" spans="1:9" x14ac:dyDescent="0.2">
      <c r="A25" s="8" t="s">
        <v>318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6"/>
  <sheetViews>
    <sheetView workbookViewId="0"/>
  </sheetViews>
  <sheetFormatPr baseColWidth="10" defaultColWidth="8.83203125" defaultRowHeight="15" x14ac:dyDescent="0.2"/>
  <cols>
    <col min="1" max="1" width="34" customWidth="1"/>
    <col min="2" max="2" width="12" customWidth="1"/>
    <col min="3" max="3" width="14" customWidth="1"/>
    <col min="4" max="4" width="16" customWidth="1"/>
    <col min="5" max="5" width="11" customWidth="1"/>
    <col min="6" max="7" width="9" customWidth="1"/>
    <col min="8" max="8" width="14" customWidth="1"/>
    <col min="9" max="9" width="16" customWidth="1"/>
    <col min="10" max="10" width="14" customWidth="1"/>
    <col min="11" max="11" width="70" customWidth="1"/>
    <col min="12" max="12" width="14" customWidth="1"/>
  </cols>
  <sheetData>
    <row r="1" spans="1:12" ht="17" x14ac:dyDescent="0.2">
      <c r="A1" s="1" t="s">
        <v>319</v>
      </c>
    </row>
    <row r="3" spans="1:12" ht="30" x14ac:dyDescent="0.2">
      <c r="A3" s="4" t="s">
        <v>25</v>
      </c>
      <c r="B3" s="4" t="s">
        <v>26</v>
      </c>
      <c r="C3" s="4" t="s">
        <v>232</v>
      </c>
      <c r="D3" s="4" t="s">
        <v>27</v>
      </c>
      <c r="E3" s="4" t="s">
        <v>28</v>
      </c>
      <c r="F3" s="4" t="s">
        <v>29</v>
      </c>
      <c r="G3" s="4" t="s">
        <v>30</v>
      </c>
      <c r="H3" s="4" t="s">
        <v>31</v>
      </c>
      <c r="I3" s="4" t="s">
        <v>32</v>
      </c>
      <c r="J3" s="4" t="s">
        <v>320</v>
      </c>
      <c r="K3" s="4" t="s">
        <v>321</v>
      </c>
      <c r="L3" s="4" t="s">
        <v>34</v>
      </c>
    </row>
    <row r="4" spans="1:12" x14ac:dyDescent="0.2">
      <c r="A4" s="5" t="s">
        <v>190</v>
      </c>
      <c r="B4" s="5" t="str">
        <f>Deadlines!B4</f>
        <v>06/22/2026</v>
      </c>
      <c r="C4" s="5" t="str">
        <f>Deadlines!K4</f>
        <v>2026-0058802</v>
      </c>
      <c r="D4" s="6">
        <v>33275</v>
      </c>
      <c r="E4" s="5" t="str">
        <f>'Prelim Notices'!K4</f>
        <v>Yes</v>
      </c>
      <c r="F4" s="5" t="str">
        <f>Deadlines!F4</f>
        <v>Yes</v>
      </c>
      <c r="G4" s="5" t="str">
        <f>Deadlines!J4</f>
        <v>Yes</v>
      </c>
      <c r="H4" s="5" t="str">
        <f t="shared" ref="H4:H10" si="0">IF(E4="No","No lien rights",IF(F4="No","Untimely",IF(G4="Yes","Expired","Enforceable")))</f>
        <v>Expired</v>
      </c>
      <c r="I4" s="6">
        <f>IF(H4="Enforceable",SUMIFS(Amounts!$H$4:$H$22,Amounts!$A$4:$A$22,A4),0)</f>
        <v>0</v>
      </c>
      <c r="J4" s="6">
        <f t="shared" ref="J4:J10" si="1">D4-I4</f>
        <v>33275</v>
      </c>
      <c r="K4" s="7" t="str">
        <f t="shared" ref="K4:K10" si="2">IF(H4&lt;&gt;"Enforceable","Demand a release under section 8482; petition for a release order under sections 8480 to 8488 if none is recorded within 10 days",IF(I4&lt;D4,"Record a release bond under section 8424(b) at 125 percent of the recorded claim, or negotiate an amended claim at the enforceable amount","Record a release bond under section 8424(b) at 125 percent of the recorded claim, or pay the enforceable amount against an unconditional final release"))</f>
        <v>Demand a release under section 8482; petition for a release order under sections 8480 to 8488 if none is recorded within 10 days</v>
      </c>
      <c r="L4" s="6">
        <f>IF(H4="Enforceable",ROUND(D4*Parameters!$B$12/100,2),0)</f>
        <v>0</v>
      </c>
    </row>
    <row r="5" spans="1:12" x14ac:dyDescent="0.2">
      <c r="A5" s="5" t="s">
        <v>195</v>
      </c>
      <c r="B5" s="5" t="str">
        <f>Deadlines!B5</f>
        <v>09/08/2026</v>
      </c>
      <c r="C5" s="5" t="str">
        <f>Deadlines!K5</f>
        <v>2026-0093115</v>
      </c>
      <c r="D5" s="6">
        <v>27640</v>
      </c>
      <c r="E5" s="5" t="str">
        <f>'Prelim Notices'!K5</f>
        <v>No</v>
      </c>
      <c r="F5" s="5" t="str">
        <f>Deadlines!F5</f>
        <v>Yes</v>
      </c>
      <c r="G5" s="5" t="str">
        <f>Deadlines!J5</f>
        <v>No</v>
      </c>
      <c r="H5" s="5" t="str">
        <f t="shared" si="0"/>
        <v>No lien rights</v>
      </c>
      <c r="I5" s="6">
        <f>IF(H5="Enforceable",SUMIFS(Amounts!$H$4:$H$22,Amounts!$A$4:$A$22,A5),0)</f>
        <v>0</v>
      </c>
      <c r="J5" s="6">
        <f t="shared" si="1"/>
        <v>27640</v>
      </c>
      <c r="K5" s="7" t="str">
        <f t="shared" si="2"/>
        <v>Demand a release under section 8482; petition for a release order under sections 8480 to 8488 if none is recorded within 10 days</v>
      </c>
      <c r="L5" s="6">
        <f>IF(H5="Enforceable",ROUND(D5*Parameters!$B$12/100,2),0)</f>
        <v>0</v>
      </c>
    </row>
    <row r="6" spans="1:12" x14ac:dyDescent="0.2">
      <c r="A6" s="5" t="s">
        <v>200</v>
      </c>
      <c r="B6" s="5" t="str">
        <f>Deadlines!B6</f>
        <v>09/10/2026</v>
      </c>
      <c r="C6" s="5" t="str">
        <f>Deadlines!K6</f>
        <v>2026-0093970</v>
      </c>
      <c r="D6" s="6">
        <v>52318.44</v>
      </c>
      <c r="E6" s="5" t="str">
        <f>'Prelim Notices'!K6</f>
        <v>Yes</v>
      </c>
      <c r="F6" s="5" t="str">
        <f>Deadlines!F6</f>
        <v>Yes</v>
      </c>
      <c r="G6" s="5" t="str">
        <f>Deadlines!J6</f>
        <v>No</v>
      </c>
      <c r="H6" s="5" t="str">
        <f t="shared" si="0"/>
        <v>Enforceable</v>
      </c>
      <c r="I6" s="6">
        <f>IF(H6="Enforceable",SUMIFS(Amounts!$H$4:$H$22,Amounts!$A$4:$A$22,A6),0)</f>
        <v>33982.19</v>
      </c>
      <c r="J6" s="6">
        <f t="shared" si="1"/>
        <v>18336.25</v>
      </c>
      <c r="K6" s="7" t="str">
        <f t="shared" si="2"/>
        <v>Record a release bond under section 8424(b) at 125 percent of the recorded claim, or negotiate an amended claim at the enforceable amount</v>
      </c>
      <c r="L6" s="6">
        <f>IF(H6="Enforceable",ROUND(D6*Parameters!$B$12/100,2),0)</f>
        <v>65398.05</v>
      </c>
    </row>
    <row r="7" spans="1:12" x14ac:dyDescent="0.2">
      <c r="A7" s="5" t="s">
        <v>204</v>
      </c>
      <c r="B7" s="5" t="str">
        <f>Deadlines!B7</f>
        <v>09/14/2026</v>
      </c>
      <c r="C7" s="5" t="str">
        <f>Deadlines!K7</f>
        <v>2026-0095281</v>
      </c>
      <c r="D7" s="6">
        <v>159145</v>
      </c>
      <c r="E7" s="5" t="str">
        <f>'Prelim Notices'!K7</f>
        <v>Yes</v>
      </c>
      <c r="F7" s="5" t="str">
        <f>Deadlines!F7</f>
        <v>Yes</v>
      </c>
      <c r="G7" s="5" t="str">
        <f>Deadlines!J7</f>
        <v>No</v>
      </c>
      <c r="H7" s="5" t="str">
        <f t="shared" si="0"/>
        <v>Enforceable</v>
      </c>
      <c r="I7" s="6">
        <f>IF(H7="Enforceable",SUMIFS(Amounts!$H$4:$H$22,Amounts!$A$4:$A$22,A7),0)</f>
        <v>159145</v>
      </c>
      <c r="J7" s="6">
        <f t="shared" si="1"/>
        <v>0</v>
      </c>
      <c r="K7" s="7" t="str">
        <f t="shared" si="2"/>
        <v>Record a release bond under section 8424(b) at 125 percent of the recorded claim, or pay the enforceable amount against an unconditional final release</v>
      </c>
      <c r="L7" s="6">
        <f>IF(H7="Enforceable",ROUND(D7*Parameters!$B$12/100,2),0)</f>
        <v>198931.25</v>
      </c>
    </row>
    <row r="8" spans="1:12" x14ac:dyDescent="0.2">
      <c r="A8" s="5" t="s">
        <v>209</v>
      </c>
      <c r="B8" s="5" t="str">
        <f>Deadlines!B8</f>
        <v>09/15/2026</v>
      </c>
      <c r="C8" s="5" t="str">
        <f>Deadlines!K8</f>
        <v>2026-0095774</v>
      </c>
      <c r="D8" s="6">
        <v>46600</v>
      </c>
      <c r="E8" s="5" t="str">
        <f>'Prelim Notices'!K8</f>
        <v>Yes</v>
      </c>
      <c r="F8" s="5" t="str">
        <f>Deadlines!F8</f>
        <v>Yes</v>
      </c>
      <c r="G8" s="5" t="str">
        <f>Deadlines!J8</f>
        <v>No</v>
      </c>
      <c r="H8" s="5" t="str">
        <f t="shared" si="0"/>
        <v>Enforceable</v>
      </c>
      <c r="I8" s="6">
        <f>IF(H8="Enforceable",SUMIFS(Amounts!$H$4:$H$22,Amounts!$A$4:$A$22,A8),0)</f>
        <v>8125</v>
      </c>
      <c r="J8" s="6">
        <f t="shared" si="1"/>
        <v>38475</v>
      </c>
      <c r="K8" s="7" t="str">
        <f t="shared" si="2"/>
        <v>Record a release bond under section 8424(b) at 125 percent of the recorded claim, or negotiate an amended claim at the enforceable amount</v>
      </c>
      <c r="L8" s="6">
        <f>IF(H8="Enforceable",ROUND(D8*Parameters!$B$12/100,2),0)</f>
        <v>58250</v>
      </c>
    </row>
    <row r="9" spans="1:12" x14ac:dyDescent="0.2">
      <c r="A9" s="5" t="s">
        <v>214</v>
      </c>
      <c r="B9" s="5" t="str">
        <f>Deadlines!B9</f>
        <v>09/21/2026</v>
      </c>
      <c r="C9" s="5" t="str">
        <f>Deadlines!K9</f>
        <v>2026-0097902</v>
      </c>
      <c r="D9" s="6">
        <v>61477</v>
      </c>
      <c r="E9" s="5" t="str">
        <f>'Prelim Notices'!K9</f>
        <v>Yes</v>
      </c>
      <c r="F9" s="5" t="str">
        <f>Deadlines!F9</f>
        <v>Yes</v>
      </c>
      <c r="G9" s="5" t="str">
        <f>Deadlines!J9</f>
        <v>No</v>
      </c>
      <c r="H9" s="5" t="str">
        <f t="shared" si="0"/>
        <v>Enforceable</v>
      </c>
      <c r="I9" s="6">
        <f>IF(H9="Enforceable",SUMIFS(Amounts!$H$4:$H$22,Amounts!$A$4:$A$22,A9),0)</f>
        <v>61477</v>
      </c>
      <c r="J9" s="6">
        <f t="shared" si="1"/>
        <v>0</v>
      </c>
      <c r="K9" s="7" t="str">
        <f t="shared" si="2"/>
        <v>Record a release bond under section 8424(b) at 125 percent of the recorded claim, or pay the enforceable amount against an unconditional final release</v>
      </c>
      <c r="L9" s="6">
        <f>IF(H9="Enforceable",ROUND(D9*Parameters!$B$12/100,2),0)</f>
        <v>76846.25</v>
      </c>
    </row>
    <row r="10" spans="1:12" x14ac:dyDescent="0.2">
      <c r="A10" s="5" t="s">
        <v>219</v>
      </c>
      <c r="B10" s="5" t="str">
        <f>Deadlines!B10</f>
        <v>09/22/2026</v>
      </c>
      <c r="C10" s="5" t="str">
        <f>Deadlines!K10</f>
        <v>2026-0098344</v>
      </c>
      <c r="D10" s="6">
        <v>38915</v>
      </c>
      <c r="E10" s="5" t="str">
        <f>'Prelim Notices'!K10</f>
        <v>Yes</v>
      </c>
      <c r="F10" s="5" t="str">
        <f>Deadlines!F10</f>
        <v>No</v>
      </c>
      <c r="G10" s="5" t="str">
        <f>Deadlines!J10</f>
        <v>No</v>
      </c>
      <c r="H10" s="5" t="str">
        <f t="shared" si="0"/>
        <v>Untimely</v>
      </c>
      <c r="I10" s="6">
        <f>IF(H10="Enforceable",SUMIFS(Amounts!$H$4:$H$22,Amounts!$A$4:$A$22,A10),0)</f>
        <v>0</v>
      </c>
      <c r="J10" s="6">
        <f t="shared" si="1"/>
        <v>38915</v>
      </c>
      <c r="K10" s="7" t="str">
        <f t="shared" si="2"/>
        <v>Demand a release under section 8482; petition for a release order under sections 8480 to 8488 if none is recorded within 10 days</v>
      </c>
      <c r="L10" s="6">
        <f>IF(H10="Enforceable",ROUND(D10*Parameters!$B$12/100,2),0)</f>
        <v>0</v>
      </c>
    </row>
    <row r="11" spans="1:12" x14ac:dyDescent="0.2">
      <c r="A11" s="3" t="s">
        <v>50</v>
      </c>
      <c r="D11" s="9">
        <f>SUM(D4:D10)</f>
        <v>419370.44</v>
      </c>
      <c r="I11" s="9">
        <f>SUM(I4:I10)</f>
        <v>262729.19</v>
      </c>
      <c r="J11" s="9">
        <f>SUM(J4:J10)</f>
        <v>156641.25</v>
      </c>
      <c r="L11" s="9">
        <f>SUM(L4:L10)</f>
        <v>399425.55</v>
      </c>
    </row>
    <row r="12" spans="1:12" x14ac:dyDescent="0.2">
      <c r="A12" s="3" t="s">
        <v>322</v>
      </c>
      <c r="D12">
        <f>COUNTIF(H4:H10,"Enforceable")</f>
        <v>4</v>
      </c>
    </row>
    <row r="13" spans="1:12" x14ac:dyDescent="0.2">
      <c r="A13" s="3" t="s">
        <v>323</v>
      </c>
      <c r="D13">
        <f>COUNTIF(H4:H10,"&lt;&gt;Enforceable")</f>
        <v>3</v>
      </c>
    </row>
    <row r="14" spans="1:12" x14ac:dyDescent="0.2">
      <c r="A14" s="3" t="s">
        <v>55</v>
      </c>
      <c r="D14" s="9">
        <f>SUMIF(H4:H10,"&lt;&gt;Enforceable",D4:D10)</f>
        <v>99830</v>
      </c>
    </row>
    <row r="16" spans="1:12" x14ac:dyDescent="0.2">
      <c r="A16" s="8" t="s">
        <v>324</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8"/>
  <sheetViews>
    <sheetView workbookViewId="0"/>
  </sheetViews>
  <sheetFormatPr baseColWidth="10" defaultColWidth="8.83203125" defaultRowHeight="15" x14ac:dyDescent="0.2"/>
  <cols>
    <col min="1" max="1" width="125" customWidth="1"/>
  </cols>
  <sheetData>
    <row r="1" spans="1:1" ht="17" x14ac:dyDescent="0.2">
      <c r="A1" s="1" t="s">
        <v>325</v>
      </c>
    </row>
    <row r="3" spans="1:1" ht="105" customHeight="1" x14ac:dyDescent="0.2">
      <c r="A3" s="10" t="s">
        <v>326</v>
      </c>
    </row>
    <row r="4" spans="1:1" ht="240" customHeight="1" x14ac:dyDescent="0.2">
      <c r="A4" s="10" t="s">
        <v>327</v>
      </c>
    </row>
    <row r="5" spans="1:1" ht="105" customHeight="1" x14ac:dyDescent="0.2">
      <c r="A5" s="10" t="s">
        <v>328</v>
      </c>
    </row>
    <row r="6" spans="1:1" ht="150" customHeight="1" x14ac:dyDescent="0.2">
      <c r="A6" s="10" t="s">
        <v>329</v>
      </c>
    </row>
    <row r="7" spans="1:1" ht="120" customHeight="1" x14ac:dyDescent="0.2">
      <c r="A7" s="10" t="s">
        <v>330</v>
      </c>
    </row>
    <row r="8" spans="1:1" ht="180" customHeight="1" x14ac:dyDescent="0.2">
      <c r="A8" s="10" t="s">
        <v>331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Summary</vt:lpstr>
      <vt:lpstr>Parameters</vt:lpstr>
      <vt:lpstr>DK Ledger</vt:lpstr>
      <vt:lpstr>Prelim Notices</vt:lpstr>
      <vt:lpstr>Deadlines</vt:lpstr>
      <vt:lpstr>Waivers</vt:lpstr>
      <vt:lpstr>Amounts</vt:lpstr>
      <vt:lpstr>Claims</vt:lpstr>
      <vt:lpstr>Note to Marguerite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Ferraro Whitcombe LLP</dc:creator>
  <dc:title xmlns:dc="http://purl.org/dc/elements/1.1/">Lien analysis, Larkspur Crossing Building B, claims of mechanics lien against APN 480-210-037</dc:title>
  <dcterms:created xmlns:dcterms="http://purl.org/dc/terms/" xmlns:xsi="http://www.w3.org/2001/XMLSchema-instance" xsi:type="dcterms:W3CDTF">2026-10-14T10:22:05Z</dcterms:created>
  <dcterms:modified xmlns:dcterms="http://purl.org/dc/terms/" xmlns:xsi="http://www.w3.org/2001/XMLSchema-instance" xsi:type="dcterms:W3CDTF">2026-10-16T16:40:12Z</dcterms:modified>
  <cp:lastModifiedBy>Ferraro Whitcombe LLP</cp:lastModifiedBy>
</cp:coreProperties>
</file>