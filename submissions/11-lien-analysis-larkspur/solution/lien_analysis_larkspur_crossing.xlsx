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927330A9-2E42-D04B-8A03-83B5F7A812BA}" xr6:coauthVersionLast="47" xr6:coauthVersionMax="47" xr10:uidLastSave="{00000000-0000-0000-0000-000000000000}"/>
  <bookViews>
    <workbookView xWindow="0" yWindow="0" windowWidth="21600" windowHeight="38400" xr2:uid="{00000000-000D-0000-FFFF-FFFF00000000}"/>
  </bookViews>
  <sheets>
    <sheet name="Summary" sheetId="1" r:id="rId1"/>
    <sheet name="Parameters" sheetId="2" r:id="rId2"/>
    <sheet name="DK Ledger" sheetId="3" r:id="rId3"/>
    <sheet name="Notices" sheetId="4" r:id="rId4"/>
    <sheet name="NOC Copies" sheetId="5" r:id="rId5"/>
    <sheet name="Deadlines" sheetId="6" r:id="rId6"/>
    <sheet name="Waivers" sheetId="7" r:id="rId7"/>
    <sheet name="Amounts" sheetId="8" r:id="rId8"/>
    <sheet name="Claims" sheetId="9" r:id="rId9"/>
    <sheet name="Note to Marguerite"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9" l="1"/>
  <c r="H20" i="9"/>
  <c r="F51" i="1" s="1"/>
  <c r="E20" i="9"/>
  <c r="O20" i="9" s="1"/>
  <c r="C20" i="9"/>
  <c r="B20" i="9"/>
  <c r="B51" i="1" s="1"/>
  <c r="H19" i="9"/>
  <c r="F50" i="1" s="1"/>
  <c r="E19" i="9"/>
  <c r="O19" i="9" s="1"/>
  <c r="C19" i="9"/>
  <c r="B19" i="9"/>
  <c r="B50" i="1" s="1"/>
  <c r="H18" i="9"/>
  <c r="F49" i="1" s="1"/>
  <c r="E18" i="9"/>
  <c r="O18" i="9" s="1"/>
  <c r="C18" i="9"/>
  <c r="B18" i="9"/>
  <c r="B49" i="1" s="1"/>
  <c r="H17" i="9"/>
  <c r="F48" i="1" s="1"/>
  <c r="E17" i="9"/>
  <c r="O17" i="9" s="1"/>
  <c r="C17" i="9"/>
  <c r="B17" i="9"/>
  <c r="B48" i="1" s="1"/>
  <c r="H16" i="9"/>
  <c r="F47" i="1" s="1"/>
  <c r="E16" i="9"/>
  <c r="O16" i="9" s="1"/>
  <c r="C16" i="9"/>
  <c r="B16" i="9"/>
  <c r="B47" i="1" s="1"/>
  <c r="H15" i="9"/>
  <c r="F46" i="1" s="1"/>
  <c r="E15" i="9"/>
  <c r="O15" i="9" s="1"/>
  <c r="C15" i="9"/>
  <c r="B15" i="9"/>
  <c r="B46" i="1" s="1"/>
  <c r="H14" i="9"/>
  <c r="F45" i="1" s="1"/>
  <c r="E14" i="9"/>
  <c r="O14" i="9" s="1"/>
  <c r="C14" i="9"/>
  <c r="B14" i="9"/>
  <c r="B45" i="1" s="1"/>
  <c r="H13" i="9"/>
  <c r="F44" i="1" s="1"/>
  <c r="F13" i="9"/>
  <c r="E13" i="9"/>
  <c r="O13" i="9" s="1"/>
  <c r="C13" i="9"/>
  <c r="B13" i="9"/>
  <c r="B44" i="1" s="1"/>
  <c r="H12" i="9"/>
  <c r="F43" i="1" s="1"/>
  <c r="E12" i="9"/>
  <c r="O12" i="9" s="1"/>
  <c r="C12" i="9"/>
  <c r="B12" i="9"/>
  <c r="B43" i="1" s="1"/>
  <c r="H11" i="9"/>
  <c r="F42" i="1" s="1"/>
  <c r="E11" i="9"/>
  <c r="O11" i="9" s="1"/>
  <c r="C11" i="9"/>
  <c r="B11" i="9"/>
  <c r="B42" i="1" s="1"/>
  <c r="H10" i="9"/>
  <c r="F41" i="1" s="1"/>
  <c r="E10" i="9"/>
  <c r="O10" i="9" s="1"/>
  <c r="C10" i="9"/>
  <c r="B10" i="9"/>
  <c r="B41" i="1" s="1"/>
  <c r="H9" i="9"/>
  <c r="F40" i="1" s="1"/>
  <c r="E9" i="9"/>
  <c r="O9" i="9" s="1"/>
  <c r="C9" i="9"/>
  <c r="B9" i="9"/>
  <c r="B40" i="1" s="1"/>
  <c r="O8" i="9"/>
  <c r="E8" i="9"/>
  <c r="C8" i="9"/>
  <c r="B8" i="9"/>
  <c r="E7" i="9"/>
  <c r="O7" i="9" s="1"/>
  <c r="C7" i="9"/>
  <c r="B7" i="9"/>
  <c r="E6" i="9"/>
  <c r="O6" i="9" s="1"/>
  <c r="C6" i="9"/>
  <c r="B6" i="9"/>
  <c r="E5" i="9"/>
  <c r="O5" i="9" s="1"/>
  <c r="C5" i="9"/>
  <c r="B5" i="9"/>
  <c r="E4" i="9"/>
  <c r="O4" i="9" s="1"/>
  <c r="C4" i="9"/>
  <c r="B4" i="9"/>
  <c r="L44" i="8"/>
  <c r="E44" i="8"/>
  <c r="L43" i="8"/>
  <c r="E43" i="8"/>
  <c r="L42" i="8"/>
  <c r="E42" i="8"/>
  <c r="L41" i="8"/>
  <c r="E41" i="8"/>
  <c r="L40" i="8"/>
  <c r="E40" i="8"/>
  <c r="L39" i="8"/>
  <c r="E39" i="8"/>
  <c r="L38" i="8"/>
  <c r="E38" i="8"/>
  <c r="L37" i="8"/>
  <c r="E37" i="8"/>
  <c r="L36" i="8"/>
  <c r="E36" i="8"/>
  <c r="L35" i="8"/>
  <c r="E35" i="8"/>
  <c r="L34" i="8"/>
  <c r="E34" i="8"/>
  <c r="L33" i="8"/>
  <c r="E33" i="8"/>
  <c r="L32" i="8"/>
  <c r="E32" i="8"/>
  <c r="L31" i="8"/>
  <c r="E31" i="8"/>
  <c r="L30" i="8"/>
  <c r="E30" i="8"/>
  <c r="L29" i="8"/>
  <c r="E29" i="8"/>
  <c r="L28" i="8"/>
  <c r="E28" i="8"/>
  <c r="L27" i="8"/>
  <c r="E27" i="8"/>
  <c r="L26" i="8"/>
  <c r="G26" i="8"/>
  <c r="E26" i="8"/>
  <c r="L25" i="8"/>
  <c r="E25" i="8"/>
  <c r="L24" i="8"/>
  <c r="E24" i="8"/>
  <c r="L23" i="8"/>
  <c r="E23" i="8"/>
  <c r="L22" i="8"/>
  <c r="E22" i="8"/>
  <c r="L21" i="8"/>
  <c r="E21" i="8"/>
  <c r="L20" i="8"/>
  <c r="E20" i="8"/>
  <c r="L19" i="8"/>
  <c r="E19" i="8"/>
  <c r="L18" i="8"/>
  <c r="E18" i="8"/>
  <c r="L17" i="8"/>
  <c r="E17" i="8"/>
  <c r="L16" i="8"/>
  <c r="G16" i="8"/>
  <c r="E16" i="8"/>
  <c r="H16" i="8" s="1"/>
  <c r="L15" i="8"/>
  <c r="E15" i="8"/>
  <c r="L14" i="8"/>
  <c r="E14" i="8"/>
  <c r="L13" i="8"/>
  <c r="E13" i="8"/>
  <c r="L12" i="8"/>
  <c r="E12" i="8"/>
  <c r="H12" i="8" s="1"/>
  <c r="L11" i="8"/>
  <c r="E11" i="8"/>
  <c r="L10" i="8"/>
  <c r="E10" i="8"/>
  <c r="L9" i="8"/>
  <c r="E9" i="8"/>
  <c r="L8" i="8"/>
  <c r="E8" i="8"/>
  <c r="L7" i="8"/>
  <c r="E7" i="8"/>
  <c r="L6" i="8"/>
  <c r="E6" i="8"/>
  <c r="L5" i="8"/>
  <c r="E5" i="8"/>
  <c r="L4" i="8"/>
  <c r="E4" i="8"/>
  <c r="N39" i="7"/>
  <c r="J39" i="7"/>
  <c r="H39" i="7"/>
  <c r="I39" i="7" s="1"/>
  <c r="D39" i="7"/>
  <c r="N38" i="7"/>
  <c r="J38" i="7"/>
  <c r="I38" i="7"/>
  <c r="H38" i="7"/>
  <c r="D38" i="7"/>
  <c r="N37" i="7"/>
  <c r="J37" i="7"/>
  <c r="I37" i="7"/>
  <c r="H37" i="7"/>
  <c r="D37" i="7"/>
  <c r="N36" i="7"/>
  <c r="J36" i="7"/>
  <c r="I36" i="7"/>
  <c r="H36" i="7"/>
  <c r="D36" i="7"/>
  <c r="N35" i="7"/>
  <c r="J35" i="7"/>
  <c r="I35" i="7"/>
  <c r="H35" i="7"/>
  <c r="D35" i="7"/>
  <c r="N34" i="7"/>
  <c r="J34" i="7"/>
  <c r="I34" i="7"/>
  <c r="H34" i="7"/>
  <c r="D34" i="7"/>
  <c r="N33" i="7"/>
  <c r="J33" i="7"/>
  <c r="I33" i="7"/>
  <c r="H33" i="7"/>
  <c r="D33" i="7"/>
  <c r="N32" i="7"/>
  <c r="J32" i="7"/>
  <c r="I32" i="7"/>
  <c r="H32" i="7"/>
  <c r="D32" i="7"/>
  <c r="N31" i="7"/>
  <c r="J31" i="7"/>
  <c r="I31" i="7"/>
  <c r="H31" i="7"/>
  <c r="D31" i="7"/>
  <c r="N30" i="7"/>
  <c r="J30" i="7"/>
  <c r="I30" i="7"/>
  <c r="H30" i="7"/>
  <c r="D30" i="7"/>
  <c r="N29" i="7"/>
  <c r="J29" i="7"/>
  <c r="H29" i="7"/>
  <c r="I29" i="7" s="1"/>
  <c r="D29" i="7"/>
  <c r="N28" i="7"/>
  <c r="J28" i="7"/>
  <c r="H28" i="7"/>
  <c r="I28" i="7" s="1"/>
  <c r="D28" i="7"/>
  <c r="N27" i="7"/>
  <c r="J27" i="7"/>
  <c r="I27" i="7"/>
  <c r="H27" i="7"/>
  <c r="D27" i="7"/>
  <c r="N26" i="7"/>
  <c r="J26" i="7"/>
  <c r="I26" i="7"/>
  <c r="H26" i="7"/>
  <c r="D26" i="7"/>
  <c r="N25" i="7"/>
  <c r="J25" i="7"/>
  <c r="I25" i="7"/>
  <c r="H25" i="7"/>
  <c r="D25" i="7"/>
  <c r="N24" i="7"/>
  <c r="J24" i="7"/>
  <c r="I24" i="7"/>
  <c r="H24" i="7"/>
  <c r="D24" i="7"/>
  <c r="N23" i="7"/>
  <c r="J23" i="7"/>
  <c r="I23" i="7"/>
  <c r="H23" i="7"/>
  <c r="D23" i="7"/>
  <c r="N22" i="7"/>
  <c r="J22" i="7"/>
  <c r="I22" i="7"/>
  <c r="H22" i="7"/>
  <c r="D22" i="7"/>
  <c r="N21" i="7"/>
  <c r="J21" i="7"/>
  <c r="I21" i="7"/>
  <c r="H21" i="7"/>
  <c r="D21" i="7"/>
  <c r="N20" i="7"/>
  <c r="J20" i="7"/>
  <c r="H20" i="7"/>
  <c r="I20" i="7" s="1"/>
  <c r="D20" i="7"/>
  <c r="N19" i="7"/>
  <c r="J19" i="7"/>
  <c r="I19" i="7"/>
  <c r="H19" i="7"/>
  <c r="D19" i="7"/>
  <c r="N18" i="7"/>
  <c r="J18" i="7"/>
  <c r="I18" i="7"/>
  <c r="H18" i="7"/>
  <c r="D18" i="7"/>
  <c r="N17" i="7"/>
  <c r="J17" i="7"/>
  <c r="I17" i="7"/>
  <c r="H17" i="7"/>
  <c r="D17" i="7"/>
  <c r="N16" i="7"/>
  <c r="J16" i="7"/>
  <c r="I16" i="7"/>
  <c r="H16" i="7"/>
  <c r="D16" i="7"/>
  <c r="N15" i="7"/>
  <c r="J15" i="7"/>
  <c r="I15" i="7"/>
  <c r="H15" i="7"/>
  <c r="D15" i="7"/>
  <c r="N14" i="7"/>
  <c r="J14" i="7"/>
  <c r="H14" i="7"/>
  <c r="I14" i="7" s="1"/>
  <c r="D14" i="7"/>
  <c r="N13" i="7"/>
  <c r="J13" i="7"/>
  <c r="I13" i="7"/>
  <c r="H13" i="7"/>
  <c r="D13" i="7"/>
  <c r="N12" i="7"/>
  <c r="J12" i="7"/>
  <c r="I12" i="7"/>
  <c r="H12" i="7"/>
  <c r="D12" i="7"/>
  <c r="N11" i="7"/>
  <c r="J11" i="7"/>
  <c r="I11" i="7"/>
  <c r="H11" i="7"/>
  <c r="D11" i="7"/>
  <c r="N10" i="7"/>
  <c r="J10" i="7"/>
  <c r="I10" i="7"/>
  <c r="H10" i="7"/>
  <c r="D10" i="7"/>
  <c r="N9" i="7"/>
  <c r="J9" i="7"/>
  <c r="I9" i="7"/>
  <c r="H9" i="7"/>
  <c r="D9" i="7"/>
  <c r="N8" i="7"/>
  <c r="J8" i="7"/>
  <c r="I8" i="7"/>
  <c r="H8" i="7"/>
  <c r="D8" i="7"/>
  <c r="N7" i="7"/>
  <c r="J7" i="7"/>
  <c r="I7" i="7"/>
  <c r="H7" i="7"/>
  <c r="D7" i="7"/>
  <c r="N6" i="7"/>
  <c r="J6" i="7"/>
  <c r="I6" i="7"/>
  <c r="H6" i="7"/>
  <c r="D6" i="7"/>
  <c r="N5" i="7"/>
  <c r="J5" i="7"/>
  <c r="I5" i="7"/>
  <c r="H5" i="7"/>
  <c r="D5" i="7"/>
  <c r="N4" i="7"/>
  <c r="J4" i="7"/>
  <c r="I4" i="7"/>
  <c r="H4" i="7"/>
  <c r="D4" i="7"/>
  <c r="G20" i="6"/>
  <c r="C20" i="6"/>
  <c r="G19" i="6"/>
  <c r="C19" i="6"/>
  <c r="G18" i="6"/>
  <c r="C18" i="6"/>
  <c r="G17" i="6"/>
  <c r="C17" i="6"/>
  <c r="G16" i="6"/>
  <c r="C16" i="6"/>
  <c r="G15" i="6"/>
  <c r="C15" i="6"/>
  <c r="G14" i="6"/>
  <c r="C14" i="6"/>
  <c r="G13" i="6"/>
  <c r="C13" i="6"/>
  <c r="G12" i="6"/>
  <c r="C12" i="6"/>
  <c r="G11" i="6"/>
  <c r="C11" i="6"/>
  <c r="G10" i="6"/>
  <c r="C10" i="6"/>
  <c r="G9" i="6"/>
  <c r="C9" i="6"/>
  <c r="G8" i="6"/>
  <c r="H8" i="9" s="1"/>
  <c r="F39" i="1" s="1"/>
  <c r="C8" i="6"/>
  <c r="G7" i="6"/>
  <c r="H7" i="9" s="1"/>
  <c r="F38" i="1" s="1"/>
  <c r="C7" i="6"/>
  <c r="G6" i="6"/>
  <c r="H6" i="9" s="1"/>
  <c r="F37" i="1" s="1"/>
  <c r="C6" i="6"/>
  <c r="G5" i="6"/>
  <c r="H5" i="9" s="1"/>
  <c r="F36" i="1" s="1"/>
  <c r="C5" i="6"/>
  <c r="G4" i="6"/>
  <c r="H4" i="9" s="1"/>
  <c r="F35" i="1" s="1"/>
  <c r="C4" i="6"/>
  <c r="F24" i="5"/>
  <c r="F20" i="5"/>
  <c r="C20" i="5"/>
  <c r="G20" i="5" s="1"/>
  <c r="H20" i="5" s="1"/>
  <c r="B20" i="5"/>
  <c r="F19" i="5"/>
  <c r="C19" i="5"/>
  <c r="B19" i="5"/>
  <c r="F18" i="5"/>
  <c r="C18" i="5"/>
  <c r="B18" i="5"/>
  <c r="F17" i="5"/>
  <c r="C17" i="5"/>
  <c r="G17" i="5" s="1"/>
  <c r="H17" i="5" s="1"/>
  <c r="B17" i="5"/>
  <c r="F16" i="5"/>
  <c r="C16" i="5"/>
  <c r="B16" i="5"/>
  <c r="F15" i="5"/>
  <c r="C15" i="5"/>
  <c r="G15" i="5" s="1"/>
  <c r="H15" i="5" s="1"/>
  <c r="B15" i="5"/>
  <c r="F14" i="5"/>
  <c r="C14" i="5"/>
  <c r="B14" i="5"/>
  <c r="F13" i="5"/>
  <c r="C13" i="5"/>
  <c r="B13" i="5"/>
  <c r="F12" i="5"/>
  <c r="C12" i="5"/>
  <c r="B12" i="5"/>
  <c r="F11" i="5"/>
  <c r="C11" i="5"/>
  <c r="B11" i="5"/>
  <c r="F10" i="5"/>
  <c r="C10" i="5"/>
  <c r="B10" i="5"/>
  <c r="F9" i="5"/>
  <c r="C9" i="5"/>
  <c r="B9" i="5"/>
  <c r="F8" i="5"/>
  <c r="C8" i="5"/>
  <c r="B8" i="5"/>
  <c r="F7" i="5"/>
  <c r="C7" i="5"/>
  <c r="G7" i="5" s="1"/>
  <c r="H7" i="5" s="1"/>
  <c r="B7" i="5"/>
  <c r="F6" i="5"/>
  <c r="C6" i="5"/>
  <c r="B6" i="5"/>
  <c r="F5" i="5"/>
  <c r="C5" i="5"/>
  <c r="B5" i="5"/>
  <c r="F4" i="5"/>
  <c r="C4" i="5"/>
  <c r="B4" i="5"/>
  <c r="J20" i="4"/>
  <c r="G20" i="4"/>
  <c r="H20" i="4" s="1"/>
  <c r="E20" i="4"/>
  <c r="J19" i="4"/>
  <c r="G19" i="4"/>
  <c r="H19" i="4" s="1"/>
  <c r="E19" i="4"/>
  <c r="J18" i="4"/>
  <c r="G18" i="4"/>
  <c r="H18" i="4" s="1"/>
  <c r="E18" i="4"/>
  <c r="J17" i="4"/>
  <c r="H17" i="4"/>
  <c r="G17" i="4"/>
  <c r="E17" i="4"/>
  <c r="J16" i="4"/>
  <c r="G16" i="4"/>
  <c r="H16" i="4" s="1"/>
  <c r="E16" i="4"/>
  <c r="J15" i="4"/>
  <c r="G15" i="4"/>
  <c r="H15" i="4" s="1"/>
  <c r="E15" i="4"/>
  <c r="J14" i="4"/>
  <c r="G14" i="4"/>
  <c r="H14" i="4" s="1"/>
  <c r="E14" i="4"/>
  <c r="N13" i="4"/>
  <c r="J13" i="4"/>
  <c r="G13" i="4"/>
  <c r="H13" i="4" s="1"/>
  <c r="K13" i="4" s="1"/>
  <c r="M13" i="4" s="1"/>
  <c r="L13" i="4" s="1"/>
  <c r="E13" i="4"/>
  <c r="J12" i="4"/>
  <c r="G12" i="4"/>
  <c r="H12" i="4" s="1"/>
  <c r="E12" i="4"/>
  <c r="J11" i="4"/>
  <c r="G11" i="4"/>
  <c r="H11" i="4" s="1"/>
  <c r="E11" i="4"/>
  <c r="J10" i="4"/>
  <c r="G10" i="4"/>
  <c r="H10" i="4" s="1"/>
  <c r="E10" i="4"/>
  <c r="J9" i="4"/>
  <c r="G9" i="4"/>
  <c r="H9" i="4" s="1"/>
  <c r="E9" i="4"/>
  <c r="J8" i="4"/>
  <c r="G8" i="4"/>
  <c r="H8" i="4" s="1"/>
  <c r="E8" i="4"/>
  <c r="J7" i="4"/>
  <c r="G7" i="4"/>
  <c r="H7" i="4" s="1"/>
  <c r="E7" i="4"/>
  <c r="J6" i="4"/>
  <c r="G6" i="4"/>
  <c r="H6" i="4" s="1"/>
  <c r="E6" i="4"/>
  <c r="J5" i="4"/>
  <c r="G5" i="4"/>
  <c r="H5" i="4" s="1"/>
  <c r="E5" i="4"/>
  <c r="J4" i="4"/>
  <c r="G4" i="4"/>
  <c r="H4" i="4" s="1"/>
  <c r="E4" i="4"/>
  <c r="B39" i="2"/>
  <c r="B57" i="2" s="1"/>
  <c r="B33" i="2"/>
  <c r="B54" i="2" s="1"/>
  <c r="B29" i="2"/>
  <c r="C26" i="2"/>
  <c r="C25" i="2"/>
  <c r="C24" i="2"/>
  <c r="C23" i="2"/>
  <c r="C22" i="2"/>
  <c r="C21" i="2"/>
  <c r="C20" i="2"/>
  <c r="C7" i="2"/>
  <c r="C6" i="2"/>
  <c r="C5" i="2"/>
  <c r="C4" i="2"/>
  <c r="B66" i="1"/>
  <c r="B65" i="1"/>
  <c r="B64" i="1"/>
  <c r="B63" i="1"/>
  <c r="B56" i="1"/>
  <c r="B55" i="1"/>
  <c r="C51" i="1"/>
  <c r="A51" i="1"/>
  <c r="C50" i="1"/>
  <c r="A50" i="1"/>
  <c r="C49" i="1"/>
  <c r="B27" i="1" s="1"/>
  <c r="A49" i="1"/>
  <c r="C48" i="1"/>
  <c r="A48" i="1"/>
  <c r="C47" i="1"/>
  <c r="A47" i="1"/>
  <c r="C46" i="1"/>
  <c r="A46" i="1"/>
  <c r="C45" i="1"/>
  <c r="A45" i="1"/>
  <c r="C44" i="1"/>
  <c r="A44" i="1"/>
  <c r="C43" i="1"/>
  <c r="A43" i="1"/>
  <c r="C42" i="1"/>
  <c r="A42" i="1"/>
  <c r="C41" i="1"/>
  <c r="A41" i="1"/>
  <c r="C40" i="1"/>
  <c r="A40" i="1"/>
  <c r="C39" i="1"/>
  <c r="B39" i="1"/>
  <c r="A39" i="1"/>
  <c r="C38" i="1"/>
  <c r="B38" i="1"/>
  <c r="A38" i="1"/>
  <c r="C37" i="1"/>
  <c r="B37" i="1"/>
  <c r="A37" i="1"/>
  <c r="C36" i="1"/>
  <c r="B36" i="1"/>
  <c r="A36" i="1"/>
  <c r="C35" i="1"/>
  <c r="B35" i="1"/>
  <c r="A35" i="1"/>
  <c r="D44" i="1" l="1"/>
  <c r="H44" i="8"/>
  <c r="H43" i="8"/>
  <c r="H42" i="8"/>
  <c r="H41" i="8"/>
  <c r="H40" i="8"/>
  <c r="G40" i="8"/>
  <c r="I40" i="8" s="1"/>
  <c r="H15" i="8"/>
  <c r="H14" i="8"/>
  <c r="H13" i="8"/>
  <c r="H11" i="8"/>
  <c r="H10" i="8"/>
  <c r="H9" i="8"/>
  <c r="H8" i="8"/>
  <c r="H7" i="8"/>
  <c r="H6" i="8"/>
  <c r="M39" i="7"/>
  <c r="L39" i="7"/>
  <c r="K39" i="7"/>
  <c r="L38" i="7"/>
  <c r="K38" i="7"/>
  <c r="M38" i="7" s="1"/>
  <c r="L37" i="7"/>
  <c r="K37" i="7"/>
  <c r="M37" i="7" s="1"/>
  <c r="K36" i="7"/>
  <c r="M36" i="7" s="1"/>
  <c r="L36" i="7"/>
  <c r="K35" i="7"/>
  <c r="M35" i="7" s="1"/>
  <c r="L35" i="7"/>
  <c r="K34" i="7"/>
  <c r="L34" i="7"/>
  <c r="H31" i="8" s="1"/>
  <c r="M34" i="7"/>
  <c r="K33" i="7"/>
  <c r="L33" i="7"/>
  <c r="M33" i="7"/>
  <c r="K32" i="7"/>
  <c r="L32" i="7"/>
  <c r="M32" i="7"/>
  <c r="L31" i="7"/>
  <c r="K31" i="7"/>
  <c r="M31" i="7" s="1"/>
  <c r="L30" i="7"/>
  <c r="K30" i="7"/>
  <c r="M30" i="7" s="1"/>
  <c r="M29" i="7"/>
  <c r="L29" i="7"/>
  <c r="K29" i="7"/>
  <c r="M28" i="7"/>
  <c r="L28" i="7"/>
  <c r="K28" i="7"/>
  <c r="K27" i="7"/>
  <c r="M27" i="7" s="1"/>
  <c r="L27" i="7"/>
  <c r="L26" i="7"/>
  <c r="K26" i="7"/>
  <c r="M26" i="7" s="1"/>
  <c r="K25" i="7"/>
  <c r="M25" i="7" s="1"/>
  <c r="L25" i="7"/>
  <c r="K24" i="7"/>
  <c r="M24" i="7" s="1"/>
  <c r="L24" i="7"/>
  <c r="K23" i="7"/>
  <c r="M23" i="7" s="1"/>
  <c r="L23" i="7"/>
  <c r="K22" i="7"/>
  <c r="L22" i="7"/>
  <c r="M22" i="7"/>
  <c r="K21" i="7"/>
  <c r="L21" i="7"/>
  <c r="M21" i="7"/>
  <c r="K20" i="7"/>
  <c r="L20" i="7"/>
  <c r="M20" i="7"/>
  <c r="K19" i="7"/>
  <c r="L19" i="7"/>
  <c r="M19" i="7"/>
  <c r="K18" i="7"/>
  <c r="L18" i="7"/>
  <c r="H24" i="8" s="1"/>
  <c r="M18" i="7"/>
  <c r="L17" i="7"/>
  <c r="K17" i="7"/>
  <c r="M17" i="7" s="1"/>
  <c r="K16" i="7"/>
  <c r="M16" i="7" s="1"/>
  <c r="L16" i="7"/>
  <c r="K15" i="7"/>
  <c r="L15" i="7"/>
  <c r="M15" i="7"/>
  <c r="L14" i="7"/>
  <c r="M14" i="7"/>
  <c r="K14" i="7"/>
  <c r="L13" i="7"/>
  <c r="K13" i="7"/>
  <c r="M13" i="7"/>
  <c r="L12" i="7"/>
  <c r="K12" i="7"/>
  <c r="M12" i="7" s="1"/>
  <c r="L11" i="7"/>
  <c r="K11" i="7"/>
  <c r="M11" i="7" s="1"/>
  <c r="L10" i="7"/>
  <c r="K10" i="7"/>
  <c r="M10" i="7" s="1"/>
  <c r="K9" i="7"/>
  <c r="M9" i="7"/>
  <c r="L9" i="7"/>
  <c r="L8" i="7"/>
  <c r="K8" i="7"/>
  <c r="M8" i="7" s="1"/>
  <c r="K7" i="7"/>
  <c r="L7" i="7"/>
  <c r="M7" i="7"/>
  <c r="L6" i="7"/>
  <c r="K6" i="7"/>
  <c r="M6" i="7" s="1"/>
  <c r="K5" i="7"/>
  <c r="L5" i="7"/>
  <c r="M5" i="7"/>
  <c r="K4" i="7"/>
  <c r="L4" i="7"/>
  <c r="M4" i="7"/>
  <c r="I20" i="6"/>
  <c r="I19" i="6"/>
  <c r="I18" i="6"/>
  <c r="I17" i="6"/>
  <c r="I16" i="6"/>
  <c r="I15" i="6"/>
  <c r="I14" i="6"/>
  <c r="I13" i="6"/>
  <c r="I12" i="6"/>
  <c r="I11" i="6"/>
  <c r="I10" i="6"/>
  <c r="I9" i="6"/>
  <c r="I8" i="6"/>
  <c r="I7" i="6"/>
  <c r="I6" i="6"/>
  <c r="I5" i="6"/>
  <c r="I4" i="6"/>
  <c r="K20" i="4"/>
  <c r="M20" i="4" s="1"/>
  <c r="N20" i="4"/>
  <c r="F20" i="9" s="1"/>
  <c r="K19" i="4"/>
  <c r="N19" i="4"/>
  <c r="F19" i="9" s="1"/>
  <c r="M19" i="4"/>
  <c r="K18" i="4"/>
  <c r="M18" i="4"/>
  <c r="N18" i="4"/>
  <c r="F18" i="9" s="1"/>
  <c r="K17" i="4"/>
  <c r="M17" i="4"/>
  <c r="N17" i="4"/>
  <c r="F17" i="9" s="1"/>
  <c r="K16" i="4"/>
  <c r="N16" i="4"/>
  <c r="F16" i="9" s="1"/>
  <c r="M16" i="4"/>
  <c r="N15" i="4"/>
  <c r="F15" i="9" s="1"/>
  <c r="K15" i="4"/>
  <c r="M15" i="4" s="1"/>
  <c r="N14" i="4"/>
  <c r="F14" i="9" s="1"/>
  <c r="K14" i="4"/>
  <c r="M14" i="4" s="1"/>
  <c r="K12" i="4"/>
  <c r="M12" i="4"/>
  <c r="N12" i="4"/>
  <c r="F12" i="9" s="1"/>
  <c r="K11" i="4"/>
  <c r="M11" i="4" s="1"/>
  <c r="N11" i="4"/>
  <c r="F11" i="9" s="1"/>
  <c r="K10" i="4"/>
  <c r="N10" i="4"/>
  <c r="F10" i="9" s="1"/>
  <c r="M10" i="4"/>
  <c r="N9" i="4"/>
  <c r="F9" i="9" s="1"/>
  <c r="K9" i="4"/>
  <c r="M9" i="4" s="1"/>
  <c r="N8" i="4"/>
  <c r="F8" i="9" s="1"/>
  <c r="K8" i="4"/>
  <c r="M8" i="4" s="1"/>
  <c r="K7" i="4"/>
  <c r="N7" i="4"/>
  <c r="F7" i="9" s="1"/>
  <c r="M7" i="4"/>
  <c r="N6" i="4"/>
  <c r="F6" i="9" s="1"/>
  <c r="K6" i="4"/>
  <c r="M6" i="4" s="1"/>
  <c r="N5" i="4"/>
  <c r="F5" i="9" s="1"/>
  <c r="K5" i="4"/>
  <c r="M5" i="4" s="1"/>
  <c r="K4" i="4"/>
  <c r="M4" i="4" s="1"/>
  <c r="N4" i="4"/>
  <c r="F4" i="9" s="1"/>
  <c r="B15" i="1"/>
  <c r="B7" i="1"/>
  <c r="C52" i="2"/>
  <c r="B52" i="2" s="1"/>
  <c r="C51" i="2"/>
  <c r="B50" i="2"/>
  <c r="C46" i="2"/>
  <c r="B46" i="2" s="1"/>
  <c r="B45" i="2"/>
  <c r="B58" i="1" s="1"/>
  <c r="B44" i="2"/>
  <c r="B57" i="1" s="1"/>
  <c r="B47" i="2"/>
  <c r="C49" i="2"/>
  <c r="B49" i="2" s="1"/>
  <c r="C48" i="2"/>
  <c r="B56" i="2"/>
  <c r="C55" i="2"/>
  <c r="C53" i="2"/>
  <c r="G25" i="8"/>
  <c r="I16" i="8"/>
  <c r="H38" i="8" l="1"/>
  <c r="H34" i="8"/>
  <c r="H35" i="8"/>
  <c r="H36" i="8"/>
  <c r="H37" i="8"/>
  <c r="H39" i="8"/>
  <c r="H32" i="8"/>
  <c r="H33" i="8"/>
  <c r="H29" i="8"/>
  <c r="H30" i="8"/>
  <c r="H27" i="8"/>
  <c r="H28" i="8"/>
  <c r="H25" i="8"/>
  <c r="I25" i="8" s="1"/>
  <c r="H26" i="8"/>
  <c r="I26" i="8" s="1"/>
  <c r="H22" i="8"/>
  <c r="H21" i="8"/>
  <c r="H23" i="8"/>
  <c r="H19" i="8"/>
  <c r="H20" i="8"/>
  <c r="H18" i="8"/>
  <c r="H4" i="8"/>
  <c r="H5" i="8"/>
  <c r="D51" i="1"/>
  <c r="D50" i="1"/>
  <c r="G34" i="8"/>
  <c r="I34" i="8" s="1"/>
  <c r="G35" i="8"/>
  <c r="I35" i="8" s="1"/>
  <c r="G36" i="8"/>
  <c r="I36" i="8" s="1"/>
  <c r="G37" i="8"/>
  <c r="I37" i="8" s="1"/>
  <c r="G38" i="8"/>
  <c r="I38" i="8" s="1"/>
  <c r="G39" i="8"/>
  <c r="I39" i="8" s="1"/>
  <c r="L18" i="4"/>
  <c r="D49" i="1"/>
  <c r="G32" i="8"/>
  <c r="I32" i="8" s="1"/>
  <c r="G33" i="8"/>
  <c r="I33" i="8" s="1"/>
  <c r="L17" i="4"/>
  <c r="D48" i="1"/>
  <c r="D47" i="1"/>
  <c r="G31" i="8"/>
  <c r="I31" i="8" s="1"/>
  <c r="L16" i="4"/>
  <c r="D46" i="1"/>
  <c r="G29" i="8"/>
  <c r="I29" i="8" s="1"/>
  <c r="G30" i="8"/>
  <c r="I30" i="8" s="1"/>
  <c r="L15" i="4"/>
  <c r="D45" i="1"/>
  <c r="G27" i="8"/>
  <c r="I27" i="8" s="1"/>
  <c r="G28" i="8"/>
  <c r="I28" i="8" s="1"/>
  <c r="L14" i="4"/>
  <c r="G24" i="8"/>
  <c r="I24" i="8" s="1"/>
  <c r="L12" i="4"/>
  <c r="D43" i="1"/>
  <c r="G21" i="8"/>
  <c r="I21" i="8" s="1"/>
  <c r="G22" i="8"/>
  <c r="I22" i="8" s="1"/>
  <c r="G23" i="8"/>
  <c r="I23" i="8" s="1"/>
  <c r="L11" i="4"/>
  <c r="D42" i="1"/>
  <c r="D41" i="1"/>
  <c r="G18" i="8"/>
  <c r="I18" i="8" s="1"/>
  <c r="G19" i="8"/>
  <c r="I19" i="8" s="1"/>
  <c r="G20" i="8"/>
  <c r="I20" i="8" s="1"/>
  <c r="L10" i="4"/>
  <c r="D40" i="1"/>
  <c r="G17" i="8"/>
  <c r="I17" i="8" s="1"/>
  <c r="L9" i="4"/>
  <c r="D39" i="1"/>
  <c r="G12" i="8"/>
  <c r="I12" i="8" s="1"/>
  <c r="L8" i="4"/>
  <c r="J7" i="9"/>
  <c r="D38" i="1"/>
  <c r="D37" i="1"/>
  <c r="D36" i="1"/>
  <c r="G4" i="8"/>
  <c r="I4" i="8" s="1"/>
  <c r="G5" i="8"/>
  <c r="I5" i="8" s="1"/>
  <c r="L4" i="4"/>
  <c r="D35" i="1"/>
  <c r="J7" i="5"/>
  <c r="B51" i="2"/>
  <c r="B60" i="1" s="1"/>
  <c r="G4" i="5"/>
  <c r="H4" i="5" s="1"/>
  <c r="J4" i="5" s="1"/>
  <c r="G5" i="5"/>
  <c r="H5" i="5" s="1"/>
  <c r="J5" i="5" s="1"/>
  <c r="G6" i="5"/>
  <c r="H6" i="5" s="1"/>
  <c r="J6" i="5" s="1"/>
  <c r="G8" i="5"/>
  <c r="H8" i="5" s="1"/>
  <c r="J8" i="5" s="1"/>
  <c r="G9" i="5"/>
  <c r="H9" i="5" s="1"/>
  <c r="J9" i="5" s="1"/>
  <c r="G10" i="5"/>
  <c r="H10" i="5" s="1"/>
  <c r="J10" i="5" s="1"/>
  <c r="G11" i="5"/>
  <c r="H11" i="5" s="1"/>
  <c r="J11" i="5" s="1"/>
  <c r="G12" i="5"/>
  <c r="H12" i="5" s="1"/>
  <c r="J12" i="5" s="1"/>
  <c r="G13" i="5"/>
  <c r="H13" i="5" s="1"/>
  <c r="J13" i="5" s="1"/>
  <c r="G14" i="5"/>
  <c r="H14" i="5" s="1"/>
  <c r="J14" i="5" s="1"/>
  <c r="G16" i="5"/>
  <c r="H16" i="5" s="1"/>
  <c r="J16" i="5" s="1"/>
  <c r="G18" i="5"/>
  <c r="H18" i="5" s="1"/>
  <c r="J18" i="5" s="1"/>
  <c r="G19" i="5"/>
  <c r="H19" i="5" s="1"/>
  <c r="J19" i="5" s="1"/>
  <c r="G24" i="5"/>
  <c r="H24" i="5" s="1"/>
  <c r="J24" i="5" s="1"/>
  <c r="I24" i="5" s="1"/>
  <c r="B48" i="2"/>
  <c r="B59" i="1" s="1"/>
  <c r="B60" i="2"/>
  <c r="B21" i="1" s="1"/>
  <c r="B55" i="2"/>
  <c r="B18" i="1" s="1"/>
  <c r="J15" i="5"/>
  <c r="J17" i="5"/>
  <c r="J20" i="5"/>
  <c r="B53" i="2"/>
  <c r="B61" i="1" s="1"/>
  <c r="H17" i="8"/>
  <c r="H20" i="6"/>
  <c r="K20" i="6"/>
  <c r="I20" i="9" s="1"/>
  <c r="G51" i="1" s="1"/>
  <c r="H19" i="6"/>
  <c r="K19" i="6"/>
  <c r="I19" i="9" s="1"/>
  <c r="G50" i="1" s="1"/>
  <c r="H18" i="6"/>
  <c r="K18" i="6"/>
  <c r="I18" i="9" s="1"/>
  <c r="G49" i="1" s="1"/>
  <c r="H17" i="6"/>
  <c r="K17" i="6"/>
  <c r="I17" i="9" s="1"/>
  <c r="G48" i="1" s="1"/>
  <c r="H16" i="6"/>
  <c r="K16" i="6"/>
  <c r="I16" i="9" s="1"/>
  <c r="G47" i="1" s="1"/>
  <c r="H15" i="6"/>
  <c r="K15" i="6"/>
  <c r="I15" i="9" s="1"/>
  <c r="G46" i="1" s="1"/>
  <c r="H14" i="6"/>
  <c r="K14" i="6"/>
  <c r="I14" i="9" s="1"/>
  <c r="G45" i="1" s="1"/>
  <c r="H13" i="6"/>
  <c r="K13" i="6"/>
  <c r="I13" i="9" s="1"/>
  <c r="G44" i="1" s="1"/>
  <c r="H12" i="6"/>
  <c r="K12" i="6"/>
  <c r="I12" i="9" s="1"/>
  <c r="G43" i="1" s="1"/>
  <c r="H11" i="6"/>
  <c r="K11" i="6"/>
  <c r="I11" i="9" s="1"/>
  <c r="G42" i="1" s="1"/>
  <c r="H10" i="6"/>
  <c r="K10" i="6"/>
  <c r="I10" i="9" s="1"/>
  <c r="G41" i="1" s="1"/>
  <c r="H9" i="6"/>
  <c r="K9" i="6"/>
  <c r="I9" i="9" s="1"/>
  <c r="G40" i="1" s="1"/>
  <c r="H8" i="6"/>
  <c r="K8" i="6"/>
  <c r="I8" i="9" s="1"/>
  <c r="G39" i="1" s="1"/>
  <c r="H7" i="6"/>
  <c r="K7" i="6"/>
  <c r="I7" i="9" s="1"/>
  <c r="G38" i="1" s="1"/>
  <c r="H6" i="6"/>
  <c r="K6" i="6"/>
  <c r="I6" i="9" s="1"/>
  <c r="G37" i="1" s="1"/>
  <c r="H5" i="6"/>
  <c r="K5" i="6"/>
  <c r="I5" i="9" s="1"/>
  <c r="G36" i="1" s="1"/>
  <c r="H4" i="6"/>
  <c r="K4" i="6"/>
  <c r="I4" i="9" s="1"/>
  <c r="G35" i="1" s="1"/>
  <c r="G44" i="8"/>
  <c r="I44" i="8" s="1"/>
  <c r="L20" i="4"/>
  <c r="L19" i="4"/>
  <c r="G43" i="8"/>
  <c r="I43" i="8" s="1"/>
  <c r="G41" i="8"/>
  <c r="I41" i="8" s="1"/>
  <c r="G42" i="8"/>
  <c r="I42" i="8" s="1"/>
  <c r="G11" i="8"/>
  <c r="I11" i="8" s="1"/>
  <c r="G13" i="8"/>
  <c r="I13" i="8" s="1"/>
  <c r="G14" i="8"/>
  <c r="I14" i="8" s="1"/>
  <c r="G15" i="8"/>
  <c r="I15" i="8" s="1"/>
  <c r="G9" i="8"/>
  <c r="I9" i="8" s="1"/>
  <c r="G10" i="8"/>
  <c r="I10" i="8" s="1"/>
  <c r="L7" i="4"/>
  <c r="G8" i="8"/>
  <c r="I8" i="8" s="1"/>
  <c r="G7" i="8"/>
  <c r="I7" i="8" s="1"/>
  <c r="L6" i="4"/>
  <c r="G6" i="8"/>
  <c r="I6" i="8" s="1"/>
  <c r="L5" i="4"/>
  <c r="K7" i="9" l="1"/>
  <c r="M7" i="9"/>
  <c r="J38" i="1" s="1"/>
  <c r="N7" i="9"/>
  <c r="K38" i="1" s="1"/>
  <c r="H38" i="1"/>
  <c r="E7" i="6"/>
  <c r="G7" i="9" s="1"/>
  <c r="E38" i="1" s="1"/>
  <c r="I7" i="5"/>
  <c r="D7" i="6" s="1"/>
  <c r="E4" i="6"/>
  <c r="G4" i="9" s="1"/>
  <c r="I4" i="5"/>
  <c r="D4" i="6" s="1"/>
  <c r="E5" i="6"/>
  <c r="G5" i="9" s="1"/>
  <c r="I5" i="5"/>
  <c r="D5" i="6" s="1"/>
  <c r="E6" i="6"/>
  <c r="G6" i="9" s="1"/>
  <c r="I6" i="5"/>
  <c r="D6" i="6" s="1"/>
  <c r="E8" i="6"/>
  <c r="G8" i="9" s="1"/>
  <c r="I8" i="5"/>
  <c r="D8" i="6" s="1"/>
  <c r="E9" i="6"/>
  <c r="G9" i="9" s="1"/>
  <c r="I9" i="5"/>
  <c r="D9" i="6" s="1"/>
  <c r="E10" i="6"/>
  <c r="G10" i="9" s="1"/>
  <c r="I10" i="5"/>
  <c r="D10" i="6" s="1"/>
  <c r="E11" i="6"/>
  <c r="G11" i="9" s="1"/>
  <c r="I11" i="5"/>
  <c r="D11" i="6" s="1"/>
  <c r="E12" i="6"/>
  <c r="G12" i="9" s="1"/>
  <c r="I12" i="5"/>
  <c r="D12" i="6" s="1"/>
  <c r="E13" i="6"/>
  <c r="G13" i="9" s="1"/>
  <c r="I13" i="5"/>
  <c r="D13" i="6" s="1"/>
  <c r="E14" i="6"/>
  <c r="G14" i="9" s="1"/>
  <c r="I14" i="5"/>
  <c r="D14" i="6" s="1"/>
  <c r="E16" i="6"/>
  <c r="G16" i="9" s="1"/>
  <c r="I16" i="5"/>
  <c r="D16" i="6" s="1"/>
  <c r="E18" i="6"/>
  <c r="G18" i="9" s="1"/>
  <c r="I18" i="5"/>
  <c r="D18" i="6" s="1"/>
  <c r="E19" i="6"/>
  <c r="G19" i="9" s="1"/>
  <c r="I19" i="5"/>
  <c r="D19" i="6" s="1"/>
  <c r="B62" i="1"/>
  <c r="B23" i="1"/>
  <c r="E15" i="6"/>
  <c r="G15" i="9" s="1"/>
  <c r="I15" i="5"/>
  <c r="D15" i="6" s="1"/>
  <c r="E17" i="6"/>
  <c r="G17" i="9" s="1"/>
  <c r="I17" i="5"/>
  <c r="D17" i="6" s="1"/>
  <c r="E20" i="6"/>
  <c r="G20" i="9" s="1"/>
  <c r="I20" i="5"/>
  <c r="D20" i="6" s="1"/>
  <c r="L7" i="9" l="1"/>
  <c r="I38" i="1"/>
  <c r="J4" i="9"/>
  <c r="E35" i="1"/>
  <c r="J5" i="9"/>
  <c r="E36" i="1"/>
  <c r="J6" i="9"/>
  <c r="E37" i="1"/>
  <c r="J8" i="9"/>
  <c r="E39" i="1"/>
  <c r="J9" i="9"/>
  <c r="E40" i="1"/>
  <c r="J10" i="9"/>
  <c r="E41" i="1"/>
  <c r="J11" i="9"/>
  <c r="E42" i="1"/>
  <c r="J12" i="9"/>
  <c r="E43" i="1"/>
  <c r="J13" i="9"/>
  <c r="E44" i="1"/>
  <c r="J14" i="9"/>
  <c r="E45" i="1"/>
  <c r="J16" i="9"/>
  <c r="E47" i="1"/>
  <c r="J18" i="9"/>
  <c r="E49" i="1"/>
  <c r="J19" i="9"/>
  <c r="E50" i="1"/>
  <c r="J15" i="9"/>
  <c r="E46" i="1"/>
  <c r="J17" i="9"/>
  <c r="E48" i="1"/>
  <c r="J20" i="9"/>
  <c r="E51" i="1"/>
  <c r="H35" i="1" l="1"/>
  <c r="D24" i="9"/>
  <c r="B31" i="1" s="1"/>
  <c r="D23" i="9"/>
  <c r="B30" i="1" s="1"/>
  <c r="D22" i="9"/>
  <c r="B29" i="1" s="1"/>
  <c r="N4" i="9"/>
  <c r="M4" i="9"/>
  <c r="J35" i="1" s="1"/>
  <c r="K4" i="9"/>
  <c r="H36" i="1"/>
  <c r="N5" i="9"/>
  <c r="K36" i="1" s="1"/>
  <c r="M5" i="9"/>
  <c r="J36" i="1" s="1"/>
  <c r="K5" i="9"/>
  <c r="H37" i="1"/>
  <c r="N6" i="9"/>
  <c r="K37" i="1" s="1"/>
  <c r="M6" i="9"/>
  <c r="J37" i="1" s="1"/>
  <c r="K6" i="9"/>
  <c r="B62" i="2" s="1"/>
  <c r="H39" i="1"/>
  <c r="N8" i="9"/>
  <c r="K39" i="1" s="1"/>
  <c r="K8" i="9"/>
  <c r="M8" i="9" s="1"/>
  <c r="J39" i="1" s="1"/>
  <c r="H40" i="1"/>
  <c r="N9" i="9"/>
  <c r="K40" i="1" s="1"/>
  <c r="M9" i="9"/>
  <c r="J40" i="1" s="1"/>
  <c r="K9" i="9"/>
  <c r="H41" i="1"/>
  <c r="N10" i="9"/>
  <c r="K41" i="1" s="1"/>
  <c r="K10" i="9"/>
  <c r="M10" i="9" s="1"/>
  <c r="J41" i="1" s="1"/>
  <c r="H42" i="1"/>
  <c r="N11" i="9"/>
  <c r="K42" i="1" s="1"/>
  <c r="K11" i="9"/>
  <c r="M11" i="9" s="1"/>
  <c r="J42" i="1" s="1"/>
  <c r="H43" i="1"/>
  <c r="N12" i="9"/>
  <c r="K43" i="1" s="1"/>
  <c r="M12" i="9"/>
  <c r="J43" i="1" s="1"/>
  <c r="K12" i="9"/>
  <c r="H44" i="1"/>
  <c r="N13" i="9"/>
  <c r="K44" i="1" s="1"/>
  <c r="K13" i="9"/>
  <c r="M13" i="9" s="1"/>
  <c r="J44" i="1" s="1"/>
  <c r="H45" i="1"/>
  <c r="N14" i="9"/>
  <c r="K45" i="1" s="1"/>
  <c r="K14" i="9"/>
  <c r="M14" i="9" s="1"/>
  <c r="J45" i="1" s="1"/>
  <c r="H47" i="1"/>
  <c r="N16" i="9"/>
  <c r="K47" i="1" s="1"/>
  <c r="M16" i="9"/>
  <c r="J47" i="1" s="1"/>
  <c r="K16" i="9"/>
  <c r="H49" i="1"/>
  <c r="N18" i="9"/>
  <c r="K49" i="1" s="1"/>
  <c r="K18" i="9"/>
  <c r="M18" i="9" s="1"/>
  <c r="J49" i="1" s="1"/>
  <c r="H50" i="1"/>
  <c r="N19" i="9"/>
  <c r="K50" i="1" s="1"/>
  <c r="M19" i="9"/>
  <c r="J50" i="1" s="1"/>
  <c r="K19" i="9"/>
  <c r="H46" i="1"/>
  <c r="N15" i="9"/>
  <c r="K46" i="1" s="1"/>
  <c r="M15" i="9"/>
  <c r="J46" i="1" s="1"/>
  <c r="K15" i="9"/>
  <c r="H48" i="1"/>
  <c r="N17" i="9"/>
  <c r="K48" i="1" s="1"/>
  <c r="M17" i="9"/>
  <c r="J48" i="1" s="1"/>
  <c r="K17" i="9"/>
  <c r="H51" i="1"/>
  <c r="N20" i="9"/>
  <c r="K51" i="1" s="1"/>
  <c r="K20" i="9"/>
  <c r="M20" i="9" s="1"/>
  <c r="J51" i="1" s="1"/>
  <c r="B63" i="2" l="1"/>
  <c r="B10" i="1" s="1"/>
  <c r="B64" i="2"/>
  <c r="B11" i="1"/>
  <c r="N21" i="9"/>
  <c r="B65" i="2" s="1"/>
  <c r="K35" i="1"/>
  <c r="B6" i="1" s="1"/>
  <c r="D25" i="9"/>
  <c r="L4" i="9"/>
  <c r="K21" i="9"/>
  <c r="I35" i="1"/>
  <c r="L5" i="9"/>
  <c r="I36" i="1"/>
  <c r="L6" i="9"/>
  <c r="I37" i="1"/>
  <c r="L8" i="9"/>
  <c r="I39" i="1"/>
  <c r="L9" i="9"/>
  <c r="I40" i="1"/>
  <c r="L10" i="9"/>
  <c r="I41" i="1"/>
  <c r="L11" i="9"/>
  <c r="I42" i="1"/>
  <c r="L12" i="9"/>
  <c r="I43" i="1"/>
  <c r="L13" i="9"/>
  <c r="I44" i="1"/>
  <c r="L14" i="9"/>
  <c r="I45" i="1"/>
  <c r="L16" i="9"/>
  <c r="I47" i="1"/>
  <c r="L18" i="9"/>
  <c r="I49" i="1"/>
  <c r="L19" i="9"/>
  <c r="I50" i="1"/>
  <c r="L15" i="9"/>
  <c r="I46" i="1"/>
  <c r="L17" i="9"/>
  <c r="I48" i="1"/>
  <c r="L20" i="9"/>
  <c r="I51" i="1"/>
  <c r="B66" i="2" l="1"/>
  <c r="B13" i="1" s="1"/>
  <c r="B12" i="1"/>
  <c r="B8" i="1"/>
  <c r="B9" i="1"/>
  <c r="B58" i="2"/>
  <c r="B14" i="1"/>
  <c r="B28" i="1"/>
  <c r="L21" i="9"/>
  <c r="B19" i="1" l="1"/>
  <c r="B61" i="2"/>
  <c r="B22" i="1" s="1"/>
  <c r="B59" i="2"/>
  <c r="B20" i="1" s="1"/>
  <c r="B16" i="1"/>
  <c r="B17" i="1"/>
</calcChain>
</file>

<file path=xl/sharedStrings.xml><?xml version="1.0" encoding="utf-8"?>
<sst xmlns="http://schemas.openxmlformats.org/spreadsheetml/2006/main" count="1246" uniqueCount="642">
  <si>
    <t>Recorded claims of mechanics lien, Larkspur Crossing Building B, 2210 Pleasant Grove Boulevard, Roseville: analysis for the refinance</t>
  </si>
  <si>
    <t>Prepared for Marguerite Okonjo for Piedmont Ridge Properties, LLC, from the recorder's copies of the seventeen claims, the owner's project file, the direct contractor's payment ledger, and the close-out file</t>
  </si>
  <si>
    <t>The answers for Nadia</t>
  </si>
  <si>
    <t>Answer</t>
  </si>
  <si>
    <t>Value</t>
  </si>
  <si>
    <t>Read from</t>
  </si>
  <si>
    <t>Release bonds required, total penal sum at 125 percent</t>
  </si>
  <si>
    <t>Claim by claim in the table below, each bond rounded up to the next whole dollar</t>
  </si>
  <si>
    <t>Line the surety will write for release bonds</t>
  </si>
  <si>
    <t>15 percent of the appraised value in the Nadia Ferris email of October 2, 2026</t>
  </si>
  <si>
    <t>Bonds required over the surety's line</t>
  </si>
  <si>
    <t>Bonds required less the line</t>
  </si>
  <si>
    <t>Do the bonds fit inside the surety's line</t>
  </si>
  <si>
    <t>section 8424(b), 125 percent of each recorded claim, written as the surety writes it</t>
  </si>
  <si>
    <t>Claim cheapest to clear by paying its enforceable amount</t>
  </si>
  <si>
    <t>The smallest enforceable amount among the claims to bond, paid against an unconditional final release</t>
  </si>
  <si>
    <t>Payment that clears it, against an unconditional final release</t>
  </si>
  <si>
    <t>Its enforceable amount on the Claims tab</t>
  </si>
  <si>
    <t>Bonds required after that payment</t>
  </si>
  <si>
    <t>The bond total less the bond that payment takes out</t>
  </si>
  <si>
    <t>Room inside the surety's line after that payment</t>
  </si>
  <si>
    <t>The line less the bonds that remain</t>
  </si>
  <si>
    <t>Enforceable by claimants under the Dunmore-Kettle contract</t>
  </si>
  <si>
    <t>Every enforceable claim except the claimant that contracted with the owner itself</t>
  </si>
  <si>
    <t>Held by the owner on the Dunmore-Kettle contract</t>
  </si>
  <si>
    <t>Adjusted contract sum less payments: unpaid application 8 and the retention</t>
  </si>
  <si>
    <t>Money held over the enforceable claims</t>
  </si>
  <si>
    <t>The money held less the enforceable claims under the contract</t>
  </si>
  <si>
    <t>Does what the owner holds cover those claims</t>
  </si>
  <si>
    <t>PN-14, what the owner holds on a direct contract</t>
  </si>
  <si>
    <t>Date the retention fell due</t>
  </si>
  <si>
    <t>section 8812(a), the forty-fifth day after completion, not moved although the offices were closed that day</t>
  </si>
  <si>
    <t>Retention Piedmont Ridge must release to Dunmore-Kettle now</t>
  </si>
  <si>
    <t>What is due less the enforceable claims of record under the contract and less 150 percent of the $36,000.00 in dispute</t>
  </si>
  <si>
    <t>Penalty for each month all of it is held past the due date</t>
  </si>
  <si>
    <t>section 8818(a), 2 percent per month on the amount due for release</t>
  </si>
  <si>
    <t>Days from the due date to the refinance closing</t>
  </si>
  <si>
    <t>September 25 to November 20, 2026, the due day not counted</t>
  </si>
  <si>
    <t>Penalty accrued if all of it is held through the refinance closing</t>
  </si>
  <si>
    <t>2 percent per month by the day on a 30 day month, PN-14</t>
  </si>
  <si>
    <t>Last day for Dunmore-Kettle Builders to record its own claim</t>
  </si>
  <si>
    <t>Its copy of the notice of completion was mailed 09/09/2026, after the last day to give it, so section 8190(d) gives it 90 days from completion</t>
  </si>
  <si>
    <t>Totals</t>
  </si>
  <si>
    <t>Total</t>
  </si>
  <si>
    <t>Amount of the seventeen claims as recorded</t>
  </si>
  <si>
    <t>Amount the claimants could enforce against the property</t>
  </si>
  <si>
    <t>Claims to bond or settle</t>
  </si>
  <si>
    <t>Claims to demand released</t>
  </si>
  <si>
    <t>Recorded amount of the claims to demand released</t>
  </si>
  <si>
    <t>The seventeen recorded claims</t>
  </si>
  <si>
    <t>CLAIMANT</t>
  </si>
  <si>
    <t>RECORDED</t>
  </si>
  <si>
    <t>AMOUNT_AS_RECORDED</t>
  </si>
  <si>
    <t>LIEN_RIGHTS</t>
  </si>
  <si>
    <t>TIMELY</t>
  </si>
  <si>
    <t>SERVED_ON_OWNER</t>
  </si>
  <si>
    <t>EXPIRED</t>
  </si>
  <si>
    <t>STANDING</t>
  </si>
  <si>
    <t>ENFORCEABLE_AMOUNT</t>
  </si>
  <si>
    <t>WHAT_WE_DO</t>
  </si>
  <si>
    <t>RELEASE_BOND</t>
  </si>
  <si>
    <t>WAIVERS_ON_FILE</t>
  </si>
  <si>
    <t>WHAT_DECIDES_IT</t>
  </si>
  <si>
    <t>Progress waivers through 04/30/2026; the May letter is not a statutory form</t>
  </si>
  <si>
    <t>No action by 09/24/2026; the search current through 09/30/2026 is later</t>
  </si>
  <si>
    <t>None on file</t>
  </si>
  <si>
    <t>No action on this property by 10/01/2026; the search current through 10/02/2026 is later; its Building A action is on another property</t>
  </si>
  <si>
    <t>Last day to sue 10/05/2026 is after 10/02/2026, the day the later search is current through</t>
  </si>
  <si>
    <t>Preliminary notice never given to the owner</t>
  </si>
  <si>
    <t>Late notice deposited 05/29/2026 reaches back to 05/09/2026</t>
  </si>
  <si>
    <t>Progress waivers through 06/30/2026; retention is saved</t>
  </si>
  <si>
    <t>Claim mailed to Dunmore-Kettle, not to the owner</t>
  </si>
  <si>
    <t>July waiver rests on stopped check 4460; July was paid by check 4474</t>
  </si>
  <si>
    <t>Replacement check 4474 paid at the bank on 09/23/2026</t>
  </si>
  <si>
    <t>Unconditional through 07/31/2026 releases the unpaid July draw</t>
  </si>
  <si>
    <t>Unconditional waiver effective when signed</t>
  </si>
  <si>
    <t>Conditional final waiver, check 4448 paid; releases the retention too</t>
  </si>
  <si>
    <t>A final form releases every lien right, retention included</t>
  </si>
  <si>
    <t>Unconditional through 06/30/2026; retention saved, request 3 never approved</t>
  </si>
  <si>
    <t>Change order request 3 is not part of the price agreed</t>
  </si>
  <si>
    <t>July released on check 4461; check 4479 has not paid at the bank</t>
  </si>
  <si>
    <t>Recorded on the extended last day, 09/28/2026</t>
  </si>
  <si>
    <t>July release is on the contractor's form S-9; releases nothing</t>
  </si>
  <si>
    <t>No copy of the notice of completion; last day 11/09/2026</t>
  </si>
  <si>
    <t>Progress waivers through 07/31/2026; retention is saved</t>
  </si>
  <si>
    <t>Copy mailed 09/08/2026 in time; recorded after 09/28/2026</t>
  </si>
  <si>
    <t>Progress waiver through 07/31/2026; August work and retention remain</t>
  </si>
  <si>
    <t>Direct contractor; no notice owed, last day 11/09/2026</t>
  </si>
  <si>
    <t>Conditional final waiver on joint check 4488, paid 10/09/2026; saves the $14,540.00 of disputed extras it states</t>
  </si>
  <si>
    <t>Copy mailed 09/09/2026, a day late; notice 21 days after the first delivery, so invoice C-11842 splits at 01/27/2026; invoice C-14212 paid after recording</t>
  </si>
  <si>
    <t>Copy deposited 09/08/2026 in time, unclaimed or not; recorded after 09/28/2026</t>
  </si>
  <si>
    <t>Notice given to the owner at the permit address; no copy of the notice of completion; last day 11/09/2026</t>
  </si>
  <si>
    <t>Dates that govern every claim</t>
  </si>
  <si>
    <t>Date</t>
  </si>
  <si>
    <t>Completion of the work of improvement</t>
  </si>
  <si>
    <t>Completion memorandum and notice of completion item 5</t>
  </si>
  <si>
    <t>Notice of completion recorded</t>
  </si>
  <si>
    <t>Document No. 2026-0081562</t>
  </si>
  <si>
    <t>Days from completion to recording</t>
  </si>
  <si>
    <t>The fifteenth day, the last that section 8182(a) allows</t>
  </si>
  <si>
    <t>Notice of completion effective</t>
  </si>
  <si>
    <t>section 8182(a)</t>
  </si>
  <si>
    <t>Last day to give a copy of the notice of completion</t>
  </si>
  <si>
    <t>The tenth day, 09/05/2026, was a Saturday and the Monday was Labor Day, so section 12a runs the period to the Tuesday</t>
  </si>
  <si>
    <t>Last day to record, claimant given its copy in time</t>
  </si>
  <si>
    <t>The thirtieth day, 09/25/2026, was a day the county offices were closed for the whole day, a holiday under section 12b, so section 12a runs the period to the Monday</t>
  </si>
  <si>
    <t>Last day to record, person not given a copy in time</t>
  </si>
  <si>
    <t>section 8190(d), 90 days after completion</t>
  </si>
  <si>
    <t>Last day for Dunmore-Kettle Builders to record</t>
  </si>
  <si>
    <t>Its copy was mailed 09/09/2026, after the last day to give it</t>
  </si>
  <si>
    <t>First civil index and recorder searches, run and current through</t>
  </si>
  <si>
    <t>No action on this property by any claimant found; no notice of pendency of action</t>
  </si>
  <si>
    <t>Second civil index and recorder searches, run and current through</t>
  </si>
  <si>
    <t>The same; Auburn Scaffold's action and notice of pendency concern Building A</t>
  </si>
  <si>
    <t>Bank's date for releases and bonds of record</t>
  </si>
  <si>
    <t>Sutter Valley Bank counsel, per the October 2 email</t>
  </si>
  <si>
    <t>Refinance closing</t>
  </si>
  <si>
    <t>October 2 email</t>
  </si>
  <si>
    <t>Every value on this page reads from the tabs behind it. Standing, enforceable amount, and bond are worked on the Claims tab from the Notices, NOC Copies, Deadlines, Waivers, and Amounts tabs, and the governing dates, the surety's line, the money held, the retention figures, and the cheapest claim to clear are on the Parameters tab.</t>
  </si>
  <si>
    <t>Dates, rule constants, and money figures the analysis applies, with the source of each</t>
  </si>
  <si>
    <t>PARAMETER</t>
  </si>
  <si>
    <t>VALUE</t>
  </si>
  <si>
    <t>SERIAL</t>
  </si>
  <si>
    <t>SOURCE</t>
  </si>
  <si>
    <t>08/11/2026</t>
  </si>
  <si>
    <t>Completion memorandum of August 19, 2026, final inspection and last labor; notice of completion item 5</t>
  </si>
  <si>
    <t>08/26/2026</t>
  </si>
  <si>
    <t>Notice of completion, Document No. 2026-0081562</t>
  </si>
  <si>
    <t>Holiday, Labor Day</t>
  </si>
  <si>
    <t>09/07/2026</t>
  </si>
  <si>
    <t>Memorandum of September 10, 2026 on the copies of the notice of completion</t>
  </si>
  <si>
    <t>Holiday under Code of Civil Procedure section 12b, county offices closed the whole day</t>
  </si>
  <si>
    <t>09/25/2026</t>
  </si>
  <si>
    <t>Close-out file, part D, civil index search</t>
  </si>
  <si>
    <t>Days allowed to record a notice of completion after completion</t>
  </si>
  <si>
    <t>Days allowed to give a copy of the notice of completion</t>
  </si>
  <si>
    <t>section 8190(a)</t>
  </si>
  <si>
    <t>Days after the notice of completion to record, claimants other than the direct contractor</t>
  </si>
  <si>
    <t>section 8414</t>
  </si>
  <si>
    <t>Days after the notice of completion to record, direct contractor</t>
  </si>
  <si>
    <t>section 8412</t>
  </si>
  <si>
    <t>Days after completion to record where the notice does not shorten the time</t>
  </si>
  <si>
    <t>section 8190(d) with sections 8412 and 8414</t>
  </si>
  <si>
    <t>Days after first furnishing for a timely preliminary notice</t>
  </si>
  <si>
    <t>section 8204(a)</t>
  </si>
  <si>
    <t>Days a late preliminary notice reaches back</t>
  </si>
  <si>
    <t>section 8204(b)</t>
  </si>
  <si>
    <t>Days after recording to commence an action</t>
  </si>
  <si>
    <t>section 8460(a)</t>
  </si>
  <si>
    <t>Release bond, percent of the recorded claim</t>
  </si>
  <si>
    <t>section 8424(b)</t>
  </si>
  <si>
    <t>Days between the demand for release and a petition</t>
  </si>
  <si>
    <t>section 8482</t>
  </si>
  <si>
    <t>Days after completion for payment of retention</t>
  </si>
  <si>
    <t>section 8812(a)</t>
  </si>
  <si>
    <t>Percent of a disputed amount the owner may withhold from retention</t>
  </si>
  <si>
    <t>section 8812(c)</t>
  </si>
  <si>
    <t>First civil index and recorder searches run</t>
  </si>
  <si>
    <t>10/02/2026</t>
  </si>
  <si>
    <t>Close-out file, part D</t>
  </si>
  <si>
    <t>First searches current through</t>
  </si>
  <si>
    <t>09/30/2026</t>
  </si>
  <si>
    <t>Close-out file, part D, the index current through the close of business on September 30</t>
  </si>
  <si>
    <t>Second civil index and recorder searches run</t>
  </si>
  <si>
    <t>10/08/2026</t>
  </si>
  <si>
    <t>Second searches current through, the latest day any search covers</t>
  </si>
  <si>
    <t>Close-out file, part D, the index current only through the close of business on October 2</t>
  </si>
  <si>
    <t>Date the analysis is due</t>
  </si>
  <si>
    <t>10/20/2026</t>
  </si>
  <si>
    <t>The handoff, Tuesday, October 20</t>
  </si>
  <si>
    <t>11/20/2026</t>
  </si>
  <si>
    <t>Nadia Ferris email of October 2, 2026</t>
  </si>
  <si>
    <t>11/06/2026</t>
  </si>
  <si>
    <t>Value in the bank's appraisal</t>
  </si>
  <si>
    <t>Percent of the appraised value the surety will write in release bonds</t>
  </si>
  <si>
    <t>15 percent of the appraised value</t>
  </si>
  <si>
    <t>Penalty on retention wrongfully withheld, percent per month</t>
  </si>
  <si>
    <t>section 8818(a)</t>
  </si>
  <si>
    <t>Contract sum, Dunmore-Kettle Builders, Inc., as signed</t>
  </si>
  <si>
    <t>Owner Payments tab of the project file; completion memorandum of August 19, 2026</t>
  </si>
  <si>
    <t>Change orders 1 to 6 approved by the owner</t>
  </si>
  <si>
    <t>Adjusted contract sum</t>
  </si>
  <si>
    <t>PN-14 on what the owner holds, the contract sum as adjusted by the approved change orders</t>
  </si>
  <si>
    <t>Paid to the direct contractor to date</t>
  </si>
  <si>
    <t>Owner Payments tab, applications 1 through 7; application 8 is unpaid</t>
  </si>
  <si>
    <t>Retention withheld from the direct contractor</t>
  </si>
  <si>
    <t>Owner Payments tab of the project file; completion memorandum</t>
  </si>
  <si>
    <t>Application 8 unpaid, net of its retention</t>
  </si>
  <si>
    <t>Owner Payments tab, application 8 certified $152,330.00 less retention $7,616.50</t>
  </si>
  <si>
    <t>Rooftop unit correction the direct contractor disputes in good faith</t>
  </si>
  <si>
    <t>Completion memorandum of August 19, 2026</t>
  </si>
  <si>
    <t>Site paving back charge the direct contractor contests in writing</t>
  </si>
  <si>
    <t>Amounts in good faith dispute between the owner and the direct contractor</t>
  </si>
  <si>
    <t>The two items above. The plaster back charge is between the direct contractor and Calder Drywall, on which the owner has taken no position</t>
  </si>
  <si>
    <t>Days in a month for the penalty, PN-14</t>
  </si>
  <si>
    <t>PN-14 on the penalty, computed by the day on a 30 day month</t>
  </si>
  <si>
    <t>Derived dates and figures</t>
  </si>
  <si>
    <t>Days from completion to the recording of the notice of completion</t>
  </si>
  <si>
    <t>Completion and recording rows above</t>
  </si>
  <si>
    <t>Notice of completion effective under section 8182</t>
  </si>
  <si>
    <t>section 8182(a), the fifteenth day counted with the day of completion excluded</t>
  </si>
  <si>
    <t>Tenth day after the notice of completion was recorded</t>
  </si>
  <si>
    <t>section 8190(a), before the section 12a extension</t>
  </si>
  <si>
    <t>Weekday of the tenth day</t>
  </si>
  <si>
    <t>A Saturday, followed by the Sunday and by Labor Day</t>
  </si>
  <si>
    <t>section 8190(a) with the section 12a extension</t>
  </si>
  <si>
    <t>Thirtieth day after the notice of completion</t>
  </si>
  <si>
    <t>section 8414, before the section 12a extension</t>
  </si>
  <si>
    <t>Weekday of the thirtieth day</t>
  </si>
  <si>
    <t>A Friday on which the county offices were closed for the whole day</t>
  </si>
  <si>
    <t>section 8414 with the section 12a extension</t>
  </si>
  <si>
    <t>Last day to record, direct contractor given its copy in time</t>
  </si>
  <si>
    <t>section 8412 with the section 12a extension</t>
  </si>
  <si>
    <t>PN-14, the adjusted contract sum less what the owner has paid on it</t>
  </si>
  <si>
    <t>Retention due to the direct contractor</t>
  </si>
  <si>
    <t>section 8812(a), the forty-fifth day after completion; PN-14 does not move it under sections 12a and 12b because it is a day money is due, not a last day for an act</t>
  </si>
  <si>
    <t>Weekday of the day the retention fell due</t>
  </si>
  <si>
    <t>The closed Friday; the due date stands</t>
  </si>
  <si>
    <t>Retention the owner may withhold for the amounts in good faith dispute</t>
  </si>
  <si>
    <t>section 8812(c), 150 percent of the amounts in dispute with the direct contractor</t>
  </si>
  <si>
    <t>Retention due for release to the direct contractor now</t>
  </si>
  <si>
    <t>PN-14, what is due less the enforceable claims of record under the direct contract and less the 150 percent hold, never below zero</t>
  </si>
  <si>
    <t>Days from the due date to the refinance closing, the due day not counted</t>
  </si>
  <si>
    <t>September 25 to November 20, 2026</t>
  </si>
  <si>
    <t>section 8818(a) and PN-14, 2 percent per month by the day on a 30 day month</t>
  </si>
  <si>
    <t>Smallest enforceable amount among the claims to bond</t>
  </si>
  <si>
    <t>Claims tab, the claim cheapest to clear by paying the enforceable amount against an unconditional final release</t>
  </si>
  <si>
    <t>Claim cheapest to clear by payment</t>
  </si>
  <si>
    <t>Claims tab</t>
  </si>
  <si>
    <t>Bond that payment takes out</t>
  </si>
  <si>
    <t>The bond total less the bond the payment takes out</t>
  </si>
  <si>
    <t>Dunmore-Kettle Builders subcontractor payment ledger, dk_subcontractor_payments.csv, its two side-by-side panels copied into one list in ledger order</t>
  </si>
  <si>
    <t>ENTRY_DATE</t>
  </si>
  <si>
    <t>CHECK_NO</t>
  </si>
  <si>
    <t>TYPE</t>
  </si>
  <si>
    <t>PAYEE</t>
  </si>
  <si>
    <t>TRADE</t>
  </si>
  <si>
    <t>PAY_APP</t>
  </si>
  <si>
    <t>AMOUNT</t>
  </si>
  <si>
    <t>BANK_CLEARED</t>
  </si>
  <si>
    <t>03/27/2026</t>
  </si>
  <si>
    <t>CHK</t>
  </si>
  <si>
    <t>Ostrowski Electric Inc</t>
  </si>
  <si>
    <t>Electrical</t>
  </si>
  <si>
    <t>04/01/2026</t>
  </si>
  <si>
    <t>Tallac Concrete Inc</t>
  </si>
  <si>
    <t>Site concrete</t>
  </si>
  <si>
    <t>03/31/2026</t>
  </si>
  <si>
    <t>Petrakis Plumbing Inc</t>
  </si>
  <si>
    <t>Plumbing</t>
  </si>
  <si>
    <t>04/02/2026</t>
  </si>
  <si>
    <t>04/28/2026</t>
  </si>
  <si>
    <t>05/01/2026</t>
  </si>
  <si>
    <t>04/30/2026</t>
  </si>
  <si>
    <t>R Nakamura Framing Inc</t>
  </si>
  <si>
    <t>Rough carpentry</t>
  </si>
  <si>
    <t>05/04/2026</t>
  </si>
  <si>
    <t>Fenwick Roofing Inc</t>
  </si>
  <si>
    <t>Roofing</t>
  </si>
  <si>
    <t>04/29/2026</t>
  </si>
  <si>
    <t>Kastner Mechanical Contractors Inc</t>
  </si>
  <si>
    <t>HVAC</t>
  </si>
  <si>
    <t>05/05/2026</t>
  </si>
  <si>
    <t>05/29/2026</t>
  </si>
  <si>
    <t>06/03/2026</t>
  </si>
  <si>
    <t>06/02/2026</t>
  </si>
  <si>
    <t>Calder Drywall and Plaster LLC</t>
  </si>
  <si>
    <t>Drywall and plaster</t>
  </si>
  <si>
    <t>06/04/2026</t>
  </si>
  <si>
    <t>06/01/2026</t>
  </si>
  <si>
    <t>Lindqvist Fire Protection</t>
  </si>
  <si>
    <t>Fire sprinklers</t>
  </si>
  <si>
    <t>06/05/2026</t>
  </si>
  <si>
    <t>06/26/2026</t>
  </si>
  <si>
    <t>07/01/2026</t>
  </si>
  <si>
    <t>06/30/2026</t>
  </si>
  <si>
    <t>07/02/2026</t>
  </si>
  <si>
    <t>06/29/2026</t>
  </si>
  <si>
    <t>07/06/2026</t>
  </si>
  <si>
    <t>Bautista Painting Co</t>
  </si>
  <si>
    <t>Painting</t>
  </si>
  <si>
    <t>07/07/2026</t>
  </si>
  <si>
    <t>Abrego Glass and Glazing</t>
  </si>
  <si>
    <t>Storefront and glazing</t>
  </si>
  <si>
    <t>Calder Bros Masonry Inc</t>
  </si>
  <si>
    <t>Masonry</t>
  </si>
  <si>
    <t>07/29/2026</t>
  </si>
  <si>
    <t>08/03/2026</t>
  </si>
  <si>
    <t>08/04/2026</t>
  </si>
  <si>
    <t>07/30/2026</t>
  </si>
  <si>
    <t>08/05/2026</t>
  </si>
  <si>
    <t>08/18/2026</t>
  </si>
  <si>
    <t>08/19/2026</t>
  </si>
  <si>
    <t>08/24/2026</t>
  </si>
  <si>
    <t>08/25/2026</t>
  </si>
  <si>
    <t>STP</t>
  </si>
  <si>
    <t>09/18/2026</t>
  </si>
  <si>
    <t>09/23/2026</t>
  </si>
  <si>
    <t>10/06/2026</t>
  </si>
  <si>
    <t>Ostrowski Electric Inc and Capitol Wire and Lighting</t>
  </si>
  <si>
    <t>10/09/2026</t>
  </si>
  <si>
    <t>Preliminary notice by claimant: whether one was owed, when it was given, what it covers, and whether the owner was given it</t>
  </si>
  <si>
    <t>CONTRACTED_WITH</t>
  </si>
  <si>
    <t>CLASS</t>
  </si>
  <si>
    <t>FIRST_FURNISHED</t>
  </si>
  <si>
    <t>FIRST_SERIAL</t>
  </si>
  <si>
    <t>NOTICE_GIVEN</t>
  </si>
  <si>
    <t>NOTICE_SERIAL</t>
  </si>
  <si>
    <t>DAYS_TO_NOTICE</t>
  </si>
  <si>
    <t>GIVEN_TO_OWNER</t>
  </si>
  <si>
    <t>NOTICE_OWED</t>
  </si>
  <si>
    <t>TIMELY_NOTICE</t>
  </si>
  <si>
    <t>COVERAGE_FROM</t>
  </si>
  <si>
    <t>COVERAGE_SERIAL</t>
  </si>
  <si>
    <t>READ_FROM</t>
  </si>
  <si>
    <t>Tallac Concrete, Inc.</t>
  </si>
  <si>
    <t>Dunmore-Kettle Builders, Inc.</t>
  </si>
  <si>
    <t>Other claimant</t>
  </si>
  <si>
    <t>02/02/2026</t>
  </si>
  <si>
    <t>02/09/2026</t>
  </si>
  <si>
    <t>Yes, owner log entry mailed 02/09/2026</t>
  </si>
  <si>
    <t>Claim 1 item 7; Prelim Log row for Tallac Concrete</t>
  </si>
  <si>
    <t>Auburn Scaffold &amp; Shoring, Inc.</t>
  </si>
  <si>
    <t>R. Nakamura Framing, Inc.</t>
  </si>
  <si>
    <t>02/27/2026</t>
  </si>
  <si>
    <t>03/05/2026</t>
  </si>
  <si>
    <t>Yes, owner log entry mailed 03/05/2026</t>
  </si>
  <si>
    <t>Claim 2 item 7; Prelim Log row for Auburn Scaffold &amp; Shoring</t>
  </si>
  <si>
    <t>Foothill Ready Mix, Inc.</t>
  </si>
  <si>
    <t>02/05/2026</t>
  </si>
  <si>
    <t>02/11/2026</t>
  </si>
  <si>
    <t>Yes, owner log entry mailed 02/11/2026</t>
  </si>
  <si>
    <t>Claim 3 item 7; Prelim Log row for Foothill Ready Mix</t>
  </si>
  <si>
    <t>Norcal Rebar &amp; Mesh, LLC</t>
  </si>
  <si>
    <t>02/03/2026</t>
  </si>
  <si>
    <t>02/17/2026</t>
  </si>
  <si>
    <t>No, Exhibit A names Dunmore-Kettle and Tallac, and the owner log has no entry</t>
  </si>
  <si>
    <t>Claim 4 item 7 and Exhibit A; Prelim Log, no entry</t>
  </si>
  <si>
    <t>Hedrick &amp; Sons Building Supply</t>
  </si>
  <si>
    <t>04/06/2026</t>
  </si>
  <si>
    <t>Yes, owner log entry mailed 05/29/2026</t>
  </si>
  <si>
    <t>Claim 5 item 7 and Exhibit A, first delivery 04/06/2026; Prelim Log DATE_MAILED</t>
  </si>
  <si>
    <t>Abrego Glass &amp; Glazing</t>
  </si>
  <si>
    <t>04/27/2026</t>
  </si>
  <si>
    <t>Yes, owner log entry mailed 05/04/2026</t>
  </si>
  <si>
    <t>Claim 6 item 7; Prelim Log row for Abrego Glass &amp; Glazing</t>
  </si>
  <si>
    <t>Kastner Mechanical Contractors, Inc.</t>
  </si>
  <si>
    <t>03/16/2026</t>
  </si>
  <si>
    <t>03/20/2026</t>
  </si>
  <si>
    <t>Yes, owner log entry mailed 03/20/2026</t>
  </si>
  <si>
    <t>Claim 7 item 7; Prelim Log row for Kastner Mechanical Contractors</t>
  </si>
  <si>
    <t>Bautista Painting Co.</t>
  </si>
  <si>
    <t>05/18/2026</t>
  </si>
  <si>
    <t>05/27/2026</t>
  </si>
  <si>
    <t>Yes, owner log entry mailed 05/27/2026</t>
  </si>
  <si>
    <t>Claim 8 item 7; Prelim Log row for Bautista Painting Co.</t>
  </si>
  <si>
    <t>Fenwick Roofing, Inc.</t>
  </si>
  <si>
    <t>03/09/2026</t>
  </si>
  <si>
    <t>03/12/2026</t>
  </si>
  <si>
    <t>Yes, owner log entry mailed 03/12/2026</t>
  </si>
  <si>
    <t>Claim 9 item 7; Prelim Log row for Fenwick Roofing</t>
  </si>
  <si>
    <t>03/02/2026</t>
  </si>
  <si>
    <t>Yes, owner log entry mailed 03/09/2026</t>
  </si>
  <si>
    <t>Claim 10 item 7; Prelim Log row for Lindqvist Fire Protection</t>
  </si>
  <si>
    <t>Ostrowski Electric, Inc.</t>
  </si>
  <si>
    <t>01/19/2026</t>
  </si>
  <si>
    <t>01/30/2026</t>
  </si>
  <si>
    <t>Yes, owner log entry mailed 01/30/2026</t>
  </si>
  <si>
    <t>Claim 11 item 7; Prelim Log row for Ostrowski Electric</t>
  </si>
  <si>
    <t>Calder Drywall &amp; Plaster, LLC</t>
  </si>
  <si>
    <t>04/20/2026</t>
  </si>
  <si>
    <t>04/24/2026</t>
  </si>
  <si>
    <t>Yes, owner log entry mailed 04/24/2026</t>
  </si>
  <si>
    <t>Claim 12 item 7; Prelim Log row for Calder Drywall &amp; Plaster</t>
  </si>
  <si>
    <t>Petrakis Plumbing, Inc.</t>
  </si>
  <si>
    <t>02/12/2026</t>
  </si>
  <si>
    <t>Yes, owner log entry mailed 02/12/2026</t>
  </si>
  <si>
    <t>Claim 13 item 7; Prelim Log row for Petrakis Plumbing</t>
  </si>
  <si>
    <t>Sorensen Landscape Co.</t>
  </si>
  <si>
    <t>Piedmont Ridge Properties, LLC</t>
  </si>
  <si>
    <t>Direct contractor</t>
  </si>
  <si>
    <t>06/08/2026</t>
  </si>
  <si>
    <t>None given and none owed, the claimant contracted with the owner itself</t>
  </si>
  <si>
    <t>Claim 14 items 5, 7 and 8; Owner Payments tab, the owner's own agreements</t>
  </si>
  <si>
    <t>Capitol Wire &amp; Lighting, Inc.</t>
  </si>
  <si>
    <t>01/26/2026</t>
  </si>
  <si>
    <t>02/16/2026</t>
  </si>
  <si>
    <t>Yes, owner log entry mailed 02/16/2026</t>
  </si>
  <si>
    <t>Claim 15 Exhibit A, ticket D-30117 delivered 01/26/2026; Prelim Log DATE_MAILED</t>
  </si>
  <si>
    <t>Sierra Pipe &amp; Supply, Inc.</t>
  </si>
  <si>
    <t>02/24/2026</t>
  </si>
  <si>
    <t>Yes, owner log entry mailed 03/16/2026</t>
  </si>
  <si>
    <t>Claim 16 Exhibit A, ticket R-51022 delivered 02/24/2026; Prelim Log DATE_MAILED</t>
  </si>
  <si>
    <t>Granite Bay Sheet Metal, Inc.</t>
  </si>
  <si>
    <t>03/23/2026</t>
  </si>
  <si>
    <t>Yes, Exhibit A shows the notice mailed to the owner at 1440 Eureka Road, the address on permit B25-1187; the owner log has no entry</t>
  </si>
  <si>
    <t>Claim 17 item 7 and Exhibit A; Prelim Log, no entry; memorandum of August 19, 2026 on the permit address</t>
  </si>
  <si>
    <t>Notice given is the date of deposit (section 8116), read from DATE_MAILED on the owner's log or from the exhibit to the claim, never from the date typed on the notice, the date received, or the recital in the claim. First furnishing is read from the claim and the statement of account attached to it, never from the preliminary notice form. A late notice covers work furnished from the twentieth day before it was given, the day of giving not counted. A direct contractor owes no preliminary notice on a job with no construction lender (section 8200(e)).</t>
  </si>
  <si>
    <t>Copy of the notice of completion by person: who was entitled to one, when it was mailed, and the last day to record that follows</t>
  </si>
  <si>
    <t>PERSON</t>
  </si>
  <si>
    <t>ENTITLED_TO_COPY</t>
  </si>
  <si>
    <t>ADDRESSEE_ON_MAIL_LOG</t>
  </si>
  <si>
    <t>COPY_MAILED</t>
  </si>
  <si>
    <t>MAILED_SERIAL</t>
  </si>
  <si>
    <t>GIVEN_IN_TIME</t>
  </si>
  <si>
    <t>NOTICE_SHORTENS_TIME</t>
  </si>
  <si>
    <t>LAST_DAY_TO_RECORD</t>
  </si>
  <si>
    <t>LAST_DAY_SERIAL</t>
  </si>
  <si>
    <t>08/31/2026</t>
  </si>
  <si>
    <t>Certified Mail tab, Tallac Concrete Inc, mailed 08/31/2026</t>
  </si>
  <si>
    <t>Auburn Scaffold and Shoring</t>
  </si>
  <si>
    <t>Certified Mail tab, Auburn Scaffold and Shoring, mailed 08/31/2026</t>
  </si>
  <si>
    <t>Foothill Ready Mix</t>
  </si>
  <si>
    <t>Certified Mail tab, Foothill Ready Mix, mailed 08/31/2026</t>
  </si>
  <si>
    <t>Not on the log</t>
  </si>
  <si>
    <t>Certified Mail tab, no entry; no preliminary notice to the owner, so no copy was owed</t>
  </si>
  <si>
    <t>Hedrick and Sons Bldg Supply</t>
  </si>
  <si>
    <t>09/08/2026</t>
  </si>
  <si>
    <t>Certified Mail tab, Hedrick and Sons Bldg Supply, mailed 09/08/2026</t>
  </si>
  <si>
    <t>Certified Mail tab, Abrego Glass and Glazing, mailed 08/31/2026</t>
  </si>
  <si>
    <t>Kastner Mechanical</t>
  </si>
  <si>
    <t>Certified Mail tab, Kastner Mechanical, mailed 08/31/2026</t>
  </si>
  <si>
    <t>Bautista Painting</t>
  </si>
  <si>
    <t>Certified Mail tab, Bautista Painting, mailed 09/08/2026</t>
  </si>
  <si>
    <t>Certified Mail tab, Fenwick Roofing Inc, mailed 08/31/2026</t>
  </si>
  <si>
    <t>Certified Mail tab, Lindqvist Fire Protection, mailed 08/31/2026</t>
  </si>
  <si>
    <t>Certified Mail tab, Ostrowski Electric Inc, mailed 08/31/2026</t>
  </si>
  <si>
    <t>Certified Mail tab, no entry for Calder Drywall &amp; Plaster; the 08/31/2026 entry is Calder Bros Masonry of Penryn</t>
  </si>
  <si>
    <t>Petrakis Plumbing</t>
  </si>
  <si>
    <t>Certified Mail tab, Petrakis Plumbing, mailed 09/08/2026</t>
  </si>
  <si>
    <t>Certified Mail tab, no entry; memorandum of September 10, 2026</t>
  </si>
  <si>
    <t>Capitol Wire and Lighting</t>
  </si>
  <si>
    <t>09/09/2026</t>
  </si>
  <si>
    <t>Certified Mail tab, Capitol Wire and Lighting, mailed 09/09/2026</t>
  </si>
  <si>
    <t>Sierra Pipe and Supply</t>
  </si>
  <si>
    <t>Certified Mail tab, Sierra Pipe and Supply, certified mail number 7022 1670 0002 3391 4399 mailed 09/08/2026 and returned unclaimed 09/29/2026, given on deposit (section 8116); the Sierra Test and Balance entry is a different company</t>
  </si>
  <si>
    <t>Certified Mail tab, no entry. The notice never reached the owner's log, and no copy went out</t>
  </si>
  <si>
    <t>The direct contractor on the notice of completion, which has not recorded a claim</t>
  </si>
  <si>
    <t>Yes</t>
  </si>
  <si>
    <t>Dunmore-Kettle Builders</t>
  </si>
  <si>
    <t>Certified Mail tab, Dunmore-Kettle Builders, mailed 09/09/2026</t>
  </si>
  <si>
    <t>A copy is owed to the direct contractor and to every claimant that gave the owner a preliminary notice, within 10 days after the notice of completion was recorded (section 8190(a)). The tenth day was a Saturday and the Monday after it was Labor Day, so a copy deposited on Tuesday 09/08/2026 was given in time and one deposited on Wednesday 09/09/2026 was not. Where no copy was given in time, the notice of completion does not shorten that person's time, and the last day is 90 days after completion (section 8190(d)).</t>
  </si>
  <si>
    <t>Recording, service, and enforcement by claim, counted under Code of Civil Procedure sections 12, 12a and 12b</t>
  </si>
  <si>
    <t>RECORDED_SERIAL</t>
  </si>
  <si>
    <t>COPY_OF_CLAIM_MAILED_TO</t>
  </si>
  <si>
    <t>ACTION_DUE_BY</t>
  </si>
  <si>
    <t>ACTION_DUE_SERIAL</t>
  </si>
  <si>
    <t>ACTION_ON_INDEX</t>
  </si>
  <si>
    <t>DOC_NO</t>
  </si>
  <si>
    <t>Owner, 3100 Douglas Boulevard, Roseville</t>
  </si>
  <si>
    <t>None</t>
  </si>
  <si>
    <t>2026-0060418</t>
  </si>
  <si>
    <t>07/03/2026</t>
  </si>
  <si>
    <t>2026-0063011</t>
  </si>
  <si>
    <t>2026-0063905</t>
  </si>
  <si>
    <t>09/14/2026</t>
  </si>
  <si>
    <t>2026-0095207</t>
  </si>
  <si>
    <t>09/16/2026</t>
  </si>
  <si>
    <t>2026-0096088</t>
  </si>
  <si>
    <t>09/17/2026</t>
  </si>
  <si>
    <t>Dunmore-Kettle Builders, 2140 Sunset Boulevard, Rocklin</t>
  </si>
  <si>
    <t>2026-0096531</t>
  </si>
  <si>
    <t>09/21/2026</t>
  </si>
  <si>
    <t>2026-0097644</t>
  </si>
  <si>
    <t>09/22/2026</t>
  </si>
  <si>
    <t>2026-0098120</t>
  </si>
  <si>
    <t>2026-0098577</t>
  </si>
  <si>
    <t>09/24/2026</t>
  </si>
  <si>
    <t>Owner, 1440 Eureka Road, Roseville, the address on building permit B25-1187</t>
  </si>
  <si>
    <t>2026-0098901</t>
  </si>
  <si>
    <t>09/28/2026</t>
  </si>
  <si>
    <t>2026-0100263</t>
  </si>
  <si>
    <t>09/29/2026</t>
  </si>
  <si>
    <t>2026-0100719</t>
  </si>
  <si>
    <t>2026-0101184</t>
  </si>
  <si>
    <t>2026-0101236</t>
  </si>
  <si>
    <t>10/01/2026</t>
  </si>
  <si>
    <t>2026-0101655</t>
  </si>
  <si>
    <t>2026-0101690</t>
  </si>
  <si>
    <t>2026-0101712</t>
  </si>
  <si>
    <t>LAST_DAY_TO_RECORD is read from the NOC Copies tab. A claim is served on the owner when its copy was mailed to the owner at its place of business or at the address the building permit shows for it (section 8416(c)(1)); a copy mailed to the direct contractor alone is no service. ACTION_ON_INDEX is read from the two civil index searches, current through 09/30/2026 and 10/02/2026, which found no action by any claimant on this property. Auburn Scaffold's action and notice of pendency concern APN 480-210-041, Larkspur Crossing Building A, and do not keep its lien on this property alive. A lien is expired only where a search current through a day after its ACTION_DUE_BY date shows no action (section 8460(a) and PN-14), and the October 8 search is current only through October 2. Not shown marks a lien whose last day to sue falls after the latest day any search is current through, so that no search on file can show whether an action was filed in time.</t>
  </si>
  <si>
    <t>Every waiver on file from a claimant, read against the payment ledger</t>
  </si>
  <si>
    <t>FORM_TITLE</t>
  </si>
  <si>
    <t>THROUGH_DATE</t>
  </si>
  <si>
    <t>THROUGH_SERIAL</t>
  </si>
  <si>
    <t>EXCEPTIONS</t>
  </si>
  <si>
    <t>CHECK_REF</t>
  </si>
  <si>
    <t>CHECK_AT_THE_BANK</t>
  </si>
  <si>
    <t>STATUTORY_FORM</t>
  </si>
  <si>
    <t>FORM_KIND</t>
  </si>
  <si>
    <t>EFFECTIVE</t>
  </si>
  <si>
    <t>WHY</t>
  </si>
  <si>
    <t>EXCEPTION_AMOUNT</t>
  </si>
  <si>
    <t>Unconditional Waiver and Release on Progress Payment</t>
  </si>
  <si>
    <t>02/28/2026</t>
  </si>
  <si>
    <t>Lien release letter on Tallac Concrete letterhead</t>
  </si>
  <si>
    <t>05/08/2026</t>
  </si>
  <si>
    <t>Letter says all claims for the May billing and retention are released on payment of the balance</t>
  </si>
  <si>
    <t>05/31/2026</t>
  </si>
  <si>
    <t>Conditional Waiver and Release on Progress Payment</t>
  </si>
  <si>
    <t>07/31/2026</t>
  </si>
  <si>
    <t>Dunmore-Kettle Builders check 4460</t>
  </si>
  <si>
    <t>Conditional Waiver and Release on Final Payment</t>
  </si>
  <si>
    <t>Disputed claims for extras: $0.00</t>
  </si>
  <si>
    <t>Dunmore-Kettle Builders check 4448</t>
  </si>
  <si>
    <t>Dunmore-Kettle Builders check 4461</t>
  </si>
  <si>
    <t>Dunmore-Kettle Builders check 4479</t>
  </si>
  <si>
    <t>Subcontractor's Release and Affidavit, Dunmore-Kettle form S-9</t>
  </si>
  <si>
    <t>None stated</t>
  </si>
  <si>
    <t>Disputed claims for extras: $14,540.00</t>
  </si>
  <si>
    <t>Dunmore-Kettle Builders check 4488</t>
  </si>
  <si>
    <t>Hedrick &amp; Sons, Foothill Ready Mix, Norcal Rebar, Sierra Pipe &amp; Supply, and Granite Bay Sheet Metal have no waiver on file. Capitol Wire's conditional final form names joint check 4488, which the bank paid, so it is effective, and it states $14,540.00 of disputed extras, which a final form saves (section 8136). The Sorensen row is read from the owner's own agreements on the Owner Payments tab, and every other row from the Waiver Log. CHECK_AT_THE_BANK is read from the ledger by check number: a stop payment line against the check, a blank BANK_CLEARED, or the date the check paid. A progress form releases work through its through date and saves retention and unpaid extras, and a final form releases every lien right on the job, retention included (sections 8132 to 8138).</t>
  </si>
  <si>
    <t>The recorded claims built up from each claimant's own statement, with the part of each the claimant could enforce</t>
  </si>
  <si>
    <t>COMPONENT</t>
  </si>
  <si>
    <t>KIND</t>
  </si>
  <si>
    <t>FURNISHED_THROUGH</t>
  </si>
  <si>
    <t>FURNISHED_SERIAL</t>
  </si>
  <si>
    <t>SECURED_BY_THE_LIEN</t>
  </si>
  <si>
    <t>RELEASED_BY_WAIVER</t>
  </si>
  <si>
    <t>ENFORCEABLE_PART</t>
  </si>
  <si>
    <t>LATER_CHECK</t>
  </si>
  <si>
    <t>LATER_CHECK_AT_THE_BANK</t>
  </si>
  <si>
    <t>Retention withheld, 5 percent of the $412,000.00 subcontract</t>
  </si>
  <si>
    <t>Retention</t>
  </si>
  <si>
    <t>Subcontractors tab; claim 1 item 2</t>
  </si>
  <si>
    <t>Balance of the May 2026 billing after the short payment on check 4436</t>
  </si>
  <si>
    <t>Progress</t>
  </si>
  <si>
    <t>Claim 1 item 2; lien release letter amount; Reid Castellano email</t>
  </si>
  <si>
    <t>Scaffold, planks, and shoring equipment on rental, April and May 2026</t>
  </si>
  <si>
    <t>Materials</t>
  </si>
  <si>
    <t>Claim 2 items 2, 6 and 7</t>
  </si>
  <si>
    <t>Ready mixed concrete delivered to Tallac Concrete, April 14 to May 6, 2026</t>
  </si>
  <si>
    <t>05/06/2026</t>
  </si>
  <si>
    <t>Claim 3 items 2, 6 and 7</t>
  </si>
  <si>
    <t>Reinforcing steel and mesh delivered to Tallac Concrete, February 3 to April 21, 2026</t>
  </si>
  <si>
    <t>04/21/2026</t>
  </si>
  <si>
    <t>Claim 4 items 2 and 7</t>
  </si>
  <si>
    <t>Invoice S-40702, ticket T-88717, framing lumber, second floor package</t>
  </si>
  <si>
    <t>Claim 5 Exhibit A, the Delivered column</t>
  </si>
  <si>
    <t>Invoice S-40915, ticket T-88960, roof trusses, lot 1</t>
  </si>
  <si>
    <t>Invoice S-41188, ticket T-89074, roof trusses, lot 2</t>
  </si>
  <si>
    <t>Invoice S-41188, ticket T-89131, roof sheathing</t>
  </si>
  <si>
    <t>05/09/2026</t>
  </si>
  <si>
    <t>Invoice S-41420, ticket T-89466, sheathing and blocking, roof</t>
  </si>
  <si>
    <t>05/26/2026</t>
  </si>
  <si>
    <t>Invoice S-41733, ticket T-89802, exterior sheathing and weather barrier</t>
  </si>
  <si>
    <t>06/09/2026</t>
  </si>
  <si>
    <t>Invoice S-41990, ticket T-90155, backing, blocking, and fastener package</t>
  </si>
  <si>
    <t>06/23/2026</t>
  </si>
  <si>
    <t>Finance charges at 1.5 percent per month through 08/31/2026</t>
  </si>
  <si>
    <t>Charges</t>
  </si>
  <si>
    <t>Claim 5 Exhibit A, line FC-0831</t>
  </si>
  <si>
    <t>Retention withheld, 5 percent of the $186,900.00 subcontract</t>
  </si>
  <si>
    <t>07/17/2026</t>
  </si>
  <si>
    <t>Claim 6 item 6; Subcontractors tab</t>
  </si>
  <si>
    <t>Progress payment for the period ending July 31, 2026</t>
  </si>
  <si>
    <t>Claim 7 item 6; DK Ledger checks 4460 and 4474</t>
  </si>
  <si>
    <t>Final billing for the period ending August 11, 2026</t>
  </si>
  <si>
    <t>Claim 7 item 6</t>
  </si>
  <si>
    <t>Retention withheld, 5 percent of the $444,600.00 subcontract</t>
  </si>
  <si>
    <t>08/10/2026</t>
  </si>
  <si>
    <t>Claim 7 item 6; Subcontractors tab</t>
  </si>
  <si>
    <t>Progress payment for the period ending July 31, 2026, no check issued</t>
  </si>
  <si>
    <t>Claim 8 item 6; Reid Castellano email</t>
  </si>
  <si>
    <t>Retention withheld, 5 percent of the $76,900.00 subcontract</t>
  </si>
  <si>
    <t>08/07/2026</t>
  </si>
  <si>
    <t>Claim 8 item 6; Subcontractors tab</t>
  </si>
  <si>
    <t>Invoice BP-2262, change order 1 punch list work August 1 to August 7, 2026</t>
  </si>
  <si>
    <t>Extra</t>
  </si>
  <si>
    <t>Claim 8 item 6; Subcontractors tab, change order approved</t>
  </si>
  <si>
    <t>Retention withheld, 5 percent of the $298,750.00 subcontract</t>
  </si>
  <si>
    <t>07/10/2026</t>
  </si>
  <si>
    <t>Claim 9 item 6; Subcontractors tab</t>
  </si>
  <si>
    <t>Retention withheld, 5 percent of the $142,650.00 subcontract</t>
  </si>
  <si>
    <t>Claim 10 item 6; Subcontractors tab</t>
  </si>
  <si>
    <t>Change order request 3, fourteen added heads on the tenant side, June 22 to June 30, 2026, never approved</t>
  </si>
  <si>
    <t>Request</t>
  </si>
  <si>
    <t>Claim 10 item 6; Subcontractors tab, no change order; Reid Castellano email</t>
  </si>
  <si>
    <t>Final progress payment for the period ending August 11, 2026</t>
  </si>
  <si>
    <t>Claim 11 item 6; DK Ledger check 4479</t>
  </si>
  <si>
    <t>Retention withheld, 5 percent of the $685,000.00 subcontract</t>
  </si>
  <si>
    <t>Claim 11 item 6; Subcontractors tab</t>
  </si>
  <si>
    <t>Progress payment for the period ending July 31, 2026, held against a back charge</t>
  </si>
  <si>
    <t>Claim 12 item 6; Reid Castellano email</t>
  </si>
  <si>
    <t>Retention withheld, 5 percent of the $194,300.00 subcontract</t>
  </si>
  <si>
    <t>07/24/2026</t>
  </si>
  <si>
    <t>Claim 12 item 6; Subcontractors tab</t>
  </si>
  <si>
    <t>Retention withheld, 5 percent of the subcontract and change order 1</t>
  </si>
  <si>
    <t>Claim 13 item 6; Subcontractors tab</t>
  </si>
  <si>
    <t>Final invoice for work performed August 1 to August 6, 2026</t>
  </si>
  <si>
    <t>08/06/2026</t>
  </si>
  <si>
    <t>Claim 14 item 6</t>
  </si>
  <si>
    <t>Retention withheld, 5 percent of the $88,400.00 agreement</t>
  </si>
  <si>
    <t>Claim 14 item 6; Owner Payments tab</t>
  </si>
  <si>
    <t>Invoice C-11842, ticket D-30117, temporary power panel and meter socket, balance after the short payment</t>
  </si>
  <si>
    <t>Claim 15 Exhibit A, the Delivered and Balance columns</t>
  </si>
  <si>
    <t>Invoice C-11842, ticket D-30118, service conductors and grounding, balance after the short payment</t>
  </si>
  <si>
    <t>01/27/2026</t>
  </si>
  <si>
    <t>Invoice C-14212, ticket D-32781, lighting fixtures, second release, and exit signs</t>
  </si>
  <si>
    <t>07/20/2026</t>
  </si>
  <si>
    <t>Claim 15 Exhibit A, the Delivered column; DK Ledger joint check 4488</t>
  </si>
  <si>
    <t>Invoice C-14350, ticket D-32904, fire alarm devices and cable</t>
  </si>
  <si>
    <t>Claim 15 Exhibit A, the Delivered column</t>
  </si>
  <si>
    <t>Invoice C-14471, ticket D-33066, rooftop unit disconnects and whips</t>
  </si>
  <si>
    <t>Invoice C-14519, ticket D-33120, lamps, cover plates, and closeout items</t>
  </si>
  <si>
    <t>Invoice F-20318, ticket R-51022, underground DWV pipe and fittings</t>
  </si>
  <si>
    <t>Claim 16 Exhibit A, the Delivered column</t>
  </si>
  <si>
    <t>Invoice F-22315, ticket R-53240, plumbing fixtures, first release</t>
  </si>
  <si>
    <t>07/14/2026</t>
  </si>
  <si>
    <t>Invoice F-22488, ticket R-53411, plumbing fixtures, second release, and trim</t>
  </si>
  <si>
    <t>07/27/2026</t>
  </si>
  <si>
    <t>Invoice F-22540, ticket R-53467, closeout fittings, escutcheons, and stops</t>
  </si>
  <si>
    <t>Ductwork, plenums, and sheet metal fittings delivered to Kastner Mechanical, July 8 to August 4, 2026</t>
  </si>
  <si>
    <t>Claim 17 items 2, 6 and 7</t>
  </si>
  <si>
    <t>Each claimant's components sum to the amount of its claim of lien as recorded, which the claimant states after deducting payments received (section 8430(a)). A component is secured when it was furnished inside the period the claimant's preliminary notice covers, is work furnished rather than a charge on the account, and is part of the price agreed, which is the contract price with the change orders that were approved: Bautista's change order 1 is on the subcontractor list and Lindqvist's request 3 is not. It is enforceable when no effective waiver releases it. Hedrick's, Sierra Pipe's, and Capitol Wire's deliveries are dated by the delivery ticket, not by the invoice. LATER_CHECK is a check the ledger shows to the claimant for the component, the joint check to Ostrowski and Capitol Wire included, and a component the bank has paid is no longer enforceable (section 8430(a)). A final form that the bank's payment of its check makes effective releases everything except the disputed extras it states in a dollar amount, so Capitol Wire's unpaid components stand inside its $14,540.00 exception while Fenwick's exception of $0.00 saves nothing. Whether the claimant can enforce anything at all is decided on the Claims tab.</t>
  </si>
  <si>
    <t>Standing of each recorded claim and what the owner does about it</t>
  </si>
  <si>
    <t>OVERSTATED_BY</t>
  </si>
  <si>
    <t>ACTION</t>
  </si>
  <si>
    <t>UNDER_THE_DIRECT_CONTRACT</t>
  </si>
  <si>
    <t>STANDING reads the tests in order: lien rights, the recording date, service on the owner, the 90 days to sue, and the waivers. The release bond is measured by the recorded amount (section 8424(b)), not by the enforceable amount. Each bond is written at 125 percent rounded up to the next whole dollar, as PN-14 states the surety writes them. The total is the sum of the bonds so written. A claim marked Not shown under EXPIRED stays with the enforceable claims until a search run after its last day to sue shows no action, as PN-14 directs.</t>
  </si>
  <si>
    <t>Note to Marguerite Okonjo on the Larkspur Crossing Building B claims</t>
  </si>
  <si>
    <t>Marguerite, this is the analysis of the seventeen claims of mechanics lien recorded against Larkspur Crossing Building B, worked under PN-14 from the recorder's copies, the owner's project file, Dunmore-Kettle's payment ledger, and the close-out file. The seventeen claims total $591,401.79 as recorded. Nadia expects every claim to be late, waived, or Dunmore-Kettle's to answer. Seven of the seventeen can be demanded released, and ten cannot. The ten have to be bonded or settled before the bank's November 6 date. The bonds do not fit the surety's line, by a dollar and a half, and the money held does cover the claims, by $58,544.97, so one of the two answers Nadia wants comes out against her.</t>
  </si>
  <si>
    <t>The release bonds on the ten claims total $576,369.00. PN-14 says the surety writes each bond at 125 percent of the recorded amount rounded up to the next whole dollar, so the bonds are $198,932.00 for Kastner, $76,847.00 for Ostrowski, $67,789.00 for Hedrick, $58,250.00 for Bautista, $48,644.00 for Calder Drywall, $31,350.00 for Sorensen, $29,350.00 for Capitol Wire, $22,950.00 for Granite Bay, $21,507.00 for Foothill, and $20,750.00 for Lindqvist. The surety's line is 15 percent of the $3,842,450.00 appraisal, $576,367.50, so the bonds are $1.50 over it. Computed to the cent and rounded once, the ten bonds would be $576,366.00 and inside the line, but the surety does not write them that way. The cheapest way inside the line is to pay Lindqvist Fire Protection its enforceable $7,132.50 of retention against an unconditional waiver and release on final payment. That takes its $20,750.00 bond out, leaves $555,619.00 of bonds, and puts them $20,748.50 inside the line. Sorensen's $25,080.00 is the next cheapest, and it is Piedmont Ridge's own bill.</t>
  </si>
  <si>
    <t>The claimants under the Dunmore-Kettle contract could enforce $278,581.03, and Piedmont Ridge holds $337,126.00 on that contract, which is the unpaid application 8 of $144,713.50 net of its retention and the retention of $192,412.50 together, measured against the contract sum as adjusted by the six approved change orders to $3,848,250.00. The money held covers the claims with $58,544.97 to spare. Measured against the contract sum as signed, $3,748,250.00, the figure held would be $237,126.00 and short by $41,455.03, but PN-14 takes the adjusted sum. Sorensen's $25,080.00 is outside that comparison, because Sorensen contracted with the owner itself and its claim is the owner's own debt.</t>
  </si>
  <si>
    <t>On the retention, the forty-fifth day after completion was Friday, September 25, 2026, the day the county offices were closed. PN-14 reads section 8812(a) as fixing the day the money is due and not a last day for an act. The date is therefore not moved, and the retention fell due on September 25. What is due to Dunmore-Kettle is the $337,126.00 held. Against it Piedmont Ridge may hold the $278,581.03 of enforceable claims of record under the contract and 150 percent of the $36,000.00 in good faith dispute with Dunmore-Kettle, $54,000.00, being the $22,000.00 rooftop unit correction and the $14,000.00 paving back charge Devlin made on the survey. The plaster patching back charge is between Dunmore-Kettle and Calder Drywall, and Piedmont Ridge has taken no position on it, so it holds nothing on it. The retention due for release now is therefore $4,544.97. If Piedmont Ridge holds all of it, the penalty under section 8818(a) runs at 2 percent per month on that amount, $90.90 a month. Counted by the day on a 30 day month from September 25 to the closing on November 20, 56 days, the penalty accrued through the closing is $169.68. A hold at 100 percent of the disputed amounts would put $22,544.97 at risk instead.</t>
  </si>
  <si>
    <t>The notice of completion was recorded on August 26, the fifteenth day after the completion of August 11, so it is effective under section 8182(a) and shortens the time of every person that was given its copy in time. Counted the office's way, the day of completion is not counted, and the fifteenth day is. The notice was recorded on that last day.</t>
  </si>
  <si>
    <t>The last day for a claimant given its copy of the notice of completion was Monday, September 28, 2026. The thirtieth day after the notice of completion was recorded was Friday, September 25, and the court's public notice in the close-out file shows the clerk's offices and the recorder's office closed to the public for the whole of that day. Under Code of Civil Procedure section 12b a day on which the county office is closed for the whole day is a holiday for computing time, so section 12a carries the period over that Friday and the weekend. Ostrowski Electric recorded on that Monday, and its claim is timely.</t>
  </si>
  <si>
    <t>Dunmore-Kettle can still record its own claim until November 9, 2026, which is after the bank's November 6 date. Its copy of the notice of completion was mailed on September 9, one day after the last day to give it, so the 60 days that would have ended on October 26 do not bind it, and section 8190(d) gives it 90 days from completion. Reid writes that Dunmore-Kettle will record by the middle of October if the final application and the retention are not paid.</t>
  </si>
  <si>
    <t>Calder Drywall &amp; Plaster recorded on September 29, one day after that last day, and its claim is timely all the same. Calder Drywall gave the owner a preliminary notice on April 24, and it was never given a copy of the notice of completion. The certified mail log shows a copy to Calder Bros. Masonry on August 31 and none to Calder Drywall, and Calder Bros. Masonry is a different company. Devlin's September 10 memorandum says the mail log is the whole record. Under section 8190(d) the notice of completion does not shorten Calder Drywall's time, so its last day is November 9, 2026, and the whole $38,915.00 is enforceable. The release it signed for July is on Dunmore-Kettle's form S-9, which is not one of the four statutory forms and releases nothing.</t>
  </si>
  <si>
    <t>Sierra Pipe &amp; Supply recorded on October 1 and is late. Its copy of the notice of completion went out on Tuesday, September 8 under certified mail number 7022 1670 0002 3391 4399, and the returned mail record shows that number back unclaimed on September 29. A copy sent by certified mail is given when it is deposited, and the addressee is right. The copy was given in time, unclaimed or not, and the September 28 last day applies to Sierra Pipe. The September 8 entry for Sierra Test and Balance of Rancho Cordova is Kastner's balancing subcontractor, a different company. Sierra Pipe's own statement of account shows ticket R-51022 delivered on February 24, the twentieth day before its notice was deposited on March 16. The notice was in time and would have covered the whole $19,742.64, but the claim cannot be enforced.</t>
  </si>
  <si>
    <t>Capitol Wire &amp; Lighting recorded on October 1 and is timely. Its copy of the notice of completion went out on Wednesday, September 9, one day after the last day to give it, in the same lot as Dunmore-Kettle's, so under section 8190(d) its last day is also November 9. Its preliminary notice was deposited on February 16, the twenty-first day after its first delivery of January 26 on its own statement of account, although the claim and the owner's log both carry January 27 and February 4, so the notice was one day late and reaches back only to January 27. Invoice C-11842 splits on that day: the $1,500.00 balance on ticket D-30117 of January 26 is outside the window, and the $640.00 balance on ticket D-30118 of January 27 is inside it. Invoice C-14212 for $8,940.00 was paid after recording by the joint check 4488 to Ostrowski and Capitol Wire that the ledger shows paid at the bank on October 9, and a payment received reduces the lien under section 8430(a). Capitol Wire's conditional waiver and release on final payment names that check, so it is effective, and a final form releases every lien right except the disputed extras it states in a dollar amount. It states $14,540.00, which is exactly the unpaid balance, so the $640.00 and the three remaining deliveries, $13,040.00 together, can still be enforced.</t>
  </si>
  <si>
    <t>Granite Bay Sheet Metal recorded on October 1 and is timely. Its preliminary notice of April 2 went to the owner at 1440 Eureka Road, Suite 100, the address the city still shows for Piedmont Ridge on permit B25-1187 per Devlin's August 19 memorandum, and to Dunmore-Kettle and Kastner, so it was given to the owner although the owner's log never recorded it. Because the owner never logged it, no copy of the notice of completion went to Granite Bay, so its last day is November 9 and the whole $18,360.00 is enforceable. Reid writes that Dunmore-Kettle has no 20 day notice from Granite Bay in its file, but the proof of service shows one mailed to Dunmore-Kettle too.</t>
  </si>
  <si>
    <t>Petrakis Plumbing recorded on September 30 and is late. Its copy of the notice of completion was mailed on Tuesday, September 8, thirteen days after the recording. The tenth day was a Saturday, and the Monday after it was Labor Day, so the last day to give the copy was that Tuesday. The copy was given in time, and the September 28 last day applies to Petrakis.</t>
  </si>
  <si>
    <t>Sorensen Landscape contracted with the owner itself under the agreement of May 19, 2026, so it is a direct contractor. It owed no preliminary notice, because there is no construction lender, and the 30 day period never applied to it. No copy of the notice of completion was mailed to Sorensen, so its last day is November 9, 2026, and its September 30 claim for $25,080.00 is timely and enforceable in full.</t>
  </si>
  <si>
    <t>Kastner Mechanical could enforce $85,235.00 of its $159,145.00, the final billing and the retention. Reid's message says the July draw went out on check 4460, and the ledger carries a stop payment against check 4460 on August 24, so the conditional waiver for July rests on no payment. The ledger also carries check 4474 to Kastner for the same $73,910.00, issued September 18 and paid at the bank on September 23, two days after Kastner recorded. The July draw has been paid, and a payment received reduces the lien under section 8430(a) whether or not a waiver covers it.</t>
  </si>
  <si>
    <t>Ostrowski Electric could enforce $61,477.00. Check 4479 for its final draw was issued on September 30 and has not paid at the bank on the ledger exported October 10, so the conditional waiver given for it is not yet effective. If check 4479 clears, Ostrowski's enforceable amount falls to the retention of $34,250.00.</t>
  </si>
  <si>
    <t>Bautista Painting signed an unconditional waiver through July 31 on August 3 and was never paid. The form is effective when signed, so the $38,475.00 July draw is released against the property, and $8,125.00 remains for the retention and the August change order invoice, change order 1 being on the subcontractor list as approved. Fenwick Roofing signed a conditional waiver and release on final payment that names check 4448, and that check paid on August 3. A final form releases every lien right on the job, retention included, and Fenwick's form states $0.00 of disputed extras, so none of its $14,937.50 claim for retention can be enforced against the property.</t>
  </si>
  <si>
    <t>Hedrick &amp; Sons could enforce $29,091.69 of its $54,230.81. Its first delivery was April 6. Its preliminary notice was deposited on May 29, so the notice was late and reaches back only to May 9. The claim recites May 27 as the notice date, and the notice form gives May 11 as the first delivery. PN-14 uses neither date. Tickets T-88717, T-88960, and T-89074 fall before the window and come to $23,226.75. Invoice S-41188 splits on the first day of the window: ticket T-89074 was delivered on May 8 and falls out, and its companion ticket T-89131 was delivered on May 9 and stays in, although the invoice is dated May 12. The $1,912.37 of finance charges on line FC-0831 is not work furnished and is not secured.</t>
  </si>
  <si>
    <t>Lindqvist Fire Protection could enforce $7,132.50 of its $16,600.00, the retention. The other $9,467.50 is change order request 3 for the added heads on the tenant side. The subcontractor list carries no change order for Lindqvist, so the request was never approved. It is no part of the price agreed under section 8430(a). The unconditional waivers through June 30 do not reach it, because a progress form saves an extra for which the claimant has not been paid, but the lien secures only the lesser of the reasonable value and the price agreed, so nothing of it can be enforced against the property. Lindqvist mailed its claim to the owner at 1440 Eureka Road, Suite 100, the permit address, and section 8416(c)(1) allows service at the address shown on the building permit, so the claim was served on the owner, unlike Abrego's.</t>
  </si>
  <si>
    <t>Tallac Concrete's lien has expired. It recorded on June 26, its last day to sue was September 24, and the civil index search of October 2, current through September 30, found no action. Auburn Scaffold &amp; Shoring's lien has expired too. It recorded on July 3 for $11,480.00 of scaffold rental to Nakamura, its last day to sue was Thursday, October 1, 2026, and the second search of October 8, current through October 2, shows no action on this property. The action Auburn Scaffold filed on September 22 and the notice of pendency it recorded on September 23 concern APN 480-210-041, Larkspur Crossing Building A, another property, and PN-14 says an action on another property does not keep this lien alive. Foothill Ready Mix recorded on July 6, and its last day to sue was Monday, October 5, 2026. The October 8 search was run after that day but is current only through October 2, so no search on file can show whether Foothill sued in time. Under PN-14 the $17,204.84 claim stays with the enforceable claims, and its $21,507.00 bond stays in the total until a search current through a day after October 5 shows no action. A clean search would bring the bonds down to $554,862.00, inside the line.</t>
  </si>
  <si>
    <t>Norcal Rebar's preliminary notice went to Dunmore-Kettle and to Tallac and was never given to the owner, so Norcal has no lien rights for its $27,640.00. Abrego Glass &amp; Glazing's claim for $9,345.00 was served on Dunmore-Kettle and not on the owner, although the owner's address is on the face of the claim, and under section 8416(e) the claim is unenforceable. The seven claims to demand released total $130,309.14 as recorded. The summary petition under sections 8480 to 8488 is open against Tallac and Auburn Scaffold, so a refusal by Norcal, Abrego, Fenwick, Petrakis, or Sierra Pipe leaves you the choice between a bond and an action.</t>
  </si>
  <si>
    <t>The file leaves four points open. The civil index has to be run again for Foothill, Tallac, and Auburn Scaffold with the index current through a day after October 5, because the records conversion has left it behind. Nadia should be asked for any proof that a copy of the notice of completion reached Calder Drywall, Sorensen, Capitol Wire, or Granite Bay by another route, and for the permit as the city holds it, since Lindqvist's service and Granite Bay's notice both stand on the address it shows. Hedrick's, Sierra Pipe's, and Capitol Wire's delivery dates should be checked against Dunmore-Kettle's receiving tickets before an amended claim is negotiated. The two disputes with Dunmore-Kettle should be documented in the file, because the $54,000.00 hold and the $4,544.97 due for release both rest on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</si>
</sst>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3"/>
      <name val="Calibri"/>
      <family val="2"/>
    </font>
    <font>
      <b/>
      <sz val="10"/>
      <name val="Calibri"/>
      <family val="2"/>
    </font>
    <font>
      <sz val="10"/>
      <name val="Calibri"/>
      <family val="2"/>
    </font>
    <font>
      <sz val="9"/>
      <name val="Calibri"/>
      <family val="2"/>
    </font>
  </fonts>
  <fills count="3">
    <fill>
      <patternFill patternType="none"/>
    </fill>
    <fill>
      <patternFill patternType="gray125"/>
    </fill>
    <fill>
      <patternFill patternType="solid">
        <fgColor rgb="FFE7E1D6"/>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3" fillId="0" borderId="0" xfId="0" applyFont="1"/>
    <xf numFmtId="0" fontId="2" fillId="0" borderId="0" xfId="0" applyFont="1"/>
    <xf numFmtId="0" fontId="2" fillId="2" borderId="0" xfId="0" applyFont="1" applyFill="1" applyAlignment="1">
      <alignment vertical="top" wrapText="1"/>
    </xf>
    <xf numFmtId="0" fontId="3" fillId="0" borderId="0" xfId="0" applyFont="1" applyAlignment="1">
      <alignment vertical="top"/>
    </xf>
    <xf numFmtId="4" fontId="3" fillId="0" borderId="0" xfId="0" applyNumberFormat="1" applyFont="1" applyAlignment="1">
      <alignment vertical="top"/>
    </xf>
    <xf numFmtId="0" fontId="3" fillId="0" borderId="0" xfId="0" applyFont="1" applyAlignment="1">
      <alignment vertical="top" wrapText="1"/>
    </xf>
    <xf numFmtId="0" fontId="4" fillId="0" borderId="0" xfId="0" applyFont="1" applyAlignment="1">
      <alignment vertical="top"/>
    </xf>
    <xf numFmtId="0" fontId="2" fillId="0" borderId="0" xfId="0" applyFont="1" applyAlignment="1">
      <alignment vertical="top"/>
    </xf>
    <xf numFmtId="4" fontId="2" fillId="0" borderId="0" xfId="0" applyNumberFormat="1" applyFont="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8"/>
  <sheetViews>
    <sheetView tabSelected="1" workbookViewId="0"/>
  </sheetViews>
  <sheetFormatPr baseColWidth="10" defaultColWidth="8.83203125" defaultRowHeight="15" x14ac:dyDescent="0.2"/>
  <cols>
    <col min="1" max="1" width="58" customWidth="1"/>
    <col min="2" max="2" width="30" customWidth="1"/>
    <col min="3" max="3" width="20" customWidth="1"/>
    <col min="4" max="4" width="12" customWidth="1"/>
    <col min="5" max="5" width="9" customWidth="1"/>
    <col min="6" max="6" width="12" customWidth="1"/>
    <col min="7" max="7" width="11" customWidth="1"/>
    <col min="8" max="8" width="22" customWidth="1"/>
    <col min="9" max="9" width="18" customWidth="1"/>
    <col min="10" max="10" width="46" customWidth="1"/>
    <col min="11" max="11" width="15" customWidth="1"/>
    <col min="12" max="12" width="44" customWidth="1"/>
    <col min="13" max="13" width="46" customWidth="1"/>
  </cols>
  <sheetData>
    <row r="1" spans="1:3" ht="17" customHeight="1" x14ac:dyDescent="0.2">
      <c r="A1" s="1" t="s">
        <v>0</v>
      </c>
    </row>
    <row r="2" spans="1:3" x14ac:dyDescent="0.2">
      <c r="A2" s="2" t="s">
        <v>1</v>
      </c>
    </row>
    <row r="4" spans="1:3" x14ac:dyDescent="0.2">
      <c r="A4" s="3" t="s">
        <v>2</v>
      </c>
    </row>
    <row r="5" spans="1:3" ht="30" customHeight="1" x14ac:dyDescent="0.2">
      <c r="A5" s="4" t="s">
        <v>3</v>
      </c>
      <c r="B5" s="4" t="s">
        <v>4</v>
      </c>
      <c r="C5" s="4" t="s">
        <v>5</v>
      </c>
    </row>
    <row r="6" spans="1:3" ht="45" x14ac:dyDescent="0.2">
      <c r="A6" s="5" t="s">
        <v>6</v>
      </c>
      <c r="B6" s="6">
        <f>SUM(K35:K51)</f>
        <v>576369</v>
      </c>
      <c r="C6" s="7" t="s">
        <v>7</v>
      </c>
    </row>
    <row r="7" spans="1:3" ht="45" x14ac:dyDescent="0.2">
      <c r="A7" s="5" t="s">
        <v>8</v>
      </c>
      <c r="B7" s="6">
        <f>Parameters!$B$29</f>
        <v>576367.5</v>
      </c>
      <c r="C7" s="7" t="s">
        <v>9</v>
      </c>
    </row>
    <row r="8" spans="1:3" x14ac:dyDescent="0.2">
      <c r="A8" s="5" t="s">
        <v>10</v>
      </c>
      <c r="B8" s="6">
        <f>ROUND(B6-B7,2)</f>
        <v>1.5</v>
      </c>
      <c r="C8" s="7" t="s">
        <v>11</v>
      </c>
    </row>
    <row r="9" spans="1:3" ht="60" x14ac:dyDescent="0.2">
      <c r="A9" s="5" t="s">
        <v>12</v>
      </c>
      <c r="B9" s="5" t="str">
        <f>IF(B6&lt;=B7,"Yes, the bonds are inside the line","No, the bonds are over the line")</f>
        <v>No, the bonds are over the line</v>
      </c>
      <c r="C9" s="7" t="s">
        <v>13</v>
      </c>
    </row>
    <row r="10" spans="1:3" ht="60" x14ac:dyDescent="0.2">
      <c r="A10" s="5" t="s">
        <v>14</v>
      </c>
      <c r="B10" s="5" t="str">
        <f>Parameters!$B$63</f>
        <v>Lindqvist Fire Protection</v>
      </c>
      <c r="C10" s="7" t="s">
        <v>15</v>
      </c>
    </row>
    <row r="11" spans="1:3" ht="30" x14ac:dyDescent="0.2">
      <c r="A11" s="5" t="s">
        <v>16</v>
      </c>
      <c r="B11" s="6">
        <f>Parameters!$B$62</f>
        <v>7132.5</v>
      </c>
      <c r="C11" s="7" t="s">
        <v>17</v>
      </c>
    </row>
    <row r="12" spans="1:3" ht="30" x14ac:dyDescent="0.2">
      <c r="A12" s="5" t="s">
        <v>18</v>
      </c>
      <c r="B12" s="6">
        <f>Parameters!$B$65</f>
        <v>555619</v>
      </c>
      <c r="C12" s="7" t="s">
        <v>19</v>
      </c>
    </row>
    <row r="13" spans="1:3" ht="30" x14ac:dyDescent="0.2">
      <c r="A13" s="5" t="s">
        <v>20</v>
      </c>
      <c r="B13" s="6">
        <f>Parameters!$B$66</f>
        <v>20748.5</v>
      </c>
      <c r="C13" s="7" t="s">
        <v>21</v>
      </c>
    </row>
    <row r="14" spans="1:3" ht="60" x14ac:dyDescent="0.2">
      <c r="A14" s="5" t="s">
        <v>22</v>
      </c>
      <c r="B14" s="6">
        <f>Claims!D25</f>
        <v>278581.03</v>
      </c>
      <c r="C14" s="7" t="s">
        <v>23</v>
      </c>
    </row>
    <row r="15" spans="1:3" ht="60" x14ac:dyDescent="0.2">
      <c r="A15" s="5" t="s">
        <v>24</v>
      </c>
      <c r="B15" s="6">
        <f>Parameters!$B$54</f>
        <v>337126</v>
      </c>
      <c r="C15" s="7" t="s">
        <v>25</v>
      </c>
    </row>
    <row r="16" spans="1:3" ht="45" x14ac:dyDescent="0.2">
      <c r="A16" s="5" t="s">
        <v>26</v>
      </c>
      <c r="B16" s="6">
        <f>ROUND(B15-B14,2)</f>
        <v>58544.97</v>
      </c>
      <c r="C16" s="7" t="s">
        <v>27</v>
      </c>
    </row>
    <row r="17" spans="1:3" ht="30" x14ac:dyDescent="0.2">
      <c r="A17" s="5" t="s">
        <v>28</v>
      </c>
      <c r="B17" s="5" t="str">
        <f>IF(B14&lt;=B15,"Yes, the money held covers them","No, the money held falls short")</f>
        <v>Yes, the money held covers them</v>
      </c>
      <c r="C17" s="7" t="s">
        <v>29</v>
      </c>
    </row>
    <row r="18" spans="1:3" ht="60" x14ac:dyDescent="0.2">
      <c r="A18" s="5" t="s">
        <v>30</v>
      </c>
      <c r="B18" s="5" t="str">
        <f>Parameters!B55</f>
        <v>09/25/2026</v>
      </c>
      <c r="C18" s="7" t="s">
        <v>31</v>
      </c>
    </row>
    <row r="19" spans="1:3" ht="75" x14ac:dyDescent="0.2">
      <c r="A19" s="5" t="s">
        <v>32</v>
      </c>
      <c r="B19" s="6">
        <f>Parameters!$B$58</f>
        <v>4544.97</v>
      </c>
      <c r="C19" s="7" t="s">
        <v>33</v>
      </c>
    </row>
    <row r="20" spans="1:3" ht="45" x14ac:dyDescent="0.2">
      <c r="A20" s="5" t="s">
        <v>34</v>
      </c>
      <c r="B20" s="6">
        <f>Parameters!$B$59</f>
        <v>90.9</v>
      </c>
      <c r="C20" s="7" t="s">
        <v>35</v>
      </c>
    </row>
    <row r="21" spans="1:3" ht="45" x14ac:dyDescent="0.2">
      <c r="A21" s="5" t="s">
        <v>36</v>
      </c>
      <c r="B21" s="5">
        <f>Parameters!$B$60</f>
        <v>56</v>
      </c>
      <c r="C21" s="7" t="s">
        <v>37</v>
      </c>
    </row>
    <row r="22" spans="1:3" ht="45" x14ac:dyDescent="0.2">
      <c r="A22" s="5" t="s">
        <v>38</v>
      </c>
      <c r="B22" s="6">
        <f>Parameters!$B$61</f>
        <v>169.68</v>
      </c>
      <c r="C22" s="7" t="s">
        <v>39</v>
      </c>
    </row>
    <row r="23" spans="1:3" ht="90" x14ac:dyDescent="0.2">
      <c r="A23" s="5" t="s">
        <v>40</v>
      </c>
      <c r="B23" s="5" t="str">
        <f>'NOC Copies'!I24</f>
        <v>11/09/2026</v>
      </c>
      <c r="C23" s="7" t="s">
        <v>41</v>
      </c>
    </row>
    <row r="25" spans="1:3" x14ac:dyDescent="0.2">
      <c r="A25" s="3" t="s">
        <v>42</v>
      </c>
    </row>
    <row r="26" spans="1:3" ht="30" customHeight="1" x14ac:dyDescent="0.2">
      <c r="A26" s="4" t="s">
        <v>43</v>
      </c>
      <c r="B26" s="4" t="s">
        <v>4</v>
      </c>
    </row>
    <row r="27" spans="1:3" x14ac:dyDescent="0.2">
      <c r="A27" s="5" t="s">
        <v>44</v>
      </c>
      <c r="B27" s="6">
        <f>SUM(C35:C51)</f>
        <v>591401.79</v>
      </c>
    </row>
    <row r="28" spans="1:3" x14ac:dyDescent="0.2">
      <c r="A28" s="5" t="s">
        <v>45</v>
      </c>
      <c r="B28" s="6">
        <f>SUM(I35:I51)</f>
        <v>303661.03</v>
      </c>
    </row>
    <row r="29" spans="1:3" x14ac:dyDescent="0.2">
      <c r="A29" s="5" t="s">
        <v>46</v>
      </c>
      <c r="B29" s="5">
        <f>Claims!D22</f>
        <v>10</v>
      </c>
    </row>
    <row r="30" spans="1:3" x14ac:dyDescent="0.2">
      <c r="A30" s="5" t="s">
        <v>47</v>
      </c>
      <c r="B30" s="5">
        <f>Claims!D23</f>
        <v>7</v>
      </c>
    </row>
    <row r="31" spans="1:3" x14ac:dyDescent="0.2">
      <c r="A31" s="5" t="s">
        <v>48</v>
      </c>
      <c r="B31" s="6">
        <f>Claims!D24</f>
        <v>130309.14</v>
      </c>
    </row>
    <row r="33" spans="1:13" x14ac:dyDescent="0.2">
      <c r="A33" s="3" t="s">
        <v>49</v>
      </c>
    </row>
    <row r="34" spans="1:13" ht="30" customHeight="1" x14ac:dyDescent="0.2">
      <c r="A34" s="4" t="s">
        <v>50</v>
      </c>
      <c r="B34" s="4" t="s">
        <v>51</v>
      </c>
      <c r="C34" s="4" t="s">
        <v>52</v>
      </c>
      <c r="D34" s="4" t="s">
        <v>53</v>
      </c>
      <c r="E34" s="4" t="s">
        <v>54</v>
      </c>
      <c r="F34" s="4" t="s">
        <v>55</v>
      </c>
      <c r="G34" s="4" t="s">
        <v>56</v>
      </c>
      <c r="H34" s="4" t="s">
        <v>57</v>
      </c>
      <c r="I34" s="4" t="s">
        <v>58</v>
      </c>
      <c r="J34" s="4" t="s">
        <v>59</v>
      </c>
      <c r="K34" s="4" t="s">
        <v>60</v>
      </c>
      <c r="L34" s="4" t="s">
        <v>61</v>
      </c>
      <c r="M34" s="4" t="s">
        <v>62</v>
      </c>
    </row>
    <row r="35" spans="1:13" ht="42" customHeight="1" x14ac:dyDescent="0.2">
      <c r="A35" s="5" t="str">
        <f>Claims!A4</f>
        <v>Tallac Concrete, Inc.</v>
      </c>
      <c r="B35" s="5" t="str">
        <f>Claims!B4</f>
        <v>06/26/2026</v>
      </c>
      <c r="C35" s="6">
        <f>Claims!D4</f>
        <v>33275</v>
      </c>
      <c r="D35" s="5" t="str">
        <f>Claims!F4</f>
        <v>Yes</v>
      </c>
      <c r="E35" s="5" t="str">
        <f>Claims!G4</f>
        <v>Yes</v>
      </c>
      <c r="F35" s="5" t="str">
        <f>Claims!H4</f>
        <v>Yes</v>
      </c>
      <c r="G35" s="5" t="str">
        <f>Claims!I4</f>
        <v>Yes</v>
      </c>
      <c r="H35" s="5" t="str">
        <f>Claims!J4</f>
        <v>Expired</v>
      </c>
      <c r="I35" s="6">
        <f>Claims!K4</f>
        <v>0</v>
      </c>
      <c r="J35" s="7" t="str">
        <f>Claims!M4</f>
        <v>Demand a release under section 8482, then petition under sections 8480 to 8488 after 10 days</v>
      </c>
      <c r="K35" s="6">
        <f>Claims!N4</f>
        <v>0</v>
      </c>
      <c r="L35" s="7" t="s">
        <v>63</v>
      </c>
      <c r="M35" s="7" t="s">
        <v>64</v>
      </c>
    </row>
    <row r="36" spans="1:13" ht="42" customHeight="1" x14ac:dyDescent="0.2">
      <c r="A36" s="5" t="str">
        <f>Claims!A5</f>
        <v>Auburn Scaffold &amp; Shoring, Inc.</v>
      </c>
      <c r="B36" s="5" t="str">
        <f>Claims!B5</f>
        <v>07/03/2026</v>
      </c>
      <c r="C36" s="6">
        <f>Claims!D5</f>
        <v>11480</v>
      </c>
      <c r="D36" s="5" t="str">
        <f>Claims!F5</f>
        <v>Yes</v>
      </c>
      <c r="E36" s="5" t="str">
        <f>Claims!G5</f>
        <v>Yes</v>
      </c>
      <c r="F36" s="5" t="str">
        <f>Claims!H5</f>
        <v>Yes</v>
      </c>
      <c r="G36" s="5" t="str">
        <f>Claims!I5</f>
        <v>Yes</v>
      </c>
      <c r="H36" s="5" t="str">
        <f>Claims!J5</f>
        <v>Expired</v>
      </c>
      <c r="I36" s="6">
        <f>Claims!K5</f>
        <v>0</v>
      </c>
      <c r="J36" s="7" t="str">
        <f>Claims!M5</f>
        <v>Demand a release under section 8482, then petition under sections 8480 to 8488 after 10 days</v>
      </c>
      <c r="K36" s="6">
        <f>Claims!N5</f>
        <v>0</v>
      </c>
      <c r="L36" s="7" t="s">
        <v>65</v>
      </c>
      <c r="M36" s="7" t="s">
        <v>66</v>
      </c>
    </row>
    <row r="37" spans="1:13" ht="42" customHeight="1" x14ac:dyDescent="0.2">
      <c r="A37" s="5" t="str">
        <f>Claims!A6</f>
        <v>Foothill Ready Mix, Inc.</v>
      </c>
      <c r="B37" s="5" t="str">
        <f>Claims!B6</f>
        <v>07/06/2026</v>
      </c>
      <c r="C37" s="6">
        <f>Claims!D6</f>
        <v>17204.84</v>
      </c>
      <c r="D37" s="5" t="str">
        <f>Claims!F6</f>
        <v>Yes</v>
      </c>
      <c r="E37" s="5" t="str">
        <f>Claims!G6</f>
        <v>Yes</v>
      </c>
      <c r="F37" s="5" t="str">
        <f>Claims!H6</f>
        <v>Yes</v>
      </c>
      <c r="G37" s="5" t="str">
        <f>Claims!I6</f>
        <v>Not shown</v>
      </c>
      <c r="H37" s="5" t="str">
        <f>Claims!J6</f>
        <v>Enforceable</v>
      </c>
      <c r="I37" s="6">
        <f>Claims!K6</f>
        <v>17204.84</v>
      </c>
      <c r="J37" s="7" t="str">
        <f>Claims!M6</f>
        <v>Bond at 125 percent until a new index search shows no action, then demand a release</v>
      </c>
      <c r="K37" s="6">
        <f>Claims!N6</f>
        <v>21507</v>
      </c>
      <c r="L37" s="7" t="s">
        <v>65</v>
      </c>
      <c r="M37" s="7" t="s">
        <v>67</v>
      </c>
    </row>
    <row r="38" spans="1:13" ht="42" customHeight="1" x14ac:dyDescent="0.2">
      <c r="A38" s="5" t="str">
        <f>Claims!A7</f>
        <v>Norcal Rebar &amp; Mesh, LLC</v>
      </c>
      <c r="B38" s="5" t="str">
        <f>Claims!B7</f>
        <v>09/14/2026</v>
      </c>
      <c r="C38" s="6">
        <f>Claims!D7</f>
        <v>27640</v>
      </c>
      <c r="D38" s="5" t="str">
        <f>Claims!F7</f>
        <v>No</v>
      </c>
      <c r="E38" s="5" t="str">
        <f>Claims!G7</f>
        <v>Yes</v>
      </c>
      <c r="F38" s="5" t="str">
        <f>Claims!H7</f>
        <v>Yes</v>
      </c>
      <c r="G38" s="5" t="str">
        <f>Claims!I7</f>
        <v>No</v>
      </c>
      <c r="H38" s="5" t="str">
        <f>Claims!J7</f>
        <v>No lien rights</v>
      </c>
      <c r="I38" s="6">
        <f>Claims!K7</f>
        <v>0</v>
      </c>
      <c r="J38" s="7" t="str">
        <f>Claims!M7</f>
        <v>Demand a recorded release, the defect being no preliminary notice to the owner</v>
      </c>
      <c r="K38" s="6">
        <f>Claims!N7</f>
        <v>0</v>
      </c>
      <c r="L38" s="7" t="s">
        <v>65</v>
      </c>
      <c r="M38" s="7" t="s">
        <v>68</v>
      </c>
    </row>
    <row r="39" spans="1:13" ht="42" customHeight="1" x14ac:dyDescent="0.2">
      <c r="A39" s="5" t="str">
        <f>Claims!A8</f>
        <v>Hedrick &amp; Sons Building Supply</v>
      </c>
      <c r="B39" s="5" t="str">
        <f>Claims!B8</f>
        <v>09/16/2026</v>
      </c>
      <c r="C39" s="6">
        <f>Claims!D8</f>
        <v>54230.81</v>
      </c>
      <c r="D39" s="5" t="str">
        <f>Claims!F8</f>
        <v>Yes</v>
      </c>
      <c r="E39" s="5" t="str">
        <f>Claims!G8</f>
        <v>Yes</v>
      </c>
      <c r="F39" s="5" t="str">
        <f>Claims!H8</f>
        <v>Yes</v>
      </c>
      <c r="G39" s="5" t="str">
        <f>Claims!I8</f>
        <v>No</v>
      </c>
      <c r="H39" s="5" t="str">
        <f>Claims!J8</f>
        <v>Enforceable</v>
      </c>
      <c r="I39" s="6">
        <f>Claims!K8</f>
        <v>29091.69</v>
      </c>
      <c r="J39" s="7" t="str">
        <f>Claims!M8</f>
        <v>Bond at 125 percent of the recorded claim, or take an amended claim at the enforceable amount</v>
      </c>
      <c r="K39" s="6">
        <f>Claims!N8</f>
        <v>67789</v>
      </c>
      <c r="L39" s="7" t="s">
        <v>65</v>
      </c>
      <c r="M39" s="7" t="s">
        <v>69</v>
      </c>
    </row>
    <row r="40" spans="1:13" ht="42" customHeight="1" x14ac:dyDescent="0.2">
      <c r="A40" s="5" t="str">
        <f>Claims!A9</f>
        <v>Abrego Glass &amp; Glazing</v>
      </c>
      <c r="B40" s="5" t="str">
        <f>Claims!B9</f>
        <v>09/17/2026</v>
      </c>
      <c r="C40" s="6">
        <f>Claims!D9</f>
        <v>9345</v>
      </c>
      <c r="D40" s="5" t="str">
        <f>Claims!F9</f>
        <v>Yes</v>
      </c>
      <c r="E40" s="5" t="str">
        <f>Claims!G9</f>
        <v>Yes</v>
      </c>
      <c r="F40" s="5" t="str">
        <f>Claims!H9</f>
        <v>No</v>
      </c>
      <c r="G40" s="5" t="str">
        <f>Claims!I9</f>
        <v>No</v>
      </c>
      <c r="H40" s="5" t="str">
        <f>Claims!J9</f>
        <v>Not served on the owner</v>
      </c>
      <c r="I40" s="6">
        <f>Claims!K9</f>
        <v>0</v>
      </c>
      <c r="J40" s="7" t="str">
        <f>Claims!M9</f>
        <v>Demand a recorded release, the defect being no service on the owner</v>
      </c>
      <c r="K40" s="6">
        <f>Claims!N9</f>
        <v>0</v>
      </c>
      <c r="L40" s="7" t="s">
        <v>70</v>
      </c>
      <c r="M40" s="7" t="s">
        <v>71</v>
      </c>
    </row>
    <row r="41" spans="1:13" ht="42" customHeight="1" x14ac:dyDescent="0.2">
      <c r="A41" s="5" t="str">
        <f>Claims!A10</f>
        <v>Kastner Mechanical Contractors, Inc.</v>
      </c>
      <c r="B41" s="5" t="str">
        <f>Claims!B10</f>
        <v>09/21/2026</v>
      </c>
      <c r="C41" s="6">
        <f>Claims!D10</f>
        <v>159145</v>
      </c>
      <c r="D41" s="5" t="str">
        <f>Claims!F10</f>
        <v>Yes</v>
      </c>
      <c r="E41" s="5" t="str">
        <f>Claims!G10</f>
        <v>Yes</v>
      </c>
      <c r="F41" s="5" t="str">
        <f>Claims!H10</f>
        <v>Yes</v>
      </c>
      <c r="G41" s="5" t="str">
        <f>Claims!I10</f>
        <v>No</v>
      </c>
      <c r="H41" s="5" t="str">
        <f>Claims!J10</f>
        <v>Enforceable</v>
      </c>
      <c r="I41" s="6">
        <f>Claims!K10</f>
        <v>85235</v>
      </c>
      <c r="J41" s="7" t="str">
        <f>Claims!M10</f>
        <v>Bond at 125 percent of the recorded claim, or take an amended claim at the enforceable amount</v>
      </c>
      <c r="K41" s="6">
        <f>Claims!N10</f>
        <v>198932</v>
      </c>
      <c r="L41" s="7" t="s">
        <v>72</v>
      </c>
      <c r="M41" s="7" t="s">
        <v>73</v>
      </c>
    </row>
    <row r="42" spans="1:13" ht="42" customHeight="1" x14ac:dyDescent="0.2">
      <c r="A42" s="5" t="str">
        <f>Claims!A11</f>
        <v>Bautista Painting Co.</v>
      </c>
      <c r="B42" s="5" t="str">
        <f>Claims!B11</f>
        <v>09/22/2026</v>
      </c>
      <c r="C42" s="6">
        <f>Claims!D11</f>
        <v>46600</v>
      </c>
      <c r="D42" s="5" t="str">
        <f>Claims!F11</f>
        <v>Yes</v>
      </c>
      <c r="E42" s="5" t="str">
        <f>Claims!G11</f>
        <v>Yes</v>
      </c>
      <c r="F42" s="5" t="str">
        <f>Claims!H11</f>
        <v>Yes</v>
      </c>
      <c r="G42" s="5" t="str">
        <f>Claims!I11</f>
        <v>No</v>
      </c>
      <c r="H42" s="5" t="str">
        <f>Claims!J11</f>
        <v>Enforceable</v>
      </c>
      <c r="I42" s="6">
        <f>Claims!K11</f>
        <v>8125</v>
      </c>
      <c r="J42" s="7" t="str">
        <f>Claims!M11</f>
        <v>Bond at 125 percent of the recorded claim, or take an amended claim at the enforceable amount</v>
      </c>
      <c r="K42" s="6">
        <f>Claims!N11</f>
        <v>58250</v>
      </c>
      <c r="L42" s="7" t="s">
        <v>74</v>
      </c>
      <c r="M42" s="7" t="s">
        <v>75</v>
      </c>
    </row>
    <row r="43" spans="1:13" ht="42" customHeight="1" x14ac:dyDescent="0.2">
      <c r="A43" s="5" t="str">
        <f>Claims!A12</f>
        <v>Fenwick Roofing, Inc.</v>
      </c>
      <c r="B43" s="5" t="str">
        <f>Claims!B12</f>
        <v>09/23/2026</v>
      </c>
      <c r="C43" s="6">
        <f>Claims!D12</f>
        <v>14937.5</v>
      </c>
      <c r="D43" s="5" t="str">
        <f>Claims!F12</f>
        <v>Yes</v>
      </c>
      <c r="E43" s="5" t="str">
        <f>Claims!G12</f>
        <v>Yes</v>
      </c>
      <c r="F43" s="5" t="str">
        <f>Claims!H12</f>
        <v>Yes</v>
      </c>
      <c r="G43" s="5" t="str">
        <f>Claims!I12</f>
        <v>No</v>
      </c>
      <c r="H43" s="5" t="str">
        <f>Claims!J12</f>
        <v>Waived in full</v>
      </c>
      <c r="I43" s="6">
        <f>Claims!K12</f>
        <v>0</v>
      </c>
      <c r="J43" s="7" t="str">
        <f>Claims!M12</f>
        <v>Demand a recorded release, the defect being a final waiver of the whole claim</v>
      </c>
      <c r="K43" s="6">
        <f>Claims!N12</f>
        <v>0</v>
      </c>
      <c r="L43" s="7" t="s">
        <v>76</v>
      </c>
      <c r="M43" s="7" t="s">
        <v>77</v>
      </c>
    </row>
    <row r="44" spans="1:13" ht="42" customHeight="1" x14ac:dyDescent="0.2">
      <c r="A44" s="5" t="str">
        <f>Claims!A13</f>
        <v>Lindqvist Fire Protection</v>
      </c>
      <c r="B44" s="5" t="str">
        <f>Claims!B13</f>
        <v>09/24/2026</v>
      </c>
      <c r="C44" s="6">
        <f>Claims!D13</f>
        <v>16600</v>
      </c>
      <c r="D44" s="5" t="str">
        <f>Claims!F13</f>
        <v>Yes</v>
      </c>
      <c r="E44" s="5" t="str">
        <f>Claims!G13</f>
        <v>Yes</v>
      </c>
      <c r="F44" s="5" t="str">
        <f>Claims!H13</f>
        <v>Yes</v>
      </c>
      <c r="G44" s="5" t="str">
        <f>Claims!I13</f>
        <v>No</v>
      </c>
      <c r="H44" s="5" t="str">
        <f>Claims!J13</f>
        <v>Enforceable</v>
      </c>
      <c r="I44" s="6">
        <f>Claims!K13</f>
        <v>7132.5</v>
      </c>
      <c r="J44" s="7" t="str">
        <f>Claims!M13</f>
        <v>Bond at 125 percent of the recorded claim, or take an amended claim at the enforceable amount</v>
      </c>
      <c r="K44" s="6">
        <f>Claims!N13</f>
        <v>20750</v>
      </c>
      <c r="L44" s="7" t="s">
        <v>78</v>
      </c>
      <c r="M44" s="7" t="s">
        <v>79</v>
      </c>
    </row>
    <row r="45" spans="1:13" ht="42" customHeight="1" x14ac:dyDescent="0.2">
      <c r="A45" s="5" t="str">
        <f>Claims!A14</f>
        <v>Ostrowski Electric, Inc.</v>
      </c>
      <c r="B45" s="5" t="str">
        <f>Claims!B14</f>
        <v>09/28/2026</v>
      </c>
      <c r="C45" s="6">
        <f>Claims!D14</f>
        <v>61477</v>
      </c>
      <c r="D45" s="5" t="str">
        <f>Claims!F14</f>
        <v>Yes</v>
      </c>
      <c r="E45" s="5" t="str">
        <f>Claims!G14</f>
        <v>Yes</v>
      </c>
      <c r="F45" s="5" t="str">
        <f>Claims!H14</f>
        <v>Yes</v>
      </c>
      <c r="G45" s="5" t="str">
        <f>Claims!I14</f>
        <v>No</v>
      </c>
      <c r="H45" s="5" t="str">
        <f>Claims!J14</f>
        <v>Enforceable</v>
      </c>
      <c r="I45" s="6">
        <f>Claims!K14</f>
        <v>61477</v>
      </c>
      <c r="J45" s="7" t="str">
        <f>Claims!M14</f>
        <v>Bond at 125 percent, or pay from the money held against an unconditional final release</v>
      </c>
      <c r="K45" s="6">
        <f>Claims!N14</f>
        <v>76847</v>
      </c>
      <c r="L45" s="7" t="s">
        <v>80</v>
      </c>
      <c r="M45" s="7" t="s">
        <v>81</v>
      </c>
    </row>
    <row r="46" spans="1:13" ht="42" customHeight="1" x14ac:dyDescent="0.2">
      <c r="A46" s="5" t="str">
        <f>Claims!A15</f>
        <v>Calder Drywall &amp; Plaster, LLC</v>
      </c>
      <c r="B46" s="5" t="str">
        <f>Claims!B15</f>
        <v>09/29/2026</v>
      </c>
      <c r="C46" s="6">
        <f>Claims!D15</f>
        <v>38915</v>
      </c>
      <c r="D46" s="5" t="str">
        <f>Claims!F15</f>
        <v>Yes</v>
      </c>
      <c r="E46" s="5" t="str">
        <f>Claims!G15</f>
        <v>Yes</v>
      </c>
      <c r="F46" s="5" t="str">
        <f>Claims!H15</f>
        <v>Yes</v>
      </c>
      <c r="G46" s="5" t="str">
        <f>Claims!I15</f>
        <v>No</v>
      </c>
      <c r="H46" s="5" t="str">
        <f>Claims!J15</f>
        <v>Enforceable</v>
      </c>
      <c r="I46" s="6">
        <f>Claims!K15</f>
        <v>38915</v>
      </c>
      <c r="J46" s="7" t="str">
        <f>Claims!M15</f>
        <v>Bond at 125 percent, or pay from the money held against an unconditional final release</v>
      </c>
      <c r="K46" s="6">
        <f>Claims!N15</f>
        <v>48644</v>
      </c>
      <c r="L46" s="7" t="s">
        <v>82</v>
      </c>
      <c r="M46" s="7" t="s">
        <v>83</v>
      </c>
    </row>
    <row r="47" spans="1:13" ht="42" customHeight="1" x14ac:dyDescent="0.2">
      <c r="A47" s="5" t="str">
        <f>Claims!A16</f>
        <v>Petrakis Plumbing, Inc.</v>
      </c>
      <c r="B47" s="5" t="str">
        <f>Claims!B16</f>
        <v>09/30/2026</v>
      </c>
      <c r="C47" s="6">
        <f>Claims!D16</f>
        <v>13889</v>
      </c>
      <c r="D47" s="5" t="str">
        <f>Claims!F16</f>
        <v>Yes</v>
      </c>
      <c r="E47" s="5" t="str">
        <f>Claims!G16</f>
        <v>No</v>
      </c>
      <c r="F47" s="5" t="str">
        <f>Claims!H16</f>
        <v>Yes</v>
      </c>
      <c r="G47" s="5" t="str">
        <f>Claims!I16</f>
        <v>No</v>
      </c>
      <c r="H47" s="5" t="str">
        <f>Claims!J16</f>
        <v>Untimely</v>
      </c>
      <c r="I47" s="6">
        <f>Claims!K16</f>
        <v>0</v>
      </c>
      <c r="J47" s="7" t="str">
        <f>Claims!M16</f>
        <v>Demand a recorded release, the defect being a recording after the last day</v>
      </c>
      <c r="K47" s="6">
        <f>Claims!N16</f>
        <v>0</v>
      </c>
      <c r="L47" s="7" t="s">
        <v>84</v>
      </c>
      <c r="M47" s="7" t="s">
        <v>85</v>
      </c>
    </row>
    <row r="48" spans="1:13" ht="42" customHeight="1" x14ac:dyDescent="0.2">
      <c r="A48" s="5" t="str">
        <f>Claims!A17</f>
        <v>Sorensen Landscape Co.</v>
      </c>
      <c r="B48" s="5" t="str">
        <f>Claims!B17</f>
        <v>09/30/2026</v>
      </c>
      <c r="C48" s="6">
        <f>Claims!D17</f>
        <v>25080</v>
      </c>
      <c r="D48" s="5" t="str">
        <f>Claims!F17</f>
        <v>Yes</v>
      </c>
      <c r="E48" s="5" t="str">
        <f>Claims!G17</f>
        <v>Yes</v>
      </c>
      <c r="F48" s="5" t="str">
        <f>Claims!H17</f>
        <v>Yes</v>
      </c>
      <c r="G48" s="5" t="str">
        <f>Claims!I17</f>
        <v>No</v>
      </c>
      <c r="H48" s="5" t="str">
        <f>Claims!J17</f>
        <v>Enforceable</v>
      </c>
      <c r="I48" s="6">
        <f>Claims!K17</f>
        <v>25080</v>
      </c>
      <c r="J48" s="7" t="str">
        <f>Claims!M17</f>
        <v>Bond at 125 percent, or pay the owner's own balance against an unconditional final release</v>
      </c>
      <c r="K48" s="6">
        <f>Claims!N17</f>
        <v>31350</v>
      </c>
      <c r="L48" s="7" t="s">
        <v>86</v>
      </c>
      <c r="M48" s="7" t="s">
        <v>87</v>
      </c>
    </row>
    <row r="49" spans="1:13" ht="42" customHeight="1" x14ac:dyDescent="0.2">
      <c r="A49" s="5" t="str">
        <f>Claims!A18</f>
        <v>Capitol Wire &amp; Lighting, Inc.</v>
      </c>
      <c r="B49" s="5" t="str">
        <f>Claims!B18</f>
        <v>10/01/2026</v>
      </c>
      <c r="C49" s="6">
        <f>Claims!D18</f>
        <v>23480</v>
      </c>
      <c r="D49" s="5" t="str">
        <f>Claims!F18</f>
        <v>Yes</v>
      </c>
      <c r="E49" s="5" t="str">
        <f>Claims!G18</f>
        <v>Yes</v>
      </c>
      <c r="F49" s="5" t="str">
        <f>Claims!H18</f>
        <v>Yes</v>
      </c>
      <c r="G49" s="5" t="str">
        <f>Claims!I18</f>
        <v>No</v>
      </c>
      <c r="H49" s="5" t="str">
        <f>Claims!J18</f>
        <v>Enforceable</v>
      </c>
      <c r="I49" s="6">
        <f>Claims!K18</f>
        <v>13040</v>
      </c>
      <c r="J49" s="7" t="str">
        <f>Claims!M18</f>
        <v>Bond at 125 percent of the recorded claim, or take an amended claim at the enforceable amount</v>
      </c>
      <c r="K49" s="6">
        <f>Claims!N18</f>
        <v>29350</v>
      </c>
      <c r="L49" s="7" t="s">
        <v>88</v>
      </c>
      <c r="M49" s="7" t="s">
        <v>89</v>
      </c>
    </row>
    <row r="50" spans="1:13" ht="42" customHeight="1" x14ac:dyDescent="0.2">
      <c r="A50" s="5" t="str">
        <f>Claims!A19</f>
        <v>Sierra Pipe &amp; Supply, Inc.</v>
      </c>
      <c r="B50" s="5" t="str">
        <f>Claims!B19</f>
        <v>10/01/2026</v>
      </c>
      <c r="C50" s="6">
        <f>Claims!D19</f>
        <v>19742.64</v>
      </c>
      <c r="D50" s="5" t="str">
        <f>Claims!F19</f>
        <v>Yes</v>
      </c>
      <c r="E50" s="5" t="str">
        <f>Claims!G19</f>
        <v>No</v>
      </c>
      <c r="F50" s="5" t="str">
        <f>Claims!H19</f>
        <v>Yes</v>
      </c>
      <c r="G50" s="5" t="str">
        <f>Claims!I19</f>
        <v>No</v>
      </c>
      <c r="H50" s="5" t="str">
        <f>Claims!J19</f>
        <v>Untimely</v>
      </c>
      <c r="I50" s="6">
        <f>Claims!K19</f>
        <v>0</v>
      </c>
      <c r="J50" s="7" t="str">
        <f>Claims!M19</f>
        <v>Demand a recorded release, the defect being a recording after the last day</v>
      </c>
      <c r="K50" s="6">
        <f>Claims!N19</f>
        <v>0</v>
      </c>
      <c r="L50" s="7" t="s">
        <v>65</v>
      </c>
      <c r="M50" s="7" t="s">
        <v>90</v>
      </c>
    </row>
    <row r="51" spans="1:13" ht="42" customHeight="1" x14ac:dyDescent="0.2">
      <c r="A51" s="5" t="str">
        <f>Claims!A20</f>
        <v>Granite Bay Sheet Metal, Inc.</v>
      </c>
      <c r="B51" s="5" t="str">
        <f>Claims!B20</f>
        <v>10/01/2026</v>
      </c>
      <c r="C51" s="6">
        <f>Claims!D20</f>
        <v>18360</v>
      </c>
      <c r="D51" s="5" t="str">
        <f>Claims!F20</f>
        <v>Yes</v>
      </c>
      <c r="E51" s="5" t="str">
        <f>Claims!G20</f>
        <v>Yes</v>
      </c>
      <c r="F51" s="5" t="str">
        <f>Claims!H20</f>
        <v>Yes</v>
      </c>
      <c r="G51" s="5" t="str">
        <f>Claims!I20</f>
        <v>No</v>
      </c>
      <c r="H51" s="5" t="str">
        <f>Claims!J20</f>
        <v>Enforceable</v>
      </c>
      <c r="I51" s="6">
        <f>Claims!K20</f>
        <v>18360</v>
      </c>
      <c r="J51" s="7" t="str">
        <f>Claims!M20</f>
        <v>Bond at 125 percent, or pay from the money held against an unconditional final release</v>
      </c>
      <c r="K51" s="6">
        <f>Claims!N20</f>
        <v>22950</v>
      </c>
      <c r="L51" s="7" t="s">
        <v>65</v>
      </c>
      <c r="M51" s="7" t="s">
        <v>91</v>
      </c>
    </row>
    <row r="53" spans="1:13" x14ac:dyDescent="0.2">
      <c r="A53" s="3" t="s">
        <v>92</v>
      </c>
    </row>
    <row r="54" spans="1:13" ht="30" customHeight="1" x14ac:dyDescent="0.2">
      <c r="A54" s="4" t="s">
        <v>93</v>
      </c>
      <c r="B54" s="4" t="s">
        <v>4</v>
      </c>
      <c r="C54" s="4" t="s">
        <v>5</v>
      </c>
    </row>
    <row r="55" spans="1:13" ht="45" x14ac:dyDescent="0.2">
      <c r="A55" s="5" t="s">
        <v>94</v>
      </c>
      <c r="B55" s="5" t="str">
        <f>Parameters!B4</f>
        <v>08/11/2026</v>
      </c>
      <c r="C55" s="7" t="s">
        <v>95</v>
      </c>
    </row>
    <row r="56" spans="1:13" ht="30" x14ac:dyDescent="0.2">
      <c r="A56" s="5" t="s">
        <v>96</v>
      </c>
      <c r="B56" s="5" t="str">
        <f>Parameters!B5</f>
        <v>08/26/2026</v>
      </c>
      <c r="C56" s="7" t="s">
        <v>97</v>
      </c>
    </row>
    <row r="57" spans="1:13" ht="30" x14ac:dyDescent="0.2">
      <c r="A57" s="5" t="s">
        <v>98</v>
      </c>
      <c r="B57" s="5">
        <f>Parameters!B44</f>
        <v>15</v>
      </c>
      <c r="C57" s="7" t="s">
        <v>99</v>
      </c>
    </row>
    <row r="58" spans="1:13" x14ac:dyDescent="0.2">
      <c r="A58" s="5" t="s">
        <v>100</v>
      </c>
      <c r="B58" s="5" t="str">
        <f>Parameters!B45</f>
        <v>Yes, recorded within 15 days of completion</v>
      </c>
      <c r="C58" s="7" t="s">
        <v>101</v>
      </c>
    </row>
    <row r="59" spans="1:13" ht="75" x14ac:dyDescent="0.2">
      <c r="A59" s="5" t="s">
        <v>102</v>
      </c>
      <c r="B59" s="5" t="str">
        <f>Parameters!B48</f>
        <v>09/08/2026</v>
      </c>
      <c r="C59" s="7" t="s">
        <v>103</v>
      </c>
    </row>
    <row r="60" spans="1:13" ht="105" x14ac:dyDescent="0.2">
      <c r="A60" s="5" t="s">
        <v>104</v>
      </c>
      <c r="B60" s="5" t="str">
        <f>Parameters!B51</f>
        <v>09/28/2026</v>
      </c>
      <c r="C60" s="7" t="s">
        <v>105</v>
      </c>
    </row>
    <row r="61" spans="1:13" ht="30" x14ac:dyDescent="0.2">
      <c r="A61" s="5" t="s">
        <v>106</v>
      </c>
      <c r="B61" s="5" t="str">
        <f>Parameters!B53</f>
        <v>11/09/2026</v>
      </c>
      <c r="C61" s="7" t="s">
        <v>107</v>
      </c>
    </row>
    <row r="62" spans="1:13" ht="45" x14ac:dyDescent="0.2">
      <c r="A62" s="5" t="s">
        <v>108</v>
      </c>
      <c r="B62" s="5" t="str">
        <f>'NOC Copies'!I24</f>
        <v>11/09/2026</v>
      </c>
      <c r="C62" s="7" t="s">
        <v>109</v>
      </c>
    </row>
    <row r="63" spans="1:13" ht="45" x14ac:dyDescent="0.2">
      <c r="A63" s="5" t="s">
        <v>110</v>
      </c>
      <c r="B63" s="5" t="str">
        <f>Parameters!B20&amp;" run, current through "&amp;Parameters!B21</f>
        <v>10/02/2026 run, current through 09/30/2026</v>
      </c>
      <c r="C63" s="7" t="s">
        <v>111</v>
      </c>
    </row>
    <row r="64" spans="1:13" ht="60" x14ac:dyDescent="0.2">
      <c r="A64" s="5" t="s">
        <v>112</v>
      </c>
      <c r="B64" s="5" t="str">
        <f>Parameters!B22&amp;" run, current through "&amp;Parameters!B23</f>
        <v>10/08/2026 run, current through 10/02/2026</v>
      </c>
      <c r="C64" s="7" t="s">
        <v>113</v>
      </c>
    </row>
    <row r="65" spans="1:3" ht="30" x14ac:dyDescent="0.2">
      <c r="A65" s="5" t="s">
        <v>114</v>
      </c>
      <c r="B65" s="5" t="str">
        <f>Parameters!B26</f>
        <v>11/06/2026</v>
      </c>
      <c r="C65" s="7" t="s">
        <v>115</v>
      </c>
    </row>
    <row r="66" spans="1:3" x14ac:dyDescent="0.2">
      <c r="A66" s="5" t="s">
        <v>116</v>
      </c>
      <c r="B66" s="5" t="str">
        <f>Parameters!B25</f>
        <v>11/20/2026</v>
      </c>
      <c r="C66" s="7" t="s">
        <v>117</v>
      </c>
    </row>
    <row r="68" spans="1:3" x14ac:dyDescent="0.2">
      <c r="A68" s="8" t="s">
        <v>118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6"/>
  <sheetViews>
    <sheetView workbookViewId="0"/>
  </sheetViews>
  <sheetFormatPr baseColWidth="10" defaultColWidth="8.83203125" defaultRowHeight="15" x14ac:dyDescent="0.2"/>
  <cols>
    <col min="1" max="1" width="78" customWidth="1"/>
    <col min="2" max="2" width="16" customWidth="1"/>
    <col min="3" max="3" width="12" customWidth="1"/>
    <col min="4" max="4" width="84" customWidth="1"/>
  </cols>
  <sheetData>
    <row r="1" spans="1:4" ht="17" customHeight="1" x14ac:dyDescent="0.2">
      <c r="A1" s="1" t="s">
        <v>119</v>
      </c>
    </row>
    <row r="3" spans="1:4" ht="30" customHeight="1" x14ac:dyDescent="0.2">
      <c r="A3" s="4" t="s">
        <v>120</v>
      </c>
      <c r="B3" s="4" t="s">
        <v>121</v>
      </c>
      <c r="C3" s="4" t="s">
        <v>122</v>
      </c>
      <c r="D3" s="4" t="s">
        <v>123</v>
      </c>
    </row>
    <row r="4" spans="1:4" x14ac:dyDescent="0.2">
      <c r="A4" s="5" t="s">
        <v>94</v>
      </c>
      <c r="B4" s="5" t="s">
        <v>124</v>
      </c>
      <c r="C4" s="5">
        <f>DATE(VALUE(RIGHT(B4,4)),VALUE(LEFT(B4,2)),VALUE(MID(B4,4,2)))</f>
        <v>46245</v>
      </c>
      <c r="D4" s="5" t="s">
        <v>125</v>
      </c>
    </row>
    <row r="5" spans="1:4" x14ac:dyDescent="0.2">
      <c r="A5" s="5" t="s">
        <v>96</v>
      </c>
      <c r="B5" s="5" t="s">
        <v>126</v>
      </c>
      <c r="C5" s="5">
        <f>DATE(VALUE(RIGHT(B5,4)),VALUE(LEFT(B5,2)),VALUE(MID(B5,4,2)))</f>
        <v>46260</v>
      </c>
      <c r="D5" s="5" t="s">
        <v>127</v>
      </c>
    </row>
    <row r="6" spans="1:4" x14ac:dyDescent="0.2">
      <c r="A6" s="5" t="s">
        <v>128</v>
      </c>
      <c r="B6" s="5" t="s">
        <v>129</v>
      </c>
      <c r="C6" s="5">
        <f>DATE(VALUE(RIGHT(B6,4)),VALUE(LEFT(B6,2)),VALUE(MID(B6,4,2)))</f>
        <v>46272</v>
      </c>
      <c r="D6" s="5" t="s">
        <v>130</v>
      </c>
    </row>
    <row r="7" spans="1:4" x14ac:dyDescent="0.2">
      <c r="A7" s="5" t="s">
        <v>131</v>
      </c>
      <c r="B7" s="5" t="s">
        <v>132</v>
      </c>
      <c r="C7" s="5">
        <f>DATE(VALUE(RIGHT(B7,4)),VALUE(LEFT(B7,2)),VALUE(MID(B7,4,2)))</f>
        <v>46290</v>
      </c>
      <c r="D7" s="5" t="s">
        <v>133</v>
      </c>
    </row>
    <row r="8" spans="1:4" x14ac:dyDescent="0.2">
      <c r="A8" s="5" t="s">
        <v>134</v>
      </c>
      <c r="B8" s="5">
        <v>15</v>
      </c>
      <c r="D8" s="5" t="s">
        <v>101</v>
      </c>
    </row>
    <row r="9" spans="1:4" x14ac:dyDescent="0.2">
      <c r="A9" s="5" t="s">
        <v>135</v>
      </c>
      <c r="B9" s="5">
        <v>10</v>
      </c>
      <c r="D9" s="5" t="s">
        <v>136</v>
      </c>
    </row>
    <row r="10" spans="1:4" x14ac:dyDescent="0.2">
      <c r="A10" s="5" t="s">
        <v>137</v>
      </c>
      <c r="B10" s="5">
        <v>30</v>
      </c>
      <c r="D10" s="5" t="s">
        <v>138</v>
      </c>
    </row>
    <row r="11" spans="1:4" x14ac:dyDescent="0.2">
      <c r="A11" s="5" t="s">
        <v>139</v>
      </c>
      <c r="B11" s="5">
        <v>60</v>
      </c>
      <c r="D11" s="5" t="s">
        <v>140</v>
      </c>
    </row>
    <row r="12" spans="1:4" x14ac:dyDescent="0.2">
      <c r="A12" s="5" t="s">
        <v>141</v>
      </c>
      <c r="B12" s="5">
        <v>90</v>
      </c>
      <c r="D12" s="5" t="s">
        <v>142</v>
      </c>
    </row>
    <row r="13" spans="1:4" x14ac:dyDescent="0.2">
      <c r="A13" s="5" t="s">
        <v>143</v>
      </c>
      <c r="B13" s="5">
        <v>20</v>
      </c>
      <c r="D13" s="5" t="s">
        <v>144</v>
      </c>
    </row>
    <row r="14" spans="1:4" x14ac:dyDescent="0.2">
      <c r="A14" s="5" t="s">
        <v>145</v>
      </c>
      <c r="B14" s="5">
        <v>20</v>
      </c>
      <c r="D14" s="5" t="s">
        <v>146</v>
      </c>
    </row>
    <row r="15" spans="1:4" x14ac:dyDescent="0.2">
      <c r="A15" s="5" t="s">
        <v>147</v>
      </c>
      <c r="B15" s="5">
        <v>90</v>
      </c>
      <c r="D15" s="5" t="s">
        <v>148</v>
      </c>
    </row>
    <row r="16" spans="1:4" x14ac:dyDescent="0.2">
      <c r="A16" s="5" t="s">
        <v>149</v>
      </c>
      <c r="B16" s="5">
        <v>125</v>
      </c>
      <c r="D16" s="5" t="s">
        <v>150</v>
      </c>
    </row>
    <row r="17" spans="1:4" x14ac:dyDescent="0.2">
      <c r="A17" s="5" t="s">
        <v>151</v>
      </c>
      <c r="B17" s="5">
        <v>10</v>
      </c>
      <c r="D17" s="5" t="s">
        <v>152</v>
      </c>
    </row>
    <row r="18" spans="1:4" x14ac:dyDescent="0.2">
      <c r="A18" s="5" t="s">
        <v>153</v>
      </c>
      <c r="B18" s="5">
        <v>45</v>
      </c>
      <c r="D18" s="5" t="s">
        <v>154</v>
      </c>
    </row>
    <row r="19" spans="1:4" x14ac:dyDescent="0.2">
      <c r="A19" s="5" t="s">
        <v>155</v>
      </c>
      <c r="B19" s="5">
        <v>150</v>
      </c>
      <c r="D19" s="5" t="s">
        <v>156</v>
      </c>
    </row>
    <row r="20" spans="1:4" x14ac:dyDescent="0.2">
      <c r="A20" s="5" t="s">
        <v>157</v>
      </c>
      <c r="B20" s="5" t="s">
        <v>158</v>
      </c>
      <c r="C20" s="5">
        <f t="shared" ref="C20:C26" si="0">DATE(VALUE(RIGHT(B20,4)),VALUE(LEFT(B20,2)),VALUE(MID(B20,4,2)))</f>
        <v>46297</v>
      </c>
      <c r="D20" s="5" t="s">
        <v>159</v>
      </c>
    </row>
    <row r="21" spans="1:4" x14ac:dyDescent="0.2">
      <c r="A21" s="5" t="s">
        <v>160</v>
      </c>
      <c r="B21" s="5" t="s">
        <v>161</v>
      </c>
      <c r="C21" s="5">
        <f t="shared" si="0"/>
        <v>46295</v>
      </c>
      <c r="D21" s="5" t="s">
        <v>162</v>
      </c>
    </row>
    <row r="22" spans="1:4" x14ac:dyDescent="0.2">
      <c r="A22" s="5" t="s">
        <v>163</v>
      </c>
      <c r="B22" s="5" t="s">
        <v>164</v>
      </c>
      <c r="C22" s="5">
        <f t="shared" si="0"/>
        <v>46303</v>
      </c>
      <c r="D22" s="5" t="s">
        <v>159</v>
      </c>
    </row>
    <row r="23" spans="1:4" x14ac:dyDescent="0.2">
      <c r="A23" s="5" t="s">
        <v>165</v>
      </c>
      <c r="B23" s="5" t="s">
        <v>158</v>
      </c>
      <c r="C23" s="5">
        <f t="shared" si="0"/>
        <v>46297</v>
      </c>
      <c r="D23" s="5" t="s">
        <v>166</v>
      </c>
    </row>
    <row r="24" spans="1:4" x14ac:dyDescent="0.2">
      <c r="A24" s="5" t="s">
        <v>167</v>
      </c>
      <c r="B24" s="5" t="s">
        <v>168</v>
      </c>
      <c r="C24" s="5">
        <f t="shared" si="0"/>
        <v>46315</v>
      </c>
      <c r="D24" s="5" t="s">
        <v>169</v>
      </c>
    </row>
    <row r="25" spans="1:4" x14ac:dyDescent="0.2">
      <c r="A25" s="5" t="s">
        <v>116</v>
      </c>
      <c r="B25" s="5" t="s">
        <v>170</v>
      </c>
      <c r="C25" s="5">
        <f t="shared" si="0"/>
        <v>46346</v>
      </c>
      <c r="D25" s="5" t="s">
        <v>171</v>
      </c>
    </row>
    <row r="26" spans="1:4" x14ac:dyDescent="0.2">
      <c r="A26" s="5" t="s">
        <v>114</v>
      </c>
      <c r="B26" s="5" t="s">
        <v>172</v>
      </c>
      <c r="C26" s="5">
        <f t="shared" si="0"/>
        <v>46332</v>
      </c>
      <c r="D26" s="5" t="s">
        <v>171</v>
      </c>
    </row>
    <row r="27" spans="1:4" x14ac:dyDescent="0.2">
      <c r="A27" s="5" t="s">
        <v>173</v>
      </c>
      <c r="B27" s="6">
        <v>3842450</v>
      </c>
      <c r="D27" s="5" t="s">
        <v>171</v>
      </c>
    </row>
    <row r="28" spans="1:4" x14ac:dyDescent="0.2">
      <c r="A28" s="5" t="s">
        <v>174</v>
      </c>
      <c r="B28" s="5">
        <v>15</v>
      </c>
      <c r="D28" s="5" t="s">
        <v>171</v>
      </c>
    </row>
    <row r="29" spans="1:4" x14ac:dyDescent="0.2">
      <c r="A29" s="5" t="s">
        <v>8</v>
      </c>
      <c r="B29" s="6">
        <f>ROUND(B27*B28/100,2)</f>
        <v>576367.5</v>
      </c>
      <c r="D29" s="5" t="s">
        <v>175</v>
      </c>
    </row>
    <row r="30" spans="1:4" x14ac:dyDescent="0.2">
      <c r="A30" s="5" t="s">
        <v>176</v>
      </c>
      <c r="B30" s="5">
        <v>2</v>
      </c>
      <c r="D30" s="5" t="s">
        <v>177</v>
      </c>
    </row>
    <row r="31" spans="1:4" x14ac:dyDescent="0.2">
      <c r="A31" s="5" t="s">
        <v>178</v>
      </c>
      <c r="B31" s="6">
        <v>3748250</v>
      </c>
      <c r="D31" s="5" t="s">
        <v>179</v>
      </c>
    </row>
    <row r="32" spans="1:4" x14ac:dyDescent="0.2">
      <c r="A32" s="5" t="s">
        <v>180</v>
      </c>
      <c r="B32" s="6">
        <v>100000</v>
      </c>
      <c r="D32" s="5" t="s">
        <v>179</v>
      </c>
    </row>
    <row r="33" spans="1:4" x14ac:dyDescent="0.2">
      <c r="A33" s="5" t="s">
        <v>181</v>
      </c>
      <c r="B33" s="6">
        <f>ROUND(B31+B32,2)</f>
        <v>3848250</v>
      </c>
      <c r="D33" s="5" t="s">
        <v>182</v>
      </c>
    </row>
    <row r="34" spans="1:4" x14ac:dyDescent="0.2">
      <c r="A34" s="5" t="s">
        <v>183</v>
      </c>
      <c r="B34" s="6">
        <v>3511124</v>
      </c>
      <c r="D34" s="5" t="s">
        <v>184</v>
      </c>
    </row>
    <row r="35" spans="1:4" x14ac:dyDescent="0.2">
      <c r="A35" s="5" t="s">
        <v>185</v>
      </c>
      <c r="B35" s="6">
        <v>192412.5</v>
      </c>
      <c r="D35" s="5" t="s">
        <v>186</v>
      </c>
    </row>
    <row r="36" spans="1:4" x14ac:dyDescent="0.2">
      <c r="A36" s="5" t="s">
        <v>187</v>
      </c>
      <c r="B36" s="6">
        <v>144713.5</v>
      </c>
      <c r="D36" s="5" t="s">
        <v>188</v>
      </c>
    </row>
    <row r="37" spans="1:4" x14ac:dyDescent="0.2">
      <c r="A37" s="5" t="s">
        <v>189</v>
      </c>
      <c r="B37" s="6">
        <v>22000</v>
      </c>
      <c r="D37" s="5" t="s">
        <v>190</v>
      </c>
    </row>
    <row r="38" spans="1:4" x14ac:dyDescent="0.2">
      <c r="A38" s="5" t="s">
        <v>191</v>
      </c>
      <c r="B38" s="6">
        <v>14000</v>
      </c>
      <c r="D38" s="5" t="s">
        <v>190</v>
      </c>
    </row>
    <row r="39" spans="1:4" x14ac:dyDescent="0.2">
      <c r="A39" s="5" t="s">
        <v>192</v>
      </c>
      <c r="B39" s="6">
        <f>ROUND(B37+B38,2)</f>
        <v>36000</v>
      </c>
      <c r="D39" s="5" t="s">
        <v>193</v>
      </c>
    </row>
    <row r="40" spans="1:4" x14ac:dyDescent="0.2">
      <c r="A40" s="5" t="s">
        <v>194</v>
      </c>
      <c r="B40" s="5">
        <v>30</v>
      </c>
      <c r="D40" s="5" t="s">
        <v>195</v>
      </c>
    </row>
    <row r="42" spans="1:4" x14ac:dyDescent="0.2">
      <c r="A42" s="3" t="s">
        <v>196</v>
      </c>
    </row>
    <row r="43" spans="1:4" ht="30" customHeight="1" x14ac:dyDescent="0.2">
      <c r="A43" s="4" t="s">
        <v>120</v>
      </c>
      <c r="B43" s="4" t="s">
        <v>121</v>
      </c>
      <c r="C43" s="4" t="s">
        <v>122</v>
      </c>
      <c r="D43" s="4" t="s">
        <v>123</v>
      </c>
    </row>
    <row r="44" spans="1:4" x14ac:dyDescent="0.2">
      <c r="A44" s="5" t="s">
        <v>197</v>
      </c>
      <c r="B44" s="5">
        <f>Parameters!$C$5-Parameters!$C$4</f>
        <v>15</v>
      </c>
      <c r="D44" s="5" t="s">
        <v>198</v>
      </c>
    </row>
    <row r="45" spans="1:4" x14ac:dyDescent="0.2">
      <c r="A45" s="5" t="s">
        <v>199</v>
      </c>
      <c r="B45" s="5" t="str">
        <f>IF((Parameters!$C$5-Parameters!$C$4)&lt;=Parameters!$B$8,"Yes, recorded within 15 days of completion","No, recorded more than 15 days after completion")</f>
        <v>Yes, recorded within 15 days of completion</v>
      </c>
      <c r="D45" s="5" t="s">
        <v>200</v>
      </c>
    </row>
    <row r="46" spans="1:4" x14ac:dyDescent="0.2">
      <c r="A46" s="5" t="s">
        <v>201</v>
      </c>
      <c r="B46" s="5" t="str">
        <f>TEXT(C46,"mm/dd/yyyy")</f>
        <v>09/05/2026</v>
      </c>
      <c r="C46" s="5">
        <f>Parameters!$C$5+Parameters!$B$9</f>
        <v>46270</v>
      </c>
      <c r="D46" s="5" t="s">
        <v>202</v>
      </c>
    </row>
    <row r="47" spans="1:4" x14ac:dyDescent="0.2">
      <c r="A47" s="5" t="s">
        <v>203</v>
      </c>
      <c r="B47" s="5" t="str">
        <f>TEXT(Parameters!$C$5+Parameters!$B$9,"dddd")</f>
        <v>Saturday</v>
      </c>
      <c r="D47" s="5" t="s">
        <v>204</v>
      </c>
    </row>
    <row r="48" spans="1:4" x14ac:dyDescent="0.2">
      <c r="A48" s="5" t="s">
        <v>102</v>
      </c>
      <c r="B48" s="5" t="str">
        <f>TEXT(C48,"mm/dd/yyyy")</f>
        <v>09/08/2026</v>
      </c>
      <c r="C48" s="5">
        <f>IF(OR(WEEKDAY(Parameters!$C$5+Parameters!$B$9,2)&gt;5,COUNTIF(Parameters!$C$6:$C$7,Parameters!$C$5+Parameters!$B$9)&gt;0),WORKDAY(Parameters!$C$5+Parameters!$B$9,1,Parameters!$C$6:$C$7),Parameters!$C$5+Parameters!$B$9)</f>
        <v>46273</v>
      </c>
      <c r="D48" s="5" t="s">
        <v>205</v>
      </c>
    </row>
    <row r="49" spans="1:4" x14ac:dyDescent="0.2">
      <c r="A49" s="5" t="s">
        <v>206</v>
      </c>
      <c r="B49" s="5" t="str">
        <f>TEXT(C49,"mm/dd/yyyy")</f>
        <v>09/25/2026</v>
      </c>
      <c r="C49" s="5">
        <f>Parameters!$C$5+Parameters!$B$10</f>
        <v>46290</v>
      </c>
      <c r="D49" s="5" t="s">
        <v>207</v>
      </c>
    </row>
    <row r="50" spans="1:4" x14ac:dyDescent="0.2">
      <c r="A50" s="5" t="s">
        <v>208</v>
      </c>
      <c r="B50" s="5" t="str">
        <f>TEXT(Parameters!$C$5+Parameters!$B$10,"dddd")</f>
        <v>Friday</v>
      </c>
      <c r="D50" s="5" t="s">
        <v>209</v>
      </c>
    </row>
    <row r="51" spans="1:4" x14ac:dyDescent="0.2">
      <c r="A51" s="5" t="s">
        <v>104</v>
      </c>
      <c r="B51" s="5" t="str">
        <f>TEXT(C51,"mm/dd/yyyy")</f>
        <v>09/28/2026</v>
      </c>
      <c r="C51" s="5">
        <f>IF(OR(WEEKDAY(Parameters!$C$5+Parameters!$B$10,2)&gt;5,COUNTIF(Parameters!$C$6:$C$7,Parameters!$C$5+Parameters!$B$10)&gt;0),WORKDAY(Parameters!$C$5+Parameters!$B$10,1,Parameters!$C$6:$C$7),Parameters!$C$5+Parameters!$B$10)</f>
        <v>46293</v>
      </c>
      <c r="D51" s="5" t="s">
        <v>210</v>
      </c>
    </row>
    <row r="52" spans="1:4" x14ac:dyDescent="0.2">
      <c r="A52" s="5" t="s">
        <v>211</v>
      </c>
      <c r="B52" s="5" t="str">
        <f>TEXT(C52,"mm/dd/yyyy")</f>
        <v>10/26/2026</v>
      </c>
      <c r="C52" s="5">
        <f>IF(OR(WEEKDAY(Parameters!$C$5+Parameters!$B$11,2)&gt;5,COUNTIF(Parameters!$C$6:$C$7,Parameters!$C$5+Parameters!$B$11)&gt;0),WORKDAY(Parameters!$C$5+Parameters!$B$11,1,Parameters!$C$6:$C$7),Parameters!$C$5+Parameters!$B$11)</f>
        <v>46321</v>
      </c>
      <c r="D52" s="5" t="s">
        <v>212</v>
      </c>
    </row>
    <row r="53" spans="1:4" x14ac:dyDescent="0.2">
      <c r="A53" s="5" t="s">
        <v>106</v>
      </c>
      <c r="B53" s="5" t="str">
        <f>TEXT(C53,"mm/dd/yyyy")</f>
        <v>11/09/2026</v>
      </c>
      <c r="C53" s="5">
        <f>IF(OR(WEEKDAY(Parameters!$C$4+Parameters!$B$12,2)&gt;5,COUNTIF(Parameters!$C$6:$C$7,Parameters!$C$4+Parameters!$B$12)&gt;0),WORKDAY(Parameters!$C$4+Parameters!$B$12,1,Parameters!$C$6:$C$7),Parameters!$C$4+Parameters!$B$12)</f>
        <v>46335</v>
      </c>
      <c r="D53" s="5" t="s">
        <v>107</v>
      </c>
    </row>
    <row r="54" spans="1:4" x14ac:dyDescent="0.2">
      <c r="A54" s="5" t="s">
        <v>24</v>
      </c>
      <c r="B54" s="6">
        <f>ROUND(Parameters!$B$33-Parameters!$B$34,2)</f>
        <v>337126</v>
      </c>
      <c r="D54" s="5" t="s">
        <v>213</v>
      </c>
    </row>
    <row r="55" spans="1:4" x14ac:dyDescent="0.2">
      <c r="A55" s="5" t="s">
        <v>214</v>
      </c>
      <c r="B55" s="5" t="str">
        <f>TEXT(C55,"mm/dd/yyyy")</f>
        <v>09/25/2026</v>
      </c>
      <c r="C55" s="5">
        <f>Parameters!$C$4+Parameters!$B$18</f>
        <v>46290</v>
      </c>
      <c r="D55" s="5" t="s">
        <v>215</v>
      </c>
    </row>
    <row r="56" spans="1:4" x14ac:dyDescent="0.2">
      <c r="A56" s="5" t="s">
        <v>216</v>
      </c>
      <c r="B56" s="5" t="str">
        <f>TEXT(Parameters!$C$4+Parameters!$B$18,"dddd")</f>
        <v>Friday</v>
      </c>
      <c r="D56" s="5" t="s">
        <v>217</v>
      </c>
    </row>
    <row r="57" spans="1:4" x14ac:dyDescent="0.2">
      <c r="A57" s="5" t="s">
        <v>218</v>
      </c>
      <c r="B57" s="6">
        <f>ROUND(Parameters!$B$39*Parameters!$B$19/100,2)</f>
        <v>54000</v>
      </c>
      <c r="D57" s="5" t="s">
        <v>219</v>
      </c>
    </row>
    <row r="58" spans="1:4" x14ac:dyDescent="0.2">
      <c r="A58" s="5" t="s">
        <v>220</v>
      </c>
      <c r="B58" s="6">
        <f>MAX(0,ROUND(Parameters!$B$54-Claims!$D$25-Parameters!$B$57,2))</f>
        <v>4544.97</v>
      </c>
      <c r="D58" s="5" t="s">
        <v>221</v>
      </c>
    </row>
    <row r="59" spans="1:4" x14ac:dyDescent="0.2">
      <c r="A59" s="5" t="s">
        <v>34</v>
      </c>
      <c r="B59" s="6">
        <f>ROUND(Parameters!$B$58*Parameters!$B$30/100,2)</f>
        <v>90.9</v>
      </c>
      <c r="D59" s="5" t="s">
        <v>35</v>
      </c>
    </row>
    <row r="60" spans="1:4" x14ac:dyDescent="0.2">
      <c r="A60" s="5" t="s">
        <v>222</v>
      </c>
      <c r="B60" s="5">
        <f>Parameters!$C$25-C55</f>
        <v>56</v>
      </c>
      <c r="D60" s="5" t="s">
        <v>223</v>
      </c>
    </row>
    <row r="61" spans="1:4" x14ac:dyDescent="0.2">
      <c r="A61" s="5" t="s">
        <v>38</v>
      </c>
      <c r="B61" s="6">
        <f>ROUND(Parameters!$B$58*Parameters!$B$30/100/Parameters!$B$40*Parameters!$B$60,2)</f>
        <v>169.68</v>
      </c>
      <c r="D61" s="5" t="s">
        <v>224</v>
      </c>
    </row>
    <row r="62" spans="1:4" x14ac:dyDescent="0.2">
      <c r="A62" s="5" t="s">
        <v>225</v>
      </c>
      <c r="B62" s="6">
        <f>_xlfn.MINIFS(Claims!$K$4:$K$20,Claims!$J$4:$J$20,"Enforceable")</f>
        <v>7132.5</v>
      </c>
      <c r="D62" s="5" t="s">
        <v>226</v>
      </c>
    </row>
    <row r="63" spans="1:4" x14ac:dyDescent="0.2">
      <c r="A63" s="5" t="s">
        <v>227</v>
      </c>
      <c r="B63" s="5" t="str">
        <f>INDEX(Claims!$A$4:$A$20,MATCH(Parameters!$B$62,Claims!$K$4:$K$20,0))</f>
        <v>Lindqvist Fire Protection</v>
      </c>
      <c r="D63" s="5" t="s">
        <v>228</v>
      </c>
    </row>
    <row r="64" spans="1:4" x14ac:dyDescent="0.2">
      <c r="A64" s="5" t="s">
        <v>229</v>
      </c>
      <c r="B64" s="6">
        <f>INDEX(Claims!$N$4:$N$20,MATCH(Parameters!$B$62,Claims!$K$4:$K$20,0))</f>
        <v>20750</v>
      </c>
      <c r="D64" s="5" t="s">
        <v>228</v>
      </c>
    </row>
    <row r="65" spans="1:4" x14ac:dyDescent="0.2">
      <c r="A65" s="5" t="s">
        <v>18</v>
      </c>
      <c r="B65" s="6">
        <f>ROUND(Claims!$N$21-Parameters!$B$64,2)</f>
        <v>555619</v>
      </c>
      <c r="D65" s="5" t="s">
        <v>230</v>
      </c>
    </row>
    <row r="66" spans="1:4" x14ac:dyDescent="0.2">
      <c r="A66" s="5" t="s">
        <v>20</v>
      </c>
      <c r="B66" s="6">
        <f>ROUND(Parameters!$B$29-Parameters!$B$65,2)</f>
        <v>20748.5</v>
      </c>
      <c r="D66" s="5" t="s">
        <v>21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3"/>
  <sheetViews>
    <sheetView workbookViewId="0"/>
  </sheetViews>
  <sheetFormatPr baseColWidth="10" defaultColWidth="8.83203125" defaultRowHeight="15" x14ac:dyDescent="0.2"/>
  <cols>
    <col min="1" max="1" width="12" customWidth="1"/>
    <col min="2" max="2" width="11" customWidth="1"/>
    <col min="3" max="3" width="8" customWidth="1"/>
    <col min="4" max="4" width="36" customWidth="1"/>
    <col min="5" max="5" width="24" customWidth="1"/>
    <col min="6" max="6" width="9" customWidth="1"/>
    <col min="7" max="8" width="14" customWidth="1"/>
  </cols>
  <sheetData>
    <row r="1" spans="1:8" ht="17" customHeight="1" x14ac:dyDescent="0.2">
      <c r="A1" s="1" t="s">
        <v>231</v>
      </c>
    </row>
    <row r="3" spans="1:8" ht="30" customHeight="1" x14ac:dyDescent="0.2">
      <c r="A3" s="4" t="s">
        <v>232</v>
      </c>
      <c r="B3" s="4" t="s">
        <v>233</v>
      </c>
      <c r="C3" s="4" t="s">
        <v>234</v>
      </c>
      <c r="D3" s="4" t="s">
        <v>235</v>
      </c>
      <c r="E3" s="4" t="s">
        <v>236</v>
      </c>
      <c r="F3" s="4" t="s">
        <v>237</v>
      </c>
      <c r="G3" s="4" t="s">
        <v>238</v>
      </c>
      <c r="H3" s="4" t="s">
        <v>239</v>
      </c>
    </row>
    <row r="4" spans="1:8" x14ac:dyDescent="0.2">
      <c r="A4" s="5" t="s">
        <v>240</v>
      </c>
      <c r="B4" s="5">
        <v>4390</v>
      </c>
      <c r="C4" s="5" t="s">
        <v>241</v>
      </c>
      <c r="D4" s="5" t="s">
        <v>242</v>
      </c>
      <c r="E4" s="5" t="s">
        <v>243</v>
      </c>
      <c r="F4" s="5">
        <v>2</v>
      </c>
      <c r="G4" s="6">
        <v>152950</v>
      </c>
      <c r="H4" s="5" t="s">
        <v>244</v>
      </c>
    </row>
    <row r="5" spans="1:8" x14ac:dyDescent="0.2">
      <c r="A5" s="5" t="s">
        <v>240</v>
      </c>
      <c r="B5" s="5">
        <v>4391</v>
      </c>
      <c r="C5" s="5" t="s">
        <v>241</v>
      </c>
      <c r="D5" s="5" t="s">
        <v>245</v>
      </c>
      <c r="E5" s="5" t="s">
        <v>246</v>
      </c>
      <c r="F5" s="5">
        <v>2</v>
      </c>
      <c r="G5" s="6">
        <v>71250</v>
      </c>
      <c r="H5" s="5" t="s">
        <v>247</v>
      </c>
    </row>
    <row r="6" spans="1:8" x14ac:dyDescent="0.2">
      <c r="A6" s="5" t="s">
        <v>240</v>
      </c>
      <c r="B6" s="5">
        <v>4393</v>
      </c>
      <c r="C6" s="5" t="s">
        <v>241</v>
      </c>
      <c r="D6" s="5" t="s">
        <v>248</v>
      </c>
      <c r="E6" s="5" t="s">
        <v>249</v>
      </c>
      <c r="F6" s="5">
        <v>2</v>
      </c>
      <c r="G6" s="6">
        <v>61370</v>
      </c>
      <c r="H6" s="5" t="s">
        <v>250</v>
      </c>
    </row>
    <row r="7" spans="1:8" x14ac:dyDescent="0.2">
      <c r="A7" s="5" t="s">
        <v>251</v>
      </c>
      <c r="B7" s="5">
        <v>4402</v>
      </c>
      <c r="C7" s="5" t="s">
        <v>241</v>
      </c>
      <c r="D7" s="5" t="s">
        <v>242</v>
      </c>
      <c r="E7" s="5" t="s">
        <v>243</v>
      </c>
      <c r="F7" s="5">
        <v>3</v>
      </c>
      <c r="G7" s="6">
        <v>121600</v>
      </c>
      <c r="H7" s="5" t="s">
        <v>252</v>
      </c>
    </row>
    <row r="8" spans="1:8" x14ac:dyDescent="0.2">
      <c r="A8" s="5" t="s">
        <v>251</v>
      </c>
      <c r="B8" s="5">
        <v>4403</v>
      </c>
      <c r="C8" s="5" t="s">
        <v>241</v>
      </c>
      <c r="D8" s="5" t="s">
        <v>245</v>
      </c>
      <c r="E8" s="5" t="s">
        <v>246</v>
      </c>
      <c r="F8" s="5">
        <v>3</v>
      </c>
      <c r="G8" s="6">
        <v>158650</v>
      </c>
      <c r="H8" s="5" t="s">
        <v>253</v>
      </c>
    </row>
    <row r="9" spans="1:8" x14ac:dyDescent="0.2">
      <c r="A9" s="5" t="s">
        <v>251</v>
      </c>
      <c r="B9" s="5">
        <v>4404</v>
      </c>
      <c r="C9" s="5" t="s">
        <v>241</v>
      </c>
      <c r="D9" s="5" t="s">
        <v>254</v>
      </c>
      <c r="E9" s="5" t="s">
        <v>255</v>
      </c>
      <c r="F9" s="5">
        <v>3</v>
      </c>
      <c r="G9" s="6">
        <v>164730</v>
      </c>
      <c r="H9" s="5" t="s">
        <v>256</v>
      </c>
    </row>
    <row r="10" spans="1:8" x14ac:dyDescent="0.2">
      <c r="A10" s="5" t="s">
        <v>251</v>
      </c>
      <c r="B10" s="5">
        <v>4405</v>
      </c>
      <c r="C10" s="5" t="s">
        <v>241</v>
      </c>
      <c r="D10" s="5" t="s">
        <v>257</v>
      </c>
      <c r="E10" s="5" t="s">
        <v>258</v>
      </c>
      <c r="F10" s="5">
        <v>3</v>
      </c>
      <c r="G10" s="6">
        <v>95410</v>
      </c>
      <c r="H10" s="5" t="s">
        <v>252</v>
      </c>
    </row>
    <row r="11" spans="1:8" x14ac:dyDescent="0.2">
      <c r="A11" s="5" t="s">
        <v>259</v>
      </c>
      <c r="B11" s="5">
        <v>4407</v>
      </c>
      <c r="C11" s="5" t="s">
        <v>241</v>
      </c>
      <c r="D11" s="5" t="s">
        <v>260</v>
      </c>
      <c r="E11" s="5" t="s">
        <v>261</v>
      </c>
      <c r="F11" s="5">
        <v>3</v>
      </c>
      <c r="G11" s="6">
        <v>32110</v>
      </c>
      <c r="H11" s="5" t="s">
        <v>256</v>
      </c>
    </row>
    <row r="12" spans="1:8" x14ac:dyDescent="0.2">
      <c r="A12" s="5" t="s">
        <v>259</v>
      </c>
      <c r="B12" s="5">
        <v>4409</v>
      </c>
      <c r="C12" s="5" t="s">
        <v>241</v>
      </c>
      <c r="D12" s="5" t="s">
        <v>248</v>
      </c>
      <c r="E12" s="5" t="s">
        <v>249</v>
      </c>
      <c r="F12" s="5">
        <v>3</v>
      </c>
      <c r="G12" s="6">
        <v>48830</v>
      </c>
      <c r="H12" s="5" t="s">
        <v>262</v>
      </c>
    </row>
    <row r="13" spans="1:8" x14ac:dyDescent="0.2">
      <c r="A13" s="5" t="s">
        <v>263</v>
      </c>
      <c r="B13" s="5">
        <v>4418</v>
      </c>
      <c r="C13" s="5" t="s">
        <v>241</v>
      </c>
      <c r="D13" s="5" t="s">
        <v>242</v>
      </c>
      <c r="E13" s="5" t="s">
        <v>243</v>
      </c>
      <c r="F13" s="5">
        <v>4</v>
      </c>
      <c r="G13" s="6">
        <v>98325</v>
      </c>
      <c r="H13" s="5" t="s">
        <v>264</v>
      </c>
    </row>
    <row r="14" spans="1:8" x14ac:dyDescent="0.2">
      <c r="A14" s="5" t="s">
        <v>263</v>
      </c>
      <c r="B14" s="5">
        <v>4419</v>
      </c>
      <c r="C14" s="5" t="s">
        <v>241</v>
      </c>
      <c r="D14" s="5" t="s">
        <v>254</v>
      </c>
      <c r="E14" s="5" t="s">
        <v>255</v>
      </c>
      <c r="F14" s="5">
        <v>4</v>
      </c>
      <c r="G14" s="6">
        <v>194370</v>
      </c>
      <c r="H14" s="5" t="s">
        <v>265</v>
      </c>
    </row>
    <row r="15" spans="1:8" x14ac:dyDescent="0.2">
      <c r="A15" s="5" t="s">
        <v>263</v>
      </c>
      <c r="B15" s="5">
        <v>4420</v>
      </c>
      <c r="C15" s="5" t="s">
        <v>241</v>
      </c>
      <c r="D15" s="5" t="s">
        <v>260</v>
      </c>
      <c r="E15" s="5" t="s">
        <v>261</v>
      </c>
      <c r="F15" s="5">
        <v>4</v>
      </c>
      <c r="G15" s="6">
        <v>97565</v>
      </c>
      <c r="H15" s="5" t="s">
        <v>264</v>
      </c>
    </row>
    <row r="16" spans="1:8" x14ac:dyDescent="0.2">
      <c r="A16" s="5" t="s">
        <v>263</v>
      </c>
      <c r="B16" s="5">
        <v>4422</v>
      </c>
      <c r="C16" s="5" t="s">
        <v>241</v>
      </c>
      <c r="D16" s="5" t="s">
        <v>266</v>
      </c>
      <c r="E16" s="5" t="s">
        <v>267</v>
      </c>
      <c r="F16" s="5">
        <v>4</v>
      </c>
      <c r="G16" s="6">
        <v>8700</v>
      </c>
      <c r="H16" s="5" t="s">
        <v>268</v>
      </c>
    </row>
    <row r="17" spans="1:8" x14ac:dyDescent="0.2">
      <c r="A17" s="5" t="s">
        <v>263</v>
      </c>
      <c r="B17" s="5">
        <v>4423</v>
      </c>
      <c r="C17" s="5" t="s">
        <v>241</v>
      </c>
      <c r="D17" s="5" t="s">
        <v>257</v>
      </c>
      <c r="E17" s="5" t="s">
        <v>258</v>
      </c>
      <c r="F17" s="5">
        <v>4</v>
      </c>
      <c r="G17" s="6">
        <v>173465</v>
      </c>
      <c r="H17" s="5" t="s">
        <v>265</v>
      </c>
    </row>
    <row r="18" spans="1:8" x14ac:dyDescent="0.2">
      <c r="A18" s="5" t="s">
        <v>269</v>
      </c>
      <c r="B18" s="5">
        <v>4424</v>
      </c>
      <c r="C18" s="5" t="s">
        <v>241</v>
      </c>
      <c r="D18" s="5" t="s">
        <v>270</v>
      </c>
      <c r="E18" s="5" t="s">
        <v>271</v>
      </c>
      <c r="F18" s="5">
        <v>4</v>
      </c>
      <c r="G18" s="6">
        <v>69501.5</v>
      </c>
      <c r="H18" s="5" t="s">
        <v>272</v>
      </c>
    </row>
    <row r="19" spans="1:8" x14ac:dyDescent="0.2">
      <c r="A19" s="5" t="s">
        <v>269</v>
      </c>
      <c r="B19" s="5">
        <v>4426</v>
      </c>
      <c r="C19" s="5" t="s">
        <v>241</v>
      </c>
      <c r="D19" s="5" t="s">
        <v>245</v>
      </c>
      <c r="E19" s="5" t="s">
        <v>246</v>
      </c>
      <c r="F19" s="5">
        <v>4</v>
      </c>
      <c r="G19" s="6">
        <v>143710</v>
      </c>
      <c r="H19" s="5" t="s">
        <v>268</v>
      </c>
    </row>
    <row r="20" spans="1:8" x14ac:dyDescent="0.2">
      <c r="A20" s="5" t="s">
        <v>273</v>
      </c>
      <c r="B20" s="5">
        <v>4433</v>
      </c>
      <c r="C20" s="5" t="s">
        <v>241</v>
      </c>
      <c r="D20" s="5" t="s">
        <v>242</v>
      </c>
      <c r="E20" s="5" t="s">
        <v>243</v>
      </c>
      <c r="F20" s="5">
        <v>5</v>
      </c>
      <c r="G20" s="6">
        <v>89305</v>
      </c>
      <c r="H20" s="5" t="s">
        <v>274</v>
      </c>
    </row>
    <row r="21" spans="1:8" x14ac:dyDescent="0.2">
      <c r="A21" s="5" t="s">
        <v>273</v>
      </c>
      <c r="B21" s="5">
        <v>4434</v>
      </c>
      <c r="C21" s="5" t="s">
        <v>241</v>
      </c>
      <c r="D21" s="5" t="s">
        <v>254</v>
      </c>
      <c r="E21" s="5" t="s">
        <v>255</v>
      </c>
      <c r="F21" s="5">
        <v>5</v>
      </c>
      <c r="G21" s="6">
        <v>106400</v>
      </c>
      <c r="H21" s="5" t="s">
        <v>274</v>
      </c>
    </row>
    <row r="22" spans="1:8" x14ac:dyDescent="0.2">
      <c r="A22" s="5" t="s">
        <v>273</v>
      </c>
      <c r="B22" s="5">
        <v>4435</v>
      </c>
      <c r="C22" s="5" t="s">
        <v>241</v>
      </c>
      <c r="D22" s="5" t="s">
        <v>260</v>
      </c>
      <c r="E22" s="5" t="s">
        <v>261</v>
      </c>
      <c r="F22" s="5">
        <v>5</v>
      </c>
      <c r="G22" s="6">
        <v>66860</v>
      </c>
      <c r="H22" s="5" t="s">
        <v>275</v>
      </c>
    </row>
    <row r="23" spans="1:8" x14ac:dyDescent="0.2">
      <c r="A23" s="5" t="s">
        <v>273</v>
      </c>
      <c r="B23" s="5">
        <v>4436</v>
      </c>
      <c r="C23" s="5" t="s">
        <v>241</v>
      </c>
      <c r="D23" s="5" t="s">
        <v>245</v>
      </c>
      <c r="E23" s="5" t="s">
        <v>246</v>
      </c>
      <c r="F23" s="5">
        <v>5</v>
      </c>
      <c r="G23" s="6">
        <v>5115</v>
      </c>
      <c r="H23" s="5" t="s">
        <v>276</v>
      </c>
    </row>
    <row r="24" spans="1:8" x14ac:dyDescent="0.2">
      <c r="A24" s="5" t="s">
        <v>277</v>
      </c>
      <c r="B24" s="5">
        <v>4437</v>
      </c>
      <c r="C24" s="5" t="s">
        <v>241</v>
      </c>
      <c r="D24" s="5" t="s">
        <v>266</v>
      </c>
      <c r="E24" s="5" t="s">
        <v>267</v>
      </c>
      <c r="F24" s="5">
        <v>5</v>
      </c>
      <c r="G24" s="6">
        <v>46170</v>
      </c>
      <c r="H24" s="5" t="s">
        <v>278</v>
      </c>
    </row>
    <row r="25" spans="1:8" x14ac:dyDescent="0.2">
      <c r="A25" s="5" t="s">
        <v>277</v>
      </c>
      <c r="B25" s="5">
        <v>4438</v>
      </c>
      <c r="C25" s="5" t="s">
        <v>241</v>
      </c>
      <c r="D25" s="5" t="s">
        <v>279</v>
      </c>
      <c r="E25" s="5" t="s">
        <v>280</v>
      </c>
      <c r="F25" s="5">
        <v>5</v>
      </c>
      <c r="G25" s="6">
        <v>12825</v>
      </c>
      <c r="H25" s="5" t="s">
        <v>281</v>
      </c>
    </row>
    <row r="26" spans="1:8" x14ac:dyDescent="0.2">
      <c r="A26" s="5" t="s">
        <v>277</v>
      </c>
      <c r="B26" s="5">
        <v>4439</v>
      </c>
      <c r="C26" s="5" t="s">
        <v>241</v>
      </c>
      <c r="D26" s="5" t="s">
        <v>282</v>
      </c>
      <c r="E26" s="5" t="s">
        <v>283</v>
      </c>
      <c r="F26" s="5">
        <v>5</v>
      </c>
      <c r="G26" s="6">
        <v>112765</v>
      </c>
      <c r="H26" s="5" t="s">
        <v>276</v>
      </c>
    </row>
    <row r="27" spans="1:8" x14ac:dyDescent="0.2">
      <c r="A27" s="5" t="s">
        <v>275</v>
      </c>
      <c r="B27" s="5">
        <v>4440</v>
      </c>
      <c r="C27" s="5" t="s">
        <v>241</v>
      </c>
      <c r="D27" s="5" t="s">
        <v>248</v>
      </c>
      <c r="E27" s="5" t="s">
        <v>249</v>
      </c>
      <c r="F27" s="5">
        <v>5</v>
      </c>
      <c r="G27" s="6">
        <v>116525</v>
      </c>
      <c r="H27" s="5" t="s">
        <v>278</v>
      </c>
    </row>
    <row r="28" spans="1:8" x14ac:dyDescent="0.2">
      <c r="A28" s="5" t="s">
        <v>275</v>
      </c>
      <c r="B28" s="5">
        <v>4441</v>
      </c>
      <c r="C28" s="5" t="s">
        <v>241</v>
      </c>
      <c r="D28" s="5" t="s">
        <v>284</v>
      </c>
      <c r="E28" s="5" t="s">
        <v>285</v>
      </c>
      <c r="F28" s="5">
        <v>5</v>
      </c>
      <c r="G28" s="6">
        <v>31350</v>
      </c>
      <c r="H28" s="5" t="s">
        <v>278</v>
      </c>
    </row>
    <row r="29" spans="1:8" x14ac:dyDescent="0.2">
      <c r="A29" s="5" t="s">
        <v>286</v>
      </c>
      <c r="B29" s="5">
        <v>4448</v>
      </c>
      <c r="C29" s="5" t="s">
        <v>241</v>
      </c>
      <c r="D29" s="5" t="s">
        <v>257</v>
      </c>
      <c r="E29" s="5" t="s">
        <v>258</v>
      </c>
      <c r="F29" s="5">
        <v>6</v>
      </c>
      <c r="G29" s="6">
        <v>14937.5</v>
      </c>
      <c r="H29" s="5" t="s">
        <v>287</v>
      </c>
    </row>
    <row r="30" spans="1:8" x14ac:dyDescent="0.2">
      <c r="A30" s="5" t="s">
        <v>286</v>
      </c>
      <c r="B30" s="5">
        <v>4449</v>
      </c>
      <c r="C30" s="5" t="s">
        <v>241</v>
      </c>
      <c r="D30" s="5" t="s">
        <v>242</v>
      </c>
      <c r="E30" s="5" t="s">
        <v>243</v>
      </c>
      <c r="F30" s="5">
        <v>6</v>
      </c>
      <c r="G30" s="6">
        <v>120113</v>
      </c>
      <c r="H30" s="5" t="s">
        <v>287</v>
      </c>
    </row>
    <row r="31" spans="1:8" x14ac:dyDescent="0.2">
      <c r="A31" s="5" t="s">
        <v>286</v>
      </c>
      <c r="B31" s="5">
        <v>4451</v>
      </c>
      <c r="C31" s="5" t="s">
        <v>241</v>
      </c>
      <c r="D31" s="5" t="s">
        <v>254</v>
      </c>
      <c r="E31" s="5" t="s">
        <v>255</v>
      </c>
      <c r="F31" s="5">
        <v>6</v>
      </c>
      <c r="G31" s="6">
        <v>21280</v>
      </c>
      <c r="H31" s="5" t="s">
        <v>288</v>
      </c>
    </row>
    <row r="32" spans="1:8" x14ac:dyDescent="0.2">
      <c r="A32" s="5" t="s">
        <v>286</v>
      </c>
      <c r="B32" s="5">
        <v>4452</v>
      </c>
      <c r="C32" s="5" t="s">
        <v>241</v>
      </c>
      <c r="D32" s="5" t="s">
        <v>260</v>
      </c>
      <c r="E32" s="5" t="s">
        <v>261</v>
      </c>
      <c r="F32" s="5">
        <v>6</v>
      </c>
      <c r="G32" s="6">
        <v>88920</v>
      </c>
      <c r="H32" s="5" t="s">
        <v>287</v>
      </c>
    </row>
    <row r="33" spans="1:8" x14ac:dyDescent="0.2">
      <c r="A33" s="5" t="s">
        <v>289</v>
      </c>
      <c r="B33" s="5">
        <v>4453</v>
      </c>
      <c r="C33" s="5" t="s">
        <v>241</v>
      </c>
      <c r="D33" s="5" t="s">
        <v>279</v>
      </c>
      <c r="E33" s="5" t="s">
        <v>280</v>
      </c>
      <c r="F33" s="5">
        <v>6</v>
      </c>
      <c r="G33" s="6">
        <v>21755</v>
      </c>
      <c r="H33" s="5" t="s">
        <v>290</v>
      </c>
    </row>
    <row r="34" spans="1:8" x14ac:dyDescent="0.2">
      <c r="A34" s="5" t="s">
        <v>289</v>
      </c>
      <c r="B34" s="5">
        <v>4454</v>
      </c>
      <c r="C34" s="5" t="s">
        <v>241</v>
      </c>
      <c r="D34" s="5" t="s">
        <v>282</v>
      </c>
      <c r="E34" s="5" t="s">
        <v>283</v>
      </c>
      <c r="F34" s="5">
        <v>6</v>
      </c>
      <c r="G34" s="6">
        <v>64790</v>
      </c>
      <c r="H34" s="5" t="s">
        <v>288</v>
      </c>
    </row>
    <row r="35" spans="1:8" x14ac:dyDescent="0.2">
      <c r="A35" s="5" t="s">
        <v>289</v>
      </c>
      <c r="B35" s="5">
        <v>4455</v>
      </c>
      <c r="C35" s="5" t="s">
        <v>241</v>
      </c>
      <c r="D35" s="5" t="s">
        <v>270</v>
      </c>
      <c r="E35" s="5" t="s">
        <v>271</v>
      </c>
      <c r="F35" s="5">
        <v>6</v>
      </c>
      <c r="G35" s="6">
        <v>66016</v>
      </c>
      <c r="H35" s="5" t="s">
        <v>290</v>
      </c>
    </row>
    <row r="36" spans="1:8" x14ac:dyDescent="0.2">
      <c r="A36" s="5" t="s">
        <v>289</v>
      </c>
      <c r="B36" s="5">
        <v>4456</v>
      </c>
      <c r="C36" s="5" t="s">
        <v>241</v>
      </c>
      <c r="D36" s="5" t="s">
        <v>266</v>
      </c>
      <c r="E36" s="5" t="s">
        <v>267</v>
      </c>
      <c r="F36" s="5">
        <v>6</v>
      </c>
      <c r="G36" s="6">
        <v>100515</v>
      </c>
      <c r="H36" s="5" t="s">
        <v>288</v>
      </c>
    </row>
    <row r="37" spans="1:8" x14ac:dyDescent="0.2">
      <c r="A37" s="5" t="s">
        <v>291</v>
      </c>
      <c r="B37" s="5">
        <v>4460</v>
      </c>
      <c r="C37" s="5" t="s">
        <v>241</v>
      </c>
      <c r="D37" s="5" t="s">
        <v>260</v>
      </c>
      <c r="E37" s="5" t="s">
        <v>261</v>
      </c>
      <c r="F37" s="5">
        <v>7</v>
      </c>
      <c r="G37" s="6">
        <v>73910</v>
      </c>
    </row>
    <row r="38" spans="1:8" x14ac:dyDescent="0.2">
      <c r="A38" s="5" t="s">
        <v>292</v>
      </c>
      <c r="B38" s="5">
        <v>4461</v>
      </c>
      <c r="C38" s="5" t="s">
        <v>241</v>
      </c>
      <c r="D38" s="5" t="s">
        <v>242</v>
      </c>
      <c r="E38" s="5" t="s">
        <v>243</v>
      </c>
      <c r="F38" s="5">
        <v>7</v>
      </c>
      <c r="G38" s="6">
        <v>41230</v>
      </c>
      <c r="H38" s="5" t="s">
        <v>293</v>
      </c>
    </row>
    <row r="39" spans="1:8" x14ac:dyDescent="0.2">
      <c r="A39" s="5" t="s">
        <v>292</v>
      </c>
      <c r="B39" s="5">
        <v>4463</v>
      </c>
      <c r="C39" s="5" t="s">
        <v>241</v>
      </c>
      <c r="D39" s="5" t="s">
        <v>248</v>
      </c>
      <c r="E39" s="5" t="s">
        <v>249</v>
      </c>
      <c r="F39" s="5">
        <v>7</v>
      </c>
      <c r="G39" s="6">
        <v>37166</v>
      </c>
      <c r="H39" s="5" t="s">
        <v>294</v>
      </c>
    </row>
    <row r="40" spans="1:8" x14ac:dyDescent="0.2">
      <c r="A40" s="5" t="s">
        <v>293</v>
      </c>
      <c r="B40" s="5">
        <v>4460</v>
      </c>
      <c r="C40" s="5" t="s">
        <v>295</v>
      </c>
      <c r="D40" s="5" t="s">
        <v>260</v>
      </c>
      <c r="E40" s="5" t="s">
        <v>261</v>
      </c>
      <c r="F40" s="5">
        <v>7</v>
      </c>
      <c r="G40" s="6">
        <v>-73910</v>
      </c>
    </row>
    <row r="41" spans="1:8" x14ac:dyDescent="0.2">
      <c r="A41" s="5" t="s">
        <v>296</v>
      </c>
      <c r="B41" s="5">
        <v>4474</v>
      </c>
      <c r="C41" s="5" t="s">
        <v>241</v>
      </c>
      <c r="D41" s="5" t="s">
        <v>260</v>
      </c>
      <c r="E41" s="5" t="s">
        <v>261</v>
      </c>
      <c r="F41" s="5">
        <v>7</v>
      </c>
      <c r="G41" s="6">
        <v>73910</v>
      </c>
      <c r="H41" s="5" t="s">
        <v>297</v>
      </c>
    </row>
    <row r="42" spans="1:8" x14ac:dyDescent="0.2">
      <c r="A42" s="5" t="s">
        <v>161</v>
      </c>
      <c r="B42" s="5">
        <v>4479</v>
      </c>
      <c r="C42" s="5" t="s">
        <v>241</v>
      </c>
      <c r="D42" s="5" t="s">
        <v>242</v>
      </c>
      <c r="E42" s="5" t="s">
        <v>243</v>
      </c>
      <c r="F42" s="5">
        <v>8</v>
      </c>
      <c r="G42" s="6">
        <v>27227</v>
      </c>
    </row>
    <row r="43" spans="1:8" x14ac:dyDescent="0.2">
      <c r="A43" s="5" t="s">
        <v>298</v>
      </c>
      <c r="B43" s="5">
        <v>4488</v>
      </c>
      <c r="C43" s="5" t="s">
        <v>241</v>
      </c>
      <c r="D43" s="5" t="s">
        <v>299</v>
      </c>
      <c r="E43" s="5" t="s">
        <v>243</v>
      </c>
      <c r="F43" s="5">
        <v>8</v>
      </c>
      <c r="G43" s="6">
        <v>8940</v>
      </c>
      <c r="H43" s="5" t="s">
        <v>300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2"/>
  <sheetViews>
    <sheetView workbookViewId="0"/>
  </sheetViews>
  <sheetFormatPr baseColWidth="10" defaultColWidth="8.83203125" defaultRowHeight="15" x14ac:dyDescent="0.2"/>
  <cols>
    <col min="1" max="1" width="36" customWidth="1"/>
    <col min="2" max="2" width="30" customWidth="1"/>
    <col min="3" max="3" width="17" customWidth="1"/>
    <col min="4" max="4" width="15" customWidth="1"/>
    <col min="5" max="5" width="11" customWidth="1"/>
    <col min="6" max="6" width="14" customWidth="1"/>
    <col min="7" max="7" width="11" customWidth="1"/>
    <col min="8" max="8" width="12" customWidth="1"/>
    <col min="9" max="9" width="50" customWidth="1"/>
    <col min="10" max="10" width="11" customWidth="1"/>
    <col min="11" max="11" width="12" customWidth="1"/>
    <col min="12" max="12" width="14" customWidth="1"/>
    <col min="13" max="13" width="12" customWidth="1"/>
    <col min="14" max="14" width="11" customWidth="1"/>
    <col min="15" max="15" width="52" customWidth="1"/>
  </cols>
  <sheetData>
    <row r="1" spans="1:15" ht="17" customHeight="1" x14ac:dyDescent="0.2">
      <c r="A1" s="1" t="s">
        <v>301</v>
      </c>
    </row>
    <row r="3" spans="1:15" ht="30" customHeight="1" x14ac:dyDescent="0.2">
      <c r="A3" s="4" t="s">
        <v>50</v>
      </c>
      <c r="B3" s="4" t="s">
        <v>302</v>
      </c>
      <c r="C3" s="4" t="s">
        <v>303</v>
      </c>
      <c r="D3" s="4" t="s">
        <v>304</v>
      </c>
      <c r="E3" s="4" t="s">
        <v>305</v>
      </c>
      <c r="F3" s="4" t="s">
        <v>306</v>
      </c>
      <c r="G3" s="4" t="s">
        <v>307</v>
      </c>
      <c r="H3" s="4" t="s">
        <v>308</v>
      </c>
      <c r="I3" s="4" t="s">
        <v>309</v>
      </c>
      <c r="J3" s="4" t="s">
        <v>310</v>
      </c>
      <c r="K3" s="4" t="s">
        <v>311</v>
      </c>
      <c r="L3" s="4" t="s">
        <v>312</v>
      </c>
      <c r="M3" s="4" t="s">
        <v>313</v>
      </c>
      <c r="N3" s="4" t="s">
        <v>53</v>
      </c>
      <c r="O3" s="4" t="s">
        <v>314</v>
      </c>
    </row>
    <row r="4" spans="1:15" ht="30" customHeight="1" x14ac:dyDescent="0.2">
      <c r="A4" s="5" t="s">
        <v>315</v>
      </c>
      <c r="B4" s="5" t="s">
        <v>316</v>
      </c>
      <c r="C4" s="5" t="s">
        <v>317</v>
      </c>
      <c r="D4" s="5" t="s">
        <v>318</v>
      </c>
      <c r="E4" s="5">
        <f t="shared" ref="E4:E20" si="0">DATE(VALUE(RIGHT(D4,4)),VALUE(LEFT(D4,2)),VALUE(MID(D4,4,2)))</f>
        <v>46055</v>
      </c>
      <c r="F4" s="5" t="s">
        <v>319</v>
      </c>
      <c r="G4" s="5">
        <f t="shared" ref="G4:G20" si="1">IF(F4="","",DATE(VALUE(RIGHT(F4,4)),VALUE(LEFT(F4,2)),VALUE(MID(F4,4,2))))</f>
        <v>46062</v>
      </c>
      <c r="H4" s="5">
        <f t="shared" ref="H4:H20" si="2">IF(F4="","",G4-E4)</f>
        <v>7</v>
      </c>
      <c r="I4" s="7" t="s">
        <v>320</v>
      </c>
      <c r="J4" s="5" t="str">
        <f t="shared" ref="J4:J20" si="3">IF(C4="Direct contractor","No","Yes")</f>
        <v>Yes</v>
      </c>
      <c r="K4" s="5" t="str">
        <f>IF(J4="No","Not owed",IF(F4="","No notice",IF(H4&lt;=Parameters!$B$13,"Yes","No")))</f>
        <v>Yes</v>
      </c>
      <c r="L4" s="5" t="str">
        <f t="shared" ref="L4:L20" si="4">TEXT(M4,"mm/dd/yyyy")</f>
        <v>02/02/2026</v>
      </c>
      <c r="M4" s="5">
        <f>IF(OR(J4="No",F4="",K4="Yes"),E4,G4-Parameters!$B$14)</f>
        <v>46055</v>
      </c>
      <c r="N4" s="5" t="str">
        <f t="shared" ref="N4:N20" si="5">IF(J4="No","Yes",IF(LEFT(I4,3)="Yes","Yes","No"))</f>
        <v>Yes</v>
      </c>
      <c r="O4" s="7" t="s">
        <v>321</v>
      </c>
    </row>
    <row r="5" spans="1:15" ht="30" customHeight="1" x14ac:dyDescent="0.2">
      <c r="A5" s="5" t="s">
        <v>322</v>
      </c>
      <c r="B5" s="5" t="s">
        <v>323</v>
      </c>
      <c r="C5" s="5" t="s">
        <v>317</v>
      </c>
      <c r="D5" s="5" t="s">
        <v>324</v>
      </c>
      <c r="E5" s="5">
        <f t="shared" si="0"/>
        <v>46080</v>
      </c>
      <c r="F5" s="5" t="s">
        <v>325</v>
      </c>
      <c r="G5" s="5">
        <f t="shared" si="1"/>
        <v>46086</v>
      </c>
      <c r="H5" s="5">
        <f t="shared" si="2"/>
        <v>6</v>
      </c>
      <c r="I5" s="7" t="s">
        <v>326</v>
      </c>
      <c r="J5" s="5" t="str">
        <f t="shared" si="3"/>
        <v>Yes</v>
      </c>
      <c r="K5" s="5" t="str">
        <f>IF(J5="No","Not owed",IF(F5="","No notice",IF(H5&lt;=Parameters!$B$13,"Yes","No")))</f>
        <v>Yes</v>
      </c>
      <c r="L5" s="5" t="str">
        <f t="shared" si="4"/>
        <v>02/27/2026</v>
      </c>
      <c r="M5" s="5">
        <f>IF(OR(J5="No",F5="",K5="Yes"),E5,G5-Parameters!$B$14)</f>
        <v>46080</v>
      </c>
      <c r="N5" s="5" t="str">
        <f t="shared" si="5"/>
        <v>Yes</v>
      </c>
      <c r="O5" s="7" t="s">
        <v>327</v>
      </c>
    </row>
    <row r="6" spans="1:15" ht="30" customHeight="1" x14ac:dyDescent="0.2">
      <c r="A6" s="5" t="s">
        <v>328</v>
      </c>
      <c r="B6" s="5" t="s">
        <v>315</v>
      </c>
      <c r="C6" s="5" t="s">
        <v>317</v>
      </c>
      <c r="D6" s="5" t="s">
        <v>329</v>
      </c>
      <c r="E6" s="5">
        <f t="shared" si="0"/>
        <v>46058</v>
      </c>
      <c r="F6" s="5" t="s">
        <v>330</v>
      </c>
      <c r="G6" s="5">
        <f t="shared" si="1"/>
        <v>46064</v>
      </c>
      <c r="H6" s="5">
        <f t="shared" si="2"/>
        <v>6</v>
      </c>
      <c r="I6" s="7" t="s">
        <v>331</v>
      </c>
      <c r="J6" s="5" t="str">
        <f t="shared" si="3"/>
        <v>Yes</v>
      </c>
      <c r="K6" s="5" t="str">
        <f>IF(J6="No","Not owed",IF(F6="","No notice",IF(H6&lt;=Parameters!$B$13,"Yes","No")))</f>
        <v>Yes</v>
      </c>
      <c r="L6" s="5" t="str">
        <f t="shared" si="4"/>
        <v>02/05/2026</v>
      </c>
      <c r="M6" s="5">
        <f>IF(OR(J6="No",F6="",K6="Yes"),E6,G6-Parameters!$B$14)</f>
        <v>46058</v>
      </c>
      <c r="N6" s="5" t="str">
        <f t="shared" si="5"/>
        <v>Yes</v>
      </c>
      <c r="O6" s="7" t="s">
        <v>332</v>
      </c>
    </row>
    <row r="7" spans="1:15" ht="30" customHeight="1" x14ac:dyDescent="0.2">
      <c r="A7" s="5" t="s">
        <v>333</v>
      </c>
      <c r="B7" s="5" t="s">
        <v>315</v>
      </c>
      <c r="C7" s="5" t="s">
        <v>317</v>
      </c>
      <c r="D7" s="5" t="s">
        <v>334</v>
      </c>
      <c r="E7" s="5">
        <f t="shared" si="0"/>
        <v>46056</v>
      </c>
      <c r="F7" s="5" t="s">
        <v>335</v>
      </c>
      <c r="G7" s="5">
        <f t="shared" si="1"/>
        <v>46070</v>
      </c>
      <c r="H7" s="5">
        <f t="shared" si="2"/>
        <v>14</v>
      </c>
      <c r="I7" s="7" t="s">
        <v>336</v>
      </c>
      <c r="J7" s="5" t="str">
        <f t="shared" si="3"/>
        <v>Yes</v>
      </c>
      <c r="K7" s="5" t="str">
        <f>IF(J7="No","Not owed",IF(F7="","No notice",IF(H7&lt;=Parameters!$B$13,"Yes","No")))</f>
        <v>Yes</v>
      </c>
      <c r="L7" s="5" t="str">
        <f t="shared" si="4"/>
        <v>02/03/2026</v>
      </c>
      <c r="M7" s="5">
        <f>IF(OR(J7="No",F7="",K7="Yes"),E7,G7-Parameters!$B$14)</f>
        <v>46056</v>
      </c>
      <c r="N7" s="5" t="str">
        <f t="shared" si="5"/>
        <v>No</v>
      </c>
      <c r="O7" s="7" t="s">
        <v>337</v>
      </c>
    </row>
    <row r="8" spans="1:15" ht="30" customHeight="1" x14ac:dyDescent="0.2">
      <c r="A8" s="5" t="s">
        <v>338</v>
      </c>
      <c r="B8" s="5" t="s">
        <v>323</v>
      </c>
      <c r="C8" s="5" t="s">
        <v>317</v>
      </c>
      <c r="D8" s="5" t="s">
        <v>339</v>
      </c>
      <c r="E8" s="5">
        <f t="shared" si="0"/>
        <v>46118</v>
      </c>
      <c r="F8" s="5" t="s">
        <v>263</v>
      </c>
      <c r="G8" s="5">
        <f t="shared" si="1"/>
        <v>46171</v>
      </c>
      <c r="H8" s="5">
        <f t="shared" si="2"/>
        <v>53</v>
      </c>
      <c r="I8" s="7" t="s">
        <v>340</v>
      </c>
      <c r="J8" s="5" t="str">
        <f t="shared" si="3"/>
        <v>Yes</v>
      </c>
      <c r="K8" s="5" t="str">
        <f>IF(J8="No","Not owed",IF(F8="","No notice",IF(H8&lt;=Parameters!$B$13,"Yes","No")))</f>
        <v>No</v>
      </c>
      <c r="L8" s="5" t="str">
        <f t="shared" si="4"/>
        <v>05/09/2026</v>
      </c>
      <c r="M8" s="5">
        <f>IF(OR(J8="No",F8="",K8="Yes"),E8,G8-Parameters!$B$14)</f>
        <v>46151</v>
      </c>
      <c r="N8" s="5" t="str">
        <f t="shared" si="5"/>
        <v>Yes</v>
      </c>
      <c r="O8" s="7" t="s">
        <v>341</v>
      </c>
    </row>
    <row r="9" spans="1:15" ht="30" customHeight="1" x14ac:dyDescent="0.2">
      <c r="A9" s="5" t="s">
        <v>342</v>
      </c>
      <c r="B9" s="5" t="s">
        <v>316</v>
      </c>
      <c r="C9" s="5" t="s">
        <v>317</v>
      </c>
      <c r="D9" s="5" t="s">
        <v>343</v>
      </c>
      <c r="E9" s="5">
        <f t="shared" si="0"/>
        <v>46139</v>
      </c>
      <c r="F9" s="5" t="s">
        <v>256</v>
      </c>
      <c r="G9" s="5">
        <f t="shared" si="1"/>
        <v>46146</v>
      </c>
      <c r="H9" s="5">
        <f t="shared" si="2"/>
        <v>7</v>
      </c>
      <c r="I9" s="7" t="s">
        <v>344</v>
      </c>
      <c r="J9" s="5" t="str">
        <f t="shared" si="3"/>
        <v>Yes</v>
      </c>
      <c r="K9" s="5" t="str">
        <f>IF(J9="No","Not owed",IF(F9="","No notice",IF(H9&lt;=Parameters!$B$13,"Yes","No")))</f>
        <v>Yes</v>
      </c>
      <c r="L9" s="5" t="str">
        <f t="shared" si="4"/>
        <v>04/27/2026</v>
      </c>
      <c r="M9" s="5">
        <f>IF(OR(J9="No",F9="",K9="Yes"),E9,G9-Parameters!$B$14)</f>
        <v>46139</v>
      </c>
      <c r="N9" s="5" t="str">
        <f t="shared" si="5"/>
        <v>Yes</v>
      </c>
      <c r="O9" s="7" t="s">
        <v>345</v>
      </c>
    </row>
    <row r="10" spans="1:15" ht="30" customHeight="1" x14ac:dyDescent="0.2">
      <c r="A10" s="5" t="s">
        <v>346</v>
      </c>
      <c r="B10" s="5" t="s">
        <v>316</v>
      </c>
      <c r="C10" s="5" t="s">
        <v>317</v>
      </c>
      <c r="D10" s="5" t="s">
        <v>347</v>
      </c>
      <c r="E10" s="5">
        <f t="shared" si="0"/>
        <v>46097</v>
      </c>
      <c r="F10" s="5" t="s">
        <v>348</v>
      </c>
      <c r="G10" s="5">
        <f t="shared" si="1"/>
        <v>46101</v>
      </c>
      <c r="H10" s="5">
        <f t="shared" si="2"/>
        <v>4</v>
      </c>
      <c r="I10" s="7" t="s">
        <v>349</v>
      </c>
      <c r="J10" s="5" t="str">
        <f t="shared" si="3"/>
        <v>Yes</v>
      </c>
      <c r="K10" s="5" t="str">
        <f>IF(J10="No","Not owed",IF(F10="","No notice",IF(H10&lt;=Parameters!$B$13,"Yes","No")))</f>
        <v>Yes</v>
      </c>
      <c r="L10" s="5" t="str">
        <f t="shared" si="4"/>
        <v>03/16/2026</v>
      </c>
      <c r="M10" s="5">
        <f>IF(OR(J10="No",F10="",K10="Yes"),E10,G10-Parameters!$B$14)</f>
        <v>46097</v>
      </c>
      <c r="N10" s="5" t="str">
        <f t="shared" si="5"/>
        <v>Yes</v>
      </c>
      <c r="O10" s="7" t="s">
        <v>350</v>
      </c>
    </row>
    <row r="11" spans="1:15" ht="30" customHeight="1" x14ac:dyDescent="0.2">
      <c r="A11" s="5" t="s">
        <v>351</v>
      </c>
      <c r="B11" s="5" t="s">
        <v>316</v>
      </c>
      <c r="C11" s="5" t="s">
        <v>317</v>
      </c>
      <c r="D11" s="5" t="s">
        <v>352</v>
      </c>
      <c r="E11" s="5">
        <f t="shared" si="0"/>
        <v>46160</v>
      </c>
      <c r="F11" s="5" t="s">
        <v>353</v>
      </c>
      <c r="G11" s="5">
        <f t="shared" si="1"/>
        <v>46169</v>
      </c>
      <c r="H11" s="5">
        <f t="shared" si="2"/>
        <v>9</v>
      </c>
      <c r="I11" s="7" t="s">
        <v>354</v>
      </c>
      <c r="J11" s="5" t="str">
        <f t="shared" si="3"/>
        <v>Yes</v>
      </c>
      <c r="K11" s="5" t="str">
        <f>IF(J11="No","Not owed",IF(F11="","No notice",IF(H11&lt;=Parameters!$B$13,"Yes","No")))</f>
        <v>Yes</v>
      </c>
      <c r="L11" s="5" t="str">
        <f t="shared" si="4"/>
        <v>05/18/2026</v>
      </c>
      <c r="M11" s="5">
        <f>IF(OR(J11="No",F11="",K11="Yes"),E11,G11-Parameters!$B$14)</f>
        <v>46160</v>
      </c>
      <c r="N11" s="5" t="str">
        <f t="shared" si="5"/>
        <v>Yes</v>
      </c>
      <c r="O11" s="7" t="s">
        <v>355</v>
      </c>
    </row>
    <row r="12" spans="1:15" ht="30" customHeight="1" x14ac:dyDescent="0.2">
      <c r="A12" s="5" t="s">
        <v>356</v>
      </c>
      <c r="B12" s="5" t="s">
        <v>316</v>
      </c>
      <c r="C12" s="5" t="s">
        <v>317</v>
      </c>
      <c r="D12" s="5" t="s">
        <v>357</v>
      </c>
      <c r="E12" s="5">
        <f t="shared" si="0"/>
        <v>46090</v>
      </c>
      <c r="F12" s="5" t="s">
        <v>358</v>
      </c>
      <c r="G12" s="5">
        <f t="shared" si="1"/>
        <v>46093</v>
      </c>
      <c r="H12" s="5">
        <f t="shared" si="2"/>
        <v>3</v>
      </c>
      <c r="I12" s="7" t="s">
        <v>359</v>
      </c>
      <c r="J12" s="5" t="str">
        <f t="shared" si="3"/>
        <v>Yes</v>
      </c>
      <c r="K12" s="5" t="str">
        <f>IF(J12="No","Not owed",IF(F12="","No notice",IF(H12&lt;=Parameters!$B$13,"Yes","No")))</f>
        <v>Yes</v>
      </c>
      <c r="L12" s="5" t="str">
        <f t="shared" si="4"/>
        <v>03/09/2026</v>
      </c>
      <c r="M12" s="5">
        <f>IF(OR(J12="No",F12="",K12="Yes"),E12,G12-Parameters!$B$14)</f>
        <v>46090</v>
      </c>
      <c r="N12" s="5" t="str">
        <f t="shared" si="5"/>
        <v>Yes</v>
      </c>
      <c r="O12" s="7" t="s">
        <v>360</v>
      </c>
    </row>
    <row r="13" spans="1:15" ht="30" customHeight="1" x14ac:dyDescent="0.2">
      <c r="A13" s="5" t="s">
        <v>270</v>
      </c>
      <c r="B13" s="5" t="s">
        <v>316</v>
      </c>
      <c r="C13" s="5" t="s">
        <v>317</v>
      </c>
      <c r="D13" s="5" t="s">
        <v>361</v>
      </c>
      <c r="E13" s="5">
        <f t="shared" si="0"/>
        <v>46083</v>
      </c>
      <c r="F13" s="5" t="s">
        <v>357</v>
      </c>
      <c r="G13" s="5">
        <f t="shared" si="1"/>
        <v>46090</v>
      </c>
      <c r="H13" s="5">
        <f t="shared" si="2"/>
        <v>7</v>
      </c>
      <c r="I13" s="7" t="s">
        <v>362</v>
      </c>
      <c r="J13" s="5" t="str">
        <f t="shared" si="3"/>
        <v>Yes</v>
      </c>
      <c r="K13" s="5" t="str">
        <f>IF(J13="No","Not owed",IF(F13="","No notice",IF(H13&lt;=Parameters!$B$13,"Yes","No")))</f>
        <v>Yes</v>
      </c>
      <c r="L13" s="5" t="str">
        <f t="shared" si="4"/>
        <v>03/02/2026</v>
      </c>
      <c r="M13" s="5">
        <f>IF(OR(J13="No",F13="",K13="Yes"),E13,G13-Parameters!$B$14)</f>
        <v>46083</v>
      </c>
      <c r="N13" s="5" t="str">
        <f t="shared" si="5"/>
        <v>Yes</v>
      </c>
      <c r="O13" s="7" t="s">
        <v>363</v>
      </c>
    </row>
    <row r="14" spans="1:15" ht="30" customHeight="1" x14ac:dyDescent="0.2">
      <c r="A14" s="5" t="s">
        <v>364</v>
      </c>
      <c r="B14" s="5" t="s">
        <v>316</v>
      </c>
      <c r="C14" s="5" t="s">
        <v>317</v>
      </c>
      <c r="D14" s="5" t="s">
        <v>365</v>
      </c>
      <c r="E14" s="5">
        <f t="shared" si="0"/>
        <v>46041</v>
      </c>
      <c r="F14" s="5" t="s">
        <v>366</v>
      </c>
      <c r="G14" s="5">
        <f t="shared" si="1"/>
        <v>46052</v>
      </c>
      <c r="H14" s="5">
        <f t="shared" si="2"/>
        <v>11</v>
      </c>
      <c r="I14" s="7" t="s">
        <v>367</v>
      </c>
      <c r="J14" s="5" t="str">
        <f t="shared" si="3"/>
        <v>Yes</v>
      </c>
      <c r="K14" s="5" t="str">
        <f>IF(J14="No","Not owed",IF(F14="","No notice",IF(H14&lt;=Parameters!$B$13,"Yes","No")))</f>
        <v>Yes</v>
      </c>
      <c r="L14" s="5" t="str">
        <f t="shared" si="4"/>
        <v>01/19/2026</v>
      </c>
      <c r="M14" s="5">
        <f>IF(OR(J14="No",F14="",K14="Yes"),E14,G14-Parameters!$B$14)</f>
        <v>46041</v>
      </c>
      <c r="N14" s="5" t="str">
        <f t="shared" si="5"/>
        <v>Yes</v>
      </c>
      <c r="O14" s="7" t="s">
        <v>368</v>
      </c>
    </row>
    <row r="15" spans="1:15" ht="30" customHeight="1" x14ac:dyDescent="0.2">
      <c r="A15" s="5" t="s">
        <v>369</v>
      </c>
      <c r="B15" s="5" t="s">
        <v>316</v>
      </c>
      <c r="C15" s="5" t="s">
        <v>317</v>
      </c>
      <c r="D15" s="5" t="s">
        <v>370</v>
      </c>
      <c r="E15" s="5">
        <f t="shared" si="0"/>
        <v>46132</v>
      </c>
      <c r="F15" s="5" t="s">
        <v>371</v>
      </c>
      <c r="G15" s="5">
        <f t="shared" si="1"/>
        <v>46136</v>
      </c>
      <c r="H15" s="5">
        <f t="shared" si="2"/>
        <v>4</v>
      </c>
      <c r="I15" s="7" t="s">
        <v>372</v>
      </c>
      <c r="J15" s="5" t="str">
        <f t="shared" si="3"/>
        <v>Yes</v>
      </c>
      <c r="K15" s="5" t="str">
        <f>IF(J15="No","Not owed",IF(F15="","No notice",IF(H15&lt;=Parameters!$B$13,"Yes","No")))</f>
        <v>Yes</v>
      </c>
      <c r="L15" s="5" t="str">
        <f t="shared" si="4"/>
        <v>04/20/2026</v>
      </c>
      <c r="M15" s="5">
        <f>IF(OR(J15="No",F15="",K15="Yes"),E15,G15-Parameters!$B$14)</f>
        <v>46132</v>
      </c>
      <c r="N15" s="5" t="str">
        <f t="shared" si="5"/>
        <v>Yes</v>
      </c>
      <c r="O15" s="7" t="s">
        <v>373</v>
      </c>
    </row>
    <row r="16" spans="1:15" ht="30" customHeight="1" x14ac:dyDescent="0.2">
      <c r="A16" s="5" t="s">
        <v>374</v>
      </c>
      <c r="B16" s="5" t="s">
        <v>316</v>
      </c>
      <c r="C16" s="5" t="s">
        <v>317</v>
      </c>
      <c r="D16" s="5" t="s">
        <v>319</v>
      </c>
      <c r="E16" s="5">
        <f t="shared" si="0"/>
        <v>46062</v>
      </c>
      <c r="F16" s="5" t="s">
        <v>375</v>
      </c>
      <c r="G16" s="5">
        <f t="shared" si="1"/>
        <v>46065</v>
      </c>
      <c r="H16" s="5">
        <f t="shared" si="2"/>
        <v>3</v>
      </c>
      <c r="I16" s="7" t="s">
        <v>376</v>
      </c>
      <c r="J16" s="5" t="str">
        <f t="shared" si="3"/>
        <v>Yes</v>
      </c>
      <c r="K16" s="5" t="str">
        <f>IF(J16="No","Not owed",IF(F16="","No notice",IF(H16&lt;=Parameters!$B$13,"Yes","No")))</f>
        <v>Yes</v>
      </c>
      <c r="L16" s="5" t="str">
        <f t="shared" si="4"/>
        <v>02/09/2026</v>
      </c>
      <c r="M16" s="5">
        <f>IF(OR(J16="No",F16="",K16="Yes"),E16,G16-Parameters!$B$14)</f>
        <v>46062</v>
      </c>
      <c r="N16" s="5" t="str">
        <f t="shared" si="5"/>
        <v>Yes</v>
      </c>
      <c r="O16" s="7" t="s">
        <v>377</v>
      </c>
    </row>
    <row r="17" spans="1:15" ht="30" customHeight="1" x14ac:dyDescent="0.2">
      <c r="A17" s="5" t="s">
        <v>378</v>
      </c>
      <c r="B17" s="5" t="s">
        <v>379</v>
      </c>
      <c r="C17" s="5" t="s">
        <v>380</v>
      </c>
      <c r="D17" s="5" t="s">
        <v>381</v>
      </c>
      <c r="E17" s="5">
        <f t="shared" si="0"/>
        <v>46181</v>
      </c>
      <c r="G17" s="5" t="str">
        <f t="shared" si="1"/>
        <v/>
      </c>
      <c r="H17" s="5" t="str">
        <f t="shared" si="2"/>
        <v/>
      </c>
      <c r="I17" s="7" t="s">
        <v>382</v>
      </c>
      <c r="J17" s="5" t="str">
        <f t="shared" si="3"/>
        <v>No</v>
      </c>
      <c r="K17" s="5" t="str">
        <f>IF(J17="No","Not owed",IF(F17="","No notice",IF(H17&lt;=Parameters!$B$13,"Yes","No")))</f>
        <v>Not owed</v>
      </c>
      <c r="L17" s="5" t="str">
        <f t="shared" si="4"/>
        <v>06/08/2026</v>
      </c>
      <c r="M17" s="5">
        <f>IF(OR(J17="No",F17="",K17="Yes"),E17,G17-Parameters!$B$14)</f>
        <v>46181</v>
      </c>
      <c r="N17" s="5" t="str">
        <f t="shared" si="5"/>
        <v>Yes</v>
      </c>
      <c r="O17" s="7" t="s">
        <v>383</v>
      </c>
    </row>
    <row r="18" spans="1:15" ht="30" customHeight="1" x14ac:dyDescent="0.2">
      <c r="A18" s="5" t="s">
        <v>384</v>
      </c>
      <c r="B18" s="5" t="s">
        <v>364</v>
      </c>
      <c r="C18" s="5" t="s">
        <v>317</v>
      </c>
      <c r="D18" s="5" t="s">
        <v>385</v>
      </c>
      <c r="E18" s="5">
        <f t="shared" si="0"/>
        <v>46048</v>
      </c>
      <c r="F18" s="5" t="s">
        <v>386</v>
      </c>
      <c r="G18" s="5">
        <f t="shared" si="1"/>
        <v>46069</v>
      </c>
      <c r="H18" s="5">
        <f t="shared" si="2"/>
        <v>21</v>
      </c>
      <c r="I18" s="7" t="s">
        <v>387</v>
      </c>
      <c r="J18" s="5" t="str">
        <f t="shared" si="3"/>
        <v>Yes</v>
      </c>
      <c r="K18" s="5" t="str">
        <f>IF(J18="No","Not owed",IF(F18="","No notice",IF(H18&lt;=Parameters!$B$13,"Yes","No")))</f>
        <v>No</v>
      </c>
      <c r="L18" s="5" t="str">
        <f t="shared" si="4"/>
        <v>01/27/2026</v>
      </c>
      <c r="M18" s="5">
        <f>IF(OR(J18="No",F18="",K18="Yes"),E18,G18-Parameters!$B$14)</f>
        <v>46049</v>
      </c>
      <c r="N18" s="5" t="str">
        <f t="shared" si="5"/>
        <v>Yes</v>
      </c>
      <c r="O18" s="7" t="s">
        <v>388</v>
      </c>
    </row>
    <row r="19" spans="1:15" ht="30" customHeight="1" x14ac:dyDescent="0.2">
      <c r="A19" s="5" t="s">
        <v>389</v>
      </c>
      <c r="B19" s="5" t="s">
        <v>374</v>
      </c>
      <c r="C19" s="5" t="s">
        <v>317</v>
      </c>
      <c r="D19" s="5" t="s">
        <v>390</v>
      </c>
      <c r="E19" s="5">
        <f t="shared" si="0"/>
        <v>46077</v>
      </c>
      <c r="F19" s="5" t="s">
        <v>347</v>
      </c>
      <c r="G19" s="5">
        <f t="shared" si="1"/>
        <v>46097</v>
      </c>
      <c r="H19" s="5">
        <f t="shared" si="2"/>
        <v>20</v>
      </c>
      <c r="I19" s="7" t="s">
        <v>391</v>
      </c>
      <c r="J19" s="5" t="str">
        <f t="shared" si="3"/>
        <v>Yes</v>
      </c>
      <c r="K19" s="5" t="str">
        <f>IF(J19="No","Not owed",IF(F19="","No notice",IF(H19&lt;=Parameters!$B$13,"Yes","No")))</f>
        <v>Yes</v>
      </c>
      <c r="L19" s="5" t="str">
        <f t="shared" si="4"/>
        <v>02/24/2026</v>
      </c>
      <c r="M19" s="5">
        <f>IF(OR(J19="No",F19="",K19="Yes"),E19,G19-Parameters!$B$14)</f>
        <v>46077</v>
      </c>
      <c r="N19" s="5" t="str">
        <f t="shared" si="5"/>
        <v>Yes</v>
      </c>
      <c r="O19" s="7" t="s">
        <v>392</v>
      </c>
    </row>
    <row r="20" spans="1:15" ht="30" customHeight="1" x14ac:dyDescent="0.2">
      <c r="A20" s="5" t="s">
        <v>393</v>
      </c>
      <c r="B20" s="5" t="s">
        <v>346</v>
      </c>
      <c r="C20" s="5" t="s">
        <v>317</v>
      </c>
      <c r="D20" s="5" t="s">
        <v>394</v>
      </c>
      <c r="E20" s="5">
        <f t="shared" si="0"/>
        <v>46104</v>
      </c>
      <c r="F20" s="5" t="s">
        <v>250</v>
      </c>
      <c r="G20" s="5">
        <f t="shared" si="1"/>
        <v>46114</v>
      </c>
      <c r="H20" s="5">
        <f t="shared" si="2"/>
        <v>10</v>
      </c>
      <c r="I20" s="7" t="s">
        <v>395</v>
      </c>
      <c r="J20" s="5" t="str">
        <f t="shared" si="3"/>
        <v>Yes</v>
      </c>
      <c r="K20" s="5" t="str">
        <f>IF(J20="No","Not owed",IF(F20="","No notice",IF(H20&lt;=Parameters!$B$13,"Yes","No")))</f>
        <v>Yes</v>
      </c>
      <c r="L20" s="5" t="str">
        <f t="shared" si="4"/>
        <v>03/23/2026</v>
      </c>
      <c r="M20" s="5">
        <f>IF(OR(J20="No",F20="",K20="Yes"),E20,G20-Parameters!$B$14)</f>
        <v>46104</v>
      </c>
      <c r="N20" s="5" t="str">
        <f t="shared" si="5"/>
        <v>Yes</v>
      </c>
      <c r="O20" s="7" t="s">
        <v>396</v>
      </c>
    </row>
    <row r="22" spans="1:15" x14ac:dyDescent="0.2">
      <c r="A22" s="8" t="s">
        <v>397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6"/>
  <sheetViews>
    <sheetView workbookViewId="0"/>
  </sheetViews>
  <sheetFormatPr baseColWidth="10" defaultColWidth="8.83203125" defaultRowHeight="15" x14ac:dyDescent="0.2"/>
  <cols>
    <col min="1" max="1" width="36" customWidth="1"/>
    <col min="2" max="2" width="17" customWidth="1"/>
    <col min="3" max="3" width="12" customWidth="1"/>
    <col min="4" max="4" width="34" customWidth="1"/>
    <col min="5" max="5" width="13" customWidth="1"/>
    <col min="6" max="6" width="11" customWidth="1"/>
    <col min="7" max="8" width="13" customWidth="1"/>
    <col min="9" max="9" width="14" customWidth="1"/>
    <col min="10" max="10" width="11" customWidth="1"/>
    <col min="11" max="11" width="66" customWidth="1"/>
  </cols>
  <sheetData>
    <row r="1" spans="1:11" ht="17" customHeight="1" x14ac:dyDescent="0.2">
      <c r="A1" s="1" t="s">
        <v>398</v>
      </c>
    </row>
    <row r="3" spans="1:11" ht="30" customHeight="1" x14ac:dyDescent="0.2">
      <c r="A3" s="4" t="s">
        <v>399</v>
      </c>
      <c r="B3" s="4" t="s">
        <v>303</v>
      </c>
      <c r="C3" s="4" t="s">
        <v>400</v>
      </c>
      <c r="D3" s="4" t="s">
        <v>401</v>
      </c>
      <c r="E3" s="4" t="s">
        <v>402</v>
      </c>
      <c r="F3" s="4" t="s">
        <v>403</v>
      </c>
      <c r="G3" s="4" t="s">
        <v>404</v>
      </c>
      <c r="H3" s="4" t="s">
        <v>405</v>
      </c>
      <c r="I3" s="4" t="s">
        <v>406</v>
      </c>
      <c r="J3" s="4" t="s">
        <v>407</v>
      </c>
      <c r="K3" s="4" t="s">
        <v>314</v>
      </c>
    </row>
    <row r="4" spans="1:11" ht="30" customHeight="1" x14ac:dyDescent="0.2">
      <c r="A4" s="5" t="s">
        <v>315</v>
      </c>
      <c r="B4" s="5" t="str">
        <f>Notices!C4</f>
        <v>Other claimant</v>
      </c>
      <c r="C4" s="5" t="str">
        <f>IF(OR(Notices!C4="Direct contractor",LEFT(Notices!I4,3)="Yes"),"Yes","No")</f>
        <v>Yes</v>
      </c>
      <c r="D4" s="5" t="s">
        <v>245</v>
      </c>
      <c r="E4" s="5" t="s">
        <v>408</v>
      </c>
      <c r="F4" s="5">
        <f t="shared" ref="F4:F20" si="0">IF(E4="","",DATE(VALUE(RIGHT(E4,4)),VALUE(LEFT(E4,2)),VALUE(MID(E4,4,2))))</f>
        <v>46265</v>
      </c>
      <c r="G4" s="5" t="str">
        <f>IF(C4="No","Not entitled",IF(E4="","No",IF(F4&lt;=Parameters!$C$48,"Yes","No")))</f>
        <v>Yes</v>
      </c>
      <c r="H4" s="5" t="str">
        <f t="shared" ref="H4:H20" si="1">IF(G4="No","No","Yes")</f>
        <v>Yes</v>
      </c>
      <c r="I4" s="5" t="str">
        <f t="shared" ref="I4:I20" si="2">TEXT(J4,"mm/dd/yyyy")</f>
        <v>09/28/2026</v>
      </c>
      <c r="J4" s="5">
        <f>IF(H4="No",Parameters!$C$53,IF(B4="Direct contractor",Parameters!$C$52,Parameters!$C$51))</f>
        <v>46293</v>
      </c>
      <c r="K4" s="7" t="s">
        <v>409</v>
      </c>
    </row>
    <row r="5" spans="1:11" ht="30" customHeight="1" x14ac:dyDescent="0.2">
      <c r="A5" s="5" t="s">
        <v>322</v>
      </c>
      <c r="B5" s="5" t="str">
        <f>Notices!C5</f>
        <v>Other claimant</v>
      </c>
      <c r="C5" s="5" t="str">
        <f>IF(OR(Notices!C5="Direct contractor",LEFT(Notices!I5,3)="Yes"),"Yes","No")</f>
        <v>Yes</v>
      </c>
      <c r="D5" s="5" t="s">
        <v>410</v>
      </c>
      <c r="E5" s="5" t="s">
        <v>408</v>
      </c>
      <c r="F5" s="5">
        <f t="shared" si="0"/>
        <v>46265</v>
      </c>
      <c r="G5" s="5" t="str">
        <f>IF(C5="No","Not entitled",IF(E5="","No",IF(F5&lt;=Parameters!$C$48,"Yes","No")))</f>
        <v>Yes</v>
      </c>
      <c r="H5" s="5" t="str">
        <f t="shared" si="1"/>
        <v>Yes</v>
      </c>
      <c r="I5" s="5" t="str">
        <f t="shared" si="2"/>
        <v>09/28/2026</v>
      </c>
      <c r="J5" s="5">
        <f>IF(H5="No",Parameters!$C$53,IF(B5="Direct contractor",Parameters!$C$52,Parameters!$C$51))</f>
        <v>46293</v>
      </c>
      <c r="K5" s="7" t="s">
        <v>411</v>
      </c>
    </row>
    <row r="6" spans="1:11" ht="30" customHeight="1" x14ac:dyDescent="0.2">
      <c r="A6" s="5" t="s">
        <v>328</v>
      </c>
      <c r="B6" s="5" t="str">
        <f>Notices!C6</f>
        <v>Other claimant</v>
      </c>
      <c r="C6" s="5" t="str">
        <f>IF(OR(Notices!C6="Direct contractor",LEFT(Notices!I6,3)="Yes"),"Yes","No")</f>
        <v>Yes</v>
      </c>
      <c r="D6" s="5" t="s">
        <v>412</v>
      </c>
      <c r="E6" s="5" t="s">
        <v>408</v>
      </c>
      <c r="F6" s="5">
        <f t="shared" si="0"/>
        <v>46265</v>
      </c>
      <c r="G6" s="5" t="str">
        <f>IF(C6="No","Not entitled",IF(E6="","No",IF(F6&lt;=Parameters!$C$48,"Yes","No")))</f>
        <v>Yes</v>
      </c>
      <c r="H6" s="5" t="str">
        <f t="shared" si="1"/>
        <v>Yes</v>
      </c>
      <c r="I6" s="5" t="str">
        <f t="shared" si="2"/>
        <v>09/28/2026</v>
      </c>
      <c r="J6" s="5">
        <f>IF(H6="No",Parameters!$C$53,IF(B6="Direct contractor",Parameters!$C$52,Parameters!$C$51))</f>
        <v>46293</v>
      </c>
      <c r="K6" s="7" t="s">
        <v>413</v>
      </c>
    </row>
    <row r="7" spans="1:11" ht="30" customHeight="1" x14ac:dyDescent="0.2">
      <c r="A7" s="5" t="s">
        <v>333</v>
      </c>
      <c r="B7" s="5" t="str">
        <f>Notices!C7</f>
        <v>Other claimant</v>
      </c>
      <c r="C7" s="5" t="str">
        <f>IF(OR(Notices!C7="Direct contractor",LEFT(Notices!I7,3)="Yes"),"Yes","No")</f>
        <v>No</v>
      </c>
      <c r="D7" s="5" t="s">
        <v>414</v>
      </c>
      <c r="F7" s="5" t="str">
        <f t="shared" si="0"/>
        <v/>
      </c>
      <c r="G7" s="5" t="str">
        <f>IF(C7="No","Not entitled",IF(E7="","No",IF(F7&lt;=Parameters!$C$48,"Yes","No")))</f>
        <v>Not entitled</v>
      </c>
      <c r="H7" s="5" t="str">
        <f t="shared" si="1"/>
        <v>Yes</v>
      </c>
      <c r="I7" s="5" t="str">
        <f t="shared" si="2"/>
        <v>09/28/2026</v>
      </c>
      <c r="J7" s="5">
        <f>IF(H7="No",Parameters!$C$53,IF(B7="Direct contractor",Parameters!$C$52,Parameters!$C$51))</f>
        <v>46293</v>
      </c>
      <c r="K7" s="7" t="s">
        <v>415</v>
      </c>
    </row>
    <row r="8" spans="1:11" ht="30" customHeight="1" x14ac:dyDescent="0.2">
      <c r="A8" s="5" t="s">
        <v>338</v>
      </c>
      <c r="B8" s="5" t="str">
        <f>Notices!C8</f>
        <v>Other claimant</v>
      </c>
      <c r="C8" s="5" t="str">
        <f>IF(OR(Notices!C8="Direct contractor",LEFT(Notices!I8,3)="Yes"),"Yes","No")</f>
        <v>Yes</v>
      </c>
      <c r="D8" s="5" t="s">
        <v>416</v>
      </c>
      <c r="E8" s="5" t="s">
        <v>417</v>
      </c>
      <c r="F8" s="5">
        <f t="shared" si="0"/>
        <v>46273</v>
      </c>
      <c r="G8" s="5" t="str">
        <f>IF(C8="No","Not entitled",IF(E8="","No",IF(F8&lt;=Parameters!$C$48,"Yes","No")))</f>
        <v>Yes</v>
      </c>
      <c r="H8" s="5" t="str">
        <f t="shared" si="1"/>
        <v>Yes</v>
      </c>
      <c r="I8" s="5" t="str">
        <f t="shared" si="2"/>
        <v>09/28/2026</v>
      </c>
      <c r="J8" s="5">
        <f>IF(H8="No",Parameters!$C$53,IF(B8="Direct contractor",Parameters!$C$52,Parameters!$C$51))</f>
        <v>46293</v>
      </c>
      <c r="K8" s="7" t="s">
        <v>418</v>
      </c>
    </row>
    <row r="9" spans="1:11" ht="30" customHeight="1" x14ac:dyDescent="0.2">
      <c r="A9" s="5" t="s">
        <v>342</v>
      </c>
      <c r="B9" s="5" t="str">
        <f>Notices!C9</f>
        <v>Other claimant</v>
      </c>
      <c r="C9" s="5" t="str">
        <f>IF(OR(Notices!C9="Direct contractor",LEFT(Notices!I9,3)="Yes"),"Yes","No")</f>
        <v>Yes</v>
      </c>
      <c r="D9" s="5" t="s">
        <v>282</v>
      </c>
      <c r="E9" s="5" t="s">
        <v>408</v>
      </c>
      <c r="F9" s="5">
        <f t="shared" si="0"/>
        <v>46265</v>
      </c>
      <c r="G9" s="5" t="str">
        <f>IF(C9="No","Not entitled",IF(E9="","No",IF(F9&lt;=Parameters!$C$48,"Yes","No")))</f>
        <v>Yes</v>
      </c>
      <c r="H9" s="5" t="str">
        <f t="shared" si="1"/>
        <v>Yes</v>
      </c>
      <c r="I9" s="5" t="str">
        <f t="shared" si="2"/>
        <v>09/28/2026</v>
      </c>
      <c r="J9" s="5">
        <f>IF(H9="No",Parameters!$C$53,IF(B9="Direct contractor",Parameters!$C$52,Parameters!$C$51))</f>
        <v>46293</v>
      </c>
      <c r="K9" s="7" t="s">
        <v>419</v>
      </c>
    </row>
    <row r="10" spans="1:11" ht="30" customHeight="1" x14ac:dyDescent="0.2">
      <c r="A10" s="5" t="s">
        <v>346</v>
      </c>
      <c r="B10" s="5" t="str">
        <f>Notices!C10</f>
        <v>Other claimant</v>
      </c>
      <c r="C10" s="5" t="str">
        <f>IF(OR(Notices!C10="Direct contractor",LEFT(Notices!I10,3)="Yes"),"Yes","No")</f>
        <v>Yes</v>
      </c>
      <c r="D10" s="5" t="s">
        <v>420</v>
      </c>
      <c r="E10" s="5" t="s">
        <v>408</v>
      </c>
      <c r="F10" s="5">
        <f t="shared" si="0"/>
        <v>46265</v>
      </c>
      <c r="G10" s="5" t="str">
        <f>IF(C10="No","Not entitled",IF(E10="","No",IF(F10&lt;=Parameters!$C$48,"Yes","No")))</f>
        <v>Yes</v>
      </c>
      <c r="H10" s="5" t="str">
        <f t="shared" si="1"/>
        <v>Yes</v>
      </c>
      <c r="I10" s="5" t="str">
        <f t="shared" si="2"/>
        <v>09/28/2026</v>
      </c>
      <c r="J10" s="5">
        <f>IF(H10="No",Parameters!$C$53,IF(B10="Direct contractor",Parameters!$C$52,Parameters!$C$51))</f>
        <v>46293</v>
      </c>
      <c r="K10" s="7" t="s">
        <v>421</v>
      </c>
    </row>
    <row r="11" spans="1:11" ht="30" customHeight="1" x14ac:dyDescent="0.2">
      <c r="A11" s="5" t="s">
        <v>351</v>
      </c>
      <c r="B11" s="5" t="str">
        <f>Notices!C11</f>
        <v>Other claimant</v>
      </c>
      <c r="C11" s="5" t="str">
        <f>IF(OR(Notices!C11="Direct contractor",LEFT(Notices!I11,3)="Yes"),"Yes","No")</f>
        <v>Yes</v>
      </c>
      <c r="D11" s="5" t="s">
        <v>422</v>
      </c>
      <c r="E11" s="5" t="s">
        <v>417</v>
      </c>
      <c r="F11" s="5">
        <f t="shared" si="0"/>
        <v>46273</v>
      </c>
      <c r="G11" s="5" t="str">
        <f>IF(C11="No","Not entitled",IF(E11="","No",IF(F11&lt;=Parameters!$C$48,"Yes","No")))</f>
        <v>Yes</v>
      </c>
      <c r="H11" s="5" t="str">
        <f t="shared" si="1"/>
        <v>Yes</v>
      </c>
      <c r="I11" s="5" t="str">
        <f t="shared" si="2"/>
        <v>09/28/2026</v>
      </c>
      <c r="J11" s="5">
        <f>IF(H11="No",Parameters!$C$53,IF(B11="Direct contractor",Parameters!$C$52,Parameters!$C$51))</f>
        <v>46293</v>
      </c>
      <c r="K11" s="7" t="s">
        <v>423</v>
      </c>
    </row>
    <row r="12" spans="1:11" ht="30" customHeight="1" x14ac:dyDescent="0.2">
      <c r="A12" s="5" t="s">
        <v>356</v>
      </c>
      <c r="B12" s="5" t="str">
        <f>Notices!C12</f>
        <v>Other claimant</v>
      </c>
      <c r="C12" s="5" t="str">
        <f>IF(OR(Notices!C12="Direct contractor",LEFT(Notices!I12,3)="Yes"),"Yes","No")</f>
        <v>Yes</v>
      </c>
      <c r="D12" s="5" t="s">
        <v>257</v>
      </c>
      <c r="E12" s="5" t="s">
        <v>408</v>
      </c>
      <c r="F12" s="5">
        <f t="shared" si="0"/>
        <v>46265</v>
      </c>
      <c r="G12" s="5" t="str">
        <f>IF(C12="No","Not entitled",IF(E12="","No",IF(F12&lt;=Parameters!$C$48,"Yes","No")))</f>
        <v>Yes</v>
      </c>
      <c r="H12" s="5" t="str">
        <f t="shared" si="1"/>
        <v>Yes</v>
      </c>
      <c r="I12" s="5" t="str">
        <f t="shared" si="2"/>
        <v>09/28/2026</v>
      </c>
      <c r="J12" s="5">
        <f>IF(H12="No",Parameters!$C$53,IF(B12="Direct contractor",Parameters!$C$52,Parameters!$C$51))</f>
        <v>46293</v>
      </c>
      <c r="K12" s="7" t="s">
        <v>424</v>
      </c>
    </row>
    <row r="13" spans="1:11" ht="30" customHeight="1" x14ac:dyDescent="0.2">
      <c r="A13" s="5" t="s">
        <v>270</v>
      </c>
      <c r="B13" s="5" t="str">
        <f>Notices!C13</f>
        <v>Other claimant</v>
      </c>
      <c r="C13" s="5" t="str">
        <f>IF(OR(Notices!C13="Direct contractor",LEFT(Notices!I13,3)="Yes"),"Yes","No")</f>
        <v>Yes</v>
      </c>
      <c r="D13" s="5" t="s">
        <v>270</v>
      </c>
      <c r="E13" s="5" t="s">
        <v>408</v>
      </c>
      <c r="F13" s="5">
        <f t="shared" si="0"/>
        <v>46265</v>
      </c>
      <c r="G13" s="5" t="str">
        <f>IF(C13="No","Not entitled",IF(E13="","No",IF(F13&lt;=Parameters!$C$48,"Yes","No")))</f>
        <v>Yes</v>
      </c>
      <c r="H13" s="5" t="str">
        <f t="shared" si="1"/>
        <v>Yes</v>
      </c>
      <c r="I13" s="5" t="str">
        <f t="shared" si="2"/>
        <v>09/28/2026</v>
      </c>
      <c r="J13" s="5">
        <f>IF(H13="No",Parameters!$C$53,IF(B13="Direct contractor",Parameters!$C$52,Parameters!$C$51))</f>
        <v>46293</v>
      </c>
      <c r="K13" s="7" t="s">
        <v>425</v>
      </c>
    </row>
    <row r="14" spans="1:11" ht="30" customHeight="1" x14ac:dyDescent="0.2">
      <c r="A14" s="5" t="s">
        <v>364</v>
      </c>
      <c r="B14" s="5" t="str">
        <f>Notices!C14</f>
        <v>Other claimant</v>
      </c>
      <c r="C14" s="5" t="str">
        <f>IF(OR(Notices!C14="Direct contractor",LEFT(Notices!I14,3)="Yes"),"Yes","No")</f>
        <v>Yes</v>
      </c>
      <c r="D14" s="5" t="s">
        <v>242</v>
      </c>
      <c r="E14" s="5" t="s">
        <v>408</v>
      </c>
      <c r="F14" s="5">
        <f t="shared" si="0"/>
        <v>46265</v>
      </c>
      <c r="G14" s="5" t="str">
        <f>IF(C14="No","Not entitled",IF(E14="","No",IF(F14&lt;=Parameters!$C$48,"Yes","No")))</f>
        <v>Yes</v>
      </c>
      <c r="H14" s="5" t="str">
        <f t="shared" si="1"/>
        <v>Yes</v>
      </c>
      <c r="I14" s="5" t="str">
        <f t="shared" si="2"/>
        <v>09/28/2026</v>
      </c>
      <c r="J14" s="5">
        <f>IF(H14="No",Parameters!$C$53,IF(B14="Direct contractor",Parameters!$C$52,Parameters!$C$51))</f>
        <v>46293</v>
      </c>
      <c r="K14" s="7" t="s">
        <v>426</v>
      </c>
    </row>
    <row r="15" spans="1:11" ht="30" customHeight="1" x14ac:dyDescent="0.2">
      <c r="A15" s="5" t="s">
        <v>369</v>
      </c>
      <c r="B15" s="5" t="str">
        <f>Notices!C15</f>
        <v>Other claimant</v>
      </c>
      <c r="C15" s="5" t="str">
        <f>IF(OR(Notices!C15="Direct contractor",LEFT(Notices!I15,3)="Yes"),"Yes","No")</f>
        <v>Yes</v>
      </c>
      <c r="D15" s="5" t="s">
        <v>414</v>
      </c>
      <c r="F15" s="5" t="str">
        <f t="shared" si="0"/>
        <v/>
      </c>
      <c r="G15" s="5" t="str">
        <f>IF(C15="No","Not entitled",IF(E15="","No",IF(F15&lt;=Parameters!$C$48,"Yes","No")))</f>
        <v>No</v>
      </c>
      <c r="H15" s="5" t="str">
        <f t="shared" si="1"/>
        <v>No</v>
      </c>
      <c r="I15" s="5" t="str">
        <f t="shared" si="2"/>
        <v>11/09/2026</v>
      </c>
      <c r="J15" s="5">
        <f>IF(H15="No",Parameters!$C$53,IF(B15="Direct contractor",Parameters!$C$52,Parameters!$C$51))</f>
        <v>46335</v>
      </c>
      <c r="K15" s="7" t="s">
        <v>427</v>
      </c>
    </row>
    <row r="16" spans="1:11" ht="30" customHeight="1" x14ac:dyDescent="0.2">
      <c r="A16" s="5" t="s">
        <v>374</v>
      </c>
      <c r="B16" s="5" t="str">
        <f>Notices!C16</f>
        <v>Other claimant</v>
      </c>
      <c r="C16" s="5" t="str">
        <f>IF(OR(Notices!C16="Direct contractor",LEFT(Notices!I16,3)="Yes"),"Yes","No")</f>
        <v>Yes</v>
      </c>
      <c r="D16" s="5" t="s">
        <v>428</v>
      </c>
      <c r="E16" s="5" t="s">
        <v>417</v>
      </c>
      <c r="F16" s="5">
        <f t="shared" si="0"/>
        <v>46273</v>
      </c>
      <c r="G16" s="5" t="str">
        <f>IF(C16="No","Not entitled",IF(E16="","No",IF(F16&lt;=Parameters!$C$48,"Yes","No")))</f>
        <v>Yes</v>
      </c>
      <c r="H16" s="5" t="str">
        <f t="shared" si="1"/>
        <v>Yes</v>
      </c>
      <c r="I16" s="5" t="str">
        <f t="shared" si="2"/>
        <v>09/28/2026</v>
      </c>
      <c r="J16" s="5">
        <f>IF(H16="No",Parameters!$C$53,IF(B16="Direct contractor",Parameters!$C$52,Parameters!$C$51))</f>
        <v>46293</v>
      </c>
      <c r="K16" s="7" t="s">
        <v>429</v>
      </c>
    </row>
    <row r="17" spans="1:11" ht="30" customHeight="1" x14ac:dyDescent="0.2">
      <c r="A17" s="5" t="s">
        <v>378</v>
      </c>
      <c r="B17" s="5" t="str">
        <f>Notices!C17</f>
        <v>Direct contractor</v>
      </c>
      <c r="C17" s="5" t="str">
        <f>IF(OR(Notices!C17="Direct contractor",LEFT(Notices!I17,3)="Yes"),"Yes","No")</f>
        <v>Yes</v>
      </c>
      <c r="D17" s="5" t="s">
        <v>414</v>
      </c>
      <c r="F17" s="5" t="str">
        <f t="shared" si="0"/>
        <v/>
      </c>
      <c r="G17" s="5" t="str">
        <f>IF(C17="No","Not entitled",IF(E17="","No",IF(F17&lt;=Parameters!$C$48,"Yes","No")))</f>
        <v>No</v>
      </c>
      <c r="H17" s="5" t="str">
        <f t="shared" si="1"/>
        <v>No</v>
      </c>
      <c r="I17" s="5" t="str">
        <f t="shared" si="2"/>
        <v>11/09/2026</v>
      </c>
      <c r="J17" s="5">
        <f>IF(H17="No",Parameters!$C$53,IF(B17="Direct contractor",Parameters!$C$52,Parameters!$C$51))</f>
        <v>46335</v>
      </c>
      <c r="K17" s="7" t="s">
        <v>430</v>
      </c>
    </row>
    <row r="18" spans="1:11" ht="30" customHeight="1" x14ac:dyDescent="0.2">
      <c r="A18" s="5" t="s">
        <v>384</v>
      </c>
      <c r="B18" s="5" t="str">
        <f>Notices!C18</f>
        <v>Other claimant</v>
      </c>
      <c r="C18" s="5" t="str">
        <f>IF(OR(Notices!C18="Direct contractor",LEFT(Notices!I18,3)="Yes"),"Yes","No")</f>
        <v>Yes</v>
      </c>
      <c r="D18" s="5" t="s">
        <v>431</v>
      </c>
      <c r="E18" s="5" t="s">
        <v>432</v>
      </c>
      <c r="F18" s="5">
        <f t="shared" si="0"/>
        <v>46274</v>
      </c>
      <c r="G18" s="5" t="str">
        <f>IF(C18="No","Not entitled",IF(E18="","No",IF(F18&lt;=Parameters!$C$48,"Yes","No")))</f>
        <v>No</v>
      </c>
      <c r="H18" s="5" t="str">
        <f t="shared" si="1"/>
        <v>No</v>
      </c>
      <c r="I18" s="5" t="str">
        <f t="shared" si="2"/>
        <v>11/09/2026</v>
      </c>
      <c r="J18" s="5">
        <f>IF(H18="No",Parameters!$C$53,IF(B18="Direct contractor",Parameters!$C$52,Parameters!$C$51))</f>
        <v>46335</v>
      </c>
      <c r="K18" s="7" t="s">
        <v>433</v>
      </c>
    </row>
    <row r="19" spans="1:11" ht="30" customHeight="1" x14ac:dyDescent="0.2">
      <c r="A19" s="5" t="s">
        <v>389</v>
      </c>
      <c r="B19" s="5" t="str">
        <f>Notices!C19</f>
        <v>Other claimant</v>
      </c>
      <c r="C19" s="5" t="str">
        <f>IF(OR(Notices!C19="Direct contractor",LEFT(Notices!I19,3)="Yes"),"Yes","No")</f>
        <v>Yes</v>
      </c>
      <c r="D19" s="5" t="s">
        <v>434</v>
      </c>
      <c r="E19" s="5" t="s">
        <v>417</v>
      </c>
      <c r="F19" s="5">
        <f t="shared" si="0"/>
        <v>46273</v>
      </c>
      <c r="G19" s="5" t="str">
        <f>IF(C19="No","Not entitled",IF(E19="","No",IF(F19&lt;=Parameters!$C$48,"Yes","No")))</f>
        <v>Yes</v>
      </c>
      <c r="H19" s="5" t="str">
        <f t="shared" si="1"/>
        <v>Yes</v>
      </c>
      <c r="I19" s="5" t="str">
        <f t="shared" si="2"/>
        <v>09/28/2026</v>
      </c>
      <c r="J19" s="5">
        <f>IF(H19="No",Parameters!$C$53,IF(B19="Direct contractor",Parameters!$C$52,Parameters!$C$51))</f>
        <v>46293</v>
      </c>
      <c r="K19" s="7" t="s">
        <v>435</v>
      </c>
    </row>
    <row r="20" spans="1:11" ht="30" customHeight="1" x14ac:dyDescent="0.2">
      <c r="A20" s="5" t="s">
        <v>393</v>
      </c>
      <c r="B20" s="5" t="str">
        <f>Notices!C20</f>
        <v>Other claimant</v>
      </c>
      <c r="C20" s="5" t="str">
        <f>IF(OR(Notices!C20="Direct contractor",LEFT(Notices!I20,3)="Yes"),"Yes","No")</f>
        <v>Yes</v>
      </c>
      <c r="D20" s="5" t="s">
        <v>414</v>
      </c>
      <c r="F20" s="5" t="str">
        <f t="shared" si="0"/>
        <v/>
      </c>
      <c r="G20" s="5" t="str">
        <f>IF(C20="No","Not entitled",IF(E20="","No",IF(F20&lt;=Parameters!$C$48,"Yes","No")))</f>
        <v>No</v>
      </c>
      <c r="H20" s="5" t="str">
        <f t="shared" si="1"/>
        <v>No</v>
      </c>
      <c r="I20" s="5" t="str">
        <f t="shared" si="2"/>
        <v>11/09/2026</v>
      </c>
      <c r="J20" s="5">
        <f>IF(H20="No",Parameters!$C$53,IF(B20="Direct contractor",Parameters!$C$52,Parameters!$C$51))</f>
        <v>46335</v>
      </c>
      <c r="K20" s="7" t="s">
        <v>436</v>
      </c>
    </row>
    <row r="22" spans="1:11" x14ac:dyDescent="0.2">
      <c r="A22" s="3" t="s">
        <v>437</v>
      </c>
    </row>
    <row r="23" spans="1:11" ht="30" customHeight="1" x14ac:dyDescent="0.2">
      <c r="A23" s="4" t="s">
        <v>399</v>
      </c>
      <c r="B23" s="4" t="s">
        <v>303</v>
      </c>
      <c r="C23" s="4" t="s">
        <v>400</v>
      </c>
      <c r="D23" s="4" t="s">
        <v>401</v>
      </c>
      <c r="E23" s="4" t="s">
        <v>402</v>
      </c>
      <c r="F23" s="4" t="s">
        <v>403</v>
      </c>
      <c r="G23" s="4" t="s">
        <v>404</v>
      </c>
      <c r="H23" s="4" t="s">
        <v>405</v>
      </c>
      <c r="I23" s="4" t="s">
        <v>406</v>
      </c>
      <c r="J23" s="4" t="s">
        <v>407</v>
      </c>
      <c r="K23" s="4" t="s">
        <v>314</v>
      </c>
    </row>
    <row r="24" spans="1:11" ht="30" customHeight="1" x14ac:dyDescent="0.2">
      <c r="A24" s="5" t="s">
        <v>316</v>
      </c>
      <c r="B24" s="5" t="s">
        <v>380</v>
      </c>
      <c r="C24" s="5" t="s">
        <v>438</v>
      </c>
      <c r="D24" s="5" t="s">
        <v>439</v>
      </c>
      <c r="E24" s="5" t="s">
        <v>432</v>
      </c>
      <c r="F24" s="5">
        <f>IF(E24="","",DATE(VALUE(RIGHT(E24,4)),VALUE(LEFT(E24,2)),VALUE(MID(E24,4,2))))</f>
        <v>46274</v>
      </c>
      <c r="G24" s="5" t="str">
        <f>IF(C24="No","Not entitled",IF(E24="","No",IF(F24&lt;=Parameters!$C$48,"Yes","No")))</f>
        <v>No</v>
      </c>
      <c r="H24" s="5" t="str">
        <f>IF(G24="No","No","Yes")</f>
        <v>No</v>
      </c>
      <c r="I24" s="5" t="str">
        <f>TEXT(J24,"mm/dd/yyyy")</f>
        <v>11/09/2026</v>
      </c>
      <c r="J24" s="5">
        <f>IF(H24="No",Parameters!$C$53,IF(B24="Direct contractor",Parameters!$C$52,Parameters!$C$51))</f>
        <v>46335</v>
      </c>
      <c r="K24" s="7" t="s">
        <v>440</v>
      </c>
    </row>
    <row r="26" spans="1:11" x14ac:dyDescent="0.2">
      <c r="A26" s="8" t="s">
        <v>441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2"/>
  <sheetViews>
    <sheetView workbookViewId="0"/>
  </sheetViews>
  <sheetFormatPr baseColWidth="10" defaultColWidth="8.83203125" defaultRowHeight="15" x14ac:dyDescent="0.2"/>
  <cols>
    <col min="1" max="1" width="36" customWidth="1"/>
    <col min="2" max="2" width="12" customWidth="1"/>
    <col min="3" max="3" width="11" customWidth="1"/>
    <col min="4" max="4" width="16" customWidth="1"/>
    <col min="5" max="5" width="9" customWidth="1"/>
    <col min="6" max="6" width="52" customWidth="1"/>
    <col min="7" max="7" width="12" customWidth="1"/>
    <col min="8" max="8" width="14" customWidth="1"/>
    <col min="9" max="9" width="11" customWidth="1"/>
    <col min="10" max="10" width="14" customWidth="1"/>
    <col min="11" max="11" width="11" customWidth="1"/>
    <col min="12" max="12" width="14" customWidth="1"/>
  </cols>
  <sheetData>
    <row r="1" spans="1:12" ht="17" customHeight="1" x14ac:dyDescent="0.2">
      <c r="A1" s="1" t="s">
        <v>442</v>
      </c>
    </row>
    <row r="3" spans="1:12" ht="30" customHeight="1" x14ac:dyDescent="0.2">
      <c r="A3" s="4" t="s">
        <v>50</v>
      </c>
      <c r="B3" s="4" t="s">
        <v>51</v>
      </c>
      <c r="C3" s="4" t="s">
        <v>443</v>
      </c>
      <c r="D3" s="4" t="s">
        <v>406</v>
      </c>
      <c r="E3" s="4" t="s">
        <v>54</v>
      </c>
      <c r="F3" s="4" t="s">
        <v>444</v>
      </c>
      <c r="G3" s="4" t="s">
        <v>55</v>
      </c>
      <c r="H3" s="4" t="s">
        <v>445</v>
      </c>
      <c r="I3" s="4" t="s">
        <v>446</v>
      </c>
      <c r="J3" s="4" t="s">
        <v>447</v>
      </c>
      <c r="K3" s="4" t="s">
        <v>56</v>
      </c>
      <c r="L3" s="4" t="s">
        <v>448</v>
      </c>
    </row>
    <row r="4" spans="1:12" ht="30" customHeight="1" x14ac:dyDescent="0.2">
      <c r="A4" s="5" t="s">
        <v>315</v>
      </c>
      <c r="B4" s="5" t="s">
        <v>273</v>
      </c>
      <c r="C4" s="5">
        <f t="shared" ref="C4:C20" si="0">DATE(VALUE(RIGHT(B4,4)),VALUE(LEFT(B4,2)),VALUE(MID(B4,4,2)))</f>
        <v>46199</v>
      </c>
      <c r="D4" s="5" t="str">
        <f>'NOC Copies'!I4</f>
        <v>09/28/2026</v>
      </c>
      <c r="E4" s="5" t="str">
        <f>IF(C4&lt;='NOC Copies'!J4,"Yes","No")</f>
        <v>Yes</v>
      </c>
      <c r="F4" s="7" t="s">
        <v>449</v>
      </c>
      <c r="G4" s="5" t="str">
        <f t="shared" ref="G4:G20" si="1">IF(LEFT(F4,5)="Owner","Yes","No")</f>
        <v>Yes</v>
      </c>
      <c r="H4" s="5" t="str">
        <f t="shared" ref="H4:H20" si="2">TEXT(I4,"mm/dd/yyyy")</f>
        <v>09/24/2026</v>
      </c>
      <c r="I4" s="5">
        <f>IF(OR(WEEKDAY(C4+Parameters!$B$15,2)&gt;5,COUNTIF(Parameters!$C$6:$C$7,C4+Parameters!$B$15)&gt;0),WORKDAY(C4+Parameters!$B$15,1,Parameters!$C$6:$C$7),C4+Parameters!$B$15)</f>
        <v>46289</v>
      </c>
      <c r="J4" s="5" t="s">
        <v>450</v>
      </c>
      <c r="K4" s="5" t="str">
        <f>IF(J4&lt;&gt;"None","No",IF(Parameters!$C$23&gt;I4,"Yes",IF(Parameters!$C$24&gt;I4,"Not shown","No")))</f>
        <v>Yes</v>
      </c>
      <c r="L4" s="5" t="s">
        <v>451</v>
      </c>
    </row>
    <row r="5" spans="1:12" ht="30" customHeight="1" x14ac:dyDescent="0.2">
      <c r="A5" s="5" t="s">
        <v>322</v>
      </c>
      <c r="B5" s="5" t="s">
        <v>452</v>
      </c>
      <c r="C5" s="5">
        <f t="shared" si="0"/>
        <v>46206</v>
      </c>
      <c r="D5" s="5" t="str">
        <f>'NOC Copies'!I5</f>
        <v>09/28/2026</v>
      </c>
      <c r="E5" s="5" t="str">
        <f>IF(C5&lt;='NOC Copies'!J5,"Yes","No")</f>
        <v>Yes</v>
      </c>
      <c r="F5" s="7" t="s">
        <v>449</v>
      </c>
      <c r="G5" s="5" t="str">
        <f t="shared" si="1"/>
        <v>Yes</v>
      </c>
      <c r="H5" s="5" t="str">
        <f t="shared" si="2"/>
        <v>10/01/2026</v>
      </c>
      <c r="I5" s="5">
        <f>IF(OR(WEEKDAY(C5+Parameters!$B$15,2)&gt;5,COUNTIF(Parameters!$C$6:$C$7,C5+Parameters!$B$15)&gt;0),WORKDAY(C5+Parameters!$B$15,1,Parameters!$C$6:$C$7),C5+Parameters!$B$15)</f>
        <v>46296</v>
      </c>
      <c r="J5" s="5" t="s">
        <v>450</v>
      </c>
      <c r="K5" s="5" t="str">
        <f>IF(J5&lt;&gt;"None","No",IF(Parameters!$C$23&gt;I5,"Yes",IF(Parameters!$C$24&gt;I5,"Not shown","No")))</f>
        <v>Yes</v>
      </c>
      <c r="L5" s="5" t="s">
        <v>453</v>
      </c>
    </row>
    <row r="6" spans="1:12" ht="30" customHeight="1" x14ac:dyDescent="0.2">
      <c r="A6" s="5" t="s">
        <v>328</v>
      </c>
      <c r="B6" s="5" t="s">
        <v>278</v>
      </c>
      <c r="C6" s="5">
        <f t="shared" si="0"/>
        <v>46209</v>
      </c>
      <c r="D6" s="5" t="str">
        <f>'NOC Copies'!I6</f>
        <v>09/28/2026</v>
      </c>
      <c r="E6" s="5" t="str">
        <f>IF(C6&lt;='NOC Copies'!J6,"Yes","No")</f>
        <v>Yes</v>
      </c>
      <c r="F6" s="7" t="s">
        <v>449</v>
      </c>
      <c r="G6" s="5" t="str">
        <f t="shared" si="1"/>
        <v>Yes</v>
      </c>
      <c r="H6" s="5" t="str">
        <f t="shared" si="2"/>
        <v>10/05/2026</v>
      </c>
      <c r="I6" s="5">
        <f>IF(OR(WEEKDAY(C6+Parameters!$B$15,2)&gt;5,COUNTIF(Parameters!$C$6:$C$7,C6+Parameters!$B$15)&gt;0),WORKDAY(C6+Parameters!$B$15,1,Parameters!$C$6:$C$7),C6+Parameters!$B$15)</f>
        <v>46300</v>
      </c>
      <c r="J6" s="5" t="s">
        <v>450</v>
      </c>
      <c r="K6" s="5" t="str">
        <f>IF(J6&lt;&gt;"None","No",IF(Parameters!$C$23&gt;I6,"Yes",IF(Parameters!$C$24&gt;I6,"Not shown","No")))</f>
        <v>Not shown</v>
      </c>
      <c r="L6" s="5" t="s">
        <v>454</v>
      </c>
    </row>
    <row r="7" spans="1:12" ht="30" customHeight="1" x14ac:dyDescent="0.2">
      <c r="A7" s="5" t="s">
        <v>333</v>
      </c>
      <c r="B7" s="5" t="s">
        <v>455</v>
      </c>
      <c r="C7" s="5">
        <f t="shared" si="0"/>
        <v>46279</v>
      </c>
      <c r="D7" s="5" t="str">
        <f>'NOC Copies'!I7</f>
        <v>09/28/2026</v>
      </c>
      <c r="E7" s="5" t="str">
        <f>IF(C7&lt;='NOC Copies'!J7,"Yes","No")</f>
        <v>Yes</v>
      </c>
      <c r="F7" s="7" t="s">
        <v>449</v>
      </c>
      <c r="G7" s="5" t="str">
        <f t="shared" si="1"/>
        <v>Yes</v>
      </c>
      <c r="H7" s="5" t="str">
        <f t="shared" si="2"/>
        <v>12/14/2026</v>
      </c>
      <c r="I7" s="5">
        <f>IF(OR(WEEKDAY(C7+Parameters!$B$15,2)&gt;5,COUNTIF(Parameters!$C$6:$C$7,C7+Parameters!$B$15)&gt;0),WORKDAY(C7+Parameters!$B$15,1,Parameters!$C$6:$C$7),C7+Parameters!$B$15)</f>
        <v>46370</v>
      </c>
      <c r="J7" s="5" t="s">
        <v>450</v>
      </c>
      <c r="K7" s="5" t="str">
        <f>IF(J7&lt;&gt;"None","No",IF(Parameters!$C$23&gt;I7,"Yes",IF(Parameters!$C$24&gt;I7,"Not shown","No")))</f>
        <v>No</v>
      </c>
      <c r="L7" s="5" t="s">
        <v>456</v>
      </c>
    </row>
    <row r="8" spans="1:12" ht="30" customHeight="1" x14ac:dyDescent="0.2">
      <c r="A8" s="5" t="s">
        <v>338</v>
      </c>
      <c r="B8" s="5" t="s">
        <v>457</v>
      </c>
      <c r="C8" s="5">
        <f t="shared" si="0"/>
        <v>46281</v>
      </c>
      <c r="D8" s="5" t="str">
        <f>'NOC Copies'!I8</f>
        <v>09/28/2026</v>
      </c>
      <c r="E8" s="5" t="str">
        <f>IF(C8&lt;='NOC Copies'!J8,"Yes","No")</f>
        <v>Yes</v>
      </c>
      <c r="F8" s="7" t="s">
        <v>449</v>
      </c>
      <c r="G8" s="5" t="str">
        <f t="shared" si="1"/>
        <v>Yes</v>
      </c>
      <c r="H8" s="5" t="str">
        <f t="shared" si="2"/>
        <v>12/15/2026</v>
      </c>
      <c r="I8" s="5">
        <f>IF(OR(WEEKDAY(C8+Parameters!$B$15,2)&gt;5,COUNTIF(Parameters!$C$6:$C$7,C8+Parameters!$B$15)&gt;0),WORKDAY(C8+Parameters!$B$15,1,Parameters!$C$6:$C$7),C8+Parameters!$B$15)</f>
        <v>46371</v>
      </c>
      <c r="J8" s="5" t="s">
        <v>450</v>
      </c>
      <c r="K8" s="5" t="str">
        <f>IF(J8&lt;&gt;"None","No",IF(Parameters!$C$23&gt;I8,"Yes",IF(Parameters!$C$24&gt;I8,"Not shown","No")))</f>
        <v>No</v>
      </c>
      <c r="L8" s="5" t="s">
        <v>458</v>
      </c>
    </row>
    <row r="9" spans="1:12" ht="30" customHeight="1" x14ac:dyDescent="0.2">
      <c r="A9" s="5" t="s">
        <v>342</v>
      </c>
      <c r="B9" s="5" t="s">
        <v>459</v>
      </c>
      <c r="C9" s="5">
        <f t="shared" si="0"/>
        <v>46282</v>
      </c>
      <c r="D9" s="5" t="str">
        <f>'NOC Copies'!I9</f>
        <v>09/28/2026</v>
      </c>
      <c r="E9" s="5" t="str">
        <f>IF(C9&lt;='NOC Copies'!J9,"Yes","No")</f>
        <v>Yes</v>
      </c>
      <c r="F9" s="7" t="s">
        <v>460</v>
      </c>
      <c r="G9" s="5" t="str">
        <f t="shared" si="1"/>
        <v>No</v>
      </c>
      <c r="H9" s="5" t="str">
        <f t="shared" si="2"/>
        <v>12/16/2026</v>
      </c>
      <c r="I9" s="5">
        <f>IF(OR(WEEKDAY(C9+Parameters!$B$15,2)&gt;5,COUNTIF(Parameters!$C$6:$C$7,C9+Parameters!$B$15)&gt;0),WORKDAY(C9+Parameters!$B$15,1,Parameters!$C$6:$C$7),C9+Parameters!$B$15)</f>
        <v>46372</v>
      </c>
      <c r="J9" s="5" t="s">
        <v>450</v>
      </c>
      <c r="K9" s="5" t="str">
        <f>IF(J9&lt;&gt;"None","No",IF(Parameters!$C$23&gt;I9,"Yes",IF(Parameters!$C$24&gt;I9,"Not shown","No")))</f>
        <v>No</v>
      </c>
      <c r="L9" s="5" t="s">
        <v>461</v>
      </c>
    </row>
    <row r="10" spans="1:12" ht="30" customHeight="1" x14ac:dyDescent="0.2">
      <c r="A10" s="5" t="s">
        <v>346</v>
      </c>
      <c r="B10" s="5" t="s">
        <v>462</v>
      </c>
      <c r="C10" s="5">
        <f t="shared" si="0"/>
        <v>46286</v>
      </c>
      <c r="D10" s="5" t="str">
        <f>'NOC Copies'!I10</f>
        <v>09/28/2026</v>
      </c>
      <c r="E10" s="5" t="str">
        <f>IF(C10&lt;='NOC Copies'!J10,"Yes","No")</f>
        <v>Yes</v>
      </c>
      <c r="F10" s="7" t="s">
        <v>449</v>
      </c>
      <c r="G10" s="5" t="str">
        <f t="shared" si="1"/>
        <v>Yes</v>
      </c>
      <c r="H10" s="5" t="str">
        <f t="shared" si="2"/>
        <v>12/21/2026</v>
      </c>
      <c r="I10" s="5">
        <f>IF(OR(WEEKDAY(C10+Parameters!$B$15,2)&gt;5,COUNTIF(Parameters!$C$6:$C$7,C10+Parameters!$B$15)&gt;0),WORKDAY(C10+Parameters!$B$15,1,Parameters!$C$6:$C$7),C10+Parameters!$B$15)</f>
        <v>46377</v>
      </c>
      <c r="J10" s="5" t="s">
        <v>450</v>
      </c>
      <c r="K10" s="5" t="str">
        <f>IF(J10&lt;&gt;"None","No",IF(Parameters!$C$23&gt;I10,"Yes",IF(Parameters!$C$24&gt;I10,"Not shown","No")))</f>
        <v>No</v>
      </c>
      <c r="L10" s="5" t="s">
        <v>463</v>
      </c>
    </row>
    <row r="11" spans="1:12" ht="30" customHeight="1" x14ac:dyDescent="0.2">
      <c r="A11" s="5" t="s">
        <v>351</v>
      </c>
      <c r="B11" s="5" t="s">
        <v>464</v>
      </c>
      <c r="C11" s="5">
        <f t="shared" si="0"/>
        <v>46287</v>
      </c>
      <c r="D11" s="5" t="str">
        <f>'NOC Copies'!I11</f>
        <v>09/28/2026</v>
      </c>
      <c r="E11" s="5" t="str">
        <f>IF(C11&lt;='NOC Copies'!J11,"Yes","No")</f>
        <v>Yes</v>
      </c>
      <c r="F11" s="7" t="s">
        <v>449</v>
      </c>
      <c r="G11" s="5" t="str">
        <f t="shared" si="1"/>
        <v>Yes</v>
      </c>
      <c r="H11" s="5" t="str">
        <f t="shared" si="2"/>
        <v>12/21/2026</v>
      </c>
      <c r="I11" s="5">
        <f>IF(OR(WEEKDAY(C11+Parameters!$B$15,2)&gt;5,COUNTIF(Parameters!$C$6:$C$7,C11+Parameters!$B$15)&gt;0),WORKDAY(C11+Parameters!$B$15,1,Parameters!$C$6:$C$7),C11+Parameters!$B$15)</f>
        <v>46377</v>
      </c>
      <c r="J11" s="5" t="s">
        <v>450</v>
      </c>
      <c r="K11" s="5" t="str">
        <f>IF(J11&lt;&gt;"None","No",IF(Parameters!$C$23&gt;I11,"Yes",IF(Parameters!$C$24&gt;I11,"Not shown","No")))</f>
        <v>No</v>
      </c>
      <c r="L11" s="5" t="s">
        <v>465</v>
      </c>
    </row>
    <row r="12" spans="1:12" ht="30" customHeight="1" x14ac:dyDescent="0.2">
      <c r="A12" s="5" t="s">
        <v>356</v>
      </c>
      <c r="B12" s="5" t="s">
        <v>297</v>
      </c>
      <c r="C12" s="5">
        <f t="shared" si="0"/>
        <v>46288</v>
      </c>
      <c r="D12" s="5" t="str">
        <f>'NOC Copies'!I12</f>
        <v>09/28/2026</v>
      </c>
      <c r="E12" s="5" t="str">
        <f>IF(C12&lt;='NOC Copies'!J12,"Yes","No")</f>
        <v>Yes</v>
      </c>
      <c r="F12" s="7" t="s">
        <v>449</v>
      </c>
      <c r="G12" s="5" t="str">
        <f t="shared" si="1"/>
        <v>Yes</v>
      </c>
      <c r="H12" s="5" t="str">
        <f t="shared" si="2"/>
        <v>12/22/2026</v>
      </c>
      <c r="I12" s="5">
        <f>IF(OR(WEEKDAY(C12+Parameters!$B$15,2)&gt;5,COUNTIF(Parameters!$C$6:$C$7,C12+Parameters!$B$15)&gt;0),WORKDAY(C12+Parameters!$B$15,1,Parameters!$C$6:$C$7),C12+Parameters!$B$15)</f>
        <v>46378</v>
      </c>
      <c r="J12" s="5" t="s">
        <v>450</v>
      </c>
      <c r="K12" s="5" t="str">
        <f>IF(J12&lt;&gt;"None","No",IF(Parameters!$C$23&gt;I12,"Yes",IF(Parameters!$C$24&gt;I12,"Not shown","No")))</f>
        <v>No</v>
      </c>
      <c r="L12" s="5" t="s">
        <v>466</v>
      </c>
    </row>
    <row r="13" spans="1:12" ht="30" customHeight="1" x14ac:dyDescent="0.2">
      <c r="A13" s="5" t="s">
        <v>270</v>
      </c>
      <c r="B13" s="5" t="s">
        <v>467</v>
      </c>
      <c r="C13" s="5">
        <f t="shared" si="0"/>
        <v>46289</v>
      </c>
      <c r="D13" s="5" t="str">
        <f>'NOC Copies'!I13</f>
        <v>09/28/2026</v>
      </c>
      <c r="E13" s="5" t="str">
        <f>IF(C13&lt;='NOC Copies'!J13,"Yes","No")</f>
        <v>Yes</v>
      </c>
      <c r="F13" s="7" t="s">
        <v>468</v>
      </c>
      <c r="G13" s="5" t="str">
        <f t="shared" si="1"/>
        <v>Yes</v>
      </c>
      <c r="H13" s="5" t="str">
        <f t="shared" si="2"/>
        <v>12/23/2026</v>
      </c>
      <c r="I13" s="5">
        <f>IF(OR(WEEKDAY(C13+Parameters!$B$15,2)&gt;5,COUNTIF(Parameters!$C$6:$C$7,C13+Parameters!$B$15)&gt;0),WORKDAY(C13+Parameters!$B$15,1,Parameters!$C$6:$C$7),C13+Parameters!$B$15)</f>
        <v>46379</v>
      </c>
      <c r="J13" s="5" t="s">
        <v>450</v>
      </c>
      <c r="K13" s="5" t="str">
        <f>IF(J13&lt;&gt;"None","No",IF(Parameters!$C$23&gt;I13,"Yes",IF(Parameters!$C$24&gt;I13,"Not shown","No")))</f>
        <v>No</v>
      </c>
      <c r="L13" s="5" t="s">
        <v>469</v>
      </c>
    </row>
    <row r="14" spans="1:12" ht="30" customHeight="1" x14ac:dyDescent="0.2">
      <c r="A14" s="5" t="s">
        <v>364</v>
      </c>
      <c r="B14" s="5" t="s">
        <v>470</v>
      </c>
      <c r="C14" s="5">
        <f t="shared" si="0"/>
        <v>46293</v>
      </c>
      <c r="D14" s="5" t="str">
        <f>'NOC Copies'!I14</f>
        <v>09/28/2026</v>
      </c>
      <c r="E14" s="5" t="str">
        <f>IF(C14&lt;='NOC Copies'!J14,"Yes","No")</f>
        <v>Yes</v>
      </c>
      <c r="F14" s="7" t="s">
        <v>449</v>
      </c>
      <c r="G14" s="5" t="str">
        <f t="shared" si="1"/>
        <v>Yes</v>
      </c>
      <c r="H14" s="5" t="str">
        <f t="shared" si="2"/>
        <v>12/28/2026</v>
      </c>
      <c r="I14" s="5">
        <f>IF(OR(WEEKDAY(C14+Parameters!$B$15,2)&gt;5,COUNTIF(Parameters!$C$6:$C$7,C14+Parameters!$B$15)&gt;0),WORKDAY(C14+Parameters!$B$15,1,Parameters!$C$6:$C$7),C14+Parameters!$B$15)</f>
        <v>46384</v>
      </c>
      <c r="J14" s="5" t="s">
        <v>450</v>
      </c>
      <c r="K14" s="5" t="str">
        <f>IF(J14&lt;&gt;"None","No",IF(Parameters!$C$23&gt;I14,"Yes",IF(Parameters!$C$24&gt;I14,"Not shown","No")))</f>
        <v>No</v>
      </c>
      <c r="L14" s="5" t="s">
        <v>471</v>
      </c>
    </row>
    <row r="15" spans="1:12" ht="30" customHeight="1" x14ac:dyDescent="0.2">
      <c r="A15" s="5" t="s">
        <v>369</v>
      </c>
      <c r="B15" s="5" t="s">
        <v>472</v>
      </c>
      <c r="C15" s="5">
        <f t="shared" si="0"/>
        <v>46294</v>
      </c>
      <c r="D15" s="5" t="str">
        <f>'NOC Copies'!I15</f>
        <v>11/09/2026</v>
      </c>
      <c r="E15" s="5" t="str">
        <f>IF(C15&lt;='NOC Copies'!J15,"Yes","No")</f>
        <v>Yes</v>
      </c>
      <c r="F15" s="7" t="s">
        <v>449</v>
      </c>
      <c r="G15" s="5" t="str">
        <f t="shared" si="1"/>
        <v>Yes</v>
      </c>
      <c r="H15" s="5" t="str">
        <f t="shared" si="2"/>
        <v>12/28/2026</v>
      </c>
      <c r="I15" s="5">
        <f>IF(OR(WEEKDAY(C15+Parameters!$B$15,2)&gt;5,COUNTIF(Parameters!$C$6:$C$7,C15+Parameters!$B$15)&gt;0),WORKDAY(C15+Parameters!$B$15,1,Parameters!$C$6:$C$7),C15+Parameters!$B$15)</f>
        <v>46384</v>
      </c>
      <c r="J15" s="5" t="s">
        <v>450</v>
      </c>
      <c r="K15" s="5" t="str">
        <f>IF(J15&lt;&gt;"None","No",IF(Parameters!$C$23&gt;I15,"Yes",IF(Parameters!$C$24&gt;I15,"Not shown","No")))</f>
        <v>No</v>
      </c>
      <c r="L15" s="5" t="s">
        <v>473</v>
      </c>
    </row>
    <row r="16" spans="1:12" ht="30" customHeight="1" x14ac:dyDescent="0.2">
      <c r="A16" s="5" t="s">
        <v>374</v>
      </c>
      <c r="B16" s="5" t="s">
        <v>161</v>
      </c>
      <c r="C16" s="5">
        <f t="shared" si="0"/>
        <v>46295</v>
      </c>
      <c r="D16" s="5" t="str">
        <f>'NOC Copies'!I16</f>
        <v>09/28/2026</v>
      </c>
      <c r="E16" s="5" t="str">
        <f>IF(C16&lt;='NOC Copies'!J16,"Yes","No")</f>
        <v>No</v>
      </c>
      <c r="F16" s="7" t="s">
        <v>449</v>
      </c>
      <c r="G16" s="5" t="str">
        <f t="shared" si="1"/>
        <v>Yes</v>
      </c>
      <c r="H16" s="5" t="str">
        <f t="shared" si="2"/>
        <v>12/29/2026</v>
      </c>
      <c r="I16" s="5">
        <f>IF(OR(WEEKDAY(C16+Parameters!$B$15,2)&gt;5,COUNTIF(Parameters!$C$6:$C$7,C16+Parameters!$B$15)&gt;0),WORKDAY(C16+Parameters!$B$15,1,Parameters!$C$6:$C$7),C16+Parameters!$B$15)</f>
        <v>46385</v>
      </c>
      <c r="J16" s="5" t="s">
        <v>450</v>
      </c>
      <c r="K16" s="5" t="str">
        <f>IF(J16&lt;&gt;"None","No",IF(Parameters!$C$23&gt;I16,"Yes",IF(Parameters!$C$24&gt;I16,"Not shown","No")))</f>
        <v>No</v>
      </c>
      <c r="L16" s="5" t="s">
        <v>474</v>
      </c>
    </row>
    <row r="17" spans="1:12" ht="30" customHeight="1" x14ac:dyDescent="0.2">
      <c r="A17" s="5" t="s">
        <v>378</v>
      </c>
      <c r="B17" s="5" t="s">
        <v>161</v>
      </c>
      <c r="C17" s="5">
        <f t="shared" si="0"/>
        <v>46295</v>
      </c>
      <c r="D17" s="5" t="str">
        <f>'NOC Copies'!I17</f>
        <v>11/09/2026</v>
      </c>
      <c r="E17" s="5" t="str">
        <f>IF(C17&lt;='NOC Copies'!J17,"Yes","No")</f>
        <v>Yes</v>
      </c>
      <c r="F17" s="7" t="s">
        <v>449</v>
      </c>
      <c r="G17" s="5" t="str">
        <f t="shared" si="1"/>
        <v>Yes</v>
      </c>
      <c r="H17" s="5" t="str">
        <f t="shared" si="2"/>
        <v>12/29/2026</v>
      </c>
      <c r="I17" s="5">
        <f>IF(OR(WEEKDAY(C17+Parameters!$B$15,2)&gt;5,COUNTIF(Parameters!$C$6:$C$7,C17+Parameters!$B$15)&gt;0),WORKDAY(C17+Parameters!$B$15,1,Parameters!$C$6:$C$7),C17+Parameters!$B$15)</f>
        <v>46385</v>
      </c>
      <c r="J17" s="5" t="s">
        <v>450</v>
      </c>
      <c r="K17" s="5" t="str">
        <f>IF(J17&lt;&gt;"None","No",IF(Parameters!$C$23&gt;I17,"Yes",IF(Parameters!$C$24&gt;I17,"Not shown","No")))</f>
        <v>No</v>
      </c>
      <c r="L17" s="5" t="s">
        <v>475</v>
      </c>
    </row>
    <row r="18" spans="1:12" ht="30" customHeight="1" x14ac:dyDescent="0.2">
      <c r="A18" s="5" t="s">
        <v>384</v>
      </c>
      <c r="B18" s="5" t="s">
        <v>476</v>
      </c>
      <c r="C18" s="5">
        <f t="shared" si="0"/>
        <v>46296</v>
      </c>
      <c r="D18" s="5" t="str">
        <f>'NOC Copies'!I18</f>
        <v>11/09/2026</v>
      </c>
      <c r="E18" s="5" t="str">
        <f>IF(C18&lt;='NOC Copies'!J18,"Yes","No")</f>
        <v>Yes</v>
      </c>
      <c r="F18" s="7" t="s">
        <v>449</v>
      </c>
      <c r="G18" s="5" t="str">
        <f t="shared" si="1"/>
        <v>Yes</v>
      </c>
      <c r="H18" s="5" t="str">
        <f t="shared" si="2"/>
        <v>12/30/2026</v>
      </c>
      <c r="I18" s="5">
        <f>IF(OR(WEEKDAY(C18+Parameters!$B$15,2)&gt;5,COUNTIF(Parameters!$C$6:$C$7,C18+Parameters!$B$15)&gt;0),WORKDAY(C18+Parameters!$B$15,1,Parameters!$C$6:$C$7),C18+Parameters!$B$15)</f>
        <v>46386</v>
      </c>
      <c r="J18" s="5" t="s">
        <v>450</v>
      </c>
      <c r="K18" s="5" t="str">
        <f>IF(J18&lt;&gt;"None","No",IF(Parameters!$C$23&gt;I18,"Yes",IF(Parameters!$C$24&gt;I18,"Not shown","No")))</f>
        <v>No</v>
      </c>
      <c r="L18" s="5" t="s">
        <v>477</v>
      </c>
    </row>
    <row r="19" spans="1:12" ht="30" customHeight="1" x14ac:dyDescent="0.2">
      <c r="A19" s="5" t="s">
        <v>389</v>
      </c>
      <c r="B19" s="5" t="s">
        <v>476</v>
      </c>
      <c r="C19" s="5">
        <f t="shared" si="0"/>
        <v>46296</v>
      </c>
      <c r="D19" s="5" t="str">
        <f>'NOC Copies'!I19</f>
        <v>09/28/2026</v>
      </c>
      <c r="E19" s="5" t="str">
        <f>IF(C19&lt;='NOC Copies'!J19,"Yes","No")</f>
        <v>No</v>
      </c>
      <c r="F19" s="7" t="s">
        <v>449</v>
      </c>
      <c r="G19" s="5" t="str">
        <f t="shared" si="1"/>
        <v>Yes</v>
      </c>
      <c r="H19" s="5" t="str">
        <f t="shared" si="2"/>
        <v>12/30/2026</v>
      </c>
      <c r="I19" s="5">
        <f>IF(OR(WEEKDAY(C19+Parameters!$B$15,2)&gt;5,COUNTIF(Parameters!$C$6:$C$7,C19+Parameters!$B$15)&gt;0),WORKDAY(C19+Parameters!$B$15,1,Parameters!$C$6:$C$7),C19+Parameters!$B$15)</f>
        <v>46386</v>
      </c>
      <c r="J19" s="5" t="s">
        <v>450</v>
      </c>
      <c r="K19" s="5" t="str">
        <f>IF(J19&lt;&gt;"None","No",IF(Parameters!$C$23&gt;I19,"Yes",IF(Parameters!$C$24&gt;I19,"Not shown","No")))</f>
        <v>No</v>
      </c>
      <c r="L19" s="5" t="s">
        <v>478</v>
      </c>
    </row>
    <row r="20" spans="1:12" ht="30" customHeight="1" x14ac:dyDescent="0.2">
      <c r="A20" s="5" t="s">
        <v>393</v>
      </c>
      <c r="B20" s="5" t="s">
        <v>476</v>
      </c>
      <c r="C20" s="5">
        <f t="shared" si="0"/>
        <v>46296</v>
      </c>
      <c r="D20" s="5" t="str">
        <f>'NOC Copies'!I20</f>
        <v>11/09/2026</v>
      </c>
      <c r="E20" s="5" t="str">
        <f>IF(C20&lt;='NOC Copies'!J20,"Yes","No")</f>
        <v>Yes</v>
      </c>
      <c r="F20" s="7" t="s">
        <v>449</v>
      </c>
      <c r="G20" s="5" t="str">
        <f t="shared" si="1"/>
        <v>Yes</v>
      </c>
      <c r="H20" s="5" t="str">
        <f t="shared" si="2"/>
        <v>12/30/2026</v>
      </c>
      <c r="I20" s="5">
        <f>IF(OR(WEEKDAY(C20+Parameters!$B$15,2)&gt;5,COUNTIF(Parameters!$C$6:$C$7,C20+Parameters!$B$15)&gt;0),WORKDAY(C20+Parameters!$B$15,1,Parameters!$C$6:$C$7),C20+Parameters!$B$15)</f>
        <v>46386</v>
      </c>
      <c r="J20" s="5" t="s">
        <v>450</v>
      </c>
      <c r="K20" s="5" t="str">
        <f>IF(J20&lt;&gt;"None","No",IF(Parameters!$C$23&gt;I20,"Yes",IF(Parameters!$C$24&gt;I20,"Not shown","No")))</f>
        <v>No</v>
      </c>
      <c r="L20" s="5" t="s">
        <v>479</v>
      </c>
    </row>
    <row r="22" spans="1:12" x14ac:dyDescent="0.2">
      <c r="A22" s="8" t="s">
        <v>480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1"/>
  <sheetViews>
    <sheetView workbookViewId="0"/>
  </sheetViews>
  <sheetFormatPr baseColWidth="10" defaultColWidth="8.83203125" defaultRowHeight="15" x14ac:dyDescent="0.2"/>
  <cols>
    <col min="1" max="1" width="34" customWidth="1"/>
    <col min="2" max="2" width="46" customWidth="1"/>
    <col min="3" max="3" width="13" customWidth="1"/>
    <col min="4" max="4" width="12" customWidth="1"/>
    <col min="5" max="5" width="13" customWidth="1"/>
    <col min="6" max="6" width="40" customWidth="1"/>
    <col min="7" max="7" width="34" customWidth="1"/>
    <col min="8" max="8" width="10" customWidth="1"/>
    <col min="9" max="9" width="22" customWidth="1"/>
    <col min="10" max="10" width="11" customWidth="1"/>
    <col min="11" max="12" width="10" customWidth="1"/>
    <col min="13" max="13" width="58" customWidth="1"/>
  </cols>
  <sheetData>
    <row r="1" spans="1:14" ht="17" customHeight="1" x14ac:dyDescent="0.2">
      <c r="A1" s="1" t="s">
        <v>481</v>
      </c>
    </row>
    <row r="3" spans="1:14" ht="30" customHeight="1" x14ac:dyDescent="0.2">
      <c r="A3" s="4" t="s">
        <v>50</v>
      </c>
      <c r="B3" s="4" t="s">
        <v>482</v>
      </c>
      <c r="C3" s="4" t="s">
        <v>483</v>
      </c>
      <c r="D3" s="4" t="s">
        <v>484</v>
      </c>
      <c r="E3" s="4" t="s">
        <v>238</v>
      </c>
      <c r="F3" s="4" t="s">
        <v>485</v>
      </c>
      <c r="G3" s="4" t="s">
        <v>486</v>
      </c>
      <c r="H3" s="4" t="s">
        <v>233</v>
      </c>
      <c r="I3" s="4" t="s">
        <v>487</v>
      </c>
      <c r="J3" s="4" t="s">
        <v>488</v>
      </c>
      <c r="K3" s="4" t="s">
        <v>489</v>
      </c>
      <c r="L3" s="4" t="s">
        <v>490</v>
      </c>
      <c r="M3" s="4" t="s">
        <v>491</v>
      </c>
      <c r="N3" s="4" t="s">
        <v>492</v>
      </c>
    </row>
    <row r="4" spans="1:14" x14ac:dyDescent="0.2">
      <c r="A4" s="5" t="s">
        <v>315</v>
      </c>
      <c r="B4" s="7" t="s">
        <v>493</v>
      </c>
      <c r="C4" s="5" t="s">
        <v>494</v>
      </c>
      <c r="D4" s="5">
        <f t="shared" ref="D4:D39" si="0">IF(C4="","",DATE(VALUE(RIGHT(C4,4)),VALUE(LEFT(C4,2)),VALUE(MID(C4,4,2))))</f>
        <v>46081</v>
      </c>
      <c r="E4" s="6">
        <v>71250</v>
      </c>
      <c r="F4" s="7" t="s">
        <v>450</v>
      </c>
      <c r="H4" s="5" t="str">
        <f t="shared" ref="H4:H39" si="1">IF(G4="","",VALUE(RIGHT(G4,4)))</f>
        <v/>
      </c>
      <c r="I4" s="5" t="str">
        <f>IF(G4="","No check named",IF(COUNTIFS('DK Ledger'!$B$4:$B$43,H4,'DK Ledger'!$C$4:$C$43,"STP")&gt;0,"Stopped",IF(INDEX('DK Ledger'!$H$4:$H$43,MATCH(H4,'DK Ledger'!$B$4:$B$43,0))="","Not paid by the bank","Paid "&amp;INDEX('DK Ledger'!$H$4:$H$43,MATCH(H4,'DK Ledger'!$B$4:$B$43,0)))))</f>
        <v>No check named</v>
      </c>
      <c r="J4" s="5" t="str">
        <f t="shared" ref="J4:J39" si="2">IF(OR(LEFT(B4,32)="Unconditional Waiver and Release",LEFT(B4,30)="Conditional Waiver and Release"),"Yes","No")</f>
        <v>Yes</v>
      </c>
      <c r="K4" s="5" t="str">
        <f t="shared" ref="K4:K39" si="3">IF(J4="No","None",IF(ISNUMBER(SEARCH("Final Payment",B4)),"Final","Progress"))</f>
        <v>Progress</v>
      </c>
      <c r="L4" s="5" t="str">
        <f t="shared" ref="L4:L39" si="4">IF(J4="No","No",IF(LEFT(B4,13)="Unconditional","Yes",IF(LEFT(I4,4)="Paid","Yes","No")))</f>
        <v>Yes</v>
      </c>
      <c r="M4" s="7" t="str">
        <f t="shared" ref="M4:M39" si="5">IF(J4="No","Not one of the four statutory forms, releases nothing",IF(LEFT(B4,13)="Unconditional",IF(K4="Final","Effective when signed whether or not paid, section 8138","Effective when signed whether or not paid, section 8134"),IF(LEFT(I4,4)="Paid","Check paid by the bank, effective under section 8124(b)","No evidence of payment under section 8124(b), releases nothing until payment is shown")))</f>
        <v>Effective when signed whether or not paid, section 8134</v>
      </c>
      <c r="N4" s="6">
        <f t="shared" ref="N4:N39" si="6">IF(ISNUMBER(SEARCH("extras: $",F4)),VALUE(SUBSTITUTE(MID(F4,SEARCH("extras: $",F4)+9,20),",","")),0)</f>
        <v>0</v>
      </c>
    </row>
    <row r="5" spans="1:14" x14ac:dyDescent="0.2">
      <c r="A5" s="5" t="s">
        <v>315</v>
      </c>
      <c r="B5" s="7" t="s">
        <v>493</v>
      </c>
      <c r="C5" s="5" t="s">
        <v>247</v>
      </c>
      <c r="D5" s="5">
        <f t="shared" si="0"/>
        <v>46112</v>
      </c>
      <c r="E5" s="6">
        <v>158650</v>
      </c>
      <c r="F5" s="7" t="s">
        <v>450</v>
      </c>
      <c r="H5" s="5" t="str">
        <f t="shared" si="1"/>
        <v/>
      </c>
      <c r="I5" s="5" t="str">
        <f>IF(G5="","No check named",IF(COUNTIFS('DK Ledger'!$B$4:$B$43,H5,'DK Ledger'!$C$4:$C$43,"STP")&gt;0,"Stopped",IF(INDEX('DK Ledger'!$H$4:$H$43,MATCH(H5,'DK Ledger'!$B$4:$B$43,0))="","Not paid by the bank","Paid "&amp;INDEX('DK Ledger'!$H$4:$H$43,MATCH(H5,'DK Ledger'!$B$4:$B$43,0)))))</f>
        <v>No check named</v>
      </c>
      <c r="J5" s="5" t="str">
        <f t="shared" si="2"/>
        <v>Yes</v>
      </c>
      <c r="K5" s="5" t="str">
        <f t="shared" si="3"/>
        <v>Progress</v>
      </c>
      <c r="L5" s="5" t="str">
        <f t="shared" si="4"/>
        <v>Yes</v>
      </c>
      <c r="M5" s="7" t="str">
        <f t="shared" si="5"/>
        <v>Effective when signed whether or not paid, section 8134</v>
      </c>
      <c r="N5" s="6">
        <f t="shared" si="6"/>
        <v>0</v>
      </c>
    </row>
    <row r="6" spans="1:14" x14ac:dyDescent="0.2">
      <c r="A6" s="5" t="s">
        <v>315</v>
      </c>
      <c r="B6" s="7" t="s">
        <v>493</v>
      </c>
      <c r="C6" s="5" t="s">
        <v>253</v>
      </c>
      <c r="D6" s="5">
        <f t="shared" si="0"/>
        <v>46142</v>
      </c>
      <c r="E6" s="6">
        <v>143710</v>
      </c>
      <c r="F6" s="7" t="s">
        <v>450</v>
      </c>
      <c r="H6" s="5" t="str">
        <f t="shared" si="1"/>
        <v/>
      </c>
      <c r="I6" s="5" t="str">
        <f>IF(G6="","No check named",IF(COUNTIFS('DK Ledger'!$B$4:$B$43,H6,'DK Ledger'!$C$4:$C$43,"STP")&gt;0,"Stopped",IF(INDEX('DK Ledger'!$H$4:$H$43,MATCH(H6,'DK Ledger'!$B$4:$B$43,0))="","Not paid by the bank","Paid "&amp;INDEX('DK Ledger'!$H$4:$H$43,MATCH(H6,'DK Ledger'!$B$4:$B$43,0)))))</f>
        <v>No check named</v>
      </c>
      <c r="J6" s="5" t="str">
        <f t="shared" si="2"/>
        <v>Yes</v>
      </c>
      <c r="K6" s="5" t="str">
        <f t="shared" si="3"/>
        <v>Progress</v>
      </c>
      <c r="L6" s="5" t="str">
        <f t="shared" si="4"/>
        <v>Yes</v>
      </c>
      <c r="M6" s="7" t="str">
        <f t="shared" si="5"/>
        <v>Effective when signed whether or not paid, section 8134</v>
      </c>
      <c r="N6" s="6">
        <f t="shared" si="6"/>
        <v>0</v>
      </c>
    </row>
    <row r="7" spans="1:14" ht="30" customHeight="1" x14ac:dyDescent="0.2">
      <c r="A7" s="5" t="s">
        <v>315</v>
      </c>
      <c r="B7" s="7" t="s">
        <v>495</v>
      </c>
      <c r="C7" s="5" t="s">
        <v>496</v>
      </c>
      <c r="D7" s="5">
        <f t="shared" si="0"/>
        <v>46150</v>
      </c>
      <c r="E7" s="6">
        <v>12675</v>
      </c>
      <c r="F7" s="7" t="s">
        <v>497</v>
      </c>
      <c r="H7" s="5" t="str">
        <f t="shared" si="1"/>
        <v/>
      </c>
      <c r="I7" s="5" t="str">
        <f>IF(G7="","No check named",IF(COUNTIFS('DK Ledger'!$B$4:$B$43,H7,'DK Ledger'!$C$4:$C$43,"STP")&gt;0,"Stopped",IF(INDEX('DK Ledger'!$H$4:$H$43,MATCH(H7,'DK Ledger'!$B$4:$B$43,0))="","Not paid by the bank","Paid "&amp;INDEX('DK Ledger'!$H$4:$H$43,MATCH(H7,'DK Ledger'!$B$4:$B$43,0)))))</f>
        <v>No check named</v>
      </c>
      <c r="J7" s="5" t="str">
        <f t="shared" si="2"/>
        <v>No</v>
      </c>
      <c r="K7" s="5" t="str">
        <f t="shared" si="3"/>
        <v>None</v>
      </c>
      <c r="L7" s="5" t="str">
        <f t="shared" si="4"/>
        <v>No</v>
      </c>
      <c r="M7" s="7" t="str">
        <f t="shared" si="5"/>
        <v>Not one of the four statutory forms, releases nothing</v>
      </c>
      <c r="N7" s="6">
        <f t="shared" si="6"/>
        <v>0</v>
      </c>
    </row>
    <row r="8" spans="1:14" x14ac:dyDescent="0.2">
      <c r="A8" s="5" t="s">
        <v>342</v>
      </c>
      <c r="B8" s="7" t="s">
        <v>493</v>
      </c>
      <c r="C8" s="5" t="s">
        <v>498</v>
      </c>
      <c r="D8" s="5">
        <f t="shared" si="0"/>
        <v>46173</v>
      </c>
      <c r="E8" s="6">
        <v>112765</v>
      </c>
      <c r="F8" s="7" t="s">
        <v>450</v>
      </c>
      <c r="H8" s="5" t="str">
        <f t="shared" si="1"/>
        <v/>
      </c>
      <c r="I8" s="5" t="str">
        <f>IF(G8="","No check named",IF(COUNTIFS('DK Ledger'!$B$4:$B$43,H8,'DK Ledger'!$C$4:$C$43,"STP")&gt;0,"Stopped",IF(INDEX('DK Ledger'!$H$4:$H$43,MATCH(H8,'DK Ledger'!$B$4:$B$43,0))="","Not paid by the bank","Paid "&amp;INDEX('DK Ledger'!$H$4:$H$43,MATCH(H8,'DK Ledger'!$B$4:$B$43,0)))))</f>
        <v>No check named</v>
      </c>
      <c r="J8" s="5" t="str">
        <f t="shared" si="2"/>
        <v>Yes</v>
      </c>
      <c r="K8" s="5" t="str">
        <f t="shared" si="3"/>
        <v>Progress</v>
      </c>
      <c r="L8" s="5" t="str">
        <f t="shared" si="4"/>
        <v>Yes</v>
      </c>
      <c r="M8" s="7" t="str">
        <f t="shared" si="5"/>
        <v>Effective when signed whether or not paid, section 8134</v>
      </c>
      <c r="N8" s="6">
        <f t="shared" si="6"/>
        <v>0</v>
      </c>
    </row>
    <row r="9" spans="1:14" x14ac:dyDescent="0.2">
      <c r="A9" s="5" t="s">
        <v>342</v>
      </c>
      <c r="B9" s="7" t="s">
        <v>493</v>
      </c>
      <c r="C9" s="5" t="s">
        <v>275</v>
      </c>
      <c r="D9" s="5">
        <f t="shared" si="0"/>
        <v>46203</v>
      </c>
      <c r="E9" s="6">
        <v>64790</v>
      </c>
      <c r="F9" s="7" t="s">
        <v>450</v>
      </c>
      <c r="H9" s="5" t="str">
        <f t="shared" si="1"/>
        <v/>
      </c>
      <c r="I9" s="5" t="str">
        <f>IF(G9="","No check named",IF(COUNTIFS('DK Ledger'!$B$4:$B$43,H9,'DK Ledger'!$C$4:$C$43,"STP")&gt;0,"Stopped",IF(INDEX('DK Ledger'!$H$4:$H$43,MATCH(H9,'DK Ledger'!$B$4:$B$43,0))="","Not paid by the bank","Paid "&amp;INDEX('DK Ledger'!$H$4:$H$43,MATCH(H9,'DK Ledger'!$B$4:$B$43,0)))))</f>
        <v>No check named</v>
      </c>
      <c r="J9" s="5" t="str">
        <f t="shared" si="2"/>
        <v>Yes</v>
      </c>
      <c r="K9" s="5" t="str">
        <f t="shared" si="3"/>
        <v>Progress</v>
      </c>
      <c r="L9" s="5" t="str">
        <f t="shared" si="4"/>
        <v>Yes</v>
      </c>
      <c r="M9" s="7" t="str">
        <f t="shared" si="5"/>
        <v>Effective when signed whether or not paid, section 8134</v>
      </c>
      <c r="N9" s="6">
        <f t="shared" si="6"/>
        <v>0</v>
      </c>
    </row>
    <row r="10" spans="1:14" x14ac:dyDescent="0.2">
      <c r="A10" s="5" t="s">
        <v>346</v>
      </c>
      <c r="B10" s="7" t="s">
        <v>493</v>
      </c>
      <c r="C10" s="5" t="s">
        <v>247</v>
      </c>
      <c r="D10" s="5">
        <f t="shared" si="0"/>
        <v>46112</v>
      </c>
      <c r="E10" s="6">
        <v>32110</v>
      </c>
      <c r="F10" s="7" t="s">
        <v>450</v>
      </c>
      <c r="H10" s="5" t="str">
        <f t="shared" si="1"/>
        <v/>
      </c>
      <c r="I10" s="5" t="str">
        <f>IF(G10="","No check named",IF(COUNTIFS('DK Ledger'!$B$4:$B$43,H10,'DK Ledger'!$C$4:$C$43,"STP")&gt;0,"Stopped",IF(INDEX('DK Ledger'!$H$4:$H$43,MATCH(H10,'DK Ledger'!$B$4:$B$43,0))="","Not paid by the bank","Paid "&amp;INDEX('DK Ledger'!$H$4:$H$43,MATCH(H10,'DK Ledger'!$B$4:$B$43,0)))))</f>
        <v>No check named</v>
      </c>
      <c r="J10" s="5" t="str">
        <f t="shared" si="2"/>
        <v>Yes</v>
      </c>
      <c r="K10" s="5" t="str">
        <f t="shared" si="3"/>
        <v>Progress</v>
      </c>
      <c r="L10" s="5" t="str">
        <f t="shared" si="4"/>
        <v>Yes</v>
      </c>
      <c r="M10" s="7" t="str">
        <f t="shared" si="5"/>
        <v>Effective when signed whether or not paid, section 8134</v>
      </c>
      <c r="N10" s="6">
        <f t="shared" si="6"/>
        <v>0</v>
      </c>
    </row>
    <row r="11" spans="1:14" x14ac:dyDescent="0.2">
      <c r="A11" s="5" t="s">
        <v>346</v>
      </c>
      <c r="B11" s="7" t="s">
        <v>493</v>
      </c>
      <c r="C11" s="5" t="s">
        <v>253</v>
      </c>
      <c r="D11" s="5">
        <f t="shared" si="0"/>
        <v>46142</v>
      </c>
      <c r="E11" s="6">
        <v>97565</v>
      </c>
      <c r="F11" s="7" t="s">
        <v>450</v>
      </c>
      <c r="H11" s="5" t="str">
        <f t="shared" si="1"/>
        <v/>
      </c>
      <c r="I11" s="5" t="str">
        <f>IF(G11="","No check named",IF(COUNTIFS('DK Ledger'!$B$4:$B$43,H11,'DK Ledger'!$C$4:$C$43,"STP")&gt;0,"Stopped",IF(INDEX('DK Ledger'!$H$4:$H$43,MATCH(H11,'DK Ledger'!$B$4:$B$43,0))="","Not paid by the bank","Paid "&amp;INDEX('DK Ledger'!$H$4:$H$43,MATCH(H11,'DK Ledger'!$B$4:$B$43,0)))))</f>
        <v>No check named</v>
      </c>
      <c r="J11" s="5" t="str">
        <f t="shared" si="2"/>
        <v>Yes</v>
      </c>
      <c r="K11" s="5" t="str">
        <f t="shared" si="3"/>
        <v>Progress</v>
      </c>
      <c r="L11" s="5" t="str">
        <f t="shared" si="4"/>
        <v>Yes</v>
      </c>
      <c r="M11" s="7" t="str">
        <f t="shared" si="5"/>
        <v>Effective when signed whether or not paid, section 8134</v>
      </c>
      <c r="N11" s="6">
        <f t="shared" si="6"/>
        <v>0</v>
      </c>
    </row>
    <row r="12" spans="1:14" x14ac:dyDescent="0.2">
      <c r="A12" s="5" t="s">
        <v>346</v>
      </c>
      <c r="B12" s="7" t="s">
        <v>493</v>
      </c>
      <c r="C12" s="5" t="s">
        <v>498</v>
      </c>
      <c r="D12" s="5">
        <f t="shared" si="0"/>
        <v>46173</v>
      </c>
      <c r="E12" s="6">
        <v>66860</v>
      </c>
      <c r="F12" s="7" t="s">
        <v>450</v>
      </c>
      <c r="H12" s="5" t="str">
        <f t="shared" si="1"/>
        <v/>
      </c>
      <c r="I12" s="5" t="str">
        <f>IF(G12="","No check named",IF(COUNTIFS('DK Ledger'!$B$4:$B$43,H12,'DK Ledger'!$C$4:$C$43,"STP")&gt;0,"Stopped",IF(INDEX('DK Ledger'!$H$4:$H$43,MATCH(H12,'DK Ledger'!$B$4:$B$43,0))="","Not paid by the bank","Paid "&amp;INDEX('DK Ledger'!$H$4:$H$43,MATCH(H12,'DK Ledger'!$B$4:$B$43,0)))))</f>
        <v>No check named</v>
      </c>
      <c r="J12" s="5" t="str">
        <f t="shared" si="2"/>
        <v>Yes</v>
      </c>
      <c r="K12" s="5" t="str">
        <f t="shared" si="3"/>
        <v>Progress</v>
      </c>
      <c r="L12" s="5" t="str">
        <f t="shared" si="4"/>
        <v>Yes</v>
      </c>
      <c r="M12" s="7" t="str">
        <f t="shared" si="5"/>
        <v>Effective when signed whether or not paid, section 8134</v>
      </c>
      <c r="N12" s="6">
        <f t="shared" si="6"/>
        <v>0</v>
      </c>
    </row>
    <row r="13" spans="1:14" x14ac:dyDescent="0.2">
      <c r="A13" s="5" t="s">
        <v>346</v>
      </c>
      <c r="B13" s="7" t="s">
        <v>493</v>
      </c>
      <c r="C13" s="5" t="s">
        <v>275</v>
      </c>
      <c r="D13" s="5">
        <f t="shared" si="0"/>
        <v>46203</v>
      </c>
      <c r="E13" s="6">
        <v>88920</v>
      </c>
      <c r="F13" s="7" t="s">
        <v>450</v>
      </c>
      <c r="H13" s="5" t="str">
        <f t="shared" si="1"/>
        <v/>
      </c>
      <c r="I13" s="5" t="str">
        <f>IF(G13="","No check named",IF(COUNTIFS('DK Ledger'!$B$4:$B$43,H13,'DK Ledger'!$C$4:$C$43,"STP")&gt;0,"Stopped",IF(INDEX('DK Ledger'!$H$4:$H$43,MATCH(H13,'DK Ledger'!$B$4:$B$43,0))="","Not paid by the bank","Paid "&amp;INDEX('DK Ledger'!$H$4:$H$43,MATCH(H13,'DK Ledger'!$B$4:$B$43,0)))))</f>
        <v>No check named</v>
      </c>
      <c r="J13" s="5" t="str">
        <f t="shared" si="2"/>
        <v>Yes</v>
      </c>
      <c r="K13" s="5" t="str">
        <f t="shared" si="3"/>
        <v>Progress</v>
      </c>
      <c r="L13" s="5" t="str">
        <f t="shared" si="4"/>
        <v>Yes</v>
      </c>
      <c r="M13" s="7" t="str">
        <f t="shared" si="5"/>
        <v>Effective when signed whether or not paid, section 8134</v>
      </c>
      <c r="N13" s="6">
        <f t="shared" si="6"/>
        <v>0</v>
      </c>
    </row>
    <row r="14" spans="1:14" x14ac:dyDescent="0.2">
      <c r="A14" s="5" t="s">
        <v>346</v>
      </c>
      <c r="B14" s="7" t="s">
        <v>499</v>
      </c>
      <c r="C14" s="5" t="s">
        <v>500</v>
      </c>
      <c r="D14" s="5">
        <f t="shared" si="0"/>
        <v>46234</v>
      </c>
      <c r="E14" s="6">
        <v>73910</v>
      </c>
      <c r="F14" s="7" t="s">
        <v>450</v>
      </c>
      <c r="G14" s="5" t="s">
        <v>501</v>
      </c>
      <c r="H14" s="5">
        <f t="shared" si="1"/>
        <v>4460</v>
      </c>
      <c r="I14" s="5" t="str">
        <f>IF(G14="","No check named",IF(COUNTIFS('DK Ledger'!$B$4:$B$43,H14,'DK Ledger'!$C$4:$C$43,"STP")&gt;0,"Stopped",IF(INDEX('DK Ledger'!$H$4:$H$43,MATCH(H14,'DK Ledger'!$B$4:$B$43,0))="","Not paid by the bank","Paid "&amp;INDEX('DK Ledger'!$H$4:$H$43,MATCH(H14,'DK Ledger'!$B$4:$B$43,0)))))</f>
        <v>Stopped</v>
      </c>
      <c r="J14" s="5" t="str">
        <f t="shared" si="2"/>
        <v>Yes</v>
      </c>
      <c r="K14" s="5" t="str">
        <f t="shared" si="3"/>
        <v>Progress</v>
      </c>
      <c r="L14" s="5" t="str">
        <f t="shared" si="4"/>
        <v>No</v>
      </c>
      <c r="M14" s="7" t="str">
        <f t="shared" si="5"/>
        <v>No evidence of payment under section 8124(b), releases nothing until payment is shown</v>
      </c>
      <c r="N14" s="6">
        <f t="shared" si="6"/>
        <v>0</v>
      </c>
    </row>
    <row r="15" spans="1:14" x14ac:dyDescent="0.2">
      <c r="A15" s="5" t="s">
        <v>351</v>
      </c>
      <c r="B15" s="7" t="s">
        <v>493</v>
      </c>
      <c r="C15" s="5" t="s">
        <v>498</v>
      </c>
      <c r="D15" s="5">
        <f t="shared" si="0"/>
        <v>46173</v>
      </c>
      <c r="E15" s="6">
        <v>12825</v>
      </c>
      <c r="F15" s="7" t="s">
        <v>450</v>
      </c>
      <c r="H15" s="5" t="str">
        <f t="shared" si="1"/>
        <v/>
      </c>
      <c r="I15" s="5" t="str">
        <f>IF(G15="","No check named",IF(COUNTIFS('DK Ledger'!$B$4:$B$43,H15,'DK Ledger'!$C$4:$C$43,"STP")&gt;0,"Stopped",IF(INDEX('DK Ledger'!$H$4:$H$43,MATCH(H15,'DK Ledger'!$B$4:$B$43,0))="","Not paid by the bank","Paid "&amp;INDEX('DK Ledger'!$H$4:$H$43,MATCH(H15,'DK Ledger'!$B$4:$B$43,0)))))</f>
        <v>No check named</v>
      </c>
      <c r="J15" s="5" t="str">
        <f t="shared" si="2"/>
        <v>Yes</v>
      </c>
      <c r="K15" s="5" t="str">
        <f t="shared" si="3"/>
        <v>Progress</v>
      </c>
      <c r="L15" s="5" t="str">
        <f t="shared" si="4"/>
        <v>Yes</v>
      </c>
      <c r="M15" s="7" t="str">
        <f t="shared" si="5"/>
        <v>Effective when signed whether or not paid, section 8134</v>
      </c>
      <c r="N15" s="6">
        <f t="shared" si="6"/>
        <v>0</v>
      </c>
    </row>
    <row r="16" spans="1:14" x14ac:dyDescent="0.2">
      <c r="A16" s="5" t="s">
        <v>351</v>
      </c>
      <c r="B16" s="7" t="s">
        <v>493</v>
      </c>
      <c r="C16" s="5" t="s">
        <v>275</v>
      </c>
      <c r="D16" s="5">
        <f t="shared" si="0"/>
        <v>46203</v>
      </c>
      <c r="E16" s="6">
        <v>21755</v>
      </c>
      <c r="F16" s="7" t="s">
        <v>450</v>
      </c>
      <c r="H16" s="5" t="str">
        <f t="shared" si="1"/>
        <v/>
      </c>
      <c r="I16" s="5" t="str">
        <f>IF(G16="","No check named",IF(COUNTIFS('DK Ledger'!$B$4:$B$43,H16,'DK Ledger'!$C$4:$C$43,"STP")&gt;0,"Stopped",IF(INDEX('DK Ledger'!$H$4:$H$43,MATCH(H16,'DK Ledger'!$B$4:$B$43,0))="","Not paid by the bank","Paid "&amp;INDEX('DK Ledger'!$H$4:$H$43,MATCH(H16,'DK Ledger'!$B$4:$B$43,0)))))</f>
        <v>No check named</v>
      </c>
      <c r="J16" s="5" t="str">
        <f t="shared" si="2"/>
        <v>Yes</v>
      </c>
      <c r="K16" s="5" t="str">
        <f t="shared" si="3"/>
        <v>Progress</v>
      </c>
      <c r="L16" s="5" t="str">
        <f t="shared" si="4"/>
        <v>Yes</v>
      </c>
      <c r="M16" s="7" t="str">
        <f t="shared" si="5"/>
        <v>Effective when signed whether or not paid, section 8134</v>
      </c>
      <c r="N16" s="6">
        <f t="shared" si="6"/>
        <v>0</v>
      </c>
    </row>
    <row r="17" spans="1:14" x14ac:dyDescent="0.2">
      <c r="A17" s="5" t="s">
        <v>351</v>
      </c>
      <c r="B17" s="7" t="s">
        <v>493</v>
      </c>
      <c r="C17" s="5" t="s">
        <v>500</v>
      </c>
      <c r="D17" s="5">
        <f t="shared" si="0"/>
        <v>46234</v>
      </c>
      <c r="E17" s="6">
        <v>38475</v>
      </c>
      <c r="F17" s="7" t="s">
        <v>450</v>
      </c>
      <c r="H17" s="5" t="str">
        <f t="shared" si="1"/>
        <v/>
      </c>
      <c r="I17" s="5" t="str">
        <f>IF(G17="","No check named",IF(COUNTIFS('DK Ledger'!$B$4:$B$43,H17,'DK Ledger'!$C$4:$C$43,"STP")&gt;0,"Stopped",IF(INDEX('DK Ledger'!$H$4:$H$43,MATCH(H17,'DK Ledger'!$B$4:$B$43,0))="","Not paid by the bank","Paid "&amp;INDEX('DK Ledger'!$H$4:$H$43,MATCH(H17,'DK Ledger'!$B$4:$B$43,0)))))</f>
        <v>No check named</v>
      </c>
      <c r="J17" s="5" t="str">
        <f t="shared" si="2"/>
        <v>Yes</v>
      </c>
      <c r="K17" s="5" t="str">
        <f t="shared" si="3"/>
        <v>Progress</v>
      </c>
      <c r="L17" s="5" t="str">
        <f t="shared" si="4"/>
        <v>Yes</v>
      </c>
      <c r="M17" s="7" t="str">
        <f t="shared" si="5"/>
        <v>Effective when signed whether or not paid, section 8134</v>
      </c>
      <c r="N17" s="6">
        <f t="shared" si="6"/>
        <v>0</v>
      </c>
    </row>
    <row r="18" spans="1:14" x14ac:dyDescent="0.2">
      <c r="A18" s="5" t="s">
        <v>356</v>
      </c>
      <c r="B18" s="7" t="s">
        <v>493</v>
      </c>
      <c r="C18" s="5" t="s">
        <v>247</v>
      </c>
      <c r="D18" s="5">
        <f t="shared" si="0"/>
        <v>46112</v>
      </c>
      <c r="E18" s="6">
        <v>95410</v>
      </c>
      <c r="F18" s="7" t="s">
        <v>450</v>
      </c>
      <c r="H18" s="5" t="str">
        <f t="shared" si="1"/>
        <v/>
      </c>
      <c r="I18" s="5" t="str">
        <f>IF(G18="","No check named",IF(COUNTIFS('DK Ledger'!$B$4:$B$43,H18,'DK Ledger'!$C$4:$C$43,"STP")&gt;0,"Stopped",IF(INDEX('DK Ledger'!$H$4:$H$43,MATCH(H18,'DK Ledger'!$B$4:$B$43,0))="","Not paid by the bank","Paid "&amp;INDEX('DK Ledger'!$H$4:$H$43,MATCH(H18,'DK Ledger'!$B$4:$B$43,0)))))</f>
        <v>No check named</v>
      </c>
      <c r="J18" s="5" t="str">
        <f t="shared" si="2"/>
        <v>Yes</v>
      </c>
      <c r="K18" s="5" t="str">
        <f t="shared" si="3"/>
        <v>Progress</v>
      </c>
      <c r="L18" s="5" t="str">
        <f t="shared" si="4"/>
        <v>Yes</v>
      </c>
      <c r="M18" s="7" t="str">
        <f t="shared" si="5"/>
        <v>Effective when signed whether or not paid, section 8134</v>
      </c>
      <c r="N18" s="6">
        <f t="shared" si="6"/>
        <v>0</v>
      </c>
    </row>
    <row r="19" spans="1:14" x14ac:dyDescent="0.2">
      <c r="A19" s="5" t="s">
        <v>356</v>
      </c>
      <c r="B19" s="7" t="s">
        <v>493</v>
      </c>
      <c r="C19" s="5" t="s">
        <v>253</v>
      </c>
      <c r="D19" s="5">
        <f t="shared" si="0"/>
        <v>46142</v>
      </c>
      <c r="E19" s="6">
        <v>173465</v>
      </c>
      <c r="F19" s="7" t="s">
        <v>450</v>
      </c>
      <c r="H19" s="5" t="str">
        <f t="shared" si="1"/>
        <v/>
      </c>
      <c r="I19" s="5" t="str">
        <f>IF(G19="","No check named",IF(COUNTIFS('DK Ledger'!$B$4:$B$43,H19,'DK Ledger'!$C$4:$C$43,"STP")&gt;0,"Stopped",IF(INDEX('DK Ledger'!$H$4:$H$43,MATCH(H19,'DK Ledger'!$B$4:$B$43,0))="","Not paid by the bank","Paid "&amp;INDEX('DK Ledger'!$H$4:$H$43,MATCH(H19,'DK Ledger'!$B$4:$B$43,0)))))</f>
        <v>No check named</v>
      </c>
      <c r="J19" s="5" t="str">
        <f t="shared" si="2"/>
        <v>Yes</v>
      </c>
      <c r="K19" s="5" t="str">
        <f t="shared" si="3"/>
        <v>Progress</v>
      </c>
      <c r="L19" s="5" t="str">
        <f t="shared" si="4"/>
        <v>Yes</v>
      </c>
      <c r="M19" s="7" t="str">
        <f t="shared" si="5"/>
        <v>Effective when signed whether or not paid, section 8134</v>
      </c>
      <c r="N19" s="6">
        <f t="shared" si="6"/>
        <v>0</v>
      </c>
    </row>
    <row r="20" spans="1:14" x14ac:dyDescent="0.2">
      <c r="A20" s="5" t="s">
        <v>356</v>
      </c>
      <c r="B20" s="7" t="s">
        <v>502</v>
      </c>
      <c r="D20" s="5" t="str">
        <f t="shared" si="0"/>
        <v/>
      </c>
      <c r="E20" s="6">
        <v>14937.5</v>
      </c>
      <c r="F20" s="7" t="s">
        <v>503</v>
      </c>
      <c r="G20" s="5" t="s">
        <v>504</v>
      </c>
      <c r="H20" s="5">
        <f t="shared" si="1"/>
        <v>4448</v>
      </c>
      <c r="I20" s="5" t="str">
        <f>IF(G20="","No check named",IF(COUNTIFS('DK Ledger'!$B$4:$B$43,H20,'DK Ledger'!$C$4:$C$43,"STP")&gt;0,"Stopped",IF(INDEX('DK Ledger'!$H$4:$H$43,MATCH(H20,'DK Ledger'!$B$4:$B$43,0))="","Not paid by the bank","Paid "&amp;INDEX('DK Ledger'!$H$4:$H$43,MATCH(H20,'DK Ledger'!$B$4:$B$43,0)))))</f>
        <v>Paid 08/03/2026</v>
      </c>
      <c r="J20" s="5" t="str">
        <f t="shared" si="2"/>
        <v>Yes</v>
      </c>
      <c r="K20" s="5" t="str">
        <f t="shared" si="3"/>
        <v>Final</v>
      </c>
      <c r="L20" s="5" t="str">
        <f t="shared" si="4"/>
        <v>Yes</v>
      </c>
      <c r="M20" s="7" t="str">
        <f t="shared" si="5"/>
        <v>Check paid by the bank, effective under section 8124(b)</v>
      </c>
      <c r="N20" s="6">
        <f t="shared" si="6"/>
        <v>0</v>
      </c>
    </row>
    <row r="21" spans="1:14" x14ac:dyDescent="0.2">
      <c r="A21" s="5" t="s">
        <v>270</v>
      </c>
      <c r="B21" s="7" t="s">
        <v>493</v>
      </c>
      <c r="C21" s="5" t="s">
        <v>253</v>
      </c>
      <c r="D21" s="5">
        <f t="shared" si="0"/>
        <v>46142</v>
      </c>
      <c r="E21" s="6">
        <v>69501.5</v>
      </c>
      <c r="F21" s="7" t="s">
        <v>450</v>
      </c>
      <c r="H21" s="5" t="str">
        <f t="shared" si="1"/>
        <v/>
      </c>
      <c r="I21" s="5" t="str">
        <f>IF(G21="","No check named",IF(COUNTIFS('DK Ledger'!$B$4:$B$43,H21,'DK Ledger'!$C$4:$C$43,"STP")&gt;0,"Stopped",IF(INDEX('DK Ledger'!$H$4:$H$43,MATCH(H21,'DK Ledger'!$B$4:$B$43,0))="","Not paid by the bank","Paid "&amp;INDEX('DK Ledger'!$H$4:$H$43,MATCH(H21,'DK Ledger'!$B$4:$B$43,0)))))</f>
        <v>No check named</v>
      </c>
      <c r="J21" s="5" t="str">
        <f t="shared" si="2"/>
        <v>Yes</v>
      </c>
      <c r="K21" s="5" t="str">
        <f t="shared" si="3"/>
        <v>Progress</v>
      </c>
      <c r="L21" s="5" t="str">
        <f t="shared" si="4"/>
        <v>Yes</v>
      </c>
      <c r="M21" s="7" t="str">
        <f t="shared" si="5"/>
        <v>Effective when signed whether or not paid, section 8134</v>
      </c>
      <c r="N21" s="6">
        <f t="shared" si="6"/>
        <v>0</v>
      </c>
    </row>
    <row r="22" spans="1:14" x14ac:dyDescent="0.2">
      <c r="A22" s="5" t="s">
        <v>270</v>
      </c>
      <c r="B22" s="7" t="s">
        <v>493</v>
      </c>
      <c r="C22" s="5" t="s">
        <v>275</v>
      </c>
      <c r="D22" s="5">
        <f t="shared" si="0"/>
        <v>46203</v>
      </c>
      <c r="E22" s="6">
        <v>66016</v>
      </c>
      <c r="F22" s="7" t="s">
        <v>450</v>
      </c>
      <c r="H22" s="5" t="str">
        <f t="shared" si="1"/>
        <v/>
      </c>
      <c r="I22" s="5" t="str">
        <f>IF(G22="","No check named",IF(COUNTIFS('DK Ledger'!$B$4:$B$43,H22,'DK Ledger'!$C$4:$C$43,"STP")&gt;0,"Stopped",IF(INDEX('DK Ledger'!$H$4:$H$43,MATCH(H22,'DK Ledger'!$B$4:$B$43,0))="","Not paid by the bank","Paid "&amp;INDEX('DK Ledger'!$H$4:$H$43,MATCH(H22,'DK Ledger'!$B$4:$B$43,0)))))</f>
        <v>No check named</v>
      </c>
      <c r="J22" s="5" t="str">
        <f t="shared" si="2"/>
        <v>Yes</v>
      </c>
      <c r="K22" s="5" t="str">
        <f t="shared" si="3"/>
        <v>Progress</v>
      </c>
      <c r="L22" s="5" t="str">
        <f t="shared" si="4"/>
        <v>Yes</v>
      </c>
      <c r="M22" s="7" t="str">
        <f t="shared" si="5"/>
        <v>Effective when signed whether or not paid, section 8134</v>
      </c>
      <c r="N22" s="6">
        <f t="shared" si="6"/>
        <v>0</v>
      </c>
    </row>
    <row r="23" spans="1:14" x14ac:dyDescent="0.2">
      <c r="A23" s="5" t="s">
        <v>364</v>
      </c>
      <c r="B23" s="7" t="s">
        <v>493</v>
      </c>
      <c r="C23" s="5" t="s">
        <v>494</v>
      </c>
      <c r="D23" s="5">
        <f t="shared" si="0"/>
        <v>46081</v>
      </c>
      <c r="E23" s="6">
        <v>152950</v>
      </c>
      <c r="F23" s="7" t="s">
        <v>450</v>
      </c>
      <c r="H23" s="5" t="str">
        <f t="shared" si="1"/>
        <v/>
      </c>
      <c r="I23" s="5" t="str">
        <f>IF(G23="","No check named",IF(COUNTIFS('DK Ledger'!$B$4:$B$43,H23,'DK Ledger'!$C$4:$C$43,"STP")&gt;0,"Stopped",IF(INDEX('DK Ledger'!$H$4:$H$43,MATCH(H23,'DK Ledger'!$B$4:$B$43,0))="","Not paid by the bank","Paid "&amp;INDEX('DK Ledger'!$H$4:$H$43,MATCH(H23,'DK Ledger'!$B$4:$B$43,0)))))</f>
        <v>No check named</v>
      </c>
      <c r="J23" s="5" t="str">
        <f t="shared" si="2"/>
        <v>Yes</v>
      </c>
      <c r="K23" s="5" t="str">
        <f t="shared" si="3"/>
        <v>Progress</v>
      </c>
      <c r="L23" s="5" t="str">
        <f t="shared" si="4"/>
        <v>Yes</v>
      </c>
      <c r="M23" s="7" t="str">
        <f t="shared" si="5"/>
        <v>Effective when signed whether or not paid, section 8134</v>
      </c>
      <c r="N23" s="6">
        <f t="shared" si="6"/>
        <v>0</v>
      </c>
    </row>
    <row r="24" spans="1:14" x14ac:dyDescent="0.2">
      <c r="A24" s="5" t="s">
        <v>364</v>
      </c>
      <c r="B24" s="7" t="s">
        <v>493</v>
      </c>
      <c r="C24" s="5" t="s">
        <v>247</v>
      </c>
      <c r="D24" s="5">
        <f t="shared" si="0"/>
        <v>46112</v>
      </c>
      <c r="E24" s="6">
        <v>121600</v>
      </c>
      <c r="F24" s="7" t="s">
        <v>450</v>
      </c>
      <c r="H24" s="5" t="str">
        <f t="shared" si="1"/>
        <v/>
      </c>
      <c r="I24" s="5" t="str">
        <f>IF(G24="","No check named",IF(COUNTIFS('DK Ledger'!$B$4:$B$43,H24,'DK Ledger'!$C$4:$C$43,"STP")&gt;0,"Stopped",IF(INDEX('DK Ledger'!$H$4:$H$43,MATCH(H24,'DK Ledger'!$B$4:$B$43,0))="","Not paid by the bank","Paid "&amp;INDEX('DK Ledger'!$H$4:$H$43,MATCH(H24,'DK Ledger'!$B$4:$B$43,0)))))</f>
        <v>No check named</v>
      </c>
      <c r="J24" s="5" t="str">
        <f t="shared" si="2"/>
        <v>Yes</v>
      </c>
      <c r="K24" s="5" t="str">
        <f t="shared" si="3"/>
        <v>Progress</v>
      </c>
      <c r="L24" s="5" t="str">
        <f t="shared" si="4"/>
        <v>Yes</v>
      </c>
      <c r="M24" s="7" t="str">
        <f t="shared" si="5"/>
        <v>Effective when signed whether or not paid, section 8134</v>
      </c>
      <c r="N24" s="6">
        <f t="shared" si="6"/>
        <v>0</v>
      </c>
    </row>
    <row r="25" spans="1:14" x14ac:dyDescent="0.2">
      <c r="A25" s="5" t="s">
        <v>364</v>
      </c>
      <c r="B25" s="7" t="s">
        <v>493</v>
      </c>
      <c r="C25" s="5" t="s">
        <v>253</v>
      </c>
      <c r="D25" s="5">
        <f t="shared" si="0"/>
        <v>46142</v>
      </c>
      <c r="E25" s="6">
        <v>98325</v>
      </c>
      <c r="F25" s="7" t="s">
        <v>450</v>
      </c>
      <c r="H25" s="5" t="str">
        <f t="shared" si="1"/>
        <v/>
      </c>
      <c r="I25" s="5" t="str">
        <f>IF(G25="","No check named",IF(COUNTIFS('DK Ledger'!$B$4:$B$43,H25,'DK Ledger'!$C$4:$C$43,"STP")&gt;0,"Stopped",IF(INDEX('DK Ledger'!$H$4:$H$43,MATCH(H25,'DK Ledger'!$B$4:$B$43,0))="","Not paid by the bank","Paid "&amp;INDEX('DK Ledger'!$H$4:$H$43,MATCH(H25,'DK Ledger'!$B$4:$B$43,0)))))</f>
        <v>No check named</v>
      </c>
      <c r="J25" s="5" t="str">
        <f t="shared" si="2"/>
        <v>Yes</v>
      </c>
      <c r="K25" s="5" t="str">
        <f t="shared" si="3"/>
        <v>Progress</v>
      </c>
      <c r="L25" s="5" t="str">
        <f t="shared" si="4"/>
        <v>Yes</v>
      </c>
      <c r="M25" s="7" t="str">
        <f t="shared" si="5"/>
        <v>Effective when signed whether or not paid, section 8134</v>
      </c>
      <c r="N25" s="6">
        <f t="shared" si="6"/>
        <v>0</v>
      </c>
    </row>
    <row r="26" spans="1:14" x14ac:dyDescent="0.2">
      <c r="A26" s="5" t="s">
        <v>364</v>
      </c>
      <c r="B26" s="7" t="s">
        <v>493</v>
      </c>
      <c r="C26" s="5" t="s">
        <v>498</v>
      </c>
      <c r="D26" s="5">
        <f t="shared" si="0"/>
        <v>46173</v>
      </c>
      <c r="E26" s="6">
        <v>89305</v>
      </c>
      <c r="F26" s="7" t="s">
        <v>450</v>
      </c>
      <c r="H26" s="5" t="str">
        <f t="shared" si="1"/>
        <v/>
      </c>
      <c r="I26" s="5" t="str">
        <f>IF(G26="","No check named",IF(COUNTIFS('DK Ledger'!$B$4:$B$43,H26,'DK Ledger'!$C$4:$C$43,"STP")&gt;0,"Stopped",IF(INDEX('DK Ledger'!$H$4:$H$43,MATCH(H26,'DK Ledger'!$B$4:$B$43,0))="","Not paid by the bank","Paid "&amp;INDEX('DK Ledger'!$H$4:$H$43,MATCH(H26,'DK Ledger'!$B$4:$B$43,0)))))</f>
        <v>No check named</v>
      </c>
      <c r="J26" s="5" t="str">
        <f t="shared" si="2"/>
        <v>Yes</v>
      </c>
      <c r="K26" s="5" t="str">
        <f t="shared" si="3"/>
        <v>Progress</v>
      </c>
      <c r="L26" s="5" t="str">
        <f t="shared" si="4"/>
        <v>Yes</v>
      </c>
      <c r="M26" s="7" t="str">
        <f t="shared" si="5"/>
        <v>Effective when signed whether or not paid, section 8134</v>
      </c>
      <c r="N26" s="6">
        <f t="shared" si="6"/>
        <v>0</v>
      </c>
    </row>
    <row r="27" spans="1:14" x14ac:dyDescent="0.2">
      <c r="A27" s="5" t="s">
        <v>364</v>
      </c>
      <c r="B27" s="7" t="s">
        <v>493</v>
      </c>
      <c r="C27" s="5" t="s">
        <v>275</v>
      </c>
      <c r="D27" s="5">
        <f t="shared" si="0"/>
        <v>46203</v>
      </c>
      <c r="E27" s="6">
        <v>120113</v>
      </c>
      <c r="F27" s="7" t="s">
        <v>450</v>
      </c>
      <c r="H27" s="5" t="str">
        <f t="shared" si="1"/>
        <v/>
      </c>
      <c r="I27" s="5" t="str">
        <f>IF(G27="","No check named",IF(COUNTIFS('DK Ledger'!$B$4:$B$43,H27,'DK Ledger'!$C$4:$C$43,"STP")&gt;0,"Stopped",IF(INDEX('DK Ledger'!$H$4:$H$43,MATCH(H27,'DK Ledger'!$B$4:$B$43,0))="","Not paid by the bank","Paid "&amp;INDEX('DK Ledger'!$H$4:$H$43,MATCH(H27,'DK Ledger'!$B$4:$B$43,0)))))</f>
        <v>No check named</v>
      </c>
      <c r="J27" s="5" t="str">
        <f t="shared" si="2"/>
        <v>Yes</v>
      </c>
      <c r="K27" s="5" t="str">
        <f t="shared" si="3"/>
        <v>Progress</v>
      </c>
      <c r="L27" s="5" t="str">
        <f t="shared" si="4"/>
        <v>Yes</v>
      </c>
      <c r="M27" s="7" t="str">
        <f t="shared" si="5"/>
        <v>Effective when signed whether or not paid, section 8134</v>
      </c>
      <c r="N27" s="6">
        <f t="shared" si="6"/>
        <v>0</v>
      </c>
    </row>
    <row r="28" spans="1:14" x14ac:dyDescent="0.2">
      <c r="A28" s="5" t="s">
        <v>364</v>
      </c>
      <c r="B28" s="7" t="s">
        <v>499</v>
      </c>
      <c r="C28" s="5" t="s">
        <v>500</v>
      </c>
      <c r="D28" s="5">
        <f t="shared" si="0"/>
        <v>46234</v>
      </c>
      <c r="E28" s="6">
        <v>41230</v>
      </c>
      <c r="F28" s="7" t="s">
        <v>450</v>
      </c>
      <c r="G28" s="5" t="s">
        <v>505</v>
      </c>
      <c r="H28" s="5">
        <f t="shared" si="1"/>
        <v>4461</v>
      </c>
      <c r="I28" s="5" t="str">
        <f>IF(G28="","No check named",IF(COUNTIFS('DK Ledger'!$B$4:$B$43,H28,'DK Ledger'!$C$4:$C$43,"STP")&gt;0,"Stopped",IF(INDEX('DK Ledger'!$H$4:$H$43,MATCH(H28,'DK Ledger'!$B$4:$B$43,0))="","Not paid by the bank","Paid "&amp;INDEX('DK Ledger'!$H$4:$H$43,MATCH(H28,'DK Ledger'!$B$4:$B$43,0)))))</f>
        <v>Paid 08/24/2026</v>
      </c>
      <c r="J28" s="5" t="str">
        <f t="shared" si="2"/>
        <v>Yes</v>
      </c>
      <c r="K28" s="5" t="str">
        <f t="shared" si="3"/>
        <v>Progress</v>
      </c>
      <c r="L28" s="5" t="str">
        <f t="shared" si="4"/>
        <v>Yes</v>
      </c>
      <c r="M28" s="7" t="str">
        <f t="shared" si="5"/>
        <v>Check paid by the bank, effective under section 8124(b)</v>
      </c>
      <c r="N28" s="6">
        <f t="shared" si="6"/>
        <v>0</v>
      </c>
    </row>
    <row r="29" spans="1:14" x14ac:dyDescent="0.2">
      <c r="A29" s="5" t="s">
        <v>364</v>
      </c>
      <c r="B29" s="7" t="s">
        <v>499</v>
      </c>
      <c r="C29" s="5" t="s">
        <v>124</v>
      </c>
      <c r="D29" s="5">
        <f t="shared" si="0"/>
        <v>46245</v>
      </c>
      <c r="E29" s="6">
        <v>27227</v>
      </c>
      <c r="F29" s="7" t="s">
        <v>450</v>
      </c>
      <c r="G29" s="5" t="s">
        <v>506</v>
      </c>
      <c r="H29" s="5">
        <f t="shared" si="1"/>
        <v>4479</v>
      </c>
      <c r="I29" s="5" t="str">
        <f>IF(G29="","No check named",IF(COUNTIFS('DK Ledger'!$B$4:$B$43,H29,'DK Ledger'!$C$4:$C$43,"STP")&gt;0,"Stopped",IF(INDEX('DK Ledger'!$H$4:$H$43,MATCH(H29,'DK Ledger'!$B$4:$B$43,0))="","Not paid by the bank","Paid "&amp;INDEX('DK Ledger'!$H$4:$H$43,MATCH(H29,'DK Ledger'!$B$4:$B$43,0)))))</f>
        <v>Not paid by the bank</v>
      </c>
      <c r="J29" s="5" t="str">
        <f t="shared" si="2"/>
        <v>Yes</v>
      </c>
      <c r="K29" s="5" t="str">
        <f t="shared" si="3"/>
        <v>Progress</v>
      </c>
      <c r="L29" s="5" t="str">
        <f t="shared" si="4"/>
        <v>No</v>
      </c>
      <c r="M29" s="7" t="str">
        <f t="shared" si="5"/>
        <v>No evidence of payment under section 8124(b), releases nothing until payment is shown</v>
      </c>
      <c r="N29" s="6">
        <f t="shared" si="6"/>
        <v>0</v>
      </c>
    </row>
    <row r="30" spans="1:14" x14ac:dyDescent="0.2">
      <c r="A30" s="5" t="s">
        <v>369</v>
      </c>
      <c r="B30" s="7" t="s">
        <v>493</v>
      </c>
      <c r="C30" s="5" t="s">
        <v>253</v>
      </c>
      <c r="D30" s="5">
        <f t="shared" si="0"/>
        <v>46142</v>
      </c>
      <c r="E30" s="6">
        <v>8700</v>
      </c>
      <c r="F30" s="7" t="s">
        <v>450</v>
      </c>
      <c r="H30" s="5" t="str">
        <f t="shared" si="1"/>
        <v/>
      </c>
      <c r="I30" s="5" t="str">
        <f>IF(G30="","No check named",IF(COUNTIFS('DK Ledger'!$B$4:$B$43,H30,'DK Ledger'!$C$4:$C$43,"STP")&gt;0,"Stopped",IF(INDEX('DK Ledger'!$H$4:$H$43,MATCH(H30,'DK Ledger'!$B$4:$B$43,0))="","Not paid by the bank","Paid "&amp;INDEX('DK Ledger'!$H$4:$H$43,MATCH(H30,'DK Ledger'!$B$4:$B$43,0)))))</f>
        <v>No check named</v>
      </c>
      <c r="J30" s="5" t="str">
        <f t="shared" si="2"/>
        <v>Yes</v>
      </c>
      <c r="K30" s="5" t="str">
        <f t="shared" si="3"/>
        <v>Progress</v>
      </c>
      <c r="L30" s="5" t="str">
        <f t="shared" si="4"/>
        <v>Yes</v>
      </c>
      <c r="M30" s="7" t="str">
        <f t="shared" si="5"/>
        <v>Effective when signed whether or not paid, section 8134</v>
      </c>
      <c r="N30" s="6">
        <f t="shared" si="6"/>
        <v>0</v>
      </c>
    </row>
    <row r="31" spans="1:14" x14ac:dyDescent="0.2">
      <c r="A31" s="5" t="s">
        <v>369</v>
      </c>
      <c r="B31" s="7" t="s">
        <v>493</v>
      </c>
      <c r="C31" s="5" t="s">
        <v>498</v>
      </c>
      <c r="D31" s="5">
        <f t="shared" si="0"/>
        <v>46173</v>
      </c>
      <c r="E31" s="6">
        <v>46170</v>
      </c>
      <c r="F31" s="7" t="s">
        <v>450</v>
      </c>
      <c r="H31" s="5" t="str">
        <f t="shared" si="1"/>
        <v/>
      </c>
      <c r="I31" s="5" t="str">
        <f>IF(G31="","No check named",IF(COUNTIFS('DK Ledger'!$B$4:$B$43,H31,'DK Ledger'!$C$4:$C$43,"STP")&gt;0,"Stopped",IF(INDEX('DK Ledger'!$H$4:$H$43,MATCH(H31,'DK Ledger'!$B$4:$B$43,0))="","Not paid by the bank","Paid "&amp;INDEX('DK Ledger'!$H$4:$H$43,MATCH(H31,'DK Ledger'!$B$4:$B$43,0)))))</f>
        <v>No check named</v>
      </c>
      <c r="J31" s="5" t="str">
        <f t="shared" si="2"/>
        <v>Yes</v>
      </c>
      <c r="K31" s="5" t="str">
        <f t="shared" si="3"/>
        <v>Progress</v>
      </c>
      <c r="L31" s="5" t="str">
        <f t="shared" si="4"/>
        <v>Yes</v>
      </c>
      <c r="M31" s="7" t="str">
        <f t="shared" si="5"/>
        <v>Effective when signed whether or not paid, section 8134</v>
      </c>
      <c r="N31" s="6">
        <f t="shared" si="6"/>
        <v>0</v>
      </c>
    </row>
    <row r="32" spans="1:14" x14ac:dyDescent="0.2">
      <c r="A32" s="5" t="s">
        <v>369</v>
      </c>
      <c r="B32" s="7" t="s">
        <v>493</v>
      </c>
      <c r="C32" s="5" t="s">
        <v>275</v>
      </c>
      <c r="D32" s="5">
        <f t="shared" si="0"/>
        <v>46203</v>
      </c>
      <c r="E32" s="6">
        <v>100515</v>
      </c>
      <c r="F32" s="7" t="s">
        <v>450</v>
      </c>
      <c r="H32" s="5" t="str">
        <f t="shared" si="1"/>
        <v/>
      </c>
      <c r="I32" s="5" t="str">
        <f>IF(G32="","No check named",IF(COUNTIFS('DK Ledger'!$B$4:$B$43,H32,'DK Ledger'!$C$4:$C$43,"STP")&gt;0,"Stopped",IF(INDEX('DK Ledger'!$H$4:$H$43,MATCH(H32,'DK Ledger'!$B$4:$B$43,0))="","Not paid by the bank","Paid "&amp;INDEX('DK Ledger'!$H$4:$H$43,MATCH(H32,'DK Ledger'!$B$4:$B$43,0)))))</f>
        <v>No check named</v>
      </c>
      <c r="J32" s="5" t="str">
        <f t="shared" si="2"/>
        <v>Yes</v>
      </c>
      <c r="K32" s="5" t="str">
        <f t="shared" si="3"/>
        <v>Progress</v>
      </c>
      <c r="L32" s="5" t="str">
        <f t="shared" si="4"/>
        <v>Yes</v>
      </c>
      <c r="M32" s="7" t="str">
        <f t="shared" si="5"/>
        <v>Effective when signed whether or not paid, section 8134</v>
      </c>
      <c r="N32" s="6">
        <f t="shared" si="6"/>
        <v>0</v>
      </c>
    </row>
    <row r="33" spans="1:14" x14ac:dyDescent="0.2">
      <c r="A33" s="5" t="s">
        <v>369</v>
      </c>
      <c r="B33" s="7" t="s">
        <v>507</v>
      </c>
      <c r="C33" s="5" t="s">
        <v>500</v>
      </c>
      <c r="D33" s="5">
        <f t="shared" si="0"/>
        <v>46234</v>
      </c>
      <c r="E33" s="6">
        <v>29200</v>
      </c>
      <c r="F33" s="7" t="s">
        <v>508</v>
      </c>
      <c r="H33" s="5" t="str">
        <f t="shared" si="1"/>
        <v/>
      </c>
      <c r="I33" s="5" t="str">
        <f>IF(G33="","No check named",IF(COUNTIFS('DK Ledger'!$B$4:$B$43,H33,'DK Ledger'!$C$4:$C$43,"STP")&gt;0,"Stopped",IF(INDEX('DK Ledger'!$H$4:$H$43,MATCH(H33,'DK Ledger'!$B$4:$B$43,0))="","Not paid by the bank","Paid "&amp;INDEX('DK Ledger'!$H$4:$H$43,MATCH(H33,'DK Ledger'!$B$4:$B$43,0)))))</f>
        <v>No check named</v>
      </c>
      <c r="J33" s="5" t="str">
        <f t="shared" si="2"/>
        <v>No</v>
      </c>
      <c r="K33" s="5" t="str">
        <f t="shared" si="3"/>
        <v>None</v>
      </c>
      <c r="L33" s="5" t="str">
        <f t="shared" si="4"/>
        <v>No</v>
      </c>
      <c r="M33" s="7" t="str">
        <f t="shared" si="5"/>
        <v>Not one of the four statutory forms, releases nothing</v>
      </c>
      <c r="N33" s="6">
        <f t="shared" si="6"/>
        <v>0</v>
      </c>
    </row>
    <row r="34" spans="1:14" x14ac:dyDescent="0.2">
      <c r="A34" s="5" t="s">
        <v>374</v>
      </c>
      <c r="B34" s="7" t="s">
        <v>493</v>
      </c>
      <c r="C34" s="5" t="s">
        <v>494</v>
      </c>
      <c r="D34" s="5">
        <f t="shared" si="0"/>
        <v>46081</v>
      </c>
      <c r="E34" s="6">
        <v>61370</v>
      </c>
      <c r="F34" s="7" t="s">
        <v>450</v>
      </c>
      <c r="H34" s="5" t="str">
        <f t="shared" si="1"/>
        <v/>
      </c>
      <c r="I34" s="5" t="str">
        <f>IF(G34="","No check named",IF(COUNTIFS('DK Ledger'!$B$4:$B$43,H34,'DK Ledger'!$C$4:$C$43,"STP")&gt;0,"Stopped",IF(INDEX('DK Ledger'!$H$4:$H$43,MATCH(H34,'DK Ledger'!$B$4:$B$43,0))="","Not paid by the bank","Paid "&amp;INDEX('DK Ledger'!$H$4:$H$43,MATCH(H34,'DK Ledger'!$B$4:$B$43,0)))))</f>
        <v>No check named</v>
      </c>
      <c r="J34" s="5" t="str">
        <f t="shared" si="2"/>
        <v>Yes</v>
      </c>
      <c r="K34" s="5" t="str">
        <f t="shared" si="3"/>
        <v>Progress</v>
      </c>
      <c r="L34" s="5" t="str">
        <f t="shared" si="4"/>
        <v>Yes</v>
      </c>
      <c r="M34" s="7" t="str">
        <f t="shared" si="5"/>
        <v>Effective when signed whether or not paid, section 8134</v>
      </c>
      <c r="N34" s="6">
        <f t="shared" si="6"/>
        <v>0</v>
      </c>
    </row>
    <row r="35" spans="1:14" x14ac:dyDescent="0.2">
      <c r="A35" s="5" t="s">
        <v>374</v>
      </c>
      <c r="B35" s="7" t="s">
        <v>493</v>
      </c>
      <c r="C35" s="5" t="s">
        <v>247</v>
      </c>
      <c r="D35" s="5">
        <f t="shared" si="0"/>
        <v>46112</v>
      </c>
      <c r="E35" s="6">
        <v>48830</v>
      </c>
      <c r="F35" s="7" t="s">
        <v>450</v>
      </c>
      <c r="H35" s="5" t="str">
        <f t="shared" si="1"/>
        <v/>
      </c>
      <c r="I35" s="5" t="str">
        <f>IF(G35="","No check named",IF(COUNTIFS('DK Ledger'!$B$4:$B$43,H35,'DK Ledger'!$C$4:$C$43,"STP")&gt;0,"Stopped",IF(INDEX('DK Ledger'!$H$4:$H$43,MATCH(H35,'DK Ledger'!$B$4:$B$43,0))="","Not paid by the bank","Paid "&amp;INDEX('DK Ledger'!$H$4:$H$43,MATCH(H35,'DK Ledger'!$B$4:$B$43,0)))))</f>
        <v>No check named</v>
      </c>
      <c r="J35" s="5" t="str">
        <f t="shared" si="2"/>
        <v>Yes</v>
      </c>
      <c r="K35" s="5" t="str">
        <f t="shared" si="3"/>
        <v>Progress</v>
      </c>
      <c r="L35" s="5" t="str">
        <f t="shared" si="4"/>
        <v>Yes</v>
      </c>
      <c r="M35" s="7" t="str">
        <f t="shared" si="5"/>
        <v>Effective when signed whether or not paid, section 8134</v>
      </c>
      <c r="N35" s="6">
        <f t="shared" si="6"/>
        <v>0</v>
      </c>
    </row>
    <row r="36" spans="1:14" x14ac:dyDescent="0.2">
      <c r="A36" s="5" t="s">
        <v>374</v>
      </c>
      <c r="B36" s="7" t="s">
        <v>493</v>
      </c>
      <c r="C36" s="5" t="s">
        <v>275</v>
      </c>
      <c r="D36" s="5">
        <f t="shared" si="0"/>
        <v>46203</v>
      </c>
      <c r="E36" s="6">
        <v>116525</v>
      </c>
      <c r="F36" s="7" t="s">
        <v>450</v>
      </c>
      <c r="H36" s="5" t="str">
        <f t="shared" si="1"/>
        <v/>
      </c>
      <c r="I36" s="5" t="str">
        <f>IF(G36="","No check named",IF(COUNTIFS('DK Ledger'!$B$4:$B$43,H36,'DK Ledger'!$C$4:$C$43,"STP")&gt;0,"Stopped",IF(INDEX('DK Ledger'!$H$4:$H$43,MATCH(H36,'DK Ledger'!$B$4:$B$43,0))="","Not paid by the bank","Paid "&amp;INDEX('DK Ledger'!$H$4:$H$43,MATCH(H36,'DK Ledger'!$B$4:$B$43,0)))))</f>
        <v>No check named</v>
      </c>
      <c r="J36" s="5" t="str">
        <f t="shared" si="2"/>
        <v>Yes</v>
      </c>
      <c r="K36" s="5" t="str">
        <f t="shared" si="3"/>
        <v>Progress</v>
      </c>
      <c r="L36" s="5" t="str">
        <f t="shared" si="4"/>
        <v>Yes</v>
      </c>
      <c r="M36" s="7" t="str">
        <f t="shared" si="5"/>
        <v>Effective when signed whether or not paid, section 8134</v>
      </c>
      <c r="N36" s="6">
        <f t="shared" si="6"/>
        <v>0</v>
      </c>
    </row>
    <row r="37" spans="1:14" x14ac:dyDescent="0.2">
      <c r="A37" s="5" t="s">
        <v>374</v>
      </c>
      <c r="B37" s="7" t="s">
        <v>493</v>
      </c>
      <c r="C37" s="5" t="s">
        <v>500</v>
      </c>
      <c r="D37" s="5">
        <f t="shared" si="0"/>
        <v>46234</v>
      </c>
      <c r="E37" s="6">
        <v>37166</v>
      </c>
      <c r="F37" s="7" t="s">
        <v>450</v>
      </c>
      <c r="H37" s="5" t="str">
        <f t="shared" si="1"/>
        <v/>
      </c>
      <c r="I37" s="5" t="str">
        <f>IF(G37="","No check named",IF(COUNTIFS('DK Ledger'!$B$4:$B$43,H37,'DK Ledger'!$C$4:$C$43,"STP")&gt;0,"Stopped",IF(INDEX('DK Ledger'!$H$4:$H$43,MATCH(H37,'DK Ledger'!$B$4:$B$43,0))="","Not paid by the bank","Paid "&amp;INDEX('DK Ledger'!$H$4:$H$43,MATCH(H37,'DK Ledger'!$B$4:$B$43,0)))))</f>
        <v>No check named</v>
      </c>
      <c r="J37" s="5" t="str">
        <f t="shared" si="2"/>
        <v>Yes</v>
      </c>
      <c r="K37" s="5" t="str">
        <f t="shared" si="3"/>
        <v>Progress</v>
      </c>
      <c r="L37" s="5" t="str">
        <f t="shared" si="4"/>
        <v>Yes</v>
      </c>
      <c r="M37" s="7" t="str">
        <f t="shared" si="5"/>
        <v>Effective when signed whether or not paid, section 8134</v>
      </c>
      <c r="N37" s="6">
        <f t="shared" si="6"/>
        <v>0</v>
      </c>
    </row>
    <row r="38" spans="1:14" x14ac:dyDescent="0.2">
      <c r="A38" s="5" t="s">
        <v>378</v>
      </c>
      <c r="B38" s="7" t="s">
        <v>493</v>
      </c>
      <c r="C38" s="5" t="s">
        <v>500</v>
      </c>
      <c r="D38" s="5">
        <f t="shared" si="0"/>
        <v>46234</v>
      </c>
      <c r="E38" s="6">
        <v>63320</v>
      </c>
      <c r="F38" s="7" t="s">
        <v>450</v>
      </c>
      <c r="H38" s="5" t="str">
        <f t="shared" si="1"/>
        <v/>
      </c>
      <c r="I38" s="5" t="str">
        <f>IF(G38="","No check named",IF(COUNTIFS('DK Ledger'!$B$4:$B$43,H38,'DK Ledger'!$C$4:$C$43,"STP")&gt;0,"Stopped",IF(INDEX('DK Ledger'!$H$4:$H$43,MATCH(H38,'DK Ledger'!$B$4:$B$43,0))="","Not paid by the bank","Paid "&amp;INDEX('DK Ledger'!$H$4:$H$43,MATCH(H38,'DK Ledger'!$B$4:$B$43,0)))))</f>
        <v>No check named</v>
      </c>
      <c r="J38" s="5" t="str">
        <f t="shared" si="2"/>
        <v>Yes</v>
      </c>
      <c r="K38" s="5" t="str">
        <f t="shared" si="3"/>
        <v>Progress</v>
      </c>
      <c r="L38" s="5" t="str">
        <f t="shared" si="4"/>
        <v>Yes</v>
      </c>
      <c r="M38" s="7" t="str">
        <f t="shared" si="5"/>
        <v>Effective when signed whether or not paid, section 8134</v>
      </c>
      <c r="N38" s="6">
        <f t="shared" si="6"/>
        <v>0</v>
      </c>
    </row>
    <row r="39" spans="1:14" x14ac:dyDescent="0.2">
      <c r="A39" s="5" t="s">
        <v>384</v>
      </c>
      <c r="B39" s="7" t="s">
        <v>502</v>
      </c>
      <c r="D39" s="5" t="str">
        <f t="shared" si="0"/>
        <v/>
      </c>
      <c r="E39" s="6">
        <v>8940</v>
      </c>
      <c r="F39" s="7" t="s">
        <v>509</v>
      </c>
      <c r="G39" s="5" t="s">
        <v>510</v>
      </c>
      <c r="H39" s="5">
        <f t="shared" si="1"/>
        <v>4488</v>
      </c>
      <c r="I39" s="5" t="str">
        <f>IF(G39="","No check named",IF(COUNTIFS('DK Ledger'!$B$4:$B$43,H39,'DK Ledger'!$C$4:$C$43,"STP")&gt;0,"Stopped",IF(INDEX('DK Ledger'!$H$4:$H$43,MATCH(H39,'DK Ledger'!$B$4:$B$43,0))="","Not paid by the bank","Paid "&amp;INDEX('DK Ledger'!$H$4:$H$43,MATCH(H39,'DK Ledger'!$B$4:$B$43,0)))))</f>
        <v>Paid 10/09/2026</v>
      </c>
      <c r="J39" s="5" t="str">
        <f t="shared" si="2"/>
        <v>Yes</v>
      </c>
      <c r="K39" s="5" t="str">
        <f t="shared" si="3"/>
        <v>Final</v>
      </c>
      <c r="L39" s="5" t="str">
        <f t="shared" si="4"/>
        <v>Yes</v>
      </c>
      <c r="M39" s="7" t="str">
        <f t="shared" si="5"/>
        <v>Check paid by the bank, effective under section 8124(b)</v>
      </c>
      <c r="N39" s="6">
        <f t="shared" si="6"/>
        <v>14540</v>
      </c>
    </row>
    <row r="41" spans="1:14" x14ac:dyDescent="0.2">
      <c r="A41" s="8" t="s">
        <v>511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6"/>
  <sheetViews>
    <sheetView workbookViewId="0"/>
  </sheetViews>
  <sheetFormatPr baseColWidth="10" defaultColWidth="8.83203125" defaultRowHeight="15" x14ac:dyDescent="0.2"/>
  <cols>
    <col min="1" max="1" width="34" customWidth="1"/>
    <col min="2" max="2" width="70" customWidth="1"/>
    <col min="3" max="3" width="11" customWidth="1"/>
    <col min="4" max="4" width="14" customWidth="1"/>
    <col min="5" max="5" width="12" customWidth="1"/>
    <col min="6" max="6" width="13" customWidth="1"/>
    <col min="7" max="7" width="26" customWidth="1"/>
    <col min="8" max="8" width="28" customWidth="1"/>
    <col min="9" max="9" width="14" customWidth="1"/>
    <col min="10" max="10" width="50" customWidth="1"/>
    <col min="11" max="11" width="12" customWidth="1"/>
    <col min="12" max="12" width="22" customWidth="1"/>
  </cols>
  <sheetData>
    <row r="1" spans="1:12" ht="17" customHeight="1" x14ac:dyDescent="0.2">
      <c r="A1" s="1" t="s">
        <v>512</v>
      </c>
    </row>
    <row r="3" spans="1:12" ht="30" customHeight="1" x14ac:dyDescent="0.2">
      <c r="A3" s="4" t="s">
        <v>50</v>
      </c>
      <c r="B3" s="4" t="s">
        <v>513</v>
      </c>
      <c r="C3" s="4" t="s">
        <v>514</v>
      </c>
      <c r="D3" s="4" t="s">
        <v>515</v>
      </c>
      <c r="E3" s="4" t="s">
        <v>516</v>
      </c>
      <c r="F3" s="4" t="s">
        <v>238</v>
      </c>
      <c r="G3" s="4" t="s">
        <v>517</v>
      </c>
      <c r="H3" s="4" t="s">
        <v>518</v>
      </c>
      <c r="I3" s="4" t="s">
        <v>519</v>
      </c>
      <c r="J3" s="4" t="s">
        <v>314</v>
      </c>
      <c r="K3" s="4" t="s">
        <v>520</v>
      </c>
      <c r="L3" s="4" t="s">
        <v>521</v>
      </c>
    </row>
    <row r="4" spans="1:12" x14ac:dyDescent="0.2">
      <c r="A4" s="5" t="s">
        <v>315</v>
      </c>
      <c r="B4" s="7" t="s">
        <v>522</v>
      </c>
      <c r="C4" s="5" t="s">
        <v>523</v>
      </c>
      <c r="D4" s="5" t="s">
        <v>496</v>
      </c>
      <c r="E4" s="5">
        <f t="shared" ref="E4:E44" si="0">DATE(VALUE(RIGHT(D4,4)),VALUE(LEFT(D4,2)),VALUE(MID(D4,4,2)))</f>
        <v>46150</v>
      </c>
      <c r="F4" s="6">
        <v>20600</v>
      </c>
      <c r="G4" s="5" t="str">
        <f>IF(C4="Charges","No, not work furnished",IF(C4="Request","No, not in the price agreed",IF(E4&gt;=INDEX(Notices!$M$4:$M$20,MATCH(A4,Notices!$A$4:$A$20,0)),"Yes","No, before the notice window")))</f>
        <v>Yes</v>
      </c>
      <c r="H4" s="5" t="str">
        <f>IF(COUNTIFS(Waivers!$A$4:$A$39,A4,Waivers!$L$4:$L$39,"Yes",Waivers!$K$4:$K$39,"Final")&gt;0,IF(SUMIFS($F$4:$F$44,$A$4:$A$44,A4,$L$4:$L$44,"&lt;&gt;Paid*")&lt;=SUMIFS(Waivers!$N$4:$N$39,Waivers!$A$4:$A$39,A4,Waivers!$L$4:$L$39,"Yes",Waivers!$K$4:$K$39,"Final"),"No, within the exception the final form states","Yes, final form"),IF(OR(C4="Retention",C4="Extra",C4="Request"),"No, saved by the progress form",IF(COUNTIFS(Waivers!$A$4:$A$39,A4,Waivers!$L$4:$L$39,"Yes",Waivers!$K$4:$K$39,"Progress",Waivers!$D$4:$D$39,"&gt;="&amp;E4)&gt;0,"Yes","No")))</f>
        <v>No, saved by the progress form</v>
      </c>
      <c r="I4" s="6">
        <f t="shared" ref="I4:I44" si="1">IF(AND(G4="Yes",LEFT(H4,2)="No",LEFT(L4,4)&lt;&gt;"Paid"),F4,0)</f>
        <v>20600</v>
      </c>
      <c r="J4" s="7" t="s">
        <v>524</v>
      </c>
      <c r="L4" s="5" t="str">
        <f>IF(K4="","None",IF(COUNTIFS('DK Ledger'!$B$4:$B$43,K4,'DK Ledger'!$C$4:$C$43,"STP")&gt;0,"Stopped",IF(INDEX('DK Ledger'!$H$4:$H$43,MATCH(K4,'DK Ledger'!$B$4:$B$43,0))="","Not paid by the bank","Paid "&amp;INDEX('DK Ledger'!$H$4:$H$43,MATCH(K4,'DK Ledger'!$B$4:$B$43,0)))))</f>
        <v>None</v>
      </c>
    </row>
    <row r="5" spans="1:12" ht="30" customHeight="1" x14ac:dyDescent="0.2">
      <c r="A5" s="5" t="s">
        <v>315</v>
      </c>
      <c r="B5" s="7" t="s">
        <v>525</v>
      </c>
      <c r="C5" s="5" t="s">
        <v>526</v>
      </c>
      <c r="D5" s="5" t="s">
        <v>496</v>
      </c>
      <c r="E5" s="5">
        <f t="shared" si="0"/>
        <v>46150</v>
      </c>
      <c r="F5" s="6">
        <v>12675</v>
      </c>
      <c r="G5" s="5" t="str">
        <f>IF(C5="Charges","No, not work furnished",IF(C5="Request","No, not in the price agreed",IF(E5&gt;=INDEX(Notices!$M$4:$M$20,MATCH(A5,Notices!$A$4:$A$20,0)),"Yes","No, before the notice window")))</f>
        <v>Yes</v>
      </c>
      <c r="H5" s="5" t="str">
        <f>IF(COUNTIFS(Waivers!$A$4:$A$39,A5,Waivers!$L$4:$L$39,"Yes",Waivers!$K$4:$K$39,"Final")&gt;0,IF(SUMIFS($F$4:$F$44,$A$4:$A$44,A5,$L$4:$L$44,"&lt;&gt;Paid*")&lt;=SUMIFS(Waivers!$N$4:$N$39,Waivers!$A$4:$A$39,A5,Waivers!$L$4:$L$39,"Yes",Waivers!$K$4:$K$39,"Final"),"No, within the exception the final form states","Yes, final form"),IF(OR(C5="Retention",C5="Extra",C5="Request"),"No, saved by the progress form",IF(COUNTIFS(Waivers!$A$4:$A$39,A5,Waivers!$L$4:$L$39,"Yes",Waivers!$K$4:$K$39,"Progress",Waivers!$D$4:$D$39,"&gt;="&amp;E5)&gt;0,"Yes","No")))</f>
        <v>No</v>
      </c>
      <c r="I5" s="6">
        <f t="shared" si="1"/>
        <v>12675</v>
      </c>
      <c r="J5" s="7" t="s">
        <v>527</v>
      </c>
      <c r="L5" s="5" t="str">
        <f>IF(K5="","None",IF(COUNTIFS('DK Ledger'!$B$4:$B$43,K5,'DK Ledger'!$C$4:$C$43,"STP")&gt;0,"Stopped",IF(INDEX('DK Ledger'!$H$4:$H$43,MATCH(K5,'DK Ledger'!$B$4:$B$43,0))="","Not paid by the bank","Paid "&amp;INDEX('DK Ledger'!$H$4:$H$43,MATCH(K5,'DK Ledger'!$B$4:$B$43,0)))))</f>
        <v>None</v>
      </c>
    </row>
    <row r="6" spans="1:12" ht="30" customHeight="1" x14ac:dyDescent="0.2">
      <c r="A6" s="5" t="s">
        <v>322</v>
      </c>
      <c r="B6" s="7" t="s">
        <v>528</v>
      </c>
      <c r="C6" s="5" t="s">
        <v>529</v>
      </c>
      <c r="D6" s="5" t="s">
        <v>263</v>
      </c>
      <c r="E6" s="5">
        <f t="shared" si="0"/>
        <v>46171</v>
      </c>
      <c r="F6" s="6">
        <v>11480</v>
      </c>
      <c r="G6" s="5" t="str">
        <f>IF(C6="Charges","No, not work furnished",IF(C6="Request","No, not in the price agreed",IF(E6&gt;=INDEX(Notices!$M$4:$M$20,MATCH(A6,Notices!$A$4:$A$20,0)),"Yes","No, before the notice window")))</f>
        <v>Yes</v>
      </c>
      <c r="H6" s="5" t="str">
        <f>IF(COUNTIFS(Waivers!$A$4:$A$39,A6,Waivers!$L$4:$L$39,"Yes",Waivers!$K$4:$K$39,"Final")&gt;0,IF(SUMIFS($F$4:$F$44,$A$4:$A$44,A6,$L$4:$L$44,"&lt;&gt;Paid*")&lt;=SUMIFS(Waivers!$N$4:$N$39,Waivers!$A$4:$A$39,A6,Waivers!$L$4:$L$39,"Yes",Waivers!$K$4:$K$39,"Final"),"No, within the exception the final form states","Yes, final form"),IF(OR(C6="Retention",C6="Extra",C6="Request"),"No, saved by the progress form",IF(COUNTIFS(Waivers!$A$4:$A$39,A6,Waivers!$L$4:$L$39,"Yes",Waivers!$K$4:$K$39,"Progress",Waivers!$D$4:$D$39,"&gt;="&amp;E6)&gt;0,"Yes","No")))</f>
        <v>No</v>
      </c>
      <c r="I6" s="6">
        <f t="shared" si="1"/>
        <v>11480</v>
      </c>
      <c r="J6" s="7" t="s">
        <v>530</v>
      </c>
      <c r="L6" s="5" t="str">
        <f>IF(K6="","None",IF(COUNTIFS('DK Ledger'!$B$4:$B$43,K6,'DK Ledger'!$C$4:$C$43,"STP")&gt;0,"Stopped",IF(INDEX('DK Ledger'!$H$4:$H$43,MATCH(K6,'DK Ledger'!$B$4:$B$43,0))="","Not paid by the bank","Paid "&amp;INDEX('DK Ledger'!$H$4:$H$43,MATCH(K6,'DK Ledger'!$B$4:$B$43,0)))))</f>
        <v>None</v>
      </c>
    </row>
    <row r="7" spans="1:12" ht="30" customHeight="1" x14ac:dyDescent="0.2">
      <c r="A7" s="5" t="s">
        <v>328</v>
      </c>
      <c r="B7" s="7" t="s">
        <v>531</v>
      </c>
      <c r="C7" s="5" t="s">
        <v>529</v>
      </c>
      <c r="D7" s="5" t="s">
        <v>532</v>
      </c>
      <c r="E7" s="5">
        <f t="shared" si="0"/>
        <v>46148</v>
      </c>
      <c r="F7" s="6">
        <v>17204.84</v>
      </c>
      <c r="G7" s="5" t="str">
        <f>IF(C7="Charges","No, not work furnished",IF(C7="Request","No, not in the price agreed",IF(E7&gt;=INDEX(Notices!$M$4:$M$20,MATCH(A7,Notices!$A$4:$A$20,0)),"Yes","No, before the notice window")))</f>
        <v>Yes</v>
      </c>
      <c r="H7" s="5" t="str">
        <f>IF(COUNTIFS(Waivers!$A$4:$A$39,A7,Waivers!$L$4:$L$39,"Yes",Waivers!$K$4:$K$39,"Final")&gt;0,IF(SUMIFS($F$4:$F$44,$A$4:$A$44,A7,$L$4:$L$44,"&lt;&gt;Paid*")&lt;=SUMIFS(Waivers!$N$4:$N$39,Waivers!$A$4:$A$39,A7,Waivers!$L$4:$L$39,"Yes",Waivers!$K$4:$K$39,"Final"),"No, within the exception the final form states","Yes, final form"),IF(OR(C7="Retention",C7="Extra",C7="Request"),"No, saved by the progress form",IF(COUNTIFS(Waivers!$A$4:$A$39,A7,Waivers!$L$4:$L$39,"Yes",Waivers!$K$4:$K$39,"Progress",Waivers!$D$4:$D$39,"&gt;="&amp;E7)&gt;0,"Yes","No")))</f>
        <v>No</v>
      </c>
      <c r="I7" s="6">
        <f t="shared" si="1"/>
        <v>17204.84</v>
      </c>
      <c r="J7" s="7" t="s">
        <v>533</v>
      </c>
      <c r="L7" s="5" t="str">
        <f>IF(K7="","None",IF(COUNTIFS('DK Ledger'!$B$4:$B$43,K7,'DK Ledger'!$C$4:$C$43,"STP")&gt;0,"Stopped",IF(INDEX('DK Ledger'!$H$4:$H$43,MATCH(K7,'DK Ledger'!$B$4:$B$43,0))="","Not paid by the bank","Paid "&amp;INDEX('DK Ledger'!$H$4:$H$43,MATCH(K7,'DK Ledger'!$B$4:$B$43,0)))))</f>
        <v>None</v>
      </c>
    </row>
    <row r="8" spans="1:12" ht="30" customHeight="1" x14ac:dyDescent="0.2">
      <c r="A8" s="5" t="s">
        <v>333</v>
      </c>
      <c r="B8" s="7" t="s">
        <v>534</v>
      </c>
      <c r="C8" s="5" t="s">
        <v>529</v>
      </c>
      <c r="D8" s="5" t="s">
        <v>535</v>
      </c>
      <c r="E8" s="5">
        <f t="shared" si="0"/>
        <v>46133</v>
      </c>
      <c r="F8" s="6">
        <v>27640</v>
      </c>
      <c r="G8" s="5" t="str">
        <f>IF(C8="Charges","No, not work furnished",IF(C8="Request","No, not in the price agreed",IF(E8&gt;=INDEX(Notices!$M$4:$M$20,MATCH(A8,Notices!$A$4:$A$20,0)),"Yes","No, before the notice window")))</f>
        <v>Yes</v>
      </c>
      <c r="H8" s="5" t="str">
        <f>IF(COUNTIFS(Waivers!$A$4:$A$39,A8,Waivers!$L$4:$L$39,"Yes",Waivers!$K$4:$K$39,"Final")&gt;0,IF(SUMIFS($F$4:$F$44,$A$4:$A$44,A8,$L$4:$L$44,"&lt;&gt;Paid*")&lt;=SUMIFS(Waivers!$N$4:$N$39,Waivers!$A$4:$A$39,A8,Waivers!$L$4:$L$39,"Yes",Waivers!$K$4:$K$39,"Final"),"No, within the exception the final form states","Yes, final form"),IF(OR(C8="Retention",C8="Extra",C8="Request"),"No, saved by the progress form",IF(COUNTIFS(Waivers!$A$4:$A$39,A8,Waivers!$L$4:$L$39,"Yes",Waivers!$K$4:$K$39,"Progress",Waivers!$D$4:$D$39,"&gt;="&amp;E8)&gt;0,"Yes","No")))</f>
        <v>No</v>
      </c>
      <c r="I8" s="6">
        <f t="shared" si="1"/>
        <v>27640</v>
      </c>
      <c r="J8" s="7" t="s">
        <v>536</v>
      </c>
      <c r="L8" s="5" t="str">
        <f>IF(K8="","None",IF(COUNTIFS('DK Ledger'!$B$4:$B$43,K8,'DK Ledger'!$C$4:$C$43,"STP")&gt;0,"Stopped",IF(INDEX('DK Ledger'!$H$4:$H$43,MATCH(K8,'DK Ledger'!$B$4:$B$43,0))="","Not paid by the bank","Paid "&amp;INDEX('DK Ledger'!$H$4:$H$43,MATCH(K8,'DK Ledger'!$B$4:$B$43,0)))))</f>
        <v>None</v>
      </c>
    </row>
    <row r="9" spans="1:12" ht="30" customHeight="1" x14ac:dyDescent="0.2">
      <c r="A9" s="5" t="s">
        <v>338</v>
      </c>
      <c r="B9" s="7" t="s">
        <v>537</v>
      </c>
      <c r="C9" s="5" t="s">
        <v>529</v>
      </c>
      <c r="D9" s="5" t="s">
        <v>251</v>
      </c>
      <c r="E9" s="5">
        <f t="shared" si="0"/>
        <v>46140</v>
      </c>
      <c r="F9" s="6">
        <v>11406.25</v>
      </c>
      <c r="G9" s="5" t="str">
        <f>IF(C9="Charges","No, not work furnished",IF(C9="Request","No, not in the price agreed",IF(E9&gt;=INDEX(Notices!$M$4:$M$20,MATCH(A9,Notices!$A$4:$A$20,0)),"Yes","No, before the notice window")))</f>
        <v>No, before the notice window</v>
      </c>
      <c r="H9" s="5" t="str">
        <f>IF(COUNTIFS(Waivers!$A$4:$A$39,A9,Waivers!$L$4:$L$39,"Yes",Waivers!$K$4:$K$39,"Final")&gt;0,IF(SUMIFS($F$4:$F$44,$A$4:$A$44,A9,$L$4:$L$44,"&lt;&gt;Paid*")&lt;=SUMIFS(Waivers!$N$4:$N$39,Waivers!$A$4:$A$39,A9,Waivers!$L$4:$L$39,"Yes",Waivers!$K$4:$K$39,"Final"),"No, within the exception the final form states","Yes, final form"),IF(OR(C9="Retention",C9="Extra",C9="Request"),"No, saved by the progress form",IF(COUNTIFS(Waivers!$A$4:$A$39,A9,Waivers!$L$4:$L$39,"Yes",Waivers!$K$4:$K$39,"Progress",Waivers!$D$4:$D$39,"&gt;="&amp;E9)&gt;0,"Yes","No")))</f>
        <v>No</v>
      </c>
      <c r="I9" s="6">
        <f t="shared" si="1"/>
        <v>0</v>
      </c>
      <c r="J9" s="7" t="s">
        <v>538</v>
      </c>
      <c r="L9" s="5" t="str">
        <f>IF(K9="","None",IF(COUNTIFS('DK Ledger'!$B$4:$B$43,K9,'DK Ledger'!$C$4:$C$43,"STP")&gt;0,"Stopped",IF(INDEX('DK Ledger'!$H$4:$H$43,MATCH(K9,'DK Ledger'!$B$4:$B$43,0))="","Not paid by the bank","Paid "&amp;INDEX('DK Ledger'!$H$4:$H$43,MATCH(K9,'DK Ledger'!$B$4:$B$43,0)))))</f>
        <v>None</v>
      </c>
    </row>
    <row r="10" spans="1:12" x14ac:dyDescent="0.2">
      <c r="A10" s="5" t="s">
        <v>338</v>
      </c>
      <c r="B10" s="7" t="s">
        <v>539</v>
      </c>
      <c r="C10" s="5" t="s">
        <v>529</v>
      </c>
      <c r="D10" s="5" t="s">
        <v>262</v>
      </c>
      <c r="E10" s="5">
        <f t="shared" si="0"/>
        <v>46147</v>
      </c>
      <c r="F10" s="6">
        <v>6930</v>
      </c>
      <c r="G10" s="5" t="str">
        <f>IF(C10="Charges","No, not work furnished",IF(C10="Request","No, not in the price agreed",IF(E10&gt;=INDEX(Notices!$M$4:$M$20,MATCH(A10,Notices!$A$4:$A$20,0)),"Yes","No, before the notice window")))</f>
        <v>No, before the notice window</v>
      </c>
      <c r="H10" s="5" t="str">
        <f>IF(COUNTIFS(Waivers!$A$4:$A$39,A10,Waivers!$L$4:$L$39,"Yes",Waivers!$K$4:$K$39,"Final")&gt;0,IF(SUMIFS($F$4:$F$44,$A$4:$A$44,A10,$L$4:$L$44,"&lt;&gt;Paid*")&lt;=SUMIFS(Waivers!$N$4:$N$39,Waivers!$A$4:$A$39,A10,Waivers!$L$4:$L$39,"Yes",Waivers!$K$4:$K$39,"Final"),"No, within the exception the final form states","Yes, final form"),IF(OR(C10="Retention",C10="Extra",C10="Request"),"No, saved by the progress form",IF(COUNTIFS(Waivers!$A$4:$A$39,A10,Waivers!$L$4:$L$39,"Yes",Waivers!$K$4:$K$39,"Progress",Waivers!$D$4:$D$39,"&gt;="&amp;E10)&gt;0,"Yes","No")))</f>
        <v>No</v>
      </c>
      <c r="I10" s="6">
        <f t="shared" si="1"/>
        <v>0</v>
      </c>
      <c r="J10" s="7" t="s">
        <v>538</v>
      </c>
      <c r="L10" s="5" t="str">
        <f>IF(K10="","None",IF(COUNTIFS('DK Ledger'!$B$4:$B$43,K10,'DK Ledger'!$C$4:$C$43,"STP")&gt;0,"Stopped",IF(INDEX('DK Ledger'!$H$4:$H$43,MATCH(K10,'DK Ledger'!$B$4:$B$43,0))="","Not paid by the bank","Paid "&amp;INDEX('DK Ledger'!$H$4:$H$43,MATCH(K10,'DK Ledger'!$B$4:$B$43,0)))))</f>
        <v>None</v>
      </c>
    </row>
    <row r="11" spans="1:12" x14ac:dyDescent="0.2">
      <c r="A11" s="5" t="s">
        <v>338</v>
      </c>
      <c r="B11" s="7" t="s">
        <v>540</v>
      </c>
      <c r="C11" s="5" t="s">
        <v>529</v>
      </c>
      <c r="D11" s="5" t="s">
        <v>496</v>
      </c>
      <c r="E11" s="5">
        <f t="shared" si="0"/>
        <v>46150</v>
      </c>
      <c r="F11" s="6">
        <v>4890.5</v>
      </c>
      <c r="G11" s="5" t="str">
        <f>IF(C11="Charges","No, not work furnished",IF(C11="Request","No, not in the price agreed",IF(E11&gt;=INDEX(Notices!$M$4:$M$20,MATCH(A11,Notices!$A$4:$A$20,0)),"Yes","No, before the notice window")))</f>
        <v>No, before the notice window</v>
      </c>
      <c r="H11" s="5" t="str">
        <f>IF(COUNTIFS(Waivers!$A$4:$A$39,A11,Waivers!$L$4:$L$39,"Yes",Waivers!$K$4:$K$39,"Final")&gt;0,IF(SUMIFS($F$4:$F$44,$A$4:$A$44,A11,$L$4:$L$44,"&lt;&gt;Paid*")&lt;=SUMIFS(Waivers!$N$4:$N$39,Waivers!$A$4:$A$39,A11,Waivers!$L$4:$L$39,"Yes",Waivers!$K$4:$K$39,"Final"),"No, within the exception the final form states","Yes, final form"),IF(OR(C11="Retention",C11="Extra",C11="Request"),"No, saved by the progress form",IF(COUNTIFS(Waivers!$A$4:$A$39,A11,Waivers!$L$4:$L$39,"Yes",Waivers!$K$4:$K$39,"Progress",Waivers!$D$4:$D$39,"&gt;="&amp;E11)&gt;0,"Yes","No")))</f>
        <v>No</v>
      </c>
      <c r="I11" s="6">
        <f t="shared" si="1"/>
        <v>0</v>
      </c>
      <c r="J11" s="7" t="s">
        <v>538</v>
      </c>
      <c r="L11" s="5" t="str">
        <f>IF(K11="","None",IF(COUNTIFS('DK Ledger'!$B$4:$B$43,K11,'DK Ledger'!$C$4:$C$43,"STP")&gt;0,"Stopped",IF(INDEX('DK Ledger'!$H$4:$H$43,MATCH(K11,'DK Ledger'!$B$4:$B$43,0))="","Not paid by the bank","Paid "&amp;INDEX('DK Ledger'!$H$4:$H$43,MATCH(K11,'DK Ledger'!$B$4:$B$43,0)))))</f>
        <v>None</v>
      </c>
    </row>
    <row r="12" spans="1:12" x14ac:dyDescent="0.2">
      <c r="A12" s="5" t="s">
        <v>338</v>
      </c>
      <c r="B12" s="7" t="s">
        <v>541</v>
      </c>
      <c r="C12" s="5" t="s">
        <v>529</v>
      </c>
      <c r="D12" s="5" t="s">
        <v>542</v>
      </c>
      <c r="E12" s="5">
        <f t="shared" si="0"/>
        <v>46151</v>
      </c>
      <c r="F12" s="6">
        <v>3228.25</v>
      </c>
      <c r="G12" s="5" t="str">
        <f>IF(C12="Charges","No, not work furnished",IF(C12="Request","No, not in the price agreed",IF(E12&gt;=INDEX(Notices!$M$4:$M$20,MATCH(A12,Notices!$A$4:$A$20,0)),"Yes","No, before the notice window")))</f>
        <v>Yes</v>
      </c>
      <c r="H12" s="5" t="str">
        <f>IF(COUNTIFS(Waivers!$A$4:$A$39,A12,Waivers!$L$4:$L$39,"Yes",Waivers!$K$4:$K$39,"Final")&gt;0,IF(SUMIFS($F$4:$F$44,$A$4:$A$44,A12,$L$4:$L$44,"&lt;&gt;Paid*")&lt;=SUMIFS(Waivers!$N$4:$N$39,Waivers!$A$4:$A$39,A12,Waivers!$L$4:$L$39,"Yes",Waivers!$K$4:$K$39,"Final"),"No, within the exception the final form states","Yes, final form"),IF(OR(C12="Retention",C12="Extra",C12="Request"),"No, saved by the progress form",IF(COUNTIFS(Waivers!$A$4:$A$39,A12,Waivers!$L$4:$L$39,"Yes",Waivers!$K$4:$K$39,"Progress",Waivers!$D$4:$D$39,"&gt;="&amp;E12)&gt;0,"Yes","No")))</f>
        <v>No</v>
      </c>
      <c r="I12" s="6">
        <f t="shared" si="1"/>
        <v>3228.25</v>
      </c>
      <c r="J12" s="7" t="s">
        <v>538</v>
      </c>
      <c r="L12" s="5" t="str">
        <f>IF(K12="","None",IF(COUNTIFS('DK Ledger'!$B$4:$B$43,K12,'DK Ledger'!$C$4:$C$43,"STP")&gt;0,"Stopped",IF(INDEX('DK Ledger'!$H$4:$H$43,MATCH(K12,'DK Ledger'!$B$4:$B$43,0))="","Not paid by the bank","Paid "&amp;INDEX('DK Ledger'!$H$4:$H$43,MATCH(K12,'DK Ledger'!$B$4:$B$43,0)))))</f>
        <v>None</v>
      </c>
    </row>
    <row r="13" spans="1:12" ht="30" customHeight="1" x14ac:dyDescent="0.2">
      <c r="A13" s="5" t="s">
        <v>338</v>
      </c>
      <c r="B13" s="7" t="s">
        <v>543</v>
      </c>
      <c r="C13" s="5" t="s">
        <v>529</v>
      </c>
      <c r="D13" s="5" t="s">
        <v>544</v>
      </c>
      <c r="E13" s="5">
        <f t="shared" si="0"/>
        <v>46168</v>
      </c>
      <c r="F13" s="6">
        <v>9447.2</v>
      </c>
      <c r="G13" s="5" t="str">
        <f>IF(C13="Charges","No, not work furnished",IF(C13="Request","No, not in the price agreed",IF(E13&gt;=INDEX(Notices!$M$4:$M$20,MATCH(A13,Notices!$A$4:$A$20,0)),"Yes","No, before the notice window")))</f>
        <v>Yes</v>
      </c>
      <c r="H13" s="5" t="str">
        <f>IF(COUNTIFS(Waivers!$A$4:$A$39,A13,Waivers!$L$4:$L$39,"Yes",Waivers!$K$4:$K$39,"Final")&gt;0,IF(SUMIFS($F$4:$F$44,$A$4:$A$44,A13,$L$4:$L$44,"&lt;&gt;Paid*")&lt;=SUMIFS(Waivers!$N$4:$N$39,Waivers!$A$4:$A$39,A13,Waivers!$L$4:$L$39,"Yes",Waivers!$K$4:$K$39,"Final"),"No, within the exception the final form states","Yes, final form"),IF(OR(C13="Retention",C13="Extra",C13="Request"),"No, saved by the progress form",IF(COUNTIFS(Waivers!$A$4:$A$39,A13,Waivers!$L$4:$L$39,"Yes",Waivers!$K$4:$K$39,"Progress",Waivers!$D$4:$D$39,"&gt;="&amp;E13)&gt;0,"Yes","No")))</f>
        <v>No</v>
      </c>
      <c r="I13" s="6">
        <f t="shared" si="1"/>
        <v>9447.2</v>
      </c>
      <c r="J13" s="7" t="s">
        <v>538</v>
      </c>
      <c r="L13" s="5" t="str">
        <f>IF(K13="","None",IF(COUNTIFS('DK Ledger'!$B$4:$B$43,K13,'DK Ledger'!$C$4:$C$43,"STP")&gt;0,"Stopped",IF(INDEX('DK Ledger'!$H$4:$H$43,MATCH(K13,'DK Ledger'!$B$4:$B$43,0))="","Not paid by the bank","Paid "&amp;INDEX('DK Ledger'!$H$4:$H$43,MATCH(K13,'DK Ledger'!$B$4:$B$43,0)))))</f>
        <v>None</v>
      </c>
    </row>
    <row r="14" spans="1:12" ht="30" customHeight="1" x14ac:dyDescent="0.2">
      <c r="A14" s="5" t="s">
        <v>338</v>
      </c>
      <c r="B14" s="7" t="s">
        <v>545</v>
      </c>
      <c r="C14" s="5" t="s">
        <v>529</v>
      </c>
      <c r="D14" s="5" t="s">
        <v>546</v>
      </c>
      <c r="E14" s="5">
        <f t="shared" si="0"/>
        <v>46182</v>
      </c>
      <c r="F14" s="6">
        <v>10220.4</v>
      </c>
      <c r="G14" s="5" t="str">
        <f>IF(C14="Charges","No, not work furnished",IF(C14="Request","No, not in the price agreed",IF(E14&gt;=INDEX(Notices!$M$4:$M$20,MATCH(A14,Notices!$A$4:$A$20,0)),"Yes","No, before the notice window")))</f>
        <v>Yes</v>
      </c>
      <c r="H14" s="5" t="str">
        <f>IF(COUNTIFS(Waivers!$A$4:$A$39,A14,Waivers!$L$4:$L$39,"Yes",Waivers!$K$4:$K$39,"Final")&gt;0,IF(SUMIFS($F$4:$F$44,$A$4:$A$44,A14,$L$4:$L$44,"&lt;&gt;Paid*")&lt;=SUMIFS(Waivers!$N$4:$N$39,Waivers!$A$4:$A$39,A14,Waivers!$L$4:$L$39,"Yes",Waivers!$K$4:$K$39,"Final"),"No, within the exception the final form states","Yes, final form"),IF(OR(C14="Retention",C14="Extra",C14="Request"),"No, saved by the progress form",IF(COUNTIFS(Waivers!$A$4:$A$39,A14,Waivers!$L$4:$L$39,"Yes",Waivers!$K$4:$K$39,"Progress",Waivers!$D$4:$D$39,"&gt;="&amp;E14)&gt;0,"Yes","No")))</f>
        <v>No</v>
      </c>
      <c r="I14" s="6">
        <f t="shared" si="1"/>
        <v>10220.4</v>
      </c>
      <c r="J14" s="7" t="s">
        <v>538</v>
      </c>
      <c r="L14" s="5" t="str">
        <f>IF(K14="","None",IF(COUNTIFS('DK Ledger'!$B$4:$B$43,K14,'DK Ledger'!$C$4:$C$43,"STP")&gt;0,"Stopped",IF(INDEX('DK Ledger'!$H$4:$H$43,MATCH(K14,'DK Ledger'!$B$4:$B$43,0))="","Not paid by the bank","Paid "&amp;INDEX('DK Ledger'!$H$4:$H$43,MATCH(K14,'DK Ledger'!$B$4:$B$43,0)))))</f>
        <v>None</v>
      </c>
    </row>
    <row r="15" spans="1:12" ht="30" customHeight="1" x14ac:dyDescent="0.2">
      <c r="A15" s="5" t="s">
        <v>338</v>
      </c>
      <c r="B15" s="7" t="s">
        <v>547</v>
      </c>
      <c r="C15" s="5" t="s">
        <v>529</v>
      </c>
      <c r="D15" s="5" t="s">
        <v>548</v>
      </c>
      <c r="E15" s="5">
        <f t="shared" si="0"/>
        <v>46196</v>
      </c>
      <c r="F15" s="6">
        <v>6195.84</v>
      </c>
      <c r="G15" s="5" t="str">
        <f>IF(C15="Charges","No, not work furnished",IF(C15="Request","No, not in the price agreed",IF(E15&gt;=INDEX(Notices!$M$4:$M$20,MATCH(A15,Notices!$A$4:$A$20,0)),"Yes","No, before the notice window")))</f>
        <v>Yes</v>
      </c>
      <c r="H15" s="5" t="str">
        <f>IF(COUNTIFS(Waivers!$A$4:$A$39,A15,Waivers!$L$4:$L$39,"Yes",Waivers!$K$4:$K$39,"Final")&gt;0,IF(SUMIFS($F$4:$F$44,$A$4:$A$44,A15,$L$4:$L$44,"&lt;&gt;Paid*")&lt;=SUMIFS(Waivers!$N$4:$N$39,Waivers!$A$4:$A$39,A15,Waivers!$L$4:$L$39,"Yes",Waivers!$K$4:$K$39,"Final"),"No, within the exception the final form states","Yes, final form"),IF(OR(C15="Retention",C15="Extra",C15="Request"),"No, saved by the progress form",IF(COUNTIFS(Waivers!$A$4:$A$39,A15,Waivers!$L$4:$L$39,"Yes",Waivers!$K$4:$K$39,"Progress",Waivers!$D$4:$D$39,"&gt;="&amp;E15)&gt;0,"Yes","No")))</f>
        <v>No</v>
      </c>
      <c r="I15" s="6">
        <f t="shared" si="1"/>
        <v>6195.84</v>
      </c>
      <c r="J15" s="7" t="s">
        <v>538</v>
      </c>
      <c r="L15" s="5" t="str">
        <f>IF(K15="","None",IF(COUNTIFS('DK Ledger'!$B$4:$B$43,K15,'DK Ledger'!$C$4:$C$43,"STP")&gt;0,"Stopped",IF(INDEX('DK Ledger'!$H$4:$H$43,MATCH(K15,'DK Ledger'!$B$4:$B$43,0))="","Not paid by the bank","Paid "&amp;INDEX('DK Ledger'!$H$4:$H$43,MATCH(K15,'DK Ledger'!$B$4:$B$43,0)))))</f>
        <v>None</v>
      </c>
    </row>
    <row r="16" spans="1:12" x14ac:dyDescent="0.2">
      <c r="A16" s="5" t="s">
        <v>338</v>
      </c>
      <c r="B16" s="7" t="s">
        <v>549</v>
      </c>
      <c r="C16" s="5" t="s">
        <v>550</v>
      </c>
      <c r="D16" s="5" t="s">
        <v>408</v>
      </c>
      <c r="E16" s="5">
        <f t="shared" si="0"/>
        <v>46265</v>
      </c>
      <c r="F16" s="6">
        <v>1912.37</v>
      </c>
      <c r="G16" s="5" t="str">
        <f>IF(C16="Charges","No, not work furnished",IF(C16="Request","No, not in the price agreed",IF(E16&gt;=INDEX(Notices!$M$4:$M$20,MATCH(A16,Notices!$A$4:$A$20,0)),"Yes","No, before the notice window")))</f>
        <v>No, not work furnished</v>
      </c>
      <c r="H16" s="5" t="str">
        <f>IF(COUNTIFS(Waivers!$A$4:$A$39,A16,Waivers!$L$4:$L$39,"Yes",Waivers!$K$4:$K$39,"Final")&gt;0,IF(SUMIFS($F$4:$F$44,$A$4:$A$44,A16,$L$4:$L$44,"&lt;&gt;Paid*")&lt;=SUMIFS(Waivers!$N$4:$N$39,Waivers!$A$4:$A$39,A16,Waivers!$L$4:$L$39,"Yes",Waivers!$K$4:$K$39,"Final"),"No, within the exception the final form states","Yes, final form"),IF(OR(C16="Retention",C16="Extra",C16="Request"),"No, saved by the progress form",IF(COUNTIFS(Waivers!$A$4:$A$39,A16,Waivers!$L$4:$L$39,"Yes",Waivers!$K$4:$K$39,"Progress",Waivers!$D$4:$D$39,"&gt;="&amp;E16)&gt;0,"Yes","No")))</f>
        <v>No</v>
      </c>
      <c r="I16" s="6">
        <f t="shared" si="1"/>
        <v>0</v>
      </c>
      <c r="J16" s="7" t="s">
        <v>551</v>
      </c>
      <c r="L16" s="5" t="str">
        <f>IF(K16="","None",IF(COUNTIFS('DK Ledger'!$B$4:$B$43,K16,'DK Ledger'!$C$4:$C$43,"STP")&gt;0,"Stopped",IF(INDEX('DK Ledger'!$H$4:$H$43,MATCH(K16,'DK Ledger'!$B$4:$B$43,0))="","Not paid by the bank","Paid "&amp;INDEX('DK Ledger'!$H$4:$H$43,MATCH(K16,'DK Ledger'!$B$4:$B$43,0)))))</f>
        <v>None</v>
      </c>
    </row>
    <row r="17" spans="1:12" x14ac:dyDescent="0.2">
      <c r="A17" s="5" t="s">
        <v>342</v>
      </c>
      <c r="B17" s="7" t="s">
        <v>552</v>
      </c>
      <c r="C17" s="5" t="s">
        <v>523</v>
      </c>
      <c r="D17" s="5" t="s">
        <v>553</v>
      </c>
      <c r="E17" s="5">
        <f t="shared" si="0"/>
        <v>46220</v>
      </c>
      <c r="F17" s="6">
        <v>9345</v>
      </c>
      <c r="G17" s="5" t="str">
        <f>IF(C17="Charges","No, not work furnished",IF(C17="Request","No, not in the price agreed",IF(E17&gt;=INDEX(Notices!$M$4:$M$20,MATCH(A17,Notices!$A$4:$A$20,0)),"Yes","No, before the notice window")))</f>
        <v>Yes</v>
      </c>
      <c r="H17" s="5" t="str">
        <f>IF(COUNTIFS(Waivers!$A$4:$A$39,A17,Waivers!$L$4:$L$39,"Yes",Waivers!$K$4:$K$39,"Final")&gt;0,IF(SUMIFS($F$4:$F$44,$A$4:$A$44,A17,$L$4:$L$44,"&lt;&gt;Paid*")&lt;=SUMIFS(Waivers!$N$4:$N$39,Waivers!$A$4:$A$39,A17,Waivers!$L$4:$L$39,"Yes",Waivers!$K$4:$K$39,"Final"),"No, within the exception the final form states","Yes, final form"),IF(OR(C17="Retention",C17="Extra",C17="Request"),"No, saved by the progress form",IF(COUNTIFS(Waivers!$A$4:$A$39,A17,Waivers!$L$4:$L$39,"Yes",Waivers!$K$4:$K$39,"Progress",Waivers!$D$4:$D$39,"&gt;="&amp;E17)&gt;0,"Yes","No")))</f>
        <v>No, saved by the progress form</v>
      </c>
      <c r="I17" s="6">
        <f t="shared" si="1"/>
        <v>9345</v>
      </c>
      <c r="J17" s="7" t="s">
        <v>554</v>
      </c>
      <c r="L17" s="5" t="str">
        <f>IF(K17="","None",IF(COUNTIFS('DK Ledger'!$B$4:$B$43,K17,'DK Ledger'!$C$4:$C$43,"STP")&gt;0,"Stopped",IF(INDEX('DK Ledger'!$H$4:$H$43,MATCH(K17,'DK Ledger'!$B$4:$B$43,0))="","Not paid by the bank","Paid "&amp;INDEX('DK Ledger'!$H$4:$H$43,MATCH(K17,'DK Ledger'!$B$4:$B$43,0)))))</f>
        <v>None</v>
      </c>
    </row>
    <row r="18" spans="1:12" x14ac:dyDescent="0.2">
      <c r="A18" s="5" t="s">
        <v>346</v>
      </c>
      <c r="B18" s="7" t="s">
        <v>555</v>
      </c>
      <c r="C18" s="5" t="s">
        <v>526</v>
      </c>
      <c r="D18" s="5" t="s">
        <v>500</v>
      </c>
      <c r="E18" s="5">
        <f t="shared" si="0"/>
        <v>46234</v>
      </c>
      <c r="F18" s="6">
        <v>73910</v>
      </c>
      <c r="G18" s="5" t="str">
        <f>IF(C18="Charges","No, not work furnished",IF(C18="Request","No, not in the price agreed",IF(E18&gt;=INDEX(Notices!$M$4:$M$20,MATCH(A18,Notices!$A$4:$A$20,0)),"Yes","No, before the notice window")))</f>
        <v>Yes</v>
      </c>
      <c r="H18" s="5" t="str">
        <f>IF(COUNTIFS(Waivers!$A$4:$A$39,A18,Waivers!$L$4:$L$39,"Yes",Waivers!$K$4:$K$39,"Final")&gt;0,IF(SUMIFS($F$4:$F$44,$A$4:$A$44,A18,$L$4:$L$44,"&lt;&gt;Paid*")&lt;=SUMIFS(Waivers!$N$4:$N$39,Waivers!$A$4:$A$39,A18,Waivers!$L$4:$L$39,"Yes",Waivers!$K$4:$K$39,"Final"),"No, within the exception the final form states","Yes, final form"),IF(OR(C18="Retention",C18="Extra",C18="Request"),"No, saved by the progress form",IF(COUNTIFS(Waivers!$A$4:$A$39,A18,Waivers!$L$4:$L$39,"Yes",Waivers!$K$4:$K$39,"Progress",Waivers!$D$4:$D$39,"&gt;="&amp;E18)&gt;0,"Yes","No")))</f>
        <v>No</v>
      </c>
      <c r="I18" s="6">
        <f t="shared" si="1"/>
        <v>0</v>
      </c>
      <c r="J18" s="7" t="s">
        <v>556</v>
      </c>
      <c r="K18" s="5">
        <v>4474</v>
      </c>
      <c r="L18" s="5" t="str">
        <f>IF(K18="","None",IF(COUNTIFS('DK Ledger'!$B$4:$B$43,K18,'DK Ledger'!$C$4:$C$43,"STP")&gt;0,"Stopped",IF(INDEX('DK Ledger'!$H$4:$H$43,MATCH(K18,'DK Ledger'!$B$4:$B$43,0))="","Not paid by the bank","Paid "&amp;INDEX('DK Ledger'!$H$4:$H$43,MATCH(K18,'DK Ledger'!$B$4:$B$43,0)))))</f>
        <v>Paid 09/23/2026</v>
      </c>
    </row>
    <row r="19" spans="1:12" x14ac:dyDescent="0.2">
      <c r="A19" s="5" t="s">
        <v>346</v>
      </c>
      <c r="B19" s="7" t="s">
        <v>557</v>
      </c>
      <c r="C19" s="5" t="s">
        <v>526</v>
      </c>
      <c r="D19" s="5" t="s">
        <v>124</v>
      </c>
      <c r="E19" s="5">
        <f t="shared" si="0"/>
        <v>46245</v>
      </c>
      <c r="F19" s="6">
        <v>63005</v>
      </c>
      <c r="G19" s="5" t="str">
        <f>IF(C19="Charges","No, not work furnished",IF(C19="Request","No, not in the price agreed",IF(E19&gt;=INDEX(Notices!$M$4:$M$20,MATCH(A19,Notices!$A$4:$A$20,0)),"Yes","No, before the notice window")))</f>
        <v>Yes</v>
      </c>
      <c r="H19" s="5" t="str">
        <f>IF(COUNTIFS(Waivers!$A$4:$A$39,A19,Waivers!$L$4:$L$39,"Yes",Waivers!$K$4:$K$39,"Final")&gt;0,IF(SUMIFS($F$4:$F$44,$A$4:$A$44,A19,$L$4:$L$44,"&lt;&gt;Paid*")&lt;=SUMIFS(Waivers!$N$4:$N$39,Waivers!$A$4:$A$39,A19,Waivers!$L$4:$L$39,"Yes",Waivers!$K$4:$K$39,"Final"),"No, within the exception the final form states","Yes, final form"),IF(OR(C19="Retention",C19="Extra",C19="Request"),"No, saved by the progress form",IF(COUNTIFS(Waivers!$A$4:$A$39,A19,Waivers!$L$4:$L$39,"Yes",Waivers!$K$4:$K$39,"Progress",Waivers!$D$4:$D$39,"&gt;="&amp;E19)&gt;0,"Yes","No")))</f>
        <v>No</v>
      </c>
      <c r="I19" s="6">
        <f t="shared" si="1"/>
        <v>63005</v>
      </c>
      <c r="J19" s="7" t="s">
        <v>558</v>
      </c>
      <c r="L19" s="5" t="str">
        <f>IF(K19="","None",IF(COUNTIFS('DK Ledger'!$B$4:$B$43,K19,'DK Ledger'!$C$4:$C$43,"STP")&gt;0,"Stopped",IF(INDEX('DK Ledger'!$H$4:$H$43,MATCH(K19,'DK Ledger'!$B$4:$B$43,0))="","Not paid by the bank","Paid "&amp;INDEX('DK Ledger'!$H$4:$H$43,MATCH(K19,'DK Ledger'!$B$4:$B$43,0)))))</f>
        <v>None</v>
      </c>
    </row>
    <row r="20" spans="1:12" x14ac:dyDescent="0.2">
      <c r="A20" s="5" t="s">
        <v>346</v>
      </c>
      <c r="B20" s="7" t="s">
        <v>559</v>
      </c>
      <c r="C20" s="5" t="s">
        <v>523</v>
      </c>
      <c r="D20" s="5" t="s">
        <v>560</v>
      </c>
      <c r="E20" s="5">
        <f t="shared" si="0"/>
        <v>46244</v>
      </c>
      <c r="F20" s="6">
        <v>22230</v>
      </c>
      <c r="G20" s="5" t="str">
        <f>IF(C20="Charges","No, not work furnished",IF(C20="Request","No, not in the price agreed",IF(E20&gt;=INDEX(Notices!$M$4:$M$20,MATCH(A20,Notices!$A$4:$A$20,0)),"Yes","No, before the notice window")))</f>
        <v>Yes</v>
      </c>
      <c r="H20" s="5" t="str">
        <f>IF(COUNTIFS(Waivers!$A$4:$A$39,A20,Waivers!$L$4:$L$39,"Yes",Waivers!$K$4:$K$39,"Final")&gt;0,IF(SUMIFS($F$4:$F$44,$A$4:$A$44,A20,$L$4:$L$44,"&lt;&gt;Paid*")&lt;=SUMIFS(Waivers!$N$4:$N$39,Waivers!$A$4:$A$39,A20,Waivers!$L$4:$L$39,"Yes",Waivers!$K$4:$K$39,"Final"),"No, within the exception the final form states","Yes, final form"),IF(OR(C20="Retention",C20="Extra",C20="Request"),"No, saved by the progress form",IF(COUNTIFS(Waivers!$A$4:$A$39,A20,Waivers!$L$4:$L$39,"Yes",Waivers!$K$4:$K$39,"Progress",Waivers!$D$4:$D$39,"&gt;="&amp;E20)&gt;0,"Yes","No")))</f>
        <v>No, saved by the progress form</v>
      </c>
      <c r="I20" s="6">
        <f t="shared" si="1"/>
        <v>22230</v>
      </c>
      <c r="J20" s="7" t="s">
        <v>561</v>
      </c>
      <c r="L20" s="5" t="str">
        <f>IF(K20="","None",IF(COUNTIFS('DK Ledger'!$B$4:$B$43,K20,'DK Ledger'!$C$4:$C$43,"STP")&gt;0,"Stopped",IF(INDEX('DK Ledger'!$H$4:$H$43,MATCH(K20,'DK Ledger'!$B$4:$B$43,0))="","Not paid by the bank","Paid "&amp;INDEX('DK Ledger'!$H$4:$H$43,MATCH(K20,'DK Ledger'!$B$4:$B$43,0)))))</f>
        <v>None</v>
      </c>
    </row>
    <row r="21" spans="1:12" ht="30" customHeight="1" x14ac:dyDescent="0.2">
      <c r="A21" s="5" t="s">
        <v>351</v>
      </c>
      <c r="B21" s="7" t="s">
        <v>562</v>
      </c>
      <c r="C21" s="5" t="s">
        <v>526</v>
      </c>
      <c r="D21" s="5" t="s">
        <v>500</v>
      </c>
      <c r="E21" s="5">
        <f t="shared" si="0"/>
        <v>46234</v>
      </c>
      <c r="F21" s="6">
        <v>38475</v>
      </c>
      <c r="G21" s="5" t="str">
        <f>IF(C21="Charges","No, not work furnished",IF(C21="Request","No, not in the price agreed",IF(E21&gt;=INDEX(Notices!$M$4:$M$20,MATCH(A21,Notices!$A$4:$A$20,0)),"Yes","No, before the notice window")))</f>
        <v>Yes</v>
      </c>
      <c r="H21" s="5" t="str">
        <f>IF(COUNTIFS(Waivers!$A$4:$A$39,A21,Waivers!$L$4:$L$39,"Yes",Waivers!$K$4:$K$39,"Final")&gt;0,IF(SUMIFS($F$4:$F$44,$A$4:$A$44,A21,$L$4:$L$44,"&lt;&gt;Paid*")&lt;=SUMIFS(Waivers!$N$4:$N$39,Waivers!$A$4:$A$39,A21,Waivers!$L$4:$L$39,"Yes",Waivers!$K$4:$K$39,"Final"),"No, within the exception the final form states","Yes, final form"),IF(OR(C21="Retention",C21="Extra",C21="Request"),"No, saved by the progress form",IF(COUNTIFS(Waivers!$A$4:$A$39,A21,Waivers!$L$4:$L$39,"Yes",Waivers!$K$4:$K$39,"Progress",Waivers!$D$4:$D$39,"&gt;="&amp;E21)&gt;0,"Yes","No")))</f>
        <v>Yes</v>
      </c>
      <c r="I21" s="6">
        <f t="shared" si="1"/>
        <v>0</v>
      </c>
      <c r="J21" s="7" t="s">
        <v>563</v>
      </c>
      <c r="L21" s="5" t="str">
        <f>IF(K21="","None",IF(COUNTIFS('DK Ledger'!$B$4:$B$43,K21,'DK Ledger'!$C$4:$C$43,"STP")&gt;0,"Stopped",IF(INDEX('DK Ledger'!$H$4:$H$43,MATCH(K21,'DK Ledger'!$B$4:$B$43,0))="","Not paid by the bank","Paid "&amp;INDEX('DK Ledger'!$H$4:$H$43,MATCH(K21,'DK Ledger'!$B$4:$B$43,0)))))</f>
        <v>None</v>
      </c>
    </row>
    <row r="22" spans="1:12" x14ac:dyDescent="0.2">
      <c r="A22" s="5" t="s">
        <v>351</v>
      </c>
      <c r="B22" s="7" t="s">
        <v>564</v>
      </c>
      <c r="C22" s="5" t="s">
        <v>523</v>
      </c>
      <c r="D22" s="5" t="s">
        <v>565</v>
      </c>
      <c r="E22" s="5">
        <f t="shared" si="0"/>
        <v>46241</v>
      </c>
      <c r="F22" s="6">
        <v>3845</v>
      </c>
      <c r="G22" s="5" t="str">
        <f>IF(C22="Charges","No, not work furnished",IF(C22="Request","No, not in the price agreed",IF(E22&gt;=INDEX(Notices!$M$4:$M$20,MATCH(A22,Notices!$A$4:$A$20,0)),"Yes","No, before the notice window")))</f>
        <v>Yes</v>
      </c>
      <c r="H22" s="5" t="str">
        <f>IF(COUNTIFS(Waivers!$A$4:$A$39,A22,Waivers!$L$4:$L$39,"Yes",Waivers!$K$4:$K$39,"Final")&gt;0,IF(SUMIFS($F$4:$F$44,$A$4:$A$44,A22,$L$4:$L$44,"&lt;&gt;Paid*")&lt;=SUMIFS(Waivers!$N$4:$N$39,Waivers!$A$4:$A$39,A22,Waivers!$L$4:$L$39,"Yes",Waivers!$K$4:$K$39,"Final"),"No, within the exception the final form states","Yes, final form"),IF(OR(C22="Retention",C22="Extra",C22="Request"),"No, saved by the progress form",IF(COUNTIFS(Waivers!$A$4:$A$39,A22,Waivers!$L$4:$L$39,"Yes",Waivers!$K$4:$K$39,"Progress",Waivers!$D$4:$D$39,"&gt;="&amp;E22)&gt;0,"Yes","No")))</f>
        <v>No, saved by the progress form</v>
      </c>
      <c r="I22" s="6">
        <f t="shared" si="1"/>
        <v>3845</v>
      </c>
      <c r="J22" s="7" t="s">
        <v>566</v>
      </c>
      <c r="L22" s="5" t="str">
        <f>IF(K22="","None",IF(COUNTIFS('DK Ledger'!$B$4:$B$43,K22,'DK Ledger'!$C$4:$C$43,"STP")&gt;0,"Stopped",IF(INDEX('DK Ledger'!$H$4:$H$43,MATCH(K22,'DK Ledger'!$B$4:$B$43,0))="","Not paid by the bank","Paid "&amp;INDEX('DK Ledger'!$H$4:$H$43,MATCH(K22,'DK Ledger'!$B$4:$B$43,0)))))</f>
        <v>None</v>
      </c>
    </row>
    <row r="23" spans="1:12" ht="30" customHeight="1" x14ac:dyDescent="0.2">
      <c r="A23" s="5" t="s">
        <v>351</v>
      </c>
      <c r="B23" s="7" t="s">
        <v>567</v>
      </c>
      <c r="C23" s="5" t="s">
        <v>568</v>
      </c>
      <c r="D23" s="5" t="s">
        <v>565</v>
      </c>
      <c r="E23" s="5">
        <f t="shared" si="0"/>
        <v>46241</v>
      </c>
      <c r="F23" s="6">
        <v>4280</v>
      </c>
      <c r="G23" s="5" t="str">
        <f>IF(C23="Charges","No, not work furnished",IF(C23="Request","No, not in the price agreed",IF(E23&gt;=INDEX(Notices!$M$4:$M$20,MATCH(A23,Notices!$A$4:$A$20,0)),"Yes","No, before the notice window")))</f>
        <v>Yes</v>
      </c>
      <c r="H23" s="5" t="str">
        <f>IF(COUNTIFS(Waivers!$A$4:$A$39,A23,Waivers!$L$4:$L$39,"Yes",Waivers!$K$4:$K$39,"Final")&gt;0,IF(SUMIFS($F$4:$F$44,$A$4:$A$44,A23,$L$4:$L$44,"&lt;&gt;Paid*")&lt;=SUMIFS(Waivers!$N$4:$N$39,Waivers!$A$4:$A$39,A23,Waivers!$L$4:$L$39,"Yes",Waivers!$K$4:$K$39,"Final"),"No, within the exception the final form states","Yes, final form"),IF(OR(C23="Retention",C23="Extra",C23="Request"),"No, saved by the progress form",IF(COUNTIFS(Waivers!$A$4:$A$39,A23,Waivers!$L$4:$L$39,"Yes",Waivers!$K$4:$K$39,"Progress",Waivers!$D$4:$D$39,"&gt;="&amp;E23)&gt;0,"Yes","No")))</f>
        <v>No, saved by the progress form</v>
      </c>
      <c r="I23" s="6">
        <f t="shared" si="1"/>
        <v>4280</v>
      </c>
      <c r="J23" s="7" t="s">
        <v>569</v>
      </c>
      <c r="L23" s="5" t="str">
        <f>IF(K23="","None",IF(COUNTIFS('DK Ledger'!$B$4:$B$43,K23,'DK Ledger'!$C$4:$C$43,"STP")&gt;0,"Stopped",IF(INDEX('DK Ledger'!$H$4:$H$43,MATCH(K23,'DK Ledger'!$B$4:$B$43,0))="","Not paid by the bank","Paid "&amp;INDEX('DK Ledger'!$H$4:$H$43,MATCH(K23,'DK Ledger'!$B$4:$B$43,0)))))</f>
        <v>None</v>
      </c>
    </row>
    <row r="24" spans="1:12" x14ac:dyDescent="0.2">
      <c r="A24" s="5" t="s">
        <v>356</v>
      </c>
      <c r="B24" s="7" t="s">
        <v>570</v>
      </c>
      <c r="C24" s="5" t="s">
        <v>523</v>
      </c>
      <c r="D24" s="5" t="s">
        <v>571</v>
      </c>
      <c r="E24" s="5">
        <f t="shared" si="0"/>
        <v>46213</v>
      </c>
      <c r="F24" s="6">
        <v>14937.5</v>
      </c>
      <c r="G24" s="5" t="str">
        <f>IF(C24="Charges","No, not work furnished",IF(C24="Request","No, not in the price agreed",IF(E24&gt;=INDEX(Notices!$M$4:$M$20,MATCH(A24,Notices!$A$4:$A$20,0)),"Yes","No, before the notice window")))</f>
        <v>Yes</v>
      </c>
      <c r="H24" s="5" t="str">
        <f>IF(COUNTIFS(Waivers!$A$4:$A$39,A24,Waivers!$L$4:$L$39,"Yes",Waivers!$K$4:$K$39,"Final")&gt;0,IF(SUMIFS($F$4:$F$44,$A$4:$A$44,A24,$L$4:$L$44,"&lt;&gt;Paid*")&lt;=SUMIFS(Waivers!$N$4:$N$39,Waivers!$A$4:$A$39,A24,Waivers!$L$4:$L$39,"Yes",Waivers!$K$4:$K$39,"Final"),"No, within the exception the final form states","Yes, final form"),IF(OR(C24="Retention",C24="Extra",C24="Request"),"No, saved by the progress form",IF(COUNTIFS(Waivers!$A$4:$A$39,A24,Waivers!$L$4:$L$39,"Yes",Waivers!$K$4:$K$39,"Progress",Waivers!$D$4:$D$39,"&gt;="&amp;E24)&gt;0,"Yes","No")))</f>
        <v>Yes, final form</v>
      </c>
      <c r="I24" s="6">
        <f t="shared" si="1"/>
        <v>0</v>
      </c>
      <c r="J24" s="7" t="s">
        <v>572</v>
      </c>
      <c r="L24" s="5" t="str">
        <f>IF(K24="","None",IF(COUNTIFS('DK Ledger'!$B$4:$B$43,K24,'DK Ledger'!$C$4:$C$43,"STP")&gt;0,"Stopped",IF(INDEX('DK Ledger'!$H$4:$H$43,MATCH(K24,'DK Ledger'!$B$4:$B$43,0))="","Not paid by the bank","Paid "&amp;INDEX('DK Ledger'!$H$4:$H$43,MATCH(K24,'DK Ledger'!$B$4:$B$43,0)))))</f>
        <v>None</v>
      </c>
    </row>
    <row r="25" spans="1:12" x14ac:dyDescent="0.2">
      <c r="A25" s="5" t="s">
        <v>270</v>
      </c>
      <c r="B25" s="7" t="s">
        <v>573</v>
      </c>
      <c r="C25" s="5" t="s">
        <v>523</v>
      </c>
      <c r="D25" s="5" t="s">
        <v>275</v>
      </c>
      <c r="E25" s="5">
        <f t="shared" si="0"/>
        <v>46203</v>
      </c>
      <c r="F25" s="6">
        <v>7132.5</v>
      </c>
      <c r="G25" s="5" t="str">
        <f>IF(C25="Charges","No, not work furnished",IF(C25="Request","No, not in the price agreed",IF(E25&gt;=INDEX(Notices!$M$4:$M$20,MATCH(A25,Notices!$A$4:$A$20,0)),"Yes","No, before the notice window")))</f>
        <v>Yes</v>
      </c>
      <c r="H25" s="5" t="str">
        <f>IF(COUNTIFS(Waivers!$A$4:$A$39,A25,Waivers!$L$4:$L$39,"Yes",Waivers!$K$4:$K$39,"Final")&gt;0,IF(SUMIFS($F$4:$F$44,$A$4:$A$44,A25,$L$4:$L$44,"&lt;&gt;Paid*")&lt;=SUMIFS(Waivers!$N$4:$N$39,Waivers!$A$4:$A$39,A25,Waivers!$L$4:$L$39,"Yes",Waivers!$K$4:$K$39,"Final"),"No, within the exception the final form states","Yes, final form"),IF(OR(C25="Retention",C25="Extra",C25="Request"),"No, saved by the progress form",IF(COUNTIFS(Waivers!$A$4:$A$39,A25,Waivers!$L$4:$L$39,"Yes",Waivers!$K$4:$K$39,"Progress",Waivers!$D$4:$D$39,"&gt;="&amp;E25)&gt;0,"Yes","No")))</f>
        <v>No, saved by the progress form</v>
      </c>
      <c r="I25" s="6">
        <f t="shared" si="1"/>
        <v>7132.5</v>
      </c>
      <c r="J25" s="7" t="s">
        <v>574</v>
      </c>
      <c r="L25" s="5" t="str">
        <f>IF(K25="","None",IF(COUNTIFS('DK Ledger'!$B$4:$B$43,K25,'DK Ledger'!$C$4:$C$43,"STP")&gt;0,"Stopped",IF(INDEX('DK Ledger'!$H$4:$H$43,MATCH(K25,'DK Ledger'!$B$4:$B$43,0))="","Not paid by the bank","Paid "&amp;INDEX('DK Ledger'!$H$4:$H$43,MATCH(K25,'DK Ledger'!$B$4:$B$43,0)))))</f>
        <v>None</v>
      </c>
    </row>
    <row r="26" spans="1:12" ht="30" customHeight="1" x14ac:dyDescent="0.2">
      <c r="A26" s="5" t="s">
        <v>270</v>
      </c>
      <c r="B26" s="7" t="s">
        <v>575</v>
      </c>
      <c r="C26" s="5" t="s">
        <v>576</v>
      </c>
      <c r="D26" s="5" t="s">
        <v>275</v>
      </c>
      <c r="E26" s="5">
        <f t="shared" si="0"/>
        <v>46203</v>
      </c>
      <c r="F26" s="6">
        <v>9467.5</v>
      </c>
      <c r="G26" s="5" t="str">
        <f>IF(C26="Charges","No, not work furnished",IF(C26="Request","No, not in the price agreed",IF(E26&gt;=INDEX(Notices!$M$4:$M$20,MATCH(A26,Notices!$A$4:$A$20,0)),"Yes","No, before the notice window")))</f>
        <v>No, not in the price agreed</v>
      </c>
      <c r="H26" s="5" t="str">
        <f>IF(COUNTIFS(Waivers!$A$4:$A$39,A26,Waivers!$L$4:$L$39,"Yes",Waivers!$K$4:$K$39,"Final")&gt;0,IF(SUMIFS($F$4:$F$44,$A$4:$A$44,A26,$L$4:$L$44,"&lt;&gt;Paid*")&lt;=SUMIFS(Waivers!$N$4:$N$39,Waivers!$A$4:$A$39,A26,Waivers!$L$4:$L$39,"Yes",Waivers!$K$4:$K$39,"Final"),"No, within the exception the final form states","Yes, final form"),IF(OR(C26="Retention",C26="Extra",C26="Request"),"No, saved by the progress form",IF(COUNTIFS(Waivers!$A$4:$A$39,A26,Waivers!$L$4:$L$39,"Yes",Waivers!$K$4:$K$39,"Progress",Waivers!$D$4:$D$39,"&gt;="&amp;E26)&gt;0,"Yes","No")))</f>
        <v>No, saved by the progress form</v>
      </c>
      <c r="I26" s="6">
        <f t="shared" si="1"/>
        <v>0</v>
      </c>
      <c r="J26" s="7" t="s">
        <v>577</v>
      </c>
      <c r="L26" s="5" t="str">
        <f>IF(K26="","None",IF(COUNTIFS('DK Ledger'!$B$4:$B$43,K26,'DK Ledger'!$C$4:$C$43,"STP")&gt;0,"Stopped",IF(INDEX('DK Ledger'!$H$4:$H$43,MATCH(K26,'DK Ledger'!$B$4:$B$43,0))="","Not paid by the bank","Paid "&amp;INDEX('DK Ledger'!$H$4:$H$43,MATCH(K26,'DK Ledger'!$B$4:$B$43,0)))))</f>
        <v>None</v>
      </c>
    </row>
    <row r="27" spans="1:12" x14ac:dyDescent="0.2">
      <c r="A27" s="5" t="s">
        <v>364</v>
      </c>
      <c r="B27" s="7" t="s">
        <v>578</v>
      </c>
      <c r="C27" s="5" t="s">
        <v>526</v>
      </c>
      <c r="D27" s="5" t="s">
        <v>124</v>
      </c>
      <c r="E27" s="5">
        <f t="shared" si="0"/>
        <v>46245</v>
      </c>
      <c r="F27" s="6">
        <v>27227</v>
      </c>
      <c r="G27" s="5" t="str">
        <f>IF(C27="Charges","No, not work furnished",IF(C27="Request","No, not in the price agreed",IF(E27&gt;=INDEX(Notices!$M$4:$M$20,MATCH(A27,Notices!$A$4:$A$20,0)),"Yes","No, before the notice window")))</f>
        <v>Yes</v>
      </c>
      <c r="H27" s="5" t="str">
        <f>IF(COUNTIFS(Waivers!$A$4:$A$39,A27,Waivers!$L$4:$L$39,"Yes",Waivers!$K$4:$K$39,"Final")&gt;0,IF(SUMIFS($F$4:$F$44,$A$4:$A$44,A27,$L$4:$L$44,"&lt;&gt;Paid*")&lt;=SUMIFS(Waivers!$N$4:$N$39,Waivers!$A$4:$A$39,A27,Waivers!$L$4:$L$39,"Yes",Waivers!$K$4:$K$39,"Final"),"No, within the exception the final form states","Yes, final form"),IF(OR(C27="Retention",C27="Extra",C27="Request"),"No, saved by the progress form",IF(COUNTIFS(Waivers!$A$4:$A$39,A27,Waivers!$L$4:$L$39,"Yes",Waivers!$K$4:$K$39,"Progress",Waivers!$D$4:$D$39,"&gt;="&amp;E27)&gt;0,"Yes","No")))</f>
        <v>No</v>
      </c>
      <c r="I27" s="6">
        <f t="shared" si="1"/>
        <v>27227</v>
      </c>
      <c r="J27" s="7" t="s">
        <v>579</v>
      </c>
      <c r="L27" s="5" t="str">
        <f>IF(K27="","None",IF(COUNTIFS('DK Ledger'!$B$4:$B$43,K27,'DK Ledger'!$C$4:$C$43,"STP")&gt;0,"Stopped",IF(INDEX('DK Ledger'!$H$4:$H$43,MATCH(K27,'DK Ledger'!$B$4:$B$43,0))="","Not paid by the bank","Paid "&amp;INDEX('DK Ledger'!$H$4:$H$43,MATCH(K27,'DK Ledger'!$B$4:$B$43,0)))))</f>
        <v>None</v>
      </c>
    </row>
    <row r="28" spans="1:12" x14ac:dyDescent="0.2">
      <c r="A28" s="5" t="s">
        <v>364</v>
      </c>
      <c r="B28" s="7" t="s">
        <v>580</v>
      </c>
      <c r="C28" s="5" t="s">
        <v>523</v>
      </c>
      <c r="D28" s="5" t="s">
        <v>124</v>
      </c>
      <c r="E28" s="5">
        <f t="shared" si="0"/>
        <v>46245</v>
      </c>
      <c r="F28" s="6">
        <v>34250</v>
      </c>
      <c r="G28" s="5" t="str">
        <f>IF(C28="Charges","No, not work furnished",IF(C28="Request","No, not in the price agreed",IF(E28&gt;=INDEX(Notices!$M$4:$M$20,MATCH(A28,Notices!$A$4:$A$20,0)),"Yes","No, before the notice window")))</f>
        <v>Yes</v>
      </c>
      <c r="H28" s="5" t="str">
        <f>IF(COUNTIFS(Waivers!$A$4:$A$39,A28,Waivers!$L$4:$L$39,"Yes",Waivers!$K$4:$K$39,"Final")&gt;0,IF(SUMIFS($F$4:$F$44,$A$4:$A$44,A28,$L$4:$L$44,"&lt;&gt;Paid*")&lt;=SUMIFS(Waivers!$N$4:$N$39,Waivers!$A$4:$A$39,A28,Waivers!$L$4:$L$39,"Yes",Waivers!$K$4:$K$39,"Final"),"No, within the exception the final form states","Yes, final form"),IF(OR(C28="Retention",C28="Extra",C28="Request"),"No, saved by the progress form",IF(COUNTIFS(Waivers!$A$4:$A$39,A28,Waivers!$L$4:$L$39,"Yes",Waivers!$K$4:$K$39,"Progress",Waivers!$D$4:$D$39,"&gt;="&amp;E28)&gt;0,"Yes","No")))</f>
        <v>No, saved by the progress form</v>
      </c>
      <c r="I28" s="6">
        <f t="shared" si="1"/>
        <v>34250</v>
      </c>
      <c r="J28" s="7" t="s">
        <v>581</v>
      </c>
      <c r="L28" s="5" t="str">
        <f>IF(K28="","None",IF(COUNTIFS('DK Ledger'!$B$4:$B$43,K28,'DK Ledger'!$C$4:$C$43,"STP")&gt;0,"Stopped",IF(INDEX('DK Ledger'!$H$4:$H$43,MATCH(K28,'DK Ledger'!$B$4:$B$43,0))="","Not paid by the bank","Paid "&amp;INDEX('DK Ledger'!$H$4:$H$43,MATCH(K28,'DK Ledger'!$B$4:$B$43,0)))))</f>
        <v>None</v>
      </c>
    </row>
    <row r="29" spans="1:12" ht="30" customHeight="1" x14ac:dyDescent="0.2">
      <c r="A29" s="5" t="s">
        <v>369</v>
      </c>
      <c r="B29" s="7" t="s">
        <v>582</v>
      </c>
      <c r="C29" s="5" t="s">
        <v>526</v>
      </c>
      <c r="D29" s="5" t="s">
        <v>500</v>
      </c>
      <c r="E29" s="5">
        <f t="shared" si="0"/>
        <v>46234</v>
      </c>
      <c r="F29" s="6">
        <v>29200</v>
      </c>
      <c r="G29" s="5" t="str">
        <f>IF(C29="Charges","No, not work furnished",IF(C29="Request","No, not in the price agreed",IF(E29&gt;=INDEX(Notices!$M$4:$M$20,MATCH(A29,Notices!$A$4:$A$20,0)),"Yes","No, before the notice window")))</f>
        <v>Yes</v>
      </c>
      <c r="H29" s="5" t="str">
        <f>IF(COUNTIFS(Waivers!$A$4:$A$39,A29,Waivers!$L$4:$L$39,"Yes",Waivers!$K$4:$K$39,"Final")&gt;0,IF(SUMIFS($F$4:$F$44,$A$4:$A$44,A29,$L$4:$L$44,"&lt;&gt;Paid*")&lt;=SUMIFS(Waivers!$N$4:$N$39,Waivers!$A$4:$A$39,A29,Waivers!$L$4:$L$39,"Yes",Waivers!$K$4:$K$39,"Final"),"No, within the exception the final form states","Yes, final form"),IF(OR(C29="Retention",C29="Extra",C29="Request"),"No, saved by the progress form",IF(COUNTIFS(Waivers!$A$4:$A$39,A29,Waivers!$L$4:$L$39,"Yes",Waivers!$K$4:$K$39,"Progress",Waivers!$D$4:$D$39,"&gt;="&amp;E29)&gt;0,"Yes","No")))</f>
        <v>No</v>
      </c>
      <c r="I29" s="6">
        <f t="shared" si="1"/>
        <v>29200</v>
      </c>
      <c r="J29" s="7" t="s">
        <v>583</v>
      </c>
      <c r="L29" s="5" t="str">
        <f>IF(K29="","None",IF(COUNTIFS('DK Ledger'!$B$4:$B$43,K29,'DK Ledger'!$C$4:$C$43,"STP")&gt;0,"Stopped",IF(INDEX('DK Ledger'!$H$4:$H$43,MATCH(K29,'DK Ledger'!$B$4:$B$43,0))="","Not paid by the bank","Paid "&amp;INDEX('DK Ledger'!$H$4:$H$43,MATCH(K29,'DK Ledger'!$B$4:$B$43,0)))))</f>
        <v>None</v>
      </c>
    </row>
    <row r="30" spans="1:12" x14ac:dyDescent="0.2">
      <c r="A30" s="5" t="s">
        <v>369</v>
      </c>
      <c r="B30" s="7" t="s">
        <v>584</v>
      </c>
      <c r="C30" s="5" t="s">
        <v>523</v>
      </c>
      <c r="D30" s="5" t="s">
        <v>585</v>
      </c>
      <c r="E30" s="5">
        <f t="shared" si="0"/>
        <v>46227</v>
      </c>
      <c r="F30" s="6">
        <v>9715</v>
      </c>
      <c r="G30" s="5" t="str">
        <f>IF(C30="Charges","No, not work furnished",IF(C30="Request","No, not in the price agreed",IF(E30&gt;=INDEX(Notices!$M$4:$M$20,MATCH(A30,Notices!$A$4:$A$20,0)),"Yes","No, before the notice window")))</f>
        <v>Yes</v>
      </c>
      <c r="H30" s="5" t="str">
        <f>IF(COUNTIFS(Waivers!$A$4:$A$39,A30,Waivers!$L$4:$L$39,"Yes",Waivers!$K$4:$K$39,"Final")&gt;0,IF(SUMIFS($F$4:$F$44,$A$4:$A$44,A30,$L$4:$L$44,"&lt;&gt;Paid*")&lt;=SUMIFS(Waivers!$N$4:$N$39,Waivers!$A$4:$A$39,A30,Waivers!$L$4:$L$39,"Yes",Waivers!$K$4:$K$39,"Final"),"No, within the exception the final form states","Yes, final form"),IF(OR(C30="Retention",C30="Extra",C30="Request"),"No, saved by the progress form",IF(COUNTIFS(Waivers!$A$4:$A$39,A30,Waivers!$L$4:$L$39,"Yes",Waivers!$K$4:$K$39,"Progress",Waivers!$D$4:$D$39,"&gt;="&amp;E30)&gt;0,"Yes","No")))</f>
        <v>No, saved by the progress form</v>
      </c>
      <c r="I30" s="6">
        <f t="shared" si="1"/>
        <v>9715</v>
      </c>
      <c r="J30" s="7" t="s">
        <v>586</v>
      </c>
      <c r="L30" s="5" t="str">
        <f>IF(K30="","None",IF(COUNTIFS('DK Ledger'!$B$4:$B$43,K30,'DK Ledger'!$C$4:$C$43,"STP")&gt;0,"Stopped",IF(INDEX('DK Ledger'!$H$4:$H$43,MATCH(K30,'DK Ledger'!$B$4:$B$43,0))="","Not paid by the bank","Paid "&amp;INDEX('DK Ledger'!$H$4:$H$43,MATCH(K30,'DK Ledger'!$B$4:$B$43,0)))))</f>
        <v>None</v>
      </c>
    </row>
    <row r="31" spans="1:12" ht="30" customHeight="1" x14ac:dyDescent="0.2">
      <c r="A31" s="5" t="s">
        <v>374</v>
      </c>
      <c r="B31" s="7" t="s">
        <v>587</v>
      </c>
      <c r="C31" s="5" t="s">
        <v>523</v>
      </c>
      <c r="D31" s="5" t="s">
        <v>290</v>
      </c>
      <c r="E31" s="5">
        <f t="shared" si="0"/>
        <v>46239</v>
      </c>
      <c r="F31" s="6">
        <v>13889</v>
      </c>
      <c r="G31" s="5" t="str">
        <f>IF(C31="Charges","No, not work furnished",IF(C31="Request","No, not in the price agreed",IF(E31&gt;=INDEX(Notices!$M$4:$M$20,MATCH(A31,Notices!$A$4:$A$20,0)),"Yes","No, before the notice window")))</f>
        <v>Yes</v>
      </c>
      <c r="H31" s="5" t="str">
        <f>IF(COUNTIFS(Waivers!$A$4:$A$39,A31,Waivers!$L$4:$L$39,"Yes",Waivers!$K$4:$K$39,"Final")&gt;0,IF(SUMIFS($F$4:$F$44,$A$4:$A$44,A31,$L$4:$L$44,"&lt;&gt;Paid*")&lt;=SUMIFS(Waivers!$N$4:$N$39,Waivers!$A$4:$A$39,A31,Waivers!$L$4:$L$39,"Yes",Waivers!$K$4:$K$39,"Final"),"No, within the exception the final form states","Yes, final form"),IF(OR(C31="Retention",C31="Extra",C31="Request"),"No, saved by the progress form",IF(COUNTIFS(Waivers!$A$4:$A$39,A31,Waivers!$L$4:$L$39,"Yes",Waivers!$K$4:$K$39,"Progress",Waivers!$D$4:$D$39,"&gt;="&amp;E31)&gt;0,"Yes","No")))</f>
        <v>No, saved by the progress form</v>
      </c>
      <c r="I31" s="6">
        <f t="shared" si="1"/>
        <v>13889</v>
      </c>
      <c r="J31" s="7" t="s">
        <v>588</v>
      </c>
      <c r="L31" s="5" t="str">
        <f>IF(K31="","None",IF(COUNTIFS('DK Ledger'!$B$4:$B$43,K31,'DK Ledger'!$C$4:$C$43,"STP")&gt;0,"Stopped",IF(INDEX('DK Ledger'!$H$4:$H$43,MATCH(K31,'DK Ledger'!$B$4:$B$43,0))="","Not paid by the bank","Paid "&amp;INDEX('DK Ledger'!$H$4:$H$43,MATCH(K31,'DK Ledger'!$B$4:$B$43,0)))))</f>
        <v>None</v>
      </c>
    </row>
    <row r="32" spans="1:12" x14ac:dyDescent="0.2">
      <c r="A32" s="5" t="s">
        <v>378</v>
      </c>
      <c r="B32" s="7" t="s">
        <v>589</v>
      </c>
      <c r="C32" s="5" t="s">
        <v>526</v>
      </c>
      <c r="D32" s="5" t="s">
        <v>590</v>
      </c>
      <c r="E32" s="5">
        <f t="shared" si="0"/>
        <v>46240</v>
      </c>
      <c r="F32" s="6">
        <v>20660</v>
      </c>
      <c r="G32" s="5" t="str">
        <f>IF(C32="Charges","No, not work furnished",IF(C32="Request","No, not in the price agreed",IF(E32&gt;=INDEX(Notices!$M$4:$M$20,MATCH(A32,Notices!$A$4:$A$20,0)),"Yes","No, before the notice window")))</f>
        <v>Yes</v>
      </c>
      <c r="H32" s="5" t="str">
        <f>IF(COUNTIFS(Waivers!$A$4:$A$39,A32,Waivers!$L$4:$L$39,"Yes",Waivers!$K$4:$K$39,"Final")&gt;0,IF(SUMIFS($F$4:$F$44,$A$4:$A$44,A32,$L$4:$L$44,"&lt;&gt;Paid*")&lt;=SUMIFS(Waivers!$N$4:$N$39,Waivers!$A$4:$A$39,A32,Waivers!$L$4:$L$39,"Yes",Waivers!$K$4:$K$39,"Final"),"No, within the exception the final form states","Yes, final form"),IF(OR(C32="Retention",C32="Extra",C32="Request"),"No, saved by the progress form",IF(COUNTIFS(Waivers!$A$4:$A$39,A32,Waivers!$L$4:$L$39,"Yes",Waivers!$K$4:$K$39,"Progress",Waivers!$D$4:$D$39,"&gt;="&amp;E32)&gt;0,"Yes","No")))</f>
        <v>No</v>
      </c>
      <c r="I32" s="6">
        <f t="shared" si="1"/>
        <v>20660</v>
      </c>
      <c r="J32" s="7" t="s">
        <v>591</v>
      </c>
      <c r="L32" s="5" t="str">
        <f>IF(K32="","None",IF(COUNTIFS('DK Ledger'!$B$4:$B$43,K32,'DK Ledger'!$C$4:$C$43,"STP")&gt;0,"Stopped",IF(INDEX('DK Ledger'!$H$4:$H$43,MATCH(K32,'DK Ledger'!$B$4:$B$43,0))="","Not paid by the bank","Paid "&amp;INDEX('DK Ledger'!$H$4:$H$43,MATCH(K32,'DK Ledger'!$B$4:$B$43,0)))))</f>
        <v>None</v>
      </c>
    </row>
    <row r="33" spans="1:12" x14ac:dyDescent="0.2">
      <c r="A33" s="5" t="s">
        <v>378</v>
      </c>
      <c r="B33" s="7" t="s">
        <v>592</v>
      </c>
      <c r="C33" s="5" t="s">
        <v>523</v>
      </c>
      <c r="D33" s="5" t="s">
        <v>590</v>
      </c>
      <c r="E33" s="5">
        <f t="shared" si="0"/>
        <v>46240</v>
      </c>
      <c r="F33" s="6">
        <v>4420</v>
      </c>
      <c r="G33" s="5" t="str">
        <f>IF(C33="Charges","No, not work furnished",IF(C33="Request","No, not in the price agreed",IF(E33&gt;=INDEX(Notices!$M$4:$M$20,MATCH(A33,Notices!$A$4:$A$20,0)),"Yes","No, before the notice window")))</f>
        <v>Yes</v>
      </c>
      <c r="H33" s="5" t="str">
        <f>IF(COUNTIFS(Waivers!$A$4:$A$39,A33,Waivers!$L$4:$L$39,"Yes",Waivers!$K$4:$K$39,"Final")&gt;0,IF(SUMIFS($F$4:$F$44,$A$4:$A$44,A33,$L$4:$L$44,"&lt;&gt;Paid*")&lt;=SUMIFS(Waivers!$N$4:$N$39,Waivers!$A$4:$A$39,A33,Waivers!$L$4:$L$39,"Yes",Waivers!$K$4:$K$39,"Final"),"No, within the exception the final form states","Yes, final form"),IF(OR(C33="Retention",C33="Extra",C33="Request"),"No, saved by the progress form",IF(COUNTIFS(Waivers!$A$4:$A$39,A33,Waivers!$L$4:$L$39,"Yes",Waivers!$K$4:$K$39,"Progress",Waivers!$D$4:$D$39,"&gt;="&amp;E33)&gt;0,"Yes","No")))</f>
        <v>No, saved by the progress form</v>
      </c>
      <c r="I33" s="6">
        <f t="shared" si="1"/>
        <v>4420</v>
      </c>
      <c r="J33" s="7" t="s">
        <v>593</v>
      </c>
      <c r="L33" s="5" t="str">
        <f>IF(K33="","None",IF(COUNTIFS('DK Ledger'!$B$4:$B$43,K33,'DK Ledger'!$C$4:$C$43,"STP")&gt;0,"Stopped",IF(INDEX('DK Ledger'!$H$4:$H$43,MATCH(K33,'DK Ledger'!$B$4:$B$43,0))="","Not paid by the bank","Paid "&amp;INDEX('DK Ledger'!$H$4:$H$43,MATCH(K33,'DK Ledger'!$B$4:$B$43,0)))))</f>
        <v>None</v>
      </c>
    </row>
    <row r="34" spans="1:12" ht="30" customHeight="1" x14ac:dyDescent="0.2">
      <c r="A34" s="5" t="s">
        <v>384</v>
      </c>
      <c r="B34" s="7" t="s">
        <v>594</v>
      </c>
      <c r="C34" s="5" t="s">
        <v>529</v>
      </c>
      <c r="D34" s="5" t="s">
        <v>385</v>
      </c>
      <c r="E34" s="5">
        <f t="shared" si="0"/>
        <v>46048</v>
      </c>
      <c r="F34" s="6">
        <v>1500</v>
      </c>
      <c r="G34" s="5" t="str">
        <f>IF(C34="Charges","No, not work furnished",IF(C34="Request","No, not in the price agreed",IF(E34&gt;=INDEX(Notices!$M$4:$M$20,MATCH(A34,Notices!$A$4:$A$20,0)),"Yes","No, before the notice window")))</f>
        <v>No, before the notice window</v>
      </c>
      <c r="H34" s="5" t="str">
        <f>IF(COUNTIFS(Waivers!$A$4:$A$39,A34,Waivers!$L$4:$L$39,"Yes",Waivers!$K$4:$K$39,"Final")&gt;0,IF(SUMIFS($F$4:$F$44,$A$4:$A$44,A34,$L$4:$L$44,"&lt;&gt;Paid*")&lt;=SUMIFS(Waivers!$N$4:$N$39,Waivers!$A$4:$A$39,A34,Waivers!$L$4:$L$39,"Yes",Waivers!$K$4:$K$39,"Final"),"No, within the exception the final form states","Yes, final form"),IF(OR(C34="Retention",C34="Extra",C34="Request"),"No, saved by the progress form",IF(COUNTIFS(Waivers!$A$4:$A$39,A34,Waivers!$L$4:$L$39,"Yes",Waivers!$K$4:$K$39,"Progress",Waivers!$D$4:$D$39,"&gt;="&amp;E34)&gt;0,"Yes","No")))</f>
        <v>No, within the exception the final form states</v>
      </c>
      <c r="I34" s="6">
        <f t="shared" si="1"/>
        <v>0</v>
      </c>
      <c r="J34" s="7" t="s">
        <v>595</v>
      </c>
      <c r="L34" s="5" t="str">
        <f>IF(K34="","None",IF(COUNTIFS('DK Ledger'!$B$4:$B$43,K34,'DK Ledger'!$C$4:$C$43,"STP")&gt;0,"Stopped",IF(INDEX('DK Ledger'!$H$4:$H$43,MATCH(K34,'DK Ledger'!$B$4:$B$43,0))="","Not paid by the bank","Paid "&amp;INDEX('DK Ledger'!$H$4:$H$43,MATCH(K34,'DK Ledger'!$B$4:$B$43,0)))))</f>
        <v>None</v>
      </c>
    </row>
    <row r="35" spans="1:12" ht="30" customHeight="1" x14ac:dyDescent="0.2">
      <c r="A35" s="5" t="s">
        <v>384</v>
      </c>
      <c r="B35" s="7" t="s">
        <v>596</v>
      </c>
      <c r="C35" s="5" t="s">
        <v>529</v>
      </c>
      <c r="D35" s="5" t="s">
        <v>597</v>
      </c>
      <c r="E35" s="5">
        <f t="shared" si="0"/>
        <v>46049</v>
      </c>
      <c r="F35" s="6">
        <v>640</v>
      </c>
      <c r="G35" s="5" t="str">
        <f>IF(C35="Charges","No, not work furnished",IF(C35="Request","No, not in the price agreed",IF(E35&gt;=INDEX(Notices!$M$4:$M$20,MATCH(A35,Notices!$A$4:$A$20,0)),"Yes","No, before the notice window")))</f>
        <v>Yes</v>
      </c>
      <c r="H35" s="5" t="str">
        <f>IF(COUNTIFS(Waivers!$A$4:$A$39,A35,Waivers!$L$4:$L$39,"Yes",Waivers!$K$4:$K$39,"Final")&gt;0,IF(SUMIFS($F$4:$F$44,$A$4:$A$44,A35,$L$4:$L$44,"&lt;&gt;Paid*")&lt;=SUMIFS(Waivers!$N$4:$N$39,Waivers!$A$4:$A$39,A35,Waivers!$L$4:$L$39,"Yes",Waivers!$K$4:$K$39,"Final"),"No, within the exception the final form states","Yes, final form"),IF(OR(C35="Retention",C35="Extra",C35="Request"),"No, saved by the progress form",IF(COUNTIFS(Waivers!$A$4:$A$39,A35,Waivers!$L$4:$L$39,"Yes",Waivers!$K$4:$K$39,"Progress",Waivers!$D$4:$D$39,"&gt;="&amp;E35)&gt;0,"Yes","No")))</f>
        <v>No, within the exception the final form states</v>
      </c>
      <c r="I35" s="6">
        <f t="shared" si="1"/>
        <v>640</v>
      </c>
      <c r="J35" s="7" t="s">
        <v>595</v>
      </c>
      <c r="L35" s="5" t="str">
        <f>IF(K35="","None",IF(COUNTIFS('DK Ledger'!$B$4:$B$43,K35,'DK Ledger'!$C$4:$C$43,"STP")&gt;0,"Stopped",IF(INDEX('DK Ledger'!$H$4:$H$43,MATCH(K35,'DK Ledger'!$B$4:$B$43,0))="","Not paid by the bank","Paid "&amp;INDEX('DK Ledger'!$H$4:$H$43,MATCH(K35,'DK Ledger'!$B$4:$B$43,0)))))</f>
        <v>None</v>
      </c>
    </row>
    <row r="36" spans="1:12" ht="30" customHeight="1" x14ac:dyDescent="0.2">
      <c r="A36" s="5" t="s">
        <v>384</v>
      </c>
      <c r="B36" s="7" t="s">
        <v>598</v>
      </c>
      <c r="C36" s="5" t="s">
        <v>529</v>
      </c>
      <c r="D36" s="5" t="s">
        <v>599</v>
      </c>
      <c r="E36" s="5">
        <f t="shared" si="0"/>
        <v>46223</v>
      </c>
      <c r="F36" s="6">
        <v>8940</v>
      </c>
      <c r="G36" s="5" t="str">
        <f>IF(C36="Charges","No, not work furnished",IF(C36="Request","No, not in the price agreed",IF(E36&gt;=INDEX(Notices!$M$4:$M$20,MATCH(A36,Notices!$A$4:$A$20,0)),"Yes","No, before the notice window")))</f>
        <v>Yes</v>
      </c>
      <c r="H36" s="5" t="str">
        <f>IF(COUNTIFS(Waivers!$A$4:$A$39,A36,Waivers!$L$4:$L$39,"Yes",Waivers!$K$4:$K$39,"Final")&gt;0,IF(SUMIFS($F$4:$F$44,$A$4:$A$44,A36,$L$4:$L$44,"&lt;&gt;Paid*")&lt;=SUMIFS(Waivers!$N$4:$N$39,Waivers!$A$4:$A$39,A36,Waivers!$L$4:$L$39,"Yes",Waivers!$K$4:$K$39,"Final"),"No, within the exception the final form states","Yes, final form"),IF(OR(C36="Retention",C36="Extra",C36="Request"),"No, saved by the progress form",IF(COUNTIFS(Waivers!$A$4:$A$39,A36,Waivers!$L$4:$L$39,"Yes",Waivers!$K$4:$K$39,"Progress",Waivers!$D$4:$D$39,"&gt;="&amp;E36)&gt;0,"Yes","No")))</f>
        <v>No, within the exception the final form states</v>
      </c>
      <c r="I36" s="6">
        <f t="shared" si="1"/>
        <v>0</v>
      </c>
      <c r="J36" s="7" t="s">
        <v>600</v>
      </c>
      <c r="K36" s="5">
        <v>4488</v>
      </c>
      <c r="L36" s="5" t="str">
        <f>IF(K36="","None",IF(COUNTIFS('DK Ledger'!$B$4:$B$43,K36,'DK Ledger'!$C$4:$C$43,"STP")&gt;0,"Stopped",IF(INDEX('DK Ledger'!$H$4:$H$43,MATCH(K36,'DK Ledger'!$B$4:$B$43,0))="","Not paid by the bank","Paid "&amp;INDEX('DK Ledger'!$H$4:$H$43,MATCH(K36,'DK Ledger'!$B$4:$B$43,0)))))</f>
        <v>Paid 10/09/2026</v>
      </c>
    </row>
    <row r="37" spans="1:12" ht="30" customHeight="1" x14ac:dyDescent="0.2">
      <c r="A37" s="5" t="s">
        <v>384</v>
      </c>
      <c r="B37" s="7" t="s">
        <v>601</v>
      </c>
      <c r="C37" s="5" t="s">
        <v>529</v>
      </c>
      <c r="D37" s="5" t="s">
        <v>286</v>
      </c>
      <c r="E37" s="5">
        <f t="shared" si="0"/>
        <v>46232</v>
      </c>
      <c r="F37" s="6">
        <v>6210</v>
      </c>
      <c r="G37" s="5" t="str">
        <f>IF(C37="Charges","No, not work furnished",IF(C37="Request","No, not in the price agreed",IF(E37&gt;=INDEX(Notices!$M$4:$M$20,MATCH(A37,Notices!$A$4:$A$20,0)),"Yes","No, before the notice window")))</f>
        <v>Yes</v>
      </c>
      <c r="H37" s="5" t="str">
        <f>IF(COUNTIFS(Waivers!$A$4:$A$39,A37,Waivers!$L$4:$L$39,"Yes",Waivers!$K$4:$K$39,"Final")&gt;0,IF(SUMIFS($F$4:$F$44,$A$4:$A$44,A37,$L$4:$L$44,"&lt;&gt;Paid*")&lt;=SUMIFS(Waivers!$N$4:$N$39,Waivers!$A$4:$A$39,A37,Waivers!$L$4:$L$39,"Yes",Waivers!$K$4:$K$39,"Final"),"No, within the exception the final form states","Yes, final form"),IF(OR(C37="Retention",C37="Extra",C37="Request"),"No, saved by the progress form",IF(COUNTIFS(Waivers!$A$4:$A$39,A37,Waivers!$L$4:$L$39,"Yes",Waivers!$K$4:$K$39,"Progress",Waivers!$D$4:$D$39,"&gt;="&amp;E37)&gt;0,"Yes","No")))</f>
        <v>No, within the exception the final form states</v>
      </c>
      <c r="I37" s="6">
        <f t="shared" si="1"/>
        <v>6210</v>
      </c>
      <c r="J37" s="7" t="s">
        <v>602</v>
      </c>
      <c r="L37" s="5" t="str">
        <f>IF(K37="","None",IF(COUNTIFS('DK Ledger'!$B$4:$B$43,K37,'DK Ledger'!$C$4:$C$43,"STP")&gt;0,"Stopped",IF(INDEX('DK Ledger'!$H$4:$H$43,MATCH(K37,'DK Ledger'!$B$4:$B$43,0))="","Not paid by the bank","Paid "&amp;INDEX('DK Ledger'!$H$4:$H$43,MATCH(K37,'DK Ledger'!$B$4:$B$43,0)))))</f>
        <v>None</v>
      </c>
    </row>
    <row r="38" spans="1:12" ht="30" customHeight="1" x14ac:dyDescent="0.2">
      <c r="A38" s="5" t="s">
        <v>384</v>
      </c>
      <c r="B38" s="7" t="s">
        <v>603</v>
      </c>
      <c r="C38" s="5" t="s">
        <v>529</v>
      </c>
      <c r="D38" s="5" t="s">
        <v>590</v>
      </c>
      <c r="E38" s="5">
        <f t="shared" si="0"/>
        <v>46240</v>
      </c>
      <c r="F38" s="6">
        <v>4730</v>
      </c>
      <c r="G38" s="5" t="str">
        <f>IF(C38="Charges","No, not work furnished",IF(C38="Request","No, not in the price agreed",IF(E38&gt;=INDEX(Notices!$M$4:$M$20,MATCH(A38,Notices!$A$4:$A$20,0)),"Yes","No, before the notice window")))</f>
        <v>Yes</v>
      </c>
      <c r="H38" s="5" t="str">
        <f>IF(COUNTIFS(Waivers!$A$4:$A$39,A38,Waivers!$L$4:$L$39,"Yes",Waivers!$K$4:$K$39,"Final")&gt;0,IF(SUMIFS($F$4:$F$44,$A$4:$A$44,A38,$L$4:$L$44,"&lt;&gt;Paid*")&lt;=SUMIFS(Waivers!$N$4:$N$39,Waivers!$A$4:$A$39,A38,Waivers!$L$4:$L$39,"Yes",Waivers!$K$4:$K$39,"Final"),"No, within the exception the final form states","Yes, final form"),IF(OR(C38="Retention",C38="Extra",C38="Request"),"No, saved by the progress form",IF(COUNTIFS(Waivers!$A$4:$A$39,A38,Waivers!$L$4:$L$39,"Yes",Waivers!$K$4:$K$39,"Progress",Waivers!$D$4:$D$39,"&gt;="&amp;E38)&gt;0,"Yes","No")))</f>
        <v>No, within the exception the final form states</v>
      </c>
      <c r="I38" s="6">
        <f t="shared" si="1"/>
        <v>4730</v>
      </c>
      <c r="J38" s="7" t="s">
        <v>602</v>
      </c>
      <c r="L38" s="5" t="str">
        <f>IF(K38="","None",IF(COUNTIFS('DK Ledger'!$B$4:$B$43,K38,'DK Ledger'!$C$4:$C$43,"STP")&gt;0,"Stopped",IF(INDEX('DK Ledger'!$H$4:$H$43,MATCH(K38,'DK Ledger'!$B$4:$B$43,0))="","Not paid by the bank","Paid "&amp;INDEX('DK Ledger'!$H$4:$H$43,MATCH(K38,'DK Ledger'!$B$4:$B$43,0)))))</f>
        <v>None</v>
      </c>
    </row>
    <row r="39" spans="1:12" ht="30" customHeight="1" x14ac:dyDescent="0.2">
      <c r="A39" s="5" t="s">
        <v>384</v>
      </c>
      <c r="B39" s="7" t="s">
        <v>604</v>
      </c>
      <c r="C39" s="5" t="s">
        <v>529</v>
      </c>
      <c r="D39" s="5" t="s">
        <v>560</v>
      </c>
      <c r="E39" s="5">
        <f t="shared" si="0"/>
        <v>46244</v>
      </c>
      <c r="F39" s="6">
        <v>1460</v>
      </c>
      <c r="G39" s="5" t="str">
        <f>IF(C39="Charges","No, not work furnished",IF(C39="Request","No, not in the price agreed",IF(E39&gt;=INDEX(Notices!$M$4:$M$20,MATCH(A39,Notices!$A$4:$A$20,0)),"Yes","No, before the notice window")))</f>
        <v>Yes</v>
      </c>
      <c r="H39" s="5" t="str">
        <f>IF(COUNTIFS(Waivers!$A$4:$A$39,A39,Waivers!$L$4:$L$39,"Yes",Waivers!$K$4:$K$39,"Final")&gt;0,IF(SUMIFS($F$4:$F$44,$A$4:$A$44,A39,$L$4:$L$44,"&lt;&gt;Paid*")&lt;=SUMIFS(Waivers!$N$4:$N$39,Waivers!$A$4:$A$39,A39,Waivers!$L$4:$L$39,"Yes",Waivers!$K$4:$K$39,"Final"),"No, within the exception the final form states","Yes, final form"),IF(OR(C39="Retention",C39="Extra",C39="Request"),"No, saved by the progress form",IF(COUNTIFS(Waivers!$A$4:$A$39,A39,Waivers!$L$4:$L$39,"Yes",Waivers!$K$4:$K$39,"Progress",Waivers!$D$4:$D$39,"&gt;="&amp;E39)&gt;0,"Yes","No")))</f>
        <v>No, within the exception the final form states</v>
      </c>
      <c r="I39" s="6">
        <f t="shared" si="1"/>
        <v>1460</v>
      </c>
      <c r="J39" s="7" t="s">
        <v>602</v>
      </c>
      <c r="L39" s="5" t="str">
        <f>IF(K39="","None",IF(COUNTIFS('DK Ledger'!$B$4:$B$43,K39,'DK Ledger'!$C$4:$C$43,"STP")&gt;0,"Stopped",IF(INDEX('DK Ledger'!$H$4:$H$43,MATCH(K39,'DK Ledger'!$B$4:$B$43,0))="","Not paid by the bank","Paid "&amp;INDEX('DK Ledger'!$H$4:$H$43,MATCH(K39,'DK Ledger'!$B$4:$B$43,0)))))</f>
        <v>None</v>
      </c>
    </row>
    <row r="40" spans="1:12" ht="30" customHeight="1" x14ac:dyDescent="0.2">
      <c r="A40" s="5" t="s">
        <v>389</v>
      </c>
      <c r="B40" s="7" t="s">
        <v>605</v>
      </c>
      <c r="C40" s="5" t="s">
        <v>529</v>
      </c>
      <c r="D40" s="5" t="s">
        <v>390</v>
      </c>
      <c r="E40" s="5">
        <f t="shared" si="0"/>
        <v>46077</v>
      </c>
      <c r="F40" s="6">
        <v>4316.2</v>
      </c>
      <c r="G40" s="5" t="str">
        <f>IF(C40="Charges","No, not work furnished",IF(C40="Request","No, not in the price agreed",IF(E40&gt;=INDEX(Notices!$M$4:$M$20,MATCH(A40,Notices!$A$4:$A$20,0)),"Yes","No, before the notice window")))</f>
        <v>Yes</v>
      </c>
      <c r="H40" s="5" t="str">
        <f>IF(COUNTIFS(Waivers!$A$4:$A$39,A40,Waivers!$L$4:$L$39,"Yes",Waivers!$K$4:$K$39,"Final")&gt;0,IF(SUMIFS($F$4:$F$44,$A$4:$A$44,A40,$L$4:$L$44,"&lt;&gt;Paid*")&lt;=SUMIFS(Waivers!$N$4:$N$39,Waivers!$A$4:$A$39,A40,Waivers!$L$4:$L$39,"Yes",Waivers!$K$4:$K$39,"Final"),"No, within the exception the final form states","Yes, final form"),IF(OR(C40="Retention",C40="Extra",C40="Request"),"No, saved by the progress form",IF(COUNTIFS(Waivers!$A$4:$A$39,A40,Waivers!$L$4:$L$39,"Yes",Waivers!$K$4:$K$39,"Progress",Waivers!$D$4:$D$39,"&gt;="&amp;E40)&gt;0,"Yes","No")))</f>
        <v>No</v>
      </c>
      <c r="I40" s="6">
        <f t="shared" si="1"/>
        <v>4316.2</v>
      </c>
      <c r="J40" s="7" t="s">
        <v>606</v>
      </c>
      <c r="L40" s="5" t="str">
        <f>IF(K40="","None",IF(COUNTIFS('DK Ledger'!$B$4:$B$43,K40,'DK Ledger'!$C$4:$C$43,"STP")&gt;0,"Stopped",IF(INDEX('DK Ledger'!$H$4:$H$43,MATCH(K40,'DK Ledger'!$B$4:$B$43,0))="","Not paid by the bank","Paid "&amp;INDEX('DK Ledger'!$H$4:$H$43,MATCH(K40,'DK Ledger'!$B$4:$B$43,0)))))</f>
        <v>None</v>
      </c>
    </row>
    <row r="41" spans="1:12" ht="30" customHeight="1" x14ac:dyDescent="0.2">
      <c r="A41" s="5" t="s">
        <v>389</v>
      </c>
      <c r="B41" s="7" t="s">
        <v>607</v>
      </c>
      <c r="C41" s="5" t="s">
        <v>529</v>
      </c>
      <c r="D41" s="5" t="s">
        <v>608</v>
      </c>
      <c r="E41" s="5">
        <f t="shared" si="0"/>
        <v>46217</v>
      </c>
      <c r="F41" s="6">
        <v>6842.3</v>
      </c>
      <c r="G41" s="5" t="str">
        <f>IF(C41="Charges","No, not work furnished",IF(C41="Request","No, not in the price agreed",IF(E41&gt;=INDEX(Notices!$M$4:$M$20,MATCH(A41,Notices!$A$4:$A$20,0)),"Yes","No, before the notice window")))</f>
        <v>Yes</v>
      </c>
      <c r="H41" s="5" t="str">
        <f>IF(COUNTIFS(Waivers!$A$4:$A$39,A41,Waivers!$L$4:$L$39,"Yes",Waivers!$K$4:$K$39,"Final")&gt;0,IF(SUMIFS($F$4:$F$44,$A$4:$A$44,A41,$L$4:$L$44,"&lt;&gt;Paid*")&lt;=SUMIFS(Waivers!$N$4:$N$39,Waivers!$A$4:$A$39,A41,Waivers!$L$4:$L$39,"Yes",Waivers!$K$4:$K$39,"Final"),"No, within the exception the final form states","Yes, final form"),IF(OR(C41="Retention",C41="Extra",C41="Request"),"No, saved by the progress form",IF(COUNTIFS(Waivers!$A$4:$A$39,A41,Waivers!$L$4:$L$39,"Yes",Waivers!$K$4:$K$39,"Progress",Waivers!$D$4:$D$39,"&gt;="&amp;E41)&gt;0,"Yes","No")))</f>
        <v>No</v>
      </c>
      <c r="I41" s="6">
        <f t="shared" si="1"/>
        <v>6842.3</v>
      </c>
      <c r="J41" s="7" t="s">
        <v>606</v>
      </c>
      <c r="L41" s="5" t="str">
        <f>IF(K41="","None",IF(COUNTIFS('DK Ledger'!$B$4:$B$43,K41,'DK Ledger'!$C$4:$C$43,"STP")&gt;0,"Stopped",IF(INDEX('DK Ledger'!$H$4:$H$43,MATCH(K41,'DK Ledger'!$B$4:$B$43,0))="","Not paid by the bank","Paid "&amp;INDEX('DK Ledger'!$H$4:$H$43,MATCH(K41,'DK Ledger'!$B$4:$B$43,0)))))</f>
        <v>None</v>
      </c>
    </row>
    <row r="42" spans="1:12" ht="30" customHeight="1" x14ac:dyDescent="0.2">
      <c r="A42" s="5" t="s">
        <v>389</v>
      </c>
      <c r="B42" s="7" t="s">
        <v>609</v>
      </c>
      <c r="C42" s="5" t="s">
        <v>529</v>
      </c>
      <c r="D42" s="5" t="s">
        <v>610</v>
      </c>
      <c r="E42" s="5">
        <f t="shared" si="0"/>
        <v>46230</v>
      </c>
      <c r="F42" s="6">
        <v>5120.64</v>
      </c>
      <c r="G42" s="5" t="str">
        <f>IF(C42="Charges","No, not work furnished",IF(C42="Request","No, not in the price agreed",IF(E42&gt;=INDEX(Notices!$M$4:$M$20,MATCH(A42,Notices!$A$4:$A$20,0)),"Yes","No, before the notice window")))</f>
        <v>Yes</v>
      </c>
      <c r="H42" s="5" t="str">
        <f>IF(COUNTIFS(Waivers!$A$4:$A$39,A42,Waivers!$L$4:$L$39,"Yes",Waivers!$K$4:$K$39,"Final")&gt;0,IF(SUMIFS($F$4:$F$44,$A$4:$A$44,A42,$L$4:$L$44,"&lt;&gt;Paid*")&lt;=SUMIFS(Waivers!$N$4:$N$39,Waivers!$A$4:$A$39,A42,Waivers!$L$4:$L$39,"Yes",Waivers!$K$4:$K$39,"Final"),"No, within the exception the final form states","Yes, final form"),IF(OR(C42="Retention",C42="Extra",C42="Request"),"No, saved by the progress form",IF(COUNTIFS(Waivers!$A$4:$A$39,A42,Waivers!$L$4:$L$39,"Yes",Waivers!$K$4:$K$39,"Progress",Waivers!$D$4:$D$39,"&gt;="&amp;E42)&gt;0,"Yes","No")))</f>
        <v>No</v>
      </c>
      <c r="I42" s="6">
        <f t="shared" si="1"/>
        <v>5120.64</v>
      </c>
      <c r="J42" s="7" t="s">
        <v>606</v>
      </c>
      <c r="L42" s="5" t="str">
        <f>IF(K42="","None",IF(COUNTIFS('DK Ledger'!$B$4:$B$43,K42,'DK Ledger'!$C$4:$C$43,"STP")&gt;0,"Stopped",IF(INDEX('DK Ledger'!$H$4:$H$43,MATCH(K42,'DK Ledger'!$B$4:$B$43,0))="","Not paid by the bank","Paid "&amp;INDEX('DK Ledger'!$H$4:$H$43,MATCH(K42,'DK Ledger'!$B$4:$B$43,0)))))</f>
        <v>None</v>
      </c>
    </row>
    <row r="43" spans="1:12" ht="30" customHeight="1" x14ac:dyDescent="0.2">
      <c r="A43" s="5" t="s">
        <v>389</v>
      </c>
      <c r="B43" s="7" t="s">
        <v>611</v>
      </c>
      <c r="C43" s="5" t="s">
        <v>529</v>
      </c>
      <c r="D43" s="5" t="s">
        <v>500</v>
      </c>
      <c r="E43" s="5">
        <f t="shared" si="0"/>
        <v>46234</v>
      </c>
      <c r="F43" s="6">
        <v>3463.5</v>
      </c>
      <c r="G43" s="5" t="str">
        <f>IF(C43="Charges","No, not work furnished",IF(C43="Request","No, not in the price agreed",IF(E43&gt;=INDEX(Notices!$M$4:$M$20,MATCH(A43,Notices!$A$4:$A$20,0)),"Yes","No, before the notice window")))</f>
        <v>Yes</v>
      </c>
      <c r="H43" s="5" t="str">
        <f>IF(COUNTIFS(Waivers!$A$4:$A$39,A43,Waivers!$L$4:$L$39,"Yes",Waivers!$K$4:$K$39,"Final")&gt;0,IF(SUMIFS($F$4:$F$44,$A$4:$A$44,A43,$L$4:$L$44,"&lt;&gt;Paid*")&lt;=SUMIFS(Waivers!$N$4:$N$39,Waivers!$A$4:$A$39,A43,Waivers!$L$4:$L$39,"Yes",Waivers!$K$4:$K$39,"Final"),"No, within the exception the final form states","Yes, final form"),IF(OR(C43="Retention",C43="Extra",C43="Request"),"No, saved by the progress form",IF(COUNTIFS(Waivers!$A$4:$A$39,A43,Waivers!$L$4:$L$39,"Yes",Waivers!$K$4:$K$39,"Progress",Waivers!$D$4:$D$39,"&gt;="&amp;E43)&gt;0,"Yes","No")))</f>
        <v>No</v>
      </c>
      <c r="I43" s="6">
        <f t="shared" si="1"/>
        <v>3463.5</v>
      </c>
      <c r="J43" s="7" t="s">
        <v>606</v>
      </c>
      <c r="L43" s="5" t="str">
        <f>IF(K43="","None",IF(COUNTIFS('DK Ledger'!$B$4:$B$43,K43,'DK Ledger'!$C$4:$C$43,"STP")&gt;0,"Stopped",IF(INDEX('DK Ledger'!$H$4:$H$43,MATCH(K43,'DK Ledger'!$B$4:$B$43,0))="","Not paid by the bank","Paid "&amp;INDEX('DK Ledger'!$H$4:$H$43,MATCH(K43,'DK Ledger'!$B$4:$B$43,0)))))</f>
        <v>None</v>
      </c>
    </row>
    <row r="44" spans="1:12" ht="30" customHeight="1" x14ac:dyDescent="0.2">
      <c r="A44" s="5" t="s">
        <v>393</v>
      </c>
      <c r="B44" s="7" t="s">
        <v>612</v>
      </c>
      <c r="C44" s="5" t="s">
        <v>529</v>
      </c>
      <c r="D44" s="5" t="s">
        <v>288</v>
      </c>
      <c r="E44" s="5">
        <f t="shared" si="0"/>
        <v>46238</v>
      </c>
      <c r="F44" s="6">
        <v>18360</v>
      </c>
      <c r="G44" s="5" t="str">
        <f>IF(C44="Charges","No, not work furnished",IF(C44="Request","No, not in the price agreed",IF(E44&gt;=INDEX(Notices!$M$4:$M$20,MATCH(A44,Notices!$A$4:$A$20,0)),"Yes","No, before the notice window")))</f>
        <v>Yes</v>
      </c>
      <c r="H44" s="5" t="str">
        <f>IF(COUNTIFS(Waivers!$A$4:$A$39,A44,Waivers!$L$4:$L$39,"Yes",Waivers!$K$4:$K$39,"Final")&gt;0,IF(SUMIFS($F$4:$F$44,$A$4:$A$44,A44,$L$4:$L$44,"&lt;&gt;Paid*")&lt;=SUMIFS(Waivers!$N$4:$N$39,Waivers!$A$4:$A$39,A44,Waivers!$L$4:$L$39,"Yes",Waivers!$K$4:$K$39,"Final"),"No, within the exception the final form states","Yes, final form"),IF(OR(C44="Retention",C44="Extra",C44="Request"),"No, saved by the progress form",IF(COUNTIFS(Waivers!$A$4:$A$39,A44,Waivers!$L$4:$L$39,"Yes",Waivers!$K$4:$K$39,"Progress",Waivers!$D$4:$D$39,"&gt;="&amp;E44)&gt;0,"Yes","No")))</f>
        <v>No</v>
      </c>
      <c r="I44" s="6">
        <f t="shared" si="1"/>
        <v>18360</v>
      </c>
      <c r="J44" s="7" t="s">
        <v>613</v>
      </c>
      <c r="L44" s="5" t="str">
        <f>IF(K44="","None",IF(COUNTIFS('DK Ledger'!$B$4:$B$43,K44,'DK Ledger'!$C$4:$C$43,"STP")&gt;0,"Stopped",IF(INDEX('DK Ledger'!$H$4:$H$43,MATCH(K44,'DK Ledger'!$B$4:$B$43,0))="","Not paid by the bank","Paid "&amp;INDEX('DK Ledger'!$H$4:$H$43,MATCH(K44,'DK Ledger'!$B$4:$B$43,0)))))</f>
        <v>None</v>
      </c>
    </row>
    <row r="46" spans="1:12" x14ac:dyDescent="0.2">
      <c r="A46" s="8" t="s">
        <v>614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heetViews>
  <sheetFormatPr baseColWidth="10" defaultColWidth="8.83203125" defaultRowHeight="15" x14ac:dyDescent="0.2"/>
  <cols>
    <col min="1" max="1" width="34" customWidth="1"/>
    <col min="2" max="2" width="12" customWidth="1"/>
    <col min="3" max="3" width="14" customWidth="1"/>
    <col min="4" max="4" width="18" customWidth="1"/>
    <col min="5" max="5" width="17" customWidth="1"/>
    <col min="6" max="6" width="11" customWidth="1"/>
    <col min="7" max="7" width="9" customWidth="1"/>
    <col min="8" max="8" width="12" customWidth="1"/>
    <col min="9" max="9" width="11" customWidth="1"/>
    <col min="10" max="10" width="22" customWidth="1"/>
    <col min="11" max="11" width="18" customWidth="1"/>
    <col min="12" max="12" width="15" customWidth="1"/>
    <col min="13" max="13" width="62" customWidth="1"/>
    <col min="14" max="14" width="15" customWidth="1"/>
    <col min="15" max="15" width="14" customWidth="1"/>
  </cols>
  <sheetData>
    <row r="1" spans="1:15" ht="17" customHeight="1" x14ac:dyDescent="0.2">
      <c r="A1" s="1" t="s">
        <v>615</v>
      </c>
    </row>
    <row r="3" spans="1:15" ht="30" customHeight="1" x14ac:dyDescent="0.2">
      <c r="A3" s="4" t="s">
        <v>50</v>
      </c>
      <c r="B3" s="4" t="s">
        <v>51</v>
      </c>
      <c r="C3" s="4" t="s">
        <v>448</v>
      </c>
      <c r="D3" s="4" t="s">
        <v>52</v>
      </c>
      <c r="E3" s="4" t="s">
        <v>303</v>
      </c>
      <c r="F3" s="4" t="s">
        <v>53</v>
      </c>
      <c r="G3" s="4" t="s">
        <v>54</v>
      </c>
      <c r="H3" s="4" t="s">
        <v>55</v>
      </c>
      <c r="I3" s="4" t="s">
        <v>56</v>
      </c>
      <c r="J3" s="4" t="s">
        <v>57</v>
      </c>
      <c r="K3" s="4" t="s">
        <v>58</v>
      </c>
      <c r="L3" s="4" t="s">
        <v>616</v>
      </c>
      <c r="M3" s="4" t="s">
        <v>617</v>
      </c>
      <c r="N3" s="4" t="s">
        <v>60</v>
      </c>
      <c r="O3" s="4" t="s">
        <v>618</v>
      </c>
    </row>
    <row r="4" spans="1:15" ht="30" customHeight="1" x14ac:dyDescent="0.2">
      <c r="A4" s="5" t="s">
        <v>315</v>
      </c>
      <c r="B4" s="5" t="str">
        <f>Deadlines!B4</f>
        <v>06/26/2026</v>
      </c>
      <c r="C4" s="5" t="str">
        <f>Deadlines!L4</f>
        <v>2026-0060418</v>
      </c>
      <c r="D4" s="6">
        <v>33275</v>
      </c>
      <c r="E4" s="5" t="str">
        <f>Notices!C4</f>
        <v>Other claimant</v>
      </c>
      <c r="F4" s="5" t="str">
        <f>Notices!N4</f>
        <v>Yes</v>
      </c>
      <c r="G4" s="5" t="str">
        <f>Deadlines!E4</f>
        <v>Yes</v>
      </c>
      <c r="H4" s="5" t="str">
        <f>Deadlines!G4</f>
        <v>Yes</v>
      </c>
      <c r="I4" s="5" t="str">
        <f>Deadlines!K4</f>
        <v>Yes</v>
      </c>
      <c r="J4" s="5" t="str">
        <f>IF(F4="No","No lien rights",IF(G4="No","Untimely",IF(H4="No","Not served on the owner",IF(I4="Yes","Expired",IF(SUMIFS(Amounts!$I$4:$I$44,Amounts!$A$4:$A$44,A4)=0,"Waived in full","Enforceable")))))</f>
        <v>Expired</v>
      </c>
      <c r="K4" s="6">
        <f>IF(J4="Enforceable",SUMIFS(Amounts!$I$4:$I$44,Amounts!$A$4:$A$44,A4),0)</f>
        <v>0</v>
      </c>
      <c r="L4" s="6">
        <f t="shared" ref="L4:L20" si="0">D4-K4</f>
        <v>33275</v>
      </c>
      <c r="M4" s="7" t="str">
        <f t="shared" ref="M4:M20" si="1">IF(J4="Expired","Demand a release under section 8482, then petition under sections 8480 to 8488 after 10 days",IF(J4="No lien rights","Demand a recorded release, the defect being no preliminary notice to the owner",IF(J4="Untimely","Demand a recorded release, the defect being a recording after the last day",IF(J4="Not served on the owner","Demand a recorded release, the defect being no service on the owner",IF(J4="Waived in full","Demand a recorded release, the defect being a final waiver of the whole claim",IF(I4="Not shown","Bond at 125 percent until a new index search shows no action, then demand a release",IF(O4="No","Bond at 125 percent, or pay the owner's own balance against an unconditional final release",IF(K4&lt;D4,"Bond at 125 percent of the recorded claim, or take an amended claim at the enforceable amount","Bond at 125 percent, or pay from the money held against an unconditional final release"))))))))</f>
        <v>Demand a release under section 8482, then petition under sections 8480 to 8488 after 10 days</v>
      </c>
      <c r="N4" s="6">
        <f>IF(J4="Enforceable",ROUNDUP(D4*Parameters!$B$16/100,0),0)</f>
        <v>0</v>
      </c>
      <c r="O4" s="5" t="str">
        <f t="shared" ref="O4:O20" si="2">IF(E4="Direct contractor","No","Yes")</f>
        <v>Yes</v>
      </c>
    </row>
    <row r="5" spans="1:15" ht="30" customHeight="1" x14ac:dyDescent="0.2">
      <c r="A5" s="5" t="s">
        <v>322</v>
      </c>
      <c r="B5" s="5" t="str">
        <f>Deadlines!B5</f>
        <v>07/03/2026</v>
      </c>
      <c r="C5" s="5" t="str">
        <f>Deadlines!L5</f>
        <v>2026-0063011</v>
      </c>
      <c r="D5" s="6">
        <v>11480</v>
      </c>
      <c r="E5" s="5" t="str">
        <f>Notices!C5</f>
        <v>Other claimant</v>
      </c>
      <c r="F5" s="5" t="str">
        <f>Notices!N5</f>
        <v>Yes</v>
      </c>
      <c r="G5" s="5" t="str">
        <f>Deadlines!E5</f>
        <v>Yes</v>
      </c>
      <c r="H5" s="5" t="str">
        <f>Deadlines!G5</f>
        <v>Yes</v>
      </c>
      <c r="I5" s="5" t="str">
        <f>Deadlines!K5</f>
        <v>Yes</v>
      </c>
      <c r="J5" s="5" t="str">
        <f>IF(F5="No","No lien rights",IF(G5="No","Untimely",IF(H5="No","Not served on the owner",IF(I5="Yes","Expired",IF(SUMIFS(Amounts!$I$4:$I$44,Amounts!$A$4:$A$44,A5)=0,"Waived in full","Enforceable")))))</f>
        <v>Expired</v>
      </c>
      <c r="K5" s="6">
        <f>IF(J5="Enforceable",SUMIFS(Amounts!$I$4:$I$44,Amounts!$A$4:$A$44,A5),0)</f>
        <v>0</v>
      </c>
      <c r="L5" s="6">
        <f t="shared" si="0"/>
        <v>11480</v>
      </c>
      <c r="M5" s="7" t="str">
        <f t="shared" si="1"/>
        <v>Demand a release under section 8482, then petition under sections 8480 to 8488 after 10 days</v>
      </c>
      <c r="N5" s="6">
        <f>IF(J5="Enforceable",ROUNDUP(D5*Parameters!$B$16/100,0),0)</f>
        <v>0</v>
      </c>
      <c r="O5" s="5" t="str">
        <f t="shared" si="2"/>
        <v>Yes</v>
      </c>
    </row>
    <row r="6" spans="1:15" ht="30" customHeight="1" x14ac:dyDescent="0.2">
      <c r="A6" s="5" t="s">
        <v>328</v>
      </c>
      <c r="B6" s="5" t="str">
        <f>Deadlines!B6</f>
        <v>07/06/2026</v>
      </c>
      <c r="C6" s="5" t="str">
        <f>Deadlines!L6</f>
        <v>2026-0063905</v>
      </c>
      <c r="D6" s="6">
        <v>17204.84</v>
      </c>
      <c r="E6" s="5" t="str">
        <f>Notices!C6</f>
        <v>Other claimant</v>
      </c>
      <c r="F6" s="5" t="str">
        <f>Notices!N6</f>
        <v>Yes</v>
      </c>
      <c r="G6" s="5" t="str">
        <f>Deadlines!E6</f>
        <v>Yes</v>
      </c>
      <c r="H6" s="5" t="str">
        <f>Deadlines!G6</f>
        <v>Yes</v>
      </c>
      <c r="I6" s="5" t="str">
        <f>Deadlines!K6</f>
        <v>Not shown</v>
      </c>
      <c r="J6" s="5" t="str">
        <f>IF(F6="No","No lien rights",IF(G6="No","Untimely",IF(H6="No","Not served on the owner",IF(I6="Yes","Expired",IF(SUMIFS(Amounts!$I$4:$I$44,Amounts!$A$4:$A$44,A6)=0,"Waived in full","Enforceable")))))</f>
        <v>Enforceable</v>
      </c>
      <c r="K6" s="6">
        <f>IF(J6="Enforceable",SUMIFS(Amounts!$I$4:$I$44,Amounts!$A$4:$A$44,A6),0)</f>
        <v>17204.84</v>
      </c>
      <c r="L6" s="6">
        <f t="shared" si="0"/>
        <v>0</v>
      </c>
      <c r="M6" s="7" t="str">
        <f t="shared" si="1"/>
        <v>Bond at 125 percent until a new index search shows no action, then demand a release</v>
      </c>
      <c r="N6" s="6">
        <f>IF(J6="Enforceable",ROUNDUP(D6*Parameters!$B$16/100,0),0)</f>
        <v>21507</v>
      </c>
      <c r="O6" s="5" t="str">
        <f t="shared" si="2"/>
        <v>Yes</v>
      </c>
    </row>
    <row r="7" spans="1:15" ht="30" customHeight="1" x14ac:dyDescent="0.2">
      <c r="A7" s="5" t="s">
        <v>333</v>
      </c>
      <c r="B7" s="5" t="str">
        <f>Deadlines!B7</f>
        <v>09/14/2026</v>
      </c>
      <c r="C7" s="5" t="str">
        <f>Deadlines!L7</f>
        <v>2026-0095207</v>
      </c>
      <c r="D7" s="6">
        <v>27640</v>
      </c>
      <c r="E7" s="5" t="str">
        <f>Notices!C7</f>
        <v>Other claimant</v>
      </c>
      <c r="F7" s="5" t="str">
        <f>Notices!N7</f>
        <v>No</v>
      </c>
      <c r="G7" s="5" t="str">
        <f>Deadlines!E7</f>
        <v>Yes</v>
      </c>
      <c r="H7" s="5" t="str">
        <f>Deadlines!G7</f>
        <v>Yes</v>
      </c>
      <c r="I7" s="5" t="str">
        <f>Deadlines!K7</f>
        <v>No</v>
      </c>
      <c r="J7" s="5" t="str">
        <f>IF(F7="No","No lien rights",IF(G7="No","Untimely",IF(H7="No","Not served on the owner",IF(I7="Yes","Expired",IF(SUMIFS(Amounts!$I$4:$I$44,Amounts!$A$4:$A$44,A7)=0,"Waived in full","Enforceable")))))</f>
        <v>No lien rights</v>
      </c>
      <c r="K7" s="6">
        <f>IF(J7="Enforceable",SUMIFS(Amounts!$I$4:$I$44,Amounts!$A$4:$A$44,A7),0)</f>
        <v>0</v>
      </c>
      <c r="L7" s="6">
        <f t="shared" si="0"/>
        <v>27640</v>
      </c>
      <c r="M7" s="7" t="str">
        <f t="shared" si="1"/>
        <v>Demand a recorded release, the defect being no preliminary notice to the owner</v>
      </c>
      <c r="N7" s="6">
        <f>IF(J7="Enforceable",ROUNDUP(D7*Parameters!$B$16/100,0),0)</f>
        <v>0</v>
      </c>
      <c r="O7" s="5" t="str">
        <f t="shared" si="2"/>
        <v>Yes</v>
      </c>
    </row>
    <row r="8" spans="1:15" ht="30" customHeight="1" x14ac:dyDescent="0.2">
      <c r="A8" s="5" t="s">
        <v>338</v>
      </c>
      <c r="B8" s="5" t="str">
        <f>Deadlines!B8</f>
        <v>09/16/2026</v>
      </c>
      <c r="C8" s="5" t="str">
        <f>Deadlines!L8</f>
        <v>2026-0096088</v>
      </c>
      <c r="D8" s="6">
        <v>54230.81</v>
      </c>
      <c r="E8" s="5" t="str">
        <f>Notices!C8</f>
        <v>Other claimant</v>
      </c>
      <c r="F8" s="5" t="str">
        <f>Notices!N8</f>
        <v>Yes</v>
      </c>
      <c r="G8" s="5" t="str">
        <f>Deadlines!E8</f>
        <v>Yes</v>
      </c>
      <c r="H8" s="5" t="str">
        <f>Deadlines!G8</f>
        <v>Yes</v>
      </c>
      <c r="I8" s="5" t="str">
        <f>Deadlines!K8</f>
        <v>No</v>
      </c>
      <c r="J8" s="5" t="str">
        <f>IF(F8="No","No lien rights",IF(G8="No","Untimely",IF(H8="No","Not served on the owner",IF(I8="Yes","Expired",IF(SUMIFS(Amounts!$I$4:$I$44,Amounts!$A$4:$A$44,A8)=0,"Waived in full","Enforceable")))))</f>
        <v>Enforceable</v>
      </c>
      <c r="K8" s="6">
        <f>IF(J8="Enforceable",SUMIFS(Amounts!$I$4:$I$44,Amounts!$A$4:$A$44,A8),0)</f>
        <v>29091.69</v>
      </c>
      <c r="L8" s="6">
        <f t="shared" si="0"/>
        <v>25139.12</v>
      </c>
      <c r="M8" s="7" t="str">
        <f t="shared" si="1"/>
        <v>Bond at 125 percent of the recorded claim, or take an amended claim at the enforceable amount</v>
      </c>
      <c r="N8" s="6">
        <f>IF(J8="Enforceable",ROUNDUP(D8*Parameters!$B$16/100,0),0)</f>
        <v>67789</v>
      </c>
      <c r="O8" s="5" t="str">
        <f t="shared" si="2"/>
        <v>Yes</v>
      </c>
    </row>
    <row r="9" spans="1:15" ht="30" customHeight="1" x14ac:dyDescent="0.2">
      <c r="A9" s="5" t="s">
        <v>342</v>
      </c>
      <c r="B9" s="5" t="str">
        <f>Deadlines!B9</f>
        <v>09/17/2026</v>
      </c>
      <c r="C9" s="5" t="str">
        <f>Deadlines!L9</f>
        <v>2026-0096531</v>
      </c>
      <c r="D9" s="6">
        <v>9345</v>
      </c>
      <c r="E9" s="5" t="str">
        <f>Notices!C9</f>
        <v>Other claimant</v>
      </c>
      <c r="F9" s="5" t="str">
        <f>Notices!N9</f>
        <v>Yes</v>
      </c>
      <c r="G9" s="5" t="str">
        <f>Deadlines!E9</f>
        <v>Yes</v>
      </c>
      <c r="H9" s="5" t="str">
        <f>Deadlines!G9</f>
        <v>No</v>
      </c>
      <c r="I9" s="5" t="str">
        <f>Deadlines!K9</f>
        <v>No</v>
      </c>
      <c r="J9" s="5" t="str">
        <f>IF(F9="No","No lien rights",IF(G9="No","Untimely",IF(H9="No","Not served on the owner",IF(I9="Yes","Expired",IF(SUMIFS(Amounts!$I$4:$I$44,Amounts!$A$4:$A$44,A9)=0,"Waived in full","Enforceable")))))</f>
        <v>Not served on the owner</v>
      </c>
      <c r="K9" s="6">
        <f>IF(J9="Enforceable",SUMIFS(Amounts!$I$4:$I$44,Amounts!$A$4:$A$44,A9),0)</f>
        <v>0</v>
      </c>
      <c r="L9" s="6">
        <f t="shared" si="0"/>
        <v>9345</v>
      </c>
      <c r="M9" s="7" t="str">
        <f t="shared" si="1"/>
        <v>Demand a recorded release, the defect being no service on the owner</v>
      </c>
      <c r="N9" s="6">
        <f>IF(J9="Enforceable",ROUNDUP(D9*Parameters!$B$16/100,0),0)</f>
        <v>0</v>
      </c>
      <c r="O9" s="5" t="str">
        <f t="shared" si="2"/>
        <v>Yes</v>
      </c>
    </row>
    <row r="10" spans="1:15" ht="30" customHeight="1" x14ac:dyDescent="0.2">
      <c r="A10" s="5" t="s">
        <v>346</v>
      </c>
      <c r="B10" s="5" t="str">
        <f>Deadlines!B10</f>
        <v>09/21/2026</v>
      </c>
      <c r="C10" s="5" t="str">
        <f>Deadlines!L10</f>
        <v>2026-0097644</v>
      </c>
      <c r="D10" s="6">
        <v>159145</v>
      </c>
      <c r="E10" s="5" t="str">
        <f>Notices!C10</f>
        <v>Other claimant</v>
      </c>
      <c r="F10" s="5" t="str">
        <f>Notices!N10</f>
        <v>Yes</v>
      </c>
      <c r="G10" s="5" t="str">
        <f>Deadlines!E10</f>
        <v>Yes</v>
      </c>
      <c r="H10" s="5" t="str">
        <f>Deadlines!G10</f>
        <v>Yes</v>
      </c>
      <c r="I10" s="5" t="str">
        <f>Deadlines!K10</f>
        <v>No</v>
      </c>
      <c r="J10" s="5" t="str">
        <f>IF(F10="No","No lien rights",IF(G10="No","Untimely",IF(H10="No","Not served on the owner",IF(I10="Yes","Expired",IF(SUMIFS(Amounts!$I$4:$I$44,Amounts!$A$4:$A$44,A10)=0,"Waived in full","Enforceable")))))</f>
        <v>Enforceable</v>
      </c>
      <c r="K10" s="6">
        <f>IF(J10="Enforceable",SUMIFS(Amounts!$I$4:$I$44,Amounts!$A$4:$A$44,A10),0)</f>
        <v>85235</v>
      </c>
      <c r="L10" s="6">
        <f t="shared" si="0"/>
        <v>73910</v>
      </c>
      <c r="M10" s="7" t="str">
        <f t="shared" si="1"/>
        <v>Bond at 125 percent of the recorded claim, or take an amended claim at the enforceable amount</v>
      </c>
      <c r="N10" s="6">
        <f>IF(J10="Enforceable",ROUNDUP(D10*Parameters!$B$16/100,0),0)</f>
        <v>198932</v>
      </c>
      <c r="O10" s="5" t="str">
        <f t="shared" si="2"/>
        <v>Yes</v>
      </c>
    </row>
    <row r="11" spans="1:15" ht="30" customHeight="1" x14ac:dyDescent="0.2">
      <c r="A11" s="5" t="s">
        <v>351</v>
      </c>
      <c r="B11" s="5" t="str">
        <f>Deadlines!B11</f>
        <v>09/22/2026</v>
      </c>
      <c r="C11" s="5" t="str">
        <f>Deadlines!L11</f>
        <v>2026-0098120</v>
      </c>
      <c r="D11" s="6">
        <v>46600</v>
      </c>
      <c r="E11" s="5" t="str">
        <f>Notices!C11</f>
        <v>Other claimant</v>
      </c>
      <c r="F11" s="5" t="str">
        <f>Notices!N11</f>
        <v>Yes</v>
      </c>
      <c r="G11" s="5" t="str">
        <f>Deadlines!E11</f>
        <v>Yes</v>
      </c>
      <c r="H11" s="5" t="str">
        <f>Deadlines!G11</f>
        <v>Yes</v>
      </c>
      <c r="I11" s="5" t="str">
        <f>Deadlines!K11</f>
        <v>No</v>
      </c>
      <c r="J11" s="5" t="str">
        <f>IF(F11="No","No lien rights",IF(G11="No","Untimely",IF(H11="No","Not served on the owner",IF(I11="Yes","Expired",IF(SUMIFS(Amounts!$I$4:$I$44,Amounts!$A$4:$A$44,A11)=0,"Waived in full","Enforceable")))))</f>
        <v>Enforceable</v>
      </c>
      <c r="K11" s="6">
        <f>IF(J11="Enforceable",SUMIFS(Amounts!$I$4:$I$44,Amounts!$A$4:$A$44,A11),0)</f>
        <v>8125</v>
      </c>
      <c r="L11" s="6">
        <f t="shared" si="0"/>
        <v>38475</v>
      </c>
      <c r="M11" s="7" t="str">
        <f t="shared" si="1"/>
        <v>Bond at 125 percent of the recorded claim, or take an amended claim at the enforceable amount</v>
      </c>
      <c r="N11" s="6">
        <f>IF(J11="Enforceable",ROUNDUP(D11*Parameters!$B$16/100,0),0)</f>
        <v>58250</v>
      </c>
      <c r="O11" s="5" t="str">
        <f t="shared" si="2"/>
        <v>Yes</v>
      </c>
    </row>
    <row r="12" spans="1:15" ht="30" customHeight="1" x14ac:dyDescent="0.2">
      <c r="A12" s="5" t="s">
        <v>356</v>
      </c>
      <c r="B12" s="5" t="str">
        <f>Deadlines!B12</f>
        <v>09/23/2026</v>
      </c>
      <c r="C12" s="5" t="str">
        <f>Deadlines!L12</f>
        <v>2026-0098577</v>
      </c>
      <c r="D12" s="6">
        <v>14937.5</v>
      </c>
      <c r="E12" s="5" t="str">
        <f>Notices!C12</f>
        <v>Other claimant</v>
      </c>
      <c r="F12" s="5" t="str">
        <f>Notices!N12</f>
        <v>Yes</v>
      </c>
      <c r="G12" s="5" t="str">
        <f>Deadlines!E12</f>
        <v>Yes</v>
      </c>
      <c r="H12" s="5" t="str">
        <f>Deadlines!G12</f>
        <v>Yes</v>
      </c>
      <c r="I12" s="5" t="str">
        <f>Deadlines!K12</f>
        <v>No</v>
      </c>
      <c r="J12" s="5" t="str">
        <f>IF(F12="No","No lien rights",IF(G12="No","Untimely",IF(H12="No","Not served on the owner",IF(I12="Yes","Expired",IF(SUMIFS(Amounts!$I$4:$I$44,Amounts!$A$4:$A$44,A12)=0,"Waived in full","Enforceable")))))</f>
        <v>Waived in full</v>
      </c>
      <c r="K12" s="6">
        <f>IF(J12="Enforceable",SUMIFS(Amounts!$I$4:$I$44,Amounts!$A$4:$A$44,A12),0)</f>
        <v>0</v>
      </c>
      <c r="L12" s="6">
        <f t="shared" si="0"/>
        <v>14937.5</v>
      </c>
      <c r="M12" s="7" t="str">
        <f t="shared" si="1"/>
        <v>Demand a recorded release, the defect being a final waiver of the whole claim</v>
      </c>
      <c r="N12" s="6">
        <f>IF(J12="Enforceable",ROUNDUP(D12*Parameters!$B$16/100,0),0)</f>
        <v>0</v>
      </c>
      <c r="O12" s="5" t="str">
        <f t="shared" si="2"/>
        <v>Yes</v>
      </c>
    </row>
    <row r="13" spans="1:15" ht="30" customHeight="1" x14ac:dyDescent="0.2">
      <c r="A13" s="5" t="s">
        <v>270</v>
      </c>
      <c r="B13" s="5" t="str">
        <f>Deadlines!B13</f>
        <v>09/24/2026</v>
      </c>
      <c r="C13" s="5" t="str">
        <f>Deadlines!L13</f>
        <v>2026-0098901</v>
      </c>
      <c r="D13" s="6">
        <v>16600</v>
      </c>
      <c r="E13" s="5" t="str">
        <f>Notices!C13</f>
        <v>Other claimant</v>
      </c>
      <c r="F13" s="5" t="str">
        <f>Notices!N13</f>
        <v>Yes</v>
      </c>
      <c r="G13" s="5" t="str">
        <f>Deadlines!E13</f>
        <v>Yes</v>
      </c>
      <c r="H13" s="5" t="str">
        <f>Deadlines!G13</f>
        <v>Yes</v>
      </c>
      <c r="I13" s="5" t="str">
        <f>Deadlines!K13</f>
        <v>No</v>
      </c>
      <c r="J13" s="5" t="str">
        <f>IF(F13="No","No lien rights",IF(G13="No","Untimely",IF(H13="No","Not served on the owner",IF(I13="Yes","Expired",IF(SUMIFS(Amounts!$I$4:$I$44,Amounts!$A$4:$A$44,A13)=0,"Waived in full","Enforceable")))))</f>
        <v>Enforceable</v>
      </c>
      <c r="K13" s="6">
        <f>IF(J13="Enforceable",SUMIFS(Amounts!$I$4:$I$44,Amounts!$A$4:$A$44,A13),0)</f>
        <v>7132.5</v>
      </c>
      <c r="L13" s="6">
        <f t="shared" si="0"/>
        <v>9467.5</v>
      </c>
      <c r="M13" s="7" t="str">
        <f t="shared" si="1"/>
        <v>Bond at 125 percent of the recorded claim, or take an amended claim at the enforceable amount</v>
      </c>
      <c r="N13" s="6">
        <f>IF(J13="Enforceable",ROUNDUP(D13*Parameters!$B$16/100,0),0)</f>
        <v>20750</v>
      </c>
      <c r="O13" s="5" t="str">
        <f t="shared" si="2"/>
        <v>Yes</v>
      </c>
    </row>
    <row r="14" spans="1:15" ht="30" customHeight="1" x14ac:dyDescent="0.2">
      <c r="A14" s="5" t="s">
        <v>364</v>
      </c>
      <c r="B14" s="5" t="str">
        <f>Deadlines!B14</f>
        <v>09/28/2026</v>
      </c>
      <c r="C14" s="5" t="str">
        <f>Deadlines!L14</f>
        <v>2026-0100263</v>
      </c>
      <c r="D14" s="6">
        <v>61477</v>
      </c>
      <c r="E14" s="5" t="str">
        <f>Notices!C14</f>
        <v>Other claimant</v>
      </c>
      <c r="F14" s="5" t="str">
        <f>Notices!N14</f>
        <v>Yes</v>
      </c>
      <c r="G14" s="5" t="str">
        <f>Deadlines!E14</f>
        <v>Yes</v>
      </c>
      <c r="H14" s="5" t="str">
        <f>Deadlines!G14</f>
        <v>Yes</v>
      </c>
      <c r="I14" s="5" t="str">
        <f>Deadlines!K14</f>
        <v>No</v>
      </c>
      <c r="J14" s="5" t="str">
        <f>IF(F14="No","No lien rights",IF(G14="No","Untimely",IF(H14="No","Not served on the owner",IF(I14="Yes","Expired",IF(SUMIFS(Amounts!$I$4:$I$44,Amounts!$A$4:$A$44,A14)=0,"Waived in full","Enforceable")))))</f>
        <v>Enforceable</v>
      </c>
      <c r="K14" s="6">
        <f>IF(J14="Enforceable",SUMIFS(Amounts!$I$4:$I$44,Amounts!$A$4:$A$44,A14),0)</f>
        <v>61477</v>
      </c>
      <c r="L14" s="6">
        <f t="shared" si="0"/>
        <v>0</v>
      </c>
      <c r="M14" s="7" t="str">
        <f t="shared" si="1"/>
        <v>Bond at 125 percent, or pay from the money held against an unconditional final release</v>
      </c>
      <c r="N14" s="6">
        <f>IF(J14="Enforceable",ROUNDUP(D14*Parameters!$B$16/100,0),0)</f>
        <v>76847</v>
      </c>
      <c r="O14" s="5" t="str">
        <f t="shared" si="2"/>
        <v>Yes</v>
      </c>
    </row>
    <row r="15" spans="1:15" ht="30" customHeight="1" x14ac:dyDescent="0.2">
      <c r="A15" s="5" t="s">
        <v>369</v>
      </c>
      <c r="B15" s="5" t="str">
        <f>Deadlines!B15</f>
        <v>09/29/2026</v>
      </c>
      <c r="C15" s="5" t="str">
        <f>Deadlines!L15</f>
        <v>2026-0100719</v>
      </c>
      <c r="D15" s="6">
        <v>38915</v>
      </c>
      <c r="E15" s="5" t="str">
        <f>Notices!C15</f>
        <v>Other claimant</v>
      </c>
      <c r="F15" s="5" t="str">
        <f>Notices!N15</f>
        <v>Yes</v>
      </c>
      <c r="G15" s="5" t="str">
        <f>Deadlines!E15</f>
        <v>Yes</v>
      </c>
      <c r="H15" s="5" t="str">
        <f>Deadlines!G15</f>
        <v>Yes</v>
      </c>
      <c r="I15" s="5" t="str">
        <f>Deadlines!K15</f>
        <v>No</v>
      </c>
      <c r="J15" s="5" t="str">
        <f>IF(F15="No","No lien rights",IF(G15="No","Untimely",IF(H15="No","Not served on the owner",IF(I15="Yes","Expired",IF(SUMIFS(Amounts!$I$4:$I$44,Amounts!$A$4:$A$44,A15)=0,"Waived in full","Enforceable")))))</f>
        <v>Enforceable</v>
      </c>
      <c r="K15" s="6">
        <f>IF(J15="Enforceable",SUMIFS(Amounts!$I$4:$I$44,Amounts!$A$4:$A$44,A15),0)</f>
        <v>38915</v>
      </c>
      <c r="L15" s="6">
        <f t="shared" si="0"/>
        <v>0</v>
      </c>
      <c r="M15" s="7" t="str">
        <f t="shared" si="1"/>
        <v>Bond at 125 percent, or pay from the money held against an unconditional final release</v>
      </c>
      <c r="N15" s="6">
        <f>IF(J15="Enforceable",ROUNDUP(D15*Parameters!$B$16/100,0),0)</f>
        <v>48644</v>
      </c>
      <c r="O15" s="5" t="str">
        <f t="shared" si="2"/>
        <v>Yes</v>
      </c>
    </row>
    <row r="16" spans="1:15" ht="30" customHeight="1" x14ac:dyDescent="0.2">
      <c r="A16" s="5" t="s">
        <v>374</v>
      </c>
      <c r="B16" s="5" t="str">
        <f>Deadlines!B16</f>
        <v>09/30/2026</v>
      </c>
      <c r="C16" s="5" t="str">
        <f>Deadlines!L16</f>
        <v>2026-0101184</v>
      </c>
      <c r="D16" s="6">
        <v>13889</v>
      </c>
      <c r="E16" s="5" t="str">
        <f>Notices!C16</f>
        <v>Other claimant</v>
      </c>
      <c r="F16" s="5" t="str">
        <f>Notices!N16</f>
        <v>Yes</v>
      </c>
      <c r="G16" s="5" t="str">
        <f>Deadlines!E16</f>
        <v>No</v>
      </c>
      <c r="H16" s="5" t="str">
        <f>Deadlines!G16</f>
        <v>Yes</v>
      </c>
      <c r="I16" s="5" t="str">
        <f>Deadlines!K16</f>
        <v>No</v>
      </c>
      <c r="J16" s="5" t="str">
        <f>IF(F16="No","No lien rights",IF(G16="No","Untimely",IF(H16="No","Not served on the owner",IF(I16="Yes","Expired",IF(SUMIFS(Amounts!$I$4:$I$44,Amounts!$A$4:$A$44,A16)=0,"Waived in full","Enforceable")))))</f>
        <v>Untimely</v>
      </c>
      <c r="K16" s="6">
        <f>IF(J16="Enforceable",SUMIFS(Amounts!$I$4:$I$44,Amounts!$A$4:$A$44,A16),0)</f>
        <v>0</v>
      </c>
      <c r="L16" s="6">
        <f t="shared" si="0"/>
        <v>13889</v>
      </c>
      <c r="M16" s="7" t="str">
        <f t="shared" si="1"/>
        <v>Demand a recorded release, the defect being a recording after the last day</v>
      </c>
      <c r="N16" s="6">
        <f>IF(J16="Enforceable",ROUNDUP(D16*Parameters!$B$16/100,0),0)</f>
        <v>0</v>
      </c>
      <c r="O16" s="5" t="str">
        <f t="shared" si="2"/>
        <v>Yes</v>
      </c>
    </row>
    <row r="17" spans="1:15" ht="30" customHeight="1" x14ac:dyDescent="0.2">
      <c r="A17" s="5" t="s">
        <v>378</v>
      </c>
      <c r="B17" s="5" t="str">
        <f>Deadlines!B17</f>
        <v>09/30/2026</v>
      </c>
      <c r="C17" s="5" t="str">
        <f>Deadlines!L17</f>
        <v>2026-0101236</v>
      </c>
      <c r="D17" s="6">
        <v>25080</v>
      </c>
      <c r="E17" s="5" t="str">
        <f>Notices!C17</f>
        <v>Direct contractor</v>
      </c>
      <c r="F17" s="5" t="str">
        <f>Notices!N17</f>
        <v>Yes</v>
      </c>
      <c r="G17" s="5" t="str">
        <f>Deadlines!E17</f>
        <v>Yes</v>
      </c>
      <c r="H17" s="5" t="str">
        <f>Deadlines!G17</f>
        <v>Yes</v>
      </c>
      <c r="I17" s="5" t="str">
        <f>Deadlines!K17</f>
        <v>No</v>
      </c>
      <c r="J17" s="5" t="str">
        <f>IF(F17="No","No lien rights",IF(G17="No","Untimely",IF(H17="No","Not served on the owner",IF(I17="Yes","Expired",IF(SUMIFS(Amounts!$I$4:$I$44,Amounts!$A$4:$A$44,A17)=0,"Waived in full","Enforceable")))))</f>
        <v>Enforceable</v>
      </c>
      <c r="K17" s="6">
        <f>IF(J17="Enforceable",SUMIFS(Amounts!$I$4:$I$44,Amounts!$A$4:$A$44,A17),0)</f>
        <v>25080</v>
      </c>
      <c r="L17" s="6">
        <f t="shared" si="0"/>
        <v>0</v>
      </c>
      <c r="M17" s="7" t="str">
        <f t="shared" si="1"/>
        <v>Bond at 125 percent, or pay the owner's own balance against an unconditional final release</v>
      </c>
      <c r="N17" s="6">
        <f>IF(J17="Enforceable",ROUNDUP(D17*Parameters!$B$16/100,0),0)</f>
        <v>31350</v>
      </c>
      <c r="O17" s="5" t="str">
        <f t="shared" si="2"/>
        <v>No</v>
      </c>
    </row>
    <row r="18" spans="1:15" ht="30" customHeight="1" x14ac:dyDescent="0.2">
      <c r="A18" s="5" t="s">
        <v>384</v>
      </c>
      <c r="B18" s="5" t="str">
        <f>Deadlines!B18</f>
        <v>10/01/2026</v>
      </c>
      <c r="C18" s="5" t="str">
        <f>Deadlines!L18</f>
        <v>2026-0101655</v>
      </c>
      <c r="D18" s="6">
        <v>23480</v>
      </c>
      <c r="E18" s="5" t="str">
        <f>Notices!C18</f>
        <v>Other claimant</v>
      </c>
      <c r="F18" s="5" t="str">
        <f>Notices!N18</f>
        <v>Yes</v>
      </c>
      <c r="G18" s="5" t="str">
        <f>Deadlines!E18</f>
        <v>Yes</v>
      </c>
      <c r="H18" s="5" t="str">
        <f>Deadlines!G18</f>
        <v>Yes</v>
      </c>
      <c r="I18" s="5" t="str">
        <f>Deadlines!K18</f>
        <v>No</v>
      </c>
      <c r="J18" s="5" t="str">
        <f>IF(F18="No","No lien rights",IF(G18="No","Untimely",IF(H18="No","Not served on the owner",IF(I18="Yes","Expired",IF(SUMIFS(Amounts!$I$4:$I$44,Amounts!$A$4:$A$44,A18)=0,"Waived in full","Enforceable")))))</f>
        <v>Enforceable</v>
      </c>
      <c r="K18" s="6">
        <f>IF(J18="Enforceable",SUMIFS(Amounts!$I$4:$I$44,Amounts!$A$4:$A$44,A18),0)</f>
        <v>13040</v>
      </c>
      <c r="L18" s="6">
        <f t="shared" si="0"/>
        <v>10440</v>
      </c>
      <c r="M18" s="7" t="str">
        <f t="shared" si="1"/>
        <v>Bond at 125 percent of the recorded claim, or take an amended claim at the enforceable amount</v>
      </c>
      <c r="N18" s="6">
        <f>IF(J18="Enforceable",ROUNDUP(D18*Parameters!$B$16/100,0),0)</f>
        <v>29350</v>
      </c>
      <c r="O18" s="5" t="str">
        <f t="shared" si="2"/>
        <v>Yes</v>
      </c>
    </row>
    <row r="19" spans="1:15" ht="30" customHeight="1" x14ac:dyDescent="0.2">
      <c r="A19" s="5" t="s">
        <v>389</v>
      </c>
      <c r="B19" s="5" t="str">
        <f>Deadlines!B19</f>
        <v>10/01/2026</v>
      </c>
      <c r="C19" s="5" t="str">
        <f>Deadlines!L19</f>
        <v>2026-0101690</v>
      </c>
      <c r="D19" s="6">
        <v>19742.64</v>
      </c>
      <c r="E19" s="5" t="str">
        <f>Notices!C19</f>
        <v>Other claimant</v>
      </c>
      <c r="F19" s="5" t="str">
        <f>Notices!N19</f>
        <v>Yes</v>
      </c>
      <c r="G19" s="5" t="str">
        <f>Deadlines!E19</f>
        <v>No</v>
      </c>
      <c r="H19" s="5" t="str">
        <f>Deadlines!G19</f>
        <v>Yes</v>
      </c>
      <c r="I19" s="5" t="str">
        <f>Deadlines!K19</f>
        <v>No</v>
      </c>
      <c r="J19" s="5" t="str">
        <f>IF(F19="No","No lien rights",IF(G19="No","Untimely",IF(H19="No","Not served on the owner",IF(I19="Yes","Expired",IF(SUMIFS(Amounts!$I$4:$I$44,Amounts!$A$4:$A$44,A19)=0,"Waived in full","Enforceable")))))</f>
        <v>Untimely</v>
      </c>
      <c r="K19" s="6">
        <f>IF(J19="Enforceable",SUMIFS(Amounts!$I$4:$I$44,Amounts!$A$4:$A$44,A19),0)</f>
        <v>0</v>
      </c>
      <c r="L19" s="6">
        <f t="shared" si="0"/>
        <v>19742.64</v>
      </c>
      <c r="M19" s="7" t="str">
        <f t="shared" si="1"/>
        <v>Demand a recorded release, the defect being a recording after the last day</v>
      </c>
      <c r="N19" s="6">
        <f>IF(J19="Enforceable",ROUNDUP(D19*Parameters!$B$16/100,0),0)</f>
        <v>0</v>
      </c>
      <c r="O19" s="5" t="str">
        <f t="shared" si="2"/>
        <v>Yes</v>
      </c>
    </row>
    <row r="20" spans="1:15" ht="30" customHeight="1" x14ac:dyDescent="0.2">
      <c r="A20" s="5" t="s">
        <v>393</v>
      </c>
      <c r="B20" s="5" t="str">
        <f>Deadlines!B20</f>
        <v>10/01/2026</v>
      </c>
      <c r="C20" s="5" t="str">
        <f>Deadlines!L20</f>
        <v>2026-0101712</v>
      </c>
      <c r="D20" s="6">
        <v>18360</v>
      </c>
      <c r="E20" s="5" t="str">
        <f>Notices!C20</f>
        <v>Other claimant</v>
      </c>
      <c r="F20" s="5" t="str">
        <f>Notices!N20</f>
        <v>Yes</v>
      </c>
      <c r="G20" s="5" t="str">
        <f>Deadlines!E20</f>
        <v>Yes</v>
      </c>
      <c r="H20" s="5" t="str">
        <f>Deadlines!G20</f>
        <v>Yes</v>
      </c>
      <c r="I20" s="5" t="str">
        <f>Deadlines!K20</f>
        <v>No</v>
      </c>
      <c r="J20" s="5" t="str">
        <f>IF(F20="No","No lien rights",IF(G20="No","Untimely",IF(H20="No","Not served on the owner",IF(I20="Yes","Expired",IF(SUMIFS(Amounts!$I$4:$I$44,Amounts!$A$4:$A$44,A20)=0,"Waived in full","Enforceable")))))</f>
        <v>Enforceable</v>
      </c>
      <c r="K20" s="6">
        <f>IF(J20="Enforceable",SUMIFS(Amounts!$I$4:$I$44,Amounts!$A$4:$A$44,A20),0)</f>
        <v>18360</v>
      </c>
      <c r="L20" s="6">
        <f t="shared" si="0"/>
        <v>0</v>
      </c>
      <c r="M20" s="7" t="str">
        <f t="shared" si="1"/>
        <v>Bond at 125 percent, or pay from the money held against an unconditional final release</v>
      </c>
      <c r="N20" s="6">
        <f>IF(J20="Enforceable",ROUNDUP(D20*Parameters!$B$16/100,0),0)</f>
        <v>22950</v>
      </c>
      <c r="O20" s="5" t="str">
        <f t="shared" si="2"/>
        <v>Yes</v>
      </c>
    </row>
    <row r="21" spans="1:15" x14ac:dyDescent="0.2">
      <c r="A21" s="9" t="s">
        <v>42</v>
      </c>
      <c r="D21" s="10">
        <f>SUM(D4:D20)</f>
        <v>591401.79</v>
      </c>
      <c r="K21" s="10">
        <f>SUM(K4:K20)</f>
        <v>303661.03</v>
      </c>
      <c r="L21" s="10">
        <f>SUM(L4:L20)</f>
        <v>287740.76</v>
      </c>
      <c r="N21" s="10">
        <f>SUM(N4:N20)</f>
        <v>576369</v>
      </c>
    </row>
    <row r="22" spans="1:15" x14ac:dyDescent="0.2">
      <c r="A22" s="5" t="s">
        <v>46</v>
      </c>
      <c r="D22" s="5">
        <f>COUNTIF(J4:J20,"Enforceable")</f>
        <v>10</v>
      </c>
    </row>
    <row r="23" spans="1:15" x14ac:dyDescent="0.2">
      <c r="A23" s="5" t="s">
        <v>47</v>
      </c>
      <c r="D23" s="5">
        <f>COUNTIF(J4:J20,"&lt;&gt;Enforceable")</f>
        <v>7</v>
      </c>
    </row>
    <row r="24" spans="1:15" x14ac:dyDescent="0.2">
      <c r="A24" s="5" t="s">
        <v>48</v>
      </c>
      <c r="D24" s="6">
        <f>SUMIF(J4:J20,"&lt;&gt;Enforceable",D4:D20)</f>
        <v>130309.14</v>
      </c>
    </row>
    <row r="25" spans="1:15" x14ac:dyDescent="0.2">
      <c r="A25" s="5" t="s">
        <v>22</v>
      </c>
      <c r="D25" s="6">
        <f>SUMIFS(K4:K20,O4:O20,"Yes")</f>
        <v>278581.03</v>
      </c>
    </row>
    <row r="27" spans="1:15" x14ac:dyDescent="0.2">
      <c r="A27" s="8" t="s">
        <v>619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23"/>
  <sheetViews>
    <sheetView workbookViewId="0"/>
  </sheetViews>
  <sheetFormatPr baseColWidth="10" defaultColWidth="8.83203125" defaultRowHeight="15" x14ac:dyDescent="0.2"/>
  <cols>
    <col min="1" max="1" width="125" customWidth="1"/>
  </cols>
  <sheetData>
    <row r="1" spans="1:1" ht="17" customHeight="1" x14ac:dyDescent="0.2">
      <c r="A1" s="1" t="s">
        <v>620</v>
      </c>
    </row>
    <row r="3" spans="1:1" ht="75" customHeight="1" x14ac:dyDescent="0.2">
      <c r="A3" s="7" t="s">
        <v>621</v>
      </c>
    </row>
    <row r="4" spans="1:1" ht="120" customHeight="1" x14ac:dyDescent="0.2">
      <c r="A4" s="7" t="s">
        <v>622</v>
      </c>
    </row>
    <row r="5" spans="1:1" ht="75" customHeight="1" x14ac:dyDescent="0.2">
      <c r="A5" s="7" t="s">
        <v>623</v>
      </c>
    </row>
    <row r="6" spans="1:1" ht="135" customHeight="1" x14ac:dyDescent="0.2">
      <c r="A6" s="7" t="s">
        <v>624</v>
      </c>
    </row>
    <row r="7" spans="1:1" ht="45" customHeight="1" x14ac:dyDescent="0.2">
      <c r="A7" s="7" t="s">
        <v>625</v>
      </c>
    </row>
    <row r="8" spans="1:1" ht="75" customHeight="1" x14ac:dyDescent="0.2">
      <c r="A8" s="7" t="s">
        <v>626</v>
      </c>
    </row>
    <row r="9" spans="1:1" ht="60" customHeight="1" x14ac:dyDescent="0.2">
      <c r="A9" s="7" t="s">
        <v>627</v>
      </c>
    </row>
    <row r="10" spans="1:1" ht="90" customHeight="1" x14ac:dyDescent="0.2">
      <c r="A10" s="7" t="s">
        <v>628</v>
      </c>
    </row>
    <row r="11" spans="1:1" ht="90" customHeight="1" x14ac:dyDescent="0.2">
      <c r="A11" s="7" t="s">
        <v>629</v>
      </c>
    </row>
    <row r="12" spans="1:1" ht="135" customHeight="1" x14ac:dyDescent="0.2">
      <c r="A12" s="7" t="s">
        <v>630</v>
      </c>
    </row>
    <row r="13" spans="1:1" ht="75" customHeight="1" x14ac:dyDescent="0.2">
      <c r="A13" s="7" t="s">
        <v>631</v>
      </c>
    </row>
    <row r="14" spans="1:1" ht="45" customHeight="1" x14ac:dyDescent="0.2">
      <c r="A14" s="7" t="s">
        <v>632</v>
      </c>
    </row>
    <row r="15" spans="1:1" ht="45" customHeight="1" x14ac:dyDescent="0.2">
      <c r="A15" s="7" t="s">
        <v>633</v>
      </c>
    </row>
    <row r="16" spans="1:1" ht="60" customHeight="1" x14ac:dyDescent="0.2">
      <c r="A16" s="7" t="s">
        <v>634</v>
      </c>
    </row>
    <row r="17" spans="1:1" ht="45" customHeight="1" x14ac:dyDescent="0.2">
      <c r="A17" s="7" t="s">
        <v>635</v>
      </c>
    </row>
    <row r="18" spans="1:1" ht="75" customHeight="1" x14ac:dyDescent="0.2">
      <c r="A18" s="7" t="s">
        <v>636</v>
      </c>
    </row>
    <row r="19" spans="1:1" ht="75" customHeight="1" x14ac:dyDescent="0.2">
      <c r="A19" s="7" t="s">
        <v>637</v>
      </c>
    </row>
    <row r="20" spans="1:1" ht="90" customHeight="1" x14ac:dyDescent="0.2">
      <c r="A20" s="7" t="s">
        <v>638</v>
      </c>
    </row>
    <row r="21" spans="1:1" ht="120" customHeight="1" x14ac:dyDescent="0.2">
      <c r="A21" s="7" t="s">
        <v>639</v>
      </c>
    </row>
    <row r="22" spans="1:1" ht="75" customHeight="1" x14ac:dyDescent="0.2">
      <c r="A22" s="7" t="s">
        <v>640</v>
      </c>
    </row>
    <row r="23" spans="1:1" ht="90" customHeight="1" x14ac:dyDescent="0.2">
      <c r="A23" s="7" t="s">
        <v>641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Parameters</vt:lpstr>
      <vt:lpstr>DK Ledger</vt:lpstr>
      <vt:lpstr>Notices</vt:lpstr>
      <vt:lpstr>NOC Copies</vt:lpstr>
      <vt:lpstr>Deadlines</vt:lpstr>
      <vt:lpstr>Waivers</vt:lpstr>
      <vt:lpstr>Amounts</vt:lpstr>
      <vt:lpstr>Claims</vt:lpstr>
      <vt:lpstr>Note to Marguerite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Ferraro Whitcombe LLP</dc:creator>
  <dc:title xmlns:dc="http://purl.org/dc/elements/1.1/">Lien analysis, Larkspur Crossing Building B, claims of mechanics lien against APN 480-210-037</dc:title>
  <dcterms:created xmlns:dcterms="http://purl.org/dc/terms/" xmlns:xsi="http://www.w3.org/2001/XMLSchema-instance" xsi:type="dcterms:W3CDTF">2026-10-14T10:22:05Z</dcterms:created>
  <dcterms:modified xmlns:dcterms="http://purl.org/dc/terms/" xmlns:xsi="http://www.w3.org/2001/XMLSchema-instance" xsi:type="dcterms:W3CDTF">2026-10-16T16:40:12Z</dcterms:modified>
  <cp:lastModifiedBy>Ferraro Whitcombe LLP</cp:lastModifiedBy>
</cp:coreProperties>
</file>