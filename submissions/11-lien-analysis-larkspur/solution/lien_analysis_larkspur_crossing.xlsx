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xr:revisionPtr revIDLastSave="0" documentId="13_ncr:1_{C34F40BF-228A-6348-83DE-9FEA91D43C0F}" xr6:coauthVersionLast="47" xr6:coauthVersionMax="47" xr10:uidLastSave="{00000000-0000-0000-0000-000000000000}"/>
  <bookViews>
    <workbookView xWindow="0" yWindow="600" windowWidth="21600" windowHeight="36520" xr2:uid="{00000000-000D-0000-FFFF-FFFF00000000}"/>
  </bookViews>
  <sheets>
    <sheet name="Summary" sheetId="1" r:id="rId1"/>
    <sheet name="Parameters" sheetId="2" r:id="rId2"/>
    <sheet name="DK Ledger" sheetId="3" r:id="rId3"/>
    <sheet name="Notices" sheetId="4" r:id="rId4"/>
    <sheet name="NOC Copies" sheetId="5" r:id="rId5"/>
    <sheet name="Deadlines" sheetId="6" r:id="rId6"/>
    <sheet name="Waivers" sheetId="7" r:id="rId7"/>
    <sheet name="Amounts" sheetId="8" r:id="rId8"/>
    <sheet name="Claims" sheetId="9" r:id="rId9"/>
    <sheet name="Note to Marguerite"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9" l="1"/>
  <c r="H18" i="9"/>
  <c r="F39" i="1" s="1"/>
  <c r="E18" i="9"/>
  <c r="O18" i="9" s="1"/>
  <c r="C18" i="9"/>
  <c r="B18" i="9"/>
  <c r="B39" i="1" s="1"/>
  <c r="H17" i="9"/>
  <c r="E17" i="9"/>
  <c r="O17" i="9" s="1"/>
  <c r="C17" i="9"/>
  <c r="B17" i="9"/>
  <c r="H16" i="9"/>
  <c r="E16" i="9"/>
  <c r="O16" i="9" s="1"/>
  <c r="C16" i="9"/>
  <c r="B16" i="9"/>
  <c r="B37" i="1" s="1"/>
  <c r="H15" i="9"/>
  <c r="F36" i="1" s="1"/>
  <c r="E15" i="9"/>
  <c r="O15" i="9" s="1"/>
  <c r="C15" i="9"/>
  <c r="B15" i="9"/>
  <c r="B36" i="1" s="1"/>
  <c r="H14" i="9"/>
  <c r="F35" i="1" s="1"/>
  <c r="E14" i="9"/>
  <c r="O14" i="9" s="1"/>
  <c r="C14" i="9"/>
  <c r="B14" i="9"/>
  <c r="B35" i="1" s="1"/>
  <c r="H13" i="9"/>
  <c r="F34" i="1" s="1"/>
  <c r="E13" i="9"/>
  <c r="O13" i="9" s="1"/>
  <c r="C13" i="9"/>
  <c r="B13" i="9"/>
  <c r="B34" i="1" s="1"/>
  <c r="H12" i="9"/>
  <c r="F33" i="1" s="1"/>
  <c r="E12" i="9"/>
  <c r="O12" i="9" s="1"/>
  <c r="C12" i="9"/>
  <c r="B12" i="9"/>
  <c r="B33" i="1" s="1"/>
  <c r="H11" i="9"/>
  <c r="F32" i="1" s="1"/>
  <c r="E11" i="9"/>
  <c r="O11" i="9" s="1"/>
  <c r="C11" i="9"/>
  <c r="B11" i="9"/>
  <c r="B32" i="1" s="1"/>
  <c r="H10" i="9"/>
  <c r="F31" i="1" s="1"/>
  <c r="E10" i="9"/>
  <c r="O10" i="9" s="1"/>
  <c r="C10" i="9"/>
  <c r="B10" i="9"/>
  <c r="B31" i="1" s="1"/>
  <c r="H9" i="9"/>
  <c r="F30" i="1" s="1"/>
  <c r="E9" i="9"/>
  <c r="O9" i="9" s="1"/>
  <c r="C9" i="9"/>
  <c r="B9" i="9"/>
  <c r="B30" i="1" s="1"/>
  <c r="O8" i="9"/>
  <c r="H8" i="9"/>
  <c r="F29" i="1" s="1"/>
  <c r="E8" i="9"/>
  <c r="C8" i="9"/>
  <c r="B8" i="9"/>
  <c r="E7" i="9"/>
  <c r="O7" i="9" s="1"/>
  <c r="C7" i="9"/>
  <c r="B7" i="9"/>
  <c r="E6" i="9"/>
  <c r="O6" i="9" s="1"/>
  <c r="C6" i="9"/>
  <c r="B6" i="9"/>
  <c r="E5" i="9"/>
  <c r="O5" i="9" s="1"/>
  <c r="C5" i="9"/>
  <c r="B5" i="9"/>
  <c r="E4" i="9"/>
  <c r="O4" i="9" s="1"/>
  <c r="C4" i="9"/>
  <c r="B4" i="9"/>
  <c r="L41" i="8"/>
  <c r="E41" i="8"/>
  <c r="L40" i="8"/>
  <c r="E40" i="8"/>
  <c r="L39" i="8"/>
  <c r="E39" i="8"/>
  <c r="L38" i="8"/>
  <c r="E38" i="8"/>
  <c r="L37" i="8"/>
  <c r="E37" i="8"/>
  <c r="L36" i="8"/>
  <c r="E36" i="8"/>
  <c r="L35" i="8"/>
  <c r="E35" i="8"/>
  <c r="L34" i="8"/>
  <c r="E34" i="8"/>
  <c r="L33" i="8"/>
  <c r="E33" i="8"/>
  <c r="L32" i="8"/>
  <c r="E32" i="8"/>
  <c r="L31" i="8"/>
  <c r="E31" i="8"/>
  <c r="L30" i="8"/>
  <c r="E30" i="8"/>
  <c r="L29" i="8"/>
  <c r="E29" i="8"/>
  <c r="L28" i="8"/>
  <c r="E28" i="8"/>
  <c r="L27" i="8"/>
  <c r="E27" i="8"/>
  <c r="L26" i="8"/>
  <c r="E26" i="8"/>
  <c r="L25" i="8"/>
  <c r="G25" i="8"/>
  <c r="E25" i="8"/>
  <c r="L24" i="8"/>
  <c r="E24" i="8"/>
  <c r="L23" i="8"/>
  <c r="E23" i="8"/>
  <c r="L22" i="8"/>
  <c r="E22" i="8"/>
  <c r="L21" i="8"/>
  <c r="E21" i="8"/>
  <c r="L20" i="8"/>
  <c r="E20" i="8"/>
  <c r="L19" i="8"/>
  <c r="E19" i="8"/>
  <c r="L18" i="8"/>
  <c r="E18" i="8"/>
  <c r="L17" i="8"/>
  <c r="E17" i="8"/>
  <c r="L16" i="8"/>
  <c r="E16" i="8"/>
  <c r="L15" i="8"/>
  <c r="G15" i="8"/>
  <c r="E15" i="8"/>
  <c r="H15" i="8" s="1"/>
  <c r="L14" i="8"/>
  <c r="E14" i="8"/>
  <c r="L13" i="8"/>
  <c r="E13" i="8"/>
  <c r="L12" i="8"/>
  <c r="E12" i="8"/>
  <c r="L11" i="8"/>
  <c r="E11" i="8"/>
  <c r="L10" i="8"/>
  <c r="E10" i="8"/>
  <c r="L9" i="8"/>
  <c r="E9" i="8"/>
  <c r="L8" i="8"/>
  <c r="E8" i="8"/>
  <c r="L7" i="8"/>
  <c r="E7" i="8"/>
  <c r="L6" i="8"/>
  <c r="E6" i="8"/>
  <c r="L5" i="8"/>
  <c r="E5" i="8"/>
  <c r="L4" i="8"/>
  <c r="E4" i="8"/>
  <c r="J38" i="7"/>
  <c r="I38" i="7"/>
  <c r="H38" i="7"/>
  <c r="D38" i="7"/>
  <c r="J37" i="7"/>
  <c r="I37" i="7"/>
  <c r="H37" i="7"/>
  <c r="D37" i="7"/>
  <c r="J36" i="7"/>
  <c r="I36" i="7"/>
  <c r="H36" i="7"/>
  <c r="D36" i="7"/>
  <c r="J35" i="7"/>
  <c r="I35" i="7"/>
  <c r="H35" i="7"/>
  <c r="D35" i="7"/>
  <c r="J34" i="7"/>
  <c r="I34" i="7"/>
  <c r="H34" i="7"/>
  <c r="D34" i="7"/>
  <c r="J33" i="7"/>
  <c r="I33" i="7"/>
  <c r="H33" i="7"/>
  <c r="D33" i="7"/>
  <c r="J32" i="7"/>
  <c r="I32" i="7"/>
  <c r="H32" i="7"/>
  <c r="D32" i="7"/>
  <c r="J31" i="7"/>
  <c r="I31" i="7"/>
  <c r="H31" i="7"/>
  <c r="D31" i="7"/>
  <c r="J30" i="7"/>
  <c r="I30" i="7"/>
  <c r="H30" i="7"/>
  <c r="D30" i="7"/>
  <c r="K29" i="7"/>
  <c r="J29" i="7"/>
  <c r="H29" i="7"/>
  <c r="I29" i="7" s="1"/>
  <c r="D29" i="7"/>
  <c r="J28" i="7"/>
  <c r="H28" i="7"/>
  <c r="I28" i="7" s="1"/>
  <c r="D28" i="7"/>
  <c r="J27" i="7"/>
  <c r="I27" i="7"/>
  <c r="H27" i="7"/>
  <c r="D27" i="7"/>
  <c r="J26" i="7"/>
  <c r="I26" i="7"/>
  <c r="H26" i="7"/>
  <c r="D26" i="7"/>
  <c r="J25" i="7"/>
  <c r="I25" i="7"/>
  <c r="H25" i="7"/>
  <c r="D25" i="7"/>
  <c r="J24" i="7"/>
  <c r="I24" i="7"/>
  <c r="H24" i="7"/>
  <c r="D24" i="7"/>
  <c r="J23" i="7"/>
  <c r="I23" i="7"/>
  <c r="H23" i="7"/>
  <c r="D23" i="7"/>
  <c r="J22" i="7"/>
  <c r="I22" i="7"/>
  <c r="H22" i="7"/>
  <c r="D22" i="7"/>
  <c r="J21" i="7"/>
  <c r="I21" i="7"/>
  <c r="H21" i="7"/>
  <c r="D21" i="7"/>
  <c r="J20" i="7"/>
  <c r="H20" i="7"/>
  <c r="I20" i="7" s="1"/>
  <c r="D20" i="7"/>
  <c r="J19" i="7"/>
  <c r="I19" i="7"/>
  <c r="H19" i="7"/>
  <c r="D19" i="7"/>
  <c r="J18" i="7"/>
  <c r="I18" i="7"/>
  <c r="H18" i="7"/>
  <c r="D18" i="7"/>
  <c r="J17" i="7"/>
  <c r="I17" i="7"/>
  <c r="H17" i="7"/>
  <c r="D17" i="7"/>
  <c r="J16" i="7"/>
  <c r="I16" i="7"/>
  <c r="H16" i="7"/>
  <c r="D16" i="7"/>
  <c r="J15" i="7"/>
  <c r="I15" i="7"/>
  <c r="H15" i="7"/>
  <c r="D15" i="7"/>
  <c r="J14" i="7"/>
  <c r="H14" i="7"/>
  <c r="I14" i="7" s="1"/>
  <c r="D14" i="7"/>
  <c r="J13" i="7"/>
  <c r="I13" i="7"/>
  <c r="H13" i="7"/>
  <c r="D13" i="7"/>
  <c r="J12" i="7"/>
  <c r="I12" i="7"/>
  <c r="H12" i="7"/>
  <c r="D12" i="7"/>
  <c r="J11" i="7"/>
  <c r="I11" i="7"/>
  <c r="H11" i="7"/>
  <c r="D11" i="7"/>
  <c r="J10" i="7"/>
  <c r="I10" i="7"/>
  <c r="H10" i="7"/>
  <c r="D10" i="7"/>
  <c r="J9" i="7"/>
  <c r="I9" i="7"/>
  <c r="H9" i="7"/>
  <c r="D9" i="7"/>
  <c r="J8" i="7"/>
  <c r="I8" i="7"/>
  <c r="H8" i="7"/>
  <c r="D8" i="7"/>
  <c r="J7" i="7"/>
  <c r="I7" i="7"/>
  <c r="H7" i="7"/>
  <c r="D7" i="7"/>
  <c r="J6" i="7"/>
  <c r="I6" i="7"/>
  <c r="H6" i="7"/>
  <c r="D6" i="7"/>
  <c r="J5" i="7"/>
  <c r="I5" i="7"/>
  <c r="H5" i="7"/>
  <c r="D5" i="7"/>
  <c r="J4" i="7"/>
  <c r="I4" i="7"/>
  <c r="H4" i="7"/>
  <c r="D4" i="7"/>
  <c r="G18" i="6"/>
  <c r="C18" i="6"/>
  <c r="G17" i="6"/>
  <c r="C17" i="6"/>
  <c r="G16" i="6"/>
  <c r="C16" i="6"/>
  <c r="G15" i="6"/>
  <c r="C15" i="6"/>
  <c r="G14" i="6"/>
  <c r="C14" i="6"/>
  <c r="G13" i="6"/>
  <c r="C13" i="6"/>
  <c r="G12" i="6"/>
  <c r="C12" i="6"/>
  <c r="G11" i="6"/>
  <c r="C11" i="6"/>
  <c r="G10" i="6"/>
  <c r="C10" i="6"/>
  <c r="G9" i="6"/>
  <c r="C9" i="6"/>
  <c r="G8" i="6"/>
  <c r="C8" i="6"/>
  <c r="G7" i="6"/>
  <c r="H7" i="9" s="1"/>
  <c r="F28" i="1" s="1"/>
  <c r="C7" i="6"/>
  <c r="G6" i="6"/>
  <c r="H6" i="9" s="1"/>
  <c r="F27" i="1" s="1"/>
  <c r="C6" i="6"/>
  <c r="G5" i="6"/>
  <c r="H5" i="9" s="1"/>
  <c r="F26" i="1" s="1"/>
  <c r="C5" i="6"/>
  <c r="G4" i="6"/>
  <c r="H4" i="9" s="1"/>
  <c r="F25" i="1" s="1"/>
  <c r="C4" i="6"/>
  <c r="F22" i="5"/>
  <c r="F18" i="5"/>
  <c r="C18" i="5"/>
  <c r="B18" i="5"/>
  <c r="F17" i="5"/>
  <c r="C17" i="5"/>
  <c r="G17" i="5" s="1"/>
  <c r="H17" i="5" s="1"/>
  <c r="B17" i="5"/>
  <c r="F16" i="5"/>
  <c r="C16" i="5"/>
  <c r="B16" i="5"/>
  <c r="F15" i="5"/>
  <c r="C15" i="5"/>
  <c r="G15" i="5" s="1"/>
  <c r="H15" i="5" s="1"/>
  <c r="B15" i="5"/>
  <c r="F14" i="5"/>
  <c r="C14" i="5"/>
  <c r="B14" i="5"/>
  <c r="F13" i="5"/>
  <c r="C13" i="5"/>
  <c r="B13" i="5"/>
  <c r="F12" i="5"/>
  <c r="C12" i="5"/>
  <c r="B12" i="5"/>
  <c r="F11" i="5"/>
  <c r="C11" i="5"/>
  <c r="B11" i="5"/>
  <c r="F10" i="5"/>
  <c r="C10" i="5"/>
  <c r="B10" i="5"/>
  <c r="F9" i="5"/>
  <c r="C9" i="5"/>
  <c r="B9" i="5"/>
  <c r="F8" i="5"/>
  <c r="C8" i="5"/>
  <c r="B8" i="5"/>
  <c r="F7" i="5"/>
  <c r="C7" i="5"/>
  <c r="B7" i="5"/>
  <c r="F6" i="5"/>
  <c r="C6" i="5"/>
  <c r="G6" i="5" s="1"/>
  <c r="H6" i="5" s="1"/>
  <c r="B6" i="5"/>
  <c r="F5" i="5"/>
  <c r="C5" i="5"/>
  <c r="B5" i="5"/>
  <c r="F4" i="5"/>
  <c r="C4" i="5"/>
  <c r="B4" i="5"/>
  <c r="J18" i="4"/>
  <c r="G18" i="4"/>
  <c r="H18" i="4" s="1"/>
  <c r="E18" i="4"/>
  <c r="J17" i="4"/>
  <c r="H17" i="4"/>
  <c r="G17" i="4"/>
  <c r="E17" i="4"/>
  <c r="J16" i="4"/>
  <c r="G16" i="4"/>
  <c r="H16" i="4" s="1"/>
  <c r="E16" i="4"/>
  <c r="J15" i="4"/>
  <c r="G15" i="4"/>
  <c r="H15" i="4" s="1"/>
  <c r="E15" i="4"/>
  <c r="J14" i="4"/>
  <c r="G14" i="4"/>
  <c r="H14" i="4" s="1"/>
  <c r="K14" i="4" s="1"/>
  <c r="E14" i="4"/>
  <c r="J13" i="4"/>
  <c r="G13" i="4"/>
  <c r="H13" i="4" s="1"/>
  <c r="E13" i="4"/>
  <c r="J12" i="4"/>
  <c r="G12" i="4"/>
  <c r="H12" i="4" s="1"/>
  <c r="E12" i="4"/>
  <c r="J11" i="4"/>
  <c r="G11" i="4"/>
  <c r="H11" i="4" s="1"/>
  <c r="E11" i="4"/>
  <c r="J10" i="4"/>
  <c r="G10" i="4"/>
  <c r="H10" i="4" s="1"/>
  <c r="E10" i="4"/>
  <c r="J9" i="4"/>
  <c r="G9" i="4"/>
  <c r="H9" i="4" s="1"/>
  <c r="E9" i="4"/>
  <c r="J8" i="4"/>
  <c r="G8" i="4"/>
  <c r="H8" i="4" s="1"/>
  <c r="E8" i="4"/>
  <c r="J7" i="4"/>
  <c r="G7" i="4"/>
  <c r="H7" i="4" s="1"/>
  <c r="E7" i="4"/>
  <c r="J6" i="4"/>
  <c r="G6" i="4"/>
  <c r="H6" i="4" s="1"/>
  <c r="E6" i="4"/>
  <c r="J5" i="4"/>
  <c r="G5" i="4"/>
  <c r="H5" i="4" s="1"/>
  <c r="E5" i="4"/>
  <c r="J4" i="4"/>
  <c r="G4" i="4"/>
  <c r="H4" i="4" s="1"/>
  <c r="E4" i="4"/>
  <c r="B46" i="2"/>
  <c r="B27" i="2"/>
  <c r="B44" i="2" s="1"/>
  <c r="B11" i="1" s="1"/>
  <c r="C23" i="2"/>
  <c r="C22" i="2"/>
  <c r="C21" i="2"/>
  <c r="C20" i="2"/>
  <c r="C7" i="2"/>
  <c r="C6" i="2"/>
  <c r="C5" i="2"/>
  <c r="C4" i="2"/>
  <c r="B53" i="1"/>
  <c r="B52" i="1"/>
  <c r="B51" i="1"/>
  <c r="B44" i="1"/>
  <c r="B43" i="1"/>
  <c r="C39" i="1"/>
  <c r="A39" i="1"/>
  <c r="F38" i="1"/>
  <c r="C38" i="1"/>
  <c r="B38" i="1"/>
  <c r="A38" i="1"/>
  <c r="F37" i="1"/>
  <c r="C37" i="1"/>
  <c r="A37" i="1"/>
  <c r="C36" i="1"/>
  <c r="A36" i="1"/>
  <c r="C35" i="1"/>
  <c r="A35" i="1"/>
  <c r="C34" i="1"/>
  <c r="A34" i="1"/>
  <c r="C33" i="1"/>
  <c r="A33" i="1"/>
  <c r="C32" i="1"/>
  <c r="A32" i="1"/>
  <c r="C31" i="1"/>
  <c r="A31" i="1"/>
  <c r="C30" i="1"/>
  <c r="A30" i="1"/>
  <c r="C29" i="1"/>
  <c r="B29" i="1"/>
  <c r="A29" i="1"/>
  <c r="C28" i="1"/>
  <c r="B28" i="1"/>
  <c r="A28" i="1"/>
  <c r="C27" i="1"/>
  <c r="B27" i="1"/>
  <c r="A27" i="1"/>
  <c r="C26" i="1"/>
  <c r="B26" i="1"/>
  <c r="A26" i="1"/>
  <c r="C25" i="1"/>
  <c r="B25" i="1"/>
  <c r="A25" i="1"/>
  <c r="B17" i="1"/>
  <c r="B7" i="1"/>
  <c r="H41" i="8" l="1"/>
  <c r="H40" i="8"/>
  <c r="H39" i="8"/>
  <c r="H38" i="8"/>
  <c r="H37" i="8"/>
  <c r="H29" i="8"/>
  <c r="H28" i="8"/>
  <c r="H27" i="8"/>
  <c r="H26" i="8"/>
  <c r="H14" i="8"/>
  <c r="G14" i="8"/>
  <c r="G13" i="8"/>
  <c r="H13" i="8"/>
  <c r="G12" i="8"/>
  <c r="H12" i="8"/>
  <c r="G11" i="8"/>
  <c r="I11" i="8" s="1"/>
  <c r="H11" i="8"/>
  <c r="H10" i="8"/>
  <c r="H9" i="8"/>
  <c r="H8" i="8"/>
  <c r="H7" i="8"/>
  <c r="H6" i="8"/>
  <c r="L38" i="7"/>
  <c r="K38" i="7"/>
  <c r="M38" i="7" s="1"/>
  <c r="L37" i="7"/>
  <c r="K37" i="7"/>
  <c r="M37" i="7" s="1"/>
  <c r="L36" i="7"/>
  <c r="K36" i="7"/>
  <c r="M36" i="7" s="1"/>
  <c r="K35" i="7"/>
  <c r="M35" i="7" s="1"/>
  <c r="L35" i="7"/>
  <c r="L34" i="7"/>
  <c r="K34" i="7"/>
  <c r="M34" i="7" s="1"/>
  <c r="M33" i="7"/>
  <c r="L33" i="7"/>
  <c r="K33" i="7"/>
  <c r="K32" i="7"/>
  <c r="M32" i="7" s="1"/>
  <c r="L32" i="7"/>
  <c r="K31" i="7"/>
  <c r="L31" i="7"/>
  <c r="M31" i="7"/>
  <c r="K30" i="7"/>
  <c r="L30" i="7"/>
  <c r="M30" i="7"/>
  <c r="M29" i="7"/>
  <c r="L29" i="7"/>
  <c r="M28" i="7"/>
  <c r="L28" i="7"/>
  <c r="K28" i="7"/>
  <c r="L27" i="7"/>
  <c r="K27" i="7"/>
  <c r="M27" i="7" s="1"/>
  <c r="K26" i="7"/>
  <c r="M26" i="7"/>
  <c r="L26" i="7"/>
  <c r="K25" i="7"/>
  <c r="L25" i="7"/>
  <c r="M25" i="7"/>
  <c r="L24" i="7"/>
  <c r="K24" i="7"/>
  <c r="M24" i="7" s="1"/>
  <c r="L23" i="7"/>
  <c r="K23" i="7"/>
  <c r="M23" i="7" s="1"/>
  <c r="L22" i="7"/>
  <c r="K22" i="7"/>
  <c r="M22" i="7" s="1"/>
  <c r="L21" i="7"/>
  <c r="K21" i="7"/>
  <c r="M21" i="7" s="1"/>
  <c r="L20" i="7"/>
  <c r="K20" i="7"/>
  <c r="M20" i="7"/>
  <c r="K19" i="7"/>
  <c r="M19" i="7"/>
  <c r="L19" i="7"/>
  <c r="L18" i="7"/>
  <c r="K18" i="7"/>
  <c r="M18" i="7" s="1"/>
  <c r="L17" i="7"/>
  <c r="K17" i="7"/>
  <c r="M17" i="7" s="1"/>
  <c r="L16" i="7"/>
  <c r="K16" i="7"/>
  <c r="M16" i="7" s="1"/>
  <c r="K15" i="7"/>
  <c r="M15" i="7" s="1"/>
  <c r="L15" i="7"/>
  <c r="K14" i="7"/>
  <c r="L14" i="7"/>
  <c r="M14" i="7"/>
  <c r="L13" i="7"/>
  <c r="K13" i="7"/>
  <c r="M13" i="7" s="1"/>
  <c r="L12" i="7"/>
  <c r="K12" i="7"/>
  <c r="M12" i="7" s="1"/>
  <c r="K11" i="7"/>
  <c r="M11" i="7"/>
  <c r="L11" i="7"/>
  <c r="K10" i="7"/>
  <c r="M10" i="7"/>
  <c r="L10" i="7"/>
  <c r="L9" i="7"/>
  <c r="K9" i="7"/>
  <c r="M9" i="7"/>
  <c r="K8" i="7"/>
  <c r="M8" i="7"/>
  <c r="L8" i="7"/>
  <c r="H16" i="8" s="1"/>
  <c r="L7" i="7"/>
  <c r="K7" i="7"/>
  <c r="M7" i="7"/>
  <c r="L6" i="7"/>
  <c r="K6" i="7"/>
  <c r="M6" i="7" s="1"/>
  <c r="L5" i="7"/>
  <c r="K5" i="7"/>
  <c r="M5" i="7" s="1"/>
  <c r="L4" i="7"/>
  <c r="K4" i="7"/>
  <c r="M4" i="7" s="1"/>
  <c r="I18" i="6"/>
  <c r="I17" i="6"/>
  <c r="I16" i="6"/>
  <c r="I15" i="6"/>
  <c r="I14" i="6"/>
  <c r="I13" i="6"/>
  <c r="I12" i="6"/>
  <c r="I11" i="6"/>
  <c r="I10" i="6"/>
  <c r="I9" i="6"/>
  <c r="I8" i="6"/>
  <c r="I7" i="6"/>
  <c r="I6" i="6"/>
  <c r="I5" i="6"/>
  <c r="I4" i="6"/>
  <c r="N18" i="4"/>
  <c r="F18" i="9" s="1"/>
  <c r="K18" i="4"/>
  <c r="M18" i="4" s="1"/>
  <c r="N17" i="4"/>
  <c r="F17" i="9" s="1"/>
  <c r="K17" i="4"/>
  <c r="M17" i="4" s="1"/>
  <c r="N16" i="4"/>
  <c r="F16" i="9" s="1"/>
  <c r="K16" i="4"/>
  <c r="M16" i="4" s="1"/>
  <c r="N15" i="4"/>
  <c r="F15" i="9" s="1"/>
  <c r="K15" i="4"/>
  <c r="M15" i="4" s="1"/>
  <c r="M14" i="4"/>
  <c r="N14" i="4"/>
  <c r="F14" i="9" s="1"/>
  <c r="N13" i="4"/>
  <c r="F13" i="9" s="1"/>
  <c r="K13" i="4"/>
  <c r="M13" i="4" s="1"/>
  <c r="N12" i="4"/>
  <c r="F12" i="9" s="1"/>
  <c r="K12" i="4"/>
  <c r="M12" i="4" s="1"/>
  <c r="N11" i="4"/>
  <c r="F11" i="9" s="1"/>
  <c r="K11" i="4"/>
  <c r="M11" i="4" s="1"/>
  <c r="N10" i="4"/>
  <c r="F10" i="9" s="1"/>
  <c r="K10" i="4"/>
  <c r="M10" i="4" s="1"/>
  <c r="N9" i="4"/>
  <c r="F9" i="9" s="1"/>
  <c r="K9" i="4"/>
  <c r="M9" i="4" s="1"/>
  <c r="N8" i="4"/>
  <c r="F8" i="9" s="1"/>
  <c r="K8" i="4"/>
  <c r="M8" i="4" s="1"/>
  <c r="K7" i="4"/>
  <c r="N7" i="4"/>
  <c r="F7" i="9" s="1"/>
  <c r="M7" i="4"/>
  <c r="K6" i="4"/>
  <c r="M6" i="4"/>
  <c r="N6" i="4"/>
  <c r="F6" i="9" s="1"/>
  <c r="K5" i="4"/>
  <c r="M5" i="4"/>
  <c r="N5" i="4"/>
  <c r="F5" i="9" s="1"/>
  <c r="N4" i="4"/>
  <c r="F4" i="9" s="1"/>
  <c r="K4" i="4"/>
  <c r="M4" i="4" s="1"/>
  <c r="B34" i="2"/>
  <c r="B45" i="1" s="1"/>
  <c r="C42" i="2"/>
  <c r="B42" i="2" s="1"/>
  <c r="C41" i="2"/>
  <c r="B40" i="2"/>
  <c r="C39" i="2"/>
  <c r="B39" i="2" s="1"/>
  <c r="C38" i="2"/>
  <c r="B37" i="2"/>
  <c r="C36" i="2"/>
  <c r="B36" i="2" s="1"/>
  <c r="B35" i="2"/>
  <c r="B46" i="1" s="1"/>
  <c r="C45" i="2"/>
  <c r="B45" i="2" s="1"/>
  <c r="C43" i="2"/>
  <c r="I15" i="8"/>
  <c r="H35" i="8" l="1"/>
  <c r="H36" i="8"/>
  <c r="H32" i="8"/>
  <c r="H33" i="8"/>
  <c r="H30" i="8"/>
  <c r="H31" i="8"/>
  <c r="H24" i="8"/>
  <c r="H25" i="8"/>
  <c r="I25" i="8" s="1"/>
  <c r="H20" i="8"/>
  <c r="H21" i="8"/>
  <c r="H22" i="8"/>
  <c r="H17" i="8"/>
  <c r="H18" i="8"/>
  <c r="H19" i="8"/>
  <c r="H4" i="8"/>
  <c r="H5" i="8"/>
  <c r="K18" i="6"/>
  <c r="I18" i="9" s="1"/>
  <c r="G39" i="1" s="1"/>
  <c r="H18" i="6"/>
  <c r="K17" i="6"/>
  <c r="I17" i="9" s="1"/>
  <c r="G38" i="1" s="1"/>
  <c r="H17" i="6"/>
  <c r="K16" i="6"/>
  <c r="I16" i="9" s="1"/>
  <c r="G37" i="1" s="1"/>
  <c r="H16" i="6"/>
  <c r="K15" i="6"/>
  <c r="I15" i="9" s="1"/>
  <c r="G36" i="1" s="1"/>
  <c r="H15" i="6"/>
  <c r="K14" i="6"/>
  <c r="I14" i="9" s="1"/>
  <c r="G35" i="1" s="1"/>
  <c r="H14" i="6"/>
  <c r="K13" i="6"/>
  <c r="I13" i="9" s="1"/>
  <c r="G34" i="1" s="1"/>
  <c r="H13" i="6"/>
  <c r="K12" i="6"/>
  <c r="I12" i="9" s="1"/>
  <c r="G33" i="1" s="1"/>
  <c r="H12" i="6"/>
  <c r="K11" i="6"/>
  <c r="I11" i="9" s="1"/>
  <c r="G32" i="1" s="1"/>
  <c r="H11" i="6"/>
  <c r="K10" i="6"/>
  <c r="I10" i="9" s="1"/>
  <c r="G31" i="1" s="1"/>
  <c r="H10" i="6"/>
  <c r="K9" i="6"/>
  <c r="I9" i="9" s="1"/>
  <c r="G30" i="1" s="1"/>
  <c r="H9" i="6"/>
  <c r="K8" i="6"/>
  <c r="I8" i="9" s="1"/>
  <c r="G29" i="1" s="1"/>
  <c r="H8" i="6"/>
  <c r="K7" i="6"/>
  <c r="I7" i="9" s="1"/>
  <c r="G28" i="1" s="1"/>
  <c r="H7" i="6"/>
  <c r="K6" i="6"/>
  <c r="I6" i="9" s="1"/>
  <c r="G27" i="1" s="1"/>
  <c r="H6" i="6"/>
  <c r="K5" i="6"/>
  <c r="I5" i="9" s="1"/>
  <c r="G26" i="1" s="1"/>
  <c r="H5" i="6"/>
  <c r="K4" i="6"/>
  <c r="I4" i="9" s="1"/>
  <c r="G25" i="1" s="1"/>
  <c r="H4" i="6"/>
  <c r="D39" i="1"/>
  <c r="D38" i="1"/>
  <c r="G35" i="8"/>
  <c r="I35" i="8" s="1"/>
  <c r="G36" i="8"/>
  <c r="I36" i="8" s="1"/>
  <c r="L17" i="4"/>
  <c r="D37" i="1"/>
  <c r="G34" i="8"/>
  <c r="I34" i="8" s="1"/>
  <c r="L16" i="4"/>
  <c r="D36" i="1"/>
  <c r="G32" i="8"/>
  <c r="I32" i="8" s="1"/>
  <c r="G33" i="8"/>
  <c r="I33" i="8" s="1"/>
  <c r="L15" i="4"/>
  <c r="G30" i="8"/>
  <c r="I30" i="8" s="1"/>
  <c r="G31" i="8"/>
  <c r="I31" i="8" s="1"/>
  <c r="L14" i="4"/>
  <c r="D35" i="1"/>
  <c r="D34" i="1"/>
  <c r="D33" i="1"/>
  <c r="G24" i="8"/>
  <c r="I24" i="8" s="1"/>
  <c r="L12" i="4"/>
  <c r="D32" i="1"/>
  <c r="G23" i="8"/>
  <c r="I23" i="8" s="1"/>
  <c r="L11" i="4"/>
  <c r="D31" i="1"/>
  <c r="G20" i="8"/>
  <c r="I20" i="8" s="1"/>
  <c r="G21" i="8"/>
  <c r="I21" i="8" s="1"/>
  <c r="G22" i="8"/>
  <c r="I22" i="8" s="1"/>
  <c r="L10" i="4"/>
  <c r="D30" i="1"/>
  <c r="G17" i="8"/>
  <c r="I17" i="8" s="1"/>
  <c r="G18" i="8"/>
  <c r="I18" i="8" s="1"/>
  <c r="G19" i="8"/>
  <c r="I19" i="8" s="1"/>
  <c r="L9" i="4"/>
  <c r="D29" i="1"/>
  <c r="G16" i="8"/>
  <c r="I16" i="8" s="1"/>
  <c r="L8" i="4"/>
  <c r="D28" i="1"/>
  <c r="J6" i="9"/>
  <c r="D27" i="1"/>
  <c r="D26" i="1"/>
  <c r="D25" i="1"/>
  <c r="G5" i="8"/>
  <c r="I5" i="8" s="1"/>
  <c r="G4" i="8"/>
  <c r="L4" i="4"/>
  <c r="J6" i="5"/>
  <c r="B41" i="2"/>
  <c r="B48" i="1" s="1"/>
  <c r="G4" i="5"/>
  <c r="H4" i="5" s="1"/>
  <c r="J4" i="5" s="1"/>
  <c r="G5" i="5"/>
  <c r="H5" i="5" s="1"/>
  <c r="J5" i="5" s="1"/>
  <c r="G7" i="5"/>
  <c r="H7" i="5" s="1"/>
  <c r="J7" i="5" s="1"/>
  <c r="G8" i="5"/>
  <c r="H8" i="5" s="1"/>
  <c r="J8" i="5" s="1"/>
  <c r="G9" i="5"/>
  <c r="H9" i="5" s="1"/>
  <c r="J9" i="5" s="1"/>
  <c r="G10" i="5"/>
  <c r="H10" i="5" s="1"/>
  <c r="J10" i="5" s="1"/>
  <c r="G11" i="5"/>
  <c r="H11" i="5" s="1"/>
  <c r="J11" i="5" s="1"/>
  <c r="G12" i="5"/>
  <c r="H12" i="5" s="1"/>
  <c r="J12" i="5" s="1"/>
  <c r="G13" i="5"/>
  <c r="H13" i="5" s="1"/>
  <c r="J13" i="5" s="1"/>
  <c r="G14" i="5"/>
  <c r="H14" i="5" s="1"/>
  <c r="J14" i="5" s="1"/>
  <c r="G16" i="5"/>
  <c r="H16" i="5" s="1"/>
  <c r="J16" i="5" s="1"/>
  <c r="G18" i="5"/>
  <c r="H18" i="5" s="1"/>
  <c r="J18" i="5" s="1"/>
  <c r="G22" i="5"/>
  <c r="H22" i="5" s="1"/>
  <c r="J22" i="5" s="1"/>
  <c r="I22" i="5" s="1"/>
  <c r="B50" i="1" s="1"/>
  <c r="B38" i="2"/>
  <c r="B47" i="1" s="1"/>
  <c r="J15" i="5"/>
  <c r="J17" i="5"/>
  <c r="B43" i="2"/>
  <c r="B49" i="1" s="1"/>
  <c r="H34" i="8"/>
  <c r="H23" i="8"/>
  <c r="I14" i="8"/>
  <c r="I13" i="8"/>
  <c r="I12" i="8"/>
  <c r="G39" i="8"/>
  <c r="I39" i="8" s="1"/>
  <c r="G37" i="8"/>
  <c r="I37" i="8" s="1"/>
  <c r="G38" i="8"/>
  <c r="I38" i="8" s="1"/>
  <c r="G40" i="8"/>
  <c r="I40" i="8" s="1"/>
  <c r="G41" i="8"/>
  <c r="I41" i="8" s="1"/>
  <c r="L18" i="4"/>
  <c r="G26" i="8"/>
  <c r="I26" i="8" s="1"/>
  <c r="G27" i="8"/>
  <c r="I27" i="8" s="1"/>
  <c r="G28" i="8"/>
  <c r="I28" i="8" s="1"/>
  <c r="G29" i="8"/>
  <c r="I29" i="8" s="1"/>
  <c r="L13" i="4"/>
  <c r="L7" i="4"/>
  <c r="G10" i="8"/>
  <c r="I10" i="8" s="1"/>
  <c r="G8" i="8"/>
  <c r="I8" i="8" s="1"/>
  <c r="G9" i="8"/>
  <c r="I9" i="8" s="1"/>
  <c r="L6" i="4"/>
  <c r="G7" i="8"/>
  <c r="I7" i="8" s="1"/>
  <c r="L5" i="4"/>
  <c r="G6" i="8"/>
  <c r="I6" i="8" s="1"/>
  <c r="K6" i="9" l="1"/>
  <c r="M6" i="9"/>
  <c r="J27" i="1" s="1"/>
  <c r="N6" i="9"/>
  <c r="K27" i="1" s="1"/>
  <c r="H27" i="1"/>
  <c r="E6" i="6"/>
  <c r="G6" i="9" s="1"/>
  <c r="E27" i="1" s="1"/>
  <c r="I6" i="5"/>
  <c r="D6" i="6" s="1"/>
  <c r="E4" i="6"/>
  <c r="G4" i="9" s="1"/>
  <c r="I4" i="5"/>
  <c r="D4" i="6" s="1"/>
  <c r="E5" i="6"/>
  <c r="G5" i="9" s="1"/>
  <c r="I5" i="5"/>
  <c r="D5" i="6" s="1"/>
  <c r="E7" i="6"/>
  <c r="G7" i="9" s="1"/>
  <c r="I7" i="5"/>
  <c r="D7" i="6" s="1"/>
  <c r="E8" i="6"/>
  <c r="G8" i="9" s="1"/>
  <c r="I8" i="5"/>
  <c r="D8" i="6" s="1"/>
  <c r="E9" i="6"/>
  <c r="G9" i="9" s="1"/>
  <c r="I9" i="5"/>
  <c r="D9" i="6" s="1"/>
  <c r="E10" i="6"/>
  <c r="G10" i="9" s="1"/>
  <c r="I10" i="5"/>
  <c r="D10" i="6" s="1"/>
  <c r="E11" i="6"/>
  <c r="G11" i="9" s="1"/>
  <c r="I11" i="5"/>
  <c r="D11" i="6" s="1"/>
  <c r="E12" i="6"/>
  <c r="G12" i="9" s="1"/>
  <c r="I12" i="5"/>
  <c r="D12" i="6" s="1"/>
  <c r="E13" i="6"/>
  <c r="G13" i="9" s="1"/>
  <c r="I13" i="5"/>
  <c r="D13" i="6" s="1"/>
  <c r="E14" i="6"/>
  <c r="G14" i="9" s="1"/>
  <c r="I14" i="5"/>
  <c r="D14" i="6" s="1"/>
  <c r="E16" i="6"/>
  <c r="G16" i="9" s="1"/>
  <c r="I16" i="5"/>
  <c r="D16" i="6" s="1"/>
  <c r="E18" i="6"/>
  <c r="G18" i="9" s="1"/>
  <c r="I18" i="5"/>
  <c r="D18" i="6" s="1"/>
  <c r="E15" i="6"/>
  <c r="G15" i="9" s="1"/>
  <c r="I15" i="5"/>
  <c r="D15" i="6" s="1"/>
  <c r="E17" i="6"/>
  <c r="G17" i="9" s="1"/>
  <c r="I17" i="5"/>
  <c r="D17" i="6" s="1"/>
  <c r="I4" i="8"/>
  <c r="L6" i="9" l="1"/>
  <c r="I27" i="1"/>
  <c r="J4" i="9"/>
  <c r="E25" i="1"/>
  <c r="J5" i="9"/>
  <c r="E26" i="1"/>
  <c r="J7" i="9"/>
  <c r="E28" i="1"/>
  <c r="J8" i="9"/>
  <c r="E29" i="1"/>
  <c r="J9" i="9"/>
  <c r="E30" i="1"/>
  <c r="J10" i="9"/>
  <c r="E31" i="1"/>
  <c r="J11" i="9"/>
  <c r="E32" i="1"/>
  <c r="J12" i="9"/>
  <c r="E33" i="1"/>
  <c r="J13" i="9"/>
  <c r="E34" i="1"/>
  <c r="J14" i="9"/>
  <c r="E35" i="1"/>
  <c r="J16" i="9"/>
  <c r="E37" i="1"/>
  <c r="J18" i="9"/>
  <c r="E39" i="1"/>
  <c r="J15" i="9"/>
  <c r="E36" i="1"/>
  <c r="J17" i="9"/>
  <c r="E38" i="1"/>
  <c r="H25" i="1" l="1"/>
  <c r="D22" i="9"/>
  <c r="B21" i="1" s="1"/>
  <c r="D21" i="9"/>
  <c r="B20" i="1" s="1"/>
  <c r="D20" i="9"/>
  <c r="B19" i="1" s="1"/>
  <c r="N4" i="9"/>
  <c r="M4" i="9"/>
  <c r="J25" i="1" s="1"/>
  <c r="K4" i="9"/>
  <c r="H26" i="1"/>
  <c r="N5" i="9"/>
  <c r="K26" i="1" s="1"/>
  <c r="M5" i="9"/>
  <c r="J26" i="1" s="1"/>
  <c r="K5" i="9"/>
  <c r="H28" i="1"/>
  <c r="N7" i="9"/>
  <c r="K28" i="1" s="1"/>
  <c r="K7" i="9"/>
  <c r="M7" i="9" s="1"/>
  <c r="J28" i="1" s="1"/>
  <c r="H29" i="1"/>
  <c r="N8" i="9"/>
  <c r="K29" i="1" s="1"/>
  <c r="M8" i="9"/>
  <c r="J29" i="1" s="1"/>
  <c r="K8" i="9"/>
  <c r="K9" i="9"/>
  <c r="H30" i="1"/>
  <c r="N9" i="9"/>
  <c r="K30" i="1" s="1"/>
  <c r="M9" i="9"/>
  <c r="J30" i="1" s="1"/>
  <c r="H31" i="1"/>
  <c r="N10" i="9"/>
  <c r="K31" i="1" s="1"/>
  <c r="K10" i="9"/>
  <c r="M10" i="9" s="1"/>
  <c r="J31" i="1" s="1"/>
  <c r="H32" i="1"/>
  <c r="N11" i="9"/>
  <c r="K32" i="1" s="1"/>
  <c r="M11" i="9"/>
  <c r="J32" i="1" s="1"/>
  <c r="K11" i="9"/>
  <c r="H33" i="1"/>
  <c r="N12" i="9"/>
  <c r="K33" i="1" s="1"/>
  <c r="K12" i="9"/>
  <c r="M12" i="9" s="1"/>
  <c r="J33" i="1" s="1"/>
  <c r="H34" i="1"/>
  <c r="N13" i="9"/>
  <c r="K34" i="1" s="1"/>
  <c r="K13" i="9"/>
  <c r="M13" i="9" s="1"/>
  <c r="J34" i="1" s="1"/>
  <c r="H35" i="1"/>
  <c r="N14" i="9"/>
  <c r="K35" i="1" s="1"/>
  <c r="K14" i="9"/>
  <c r="M14" i="9" s="1"/>
  <c r="J35" i="1" s="1"/>
  <c r="H37" i="1"/>
  <c r="N16" i="9"/>
  <c r="K37" i="1" s="1"/>
  <c r="M16" i="9"/>
  <c r="J37" i="1" s="1"/>
  <c r="K16" i="9"/>
  <c r="H39" i="1"/>
  <c r="N18" i="9"/>
  <c r="K39" i="1" s="1"/>
  <c r="K18" i="9"/>
  <c r="M18" i="9" s="1"/>
  <c r="J39" i="1" s="1"/>
  <c r="H36" i="1"/>
  <c r="N15" i="9"/>
  <c r="K36" i="1" s="1"/>
  <c r="K15" i="9"/>
  <c r="M15" i="9" s="1"/>
  <c r="J36" i="1" s="1"/>
  <c r="H38" i="1"/>
  <c r="N17" i="9"/>
  <c r="K38" i="1" s="1"/>
  <c r="M17" i="9"/>
  <c r="J38" i="1" s="1"/>
  <c r="K17" i="9"/>
  <c r="N19" i="9" l="1"/>
  <c r="K25" i="1"/>
  <c r="B6" i="1" s="1"/>
  <c r="D23" i="9"/>
  <c r="B10" i="1" s="1"/>
  <c r="L4" i="9"/>
  <c r="K19" i="9"/>
  <c r="I25" i="1"/>
  <c r="L5" i="9"/>
  <c r="I26" i="1"/>
  <c r="L7" i="9"/>
  <c r="I28" i="1"/>
  <c r="L8" i="9"/>
  <c r="I29" i="1"/>
  <c r="L9" i="9"/>
  <c r="I30" i="1"/>
  <c r="L10" i="9"/>
  <c r="I31" i="1"/>
  <c r="L11" i="9"/>
  <c r="I32" i="1"/>
  <c r="L12" i="9"/>
  <c r="I33" i="1"/>
  <c r="L13" i="9"/>
  <c r="I34" i="1"/>
  <c r="L14" i="9"/>
  <c r="I35" i="1"/>
  <c r="L16" i="9"/>
  <c r="I37" i="1"/>
  <c r="L18" i="9"/>
  <c r="I39" i="1"/>
  <c r="L15" i="9"/>
  <c r="I36" i="1"/>
  <c r="L17" i="9"/>
  <c r="I38" i="1"/>
  <c r="B9" i="1" l="1"/>
  <c r="B8" i="1"/>
  <c r="B12" i="1"/>
  <c r="B13" i="1"/>
  <c r="L19" i="9"/>
  <c r="B18" i="1"/>
</calcChain>
</file>

<file path=xl/sharedStrings.xml><?xml version="1.0" encoding="utf-8"?>
<sst xmlns="http://schemas.openxmlformats.org/spreadsheetml/2006/main" count="1115" uniqueCount="552">
  <si>
    <t>Recorded claims of mechanics lien, Larkspur Crossing Building B, 2210 Pleasant Grove Boulevard, Roseville: analysis for the refinance</t>
  </si>
  <si>
    <t>Prepared for Marguerite Okonjo for Piedmont Ridge Properties, LLC, from the recorder's copies of the fifteen claims, the owner's project file, the direct contractor's payment ledger, and the close-out file</t>
  </si>
  <si>
    <t>The two answers for Nadia</t>
  </si>
  <si>
    <t>Answer</t>
  </si>
  <si>
    <t>Value</t>
  </si>
  <si>
    <t>Read from</t>
  </si>
  <si>
    <t>Release bonds required, total penal sum at 125 percent</t>
  </si>
  <si>
    <t>Claim by claim in the table below</t>
  </si>
  <si>
    <t>Line the surety has approved for release bonds</t>
  </si>
  <si>
    <t>Nadia Ferris email of October 2, 2026</t>
  </si>
  <si>
    <t>Bonds required over the surety's line</t>
  </si>
  <si>
    <t>Bonds required less the line</t>
  </si>
  <si>
    <t>Do the bonds fit inside the surety's line</t>
  </si>
  <si>
    <t>section 8424(b), 125 percent of each recorded claim</t>
  </si>
  <si>
    <t>Enforceable by claimants under the Dunmore-Kettle contract</t>
  </si>
  <si>
    <t>Every enforceable claim except the claimant that contracted with the owner itself</t>
  </si>
  <si>
    <t>Held by the owner on the Dunmore-Kettle contract</t>
  </si>
  <si>
    <t>Adjusted contract sum less payments: unpaid application 8 and the retention</t>
  </si>
  <si>
    <t>Enforceable claims over what the owner holds</t>
  </si>
  <si>
    <t>Enforceable under the contract less the money held</t>
  </si>
  <si>
    <t>Does what the owner holds cover those claims</t>
  </si>
  <si>
    <t>PN-14, what the owner holds on a direct contract</t>
  </si>
  <si>
    <t>Totals</t>
  </si>
  <si>
    <t>Total</t>
  </si>
  <si>
    <t>Amount of the fifteen claims as recorded</t>
  </si>
  <si>
    <t>Amount the claimants could enforce against the property</t>
  </si>
  <si>
    <t>Claims to bond or settle</t>
  </si>
  <si>
    <t>Claims to demand released</t>
  </si>
  <si>
    <t>Recorded amount of the claims to demand released</t>
  </si>
  <si>
    <t>The fifteen recorded claims</t>
  </si>
  <si>
    <t>CLAIMANT</t>
  </si>
  <si>
    <t>RECORDED</t>
  </si>
  <si>
    <t>AMOUNT_AS_RECORDED</t>
  </si>
  <si>
    <t>LIEN_RIGHTS</t>
  </si>
  <si>
    <t>TIMELY</t>
  </si>
  <si>
    <t>SERVED_ON_OWNER</t>
  </si>
  <si>
    <t>EXPIRED</t>
  </si>
  <si>
    <t>STANDING</t>
  </si>
  <si>
    <t>ENFORCEABLE_AMOUNT</t>
  </si>
  <si>
    <t>WHAT_WE_DO</t>
  </si>
  <si>
    <t>RELEASE_BOND</t>
  </si>
  <si>
    <t>WAIVERS_ON_FILE</t>
  </si>
  <si>
    <t>WHAT_DECIDES_IT</t>
  </si>
  <si>
    <t>Progress waivers through 04/30/2026; the May letter is not a statutory form</t>
  </si>
  <si>
    <t>No action by 09/24/2026; the search of 10/02/2026 is later</t>
  </si>
  <si>
    <t>None on file</t>
  </si>
  <si>
    <t>Last day to sue 10/05/2026 is after the 10/02/2026 search</t>
  </si>
  <si>
    <t>Preliminary notice never given to the owner</t>
  </si>
  <si>
    <t>Late notice deposited 05/29/2026 reaches back to 05/09/2026</t>
  </si>
  <si>
    <t>Progress waivers through 06/30/2026; retention is saved</t>
  </si>
  <si>
    <t>Claim mailed to Dunmore-Kettle, not to the owner</t>
  </si>
  <si>
    <t>July waiver rests on stopped check 4460; July was paid by check 4474</t>
  </si>
  <si>
    <t>Replacement check 4474 paid at the bank on 09/23/2026</t>
  </si>
  <si>
    <t>Unconditional through 07/31/2026 releases the unpaid July draw</t>
  </si>
  <si>
    <t>Unconditional waiver effective when signed</t>
  </si>
  <si>
    <t>Conditional final waiver, check 4448 paid; releases the retention too</t>
  </si>
  <si>
    <t>A final form releases every lien right, retention included</t>
  </si>
  <si>
    <t>Unconditional through 06/30/2026; retention saved, request 3 never approved</t>
  </si>
  <si>
    <t>Change order request 3 is not part of the price agreed</t>
  </si>
  <si>
    <t>Late notice deposited 03/16/2026 reaches back to 02/24/2026</t>
  </si>
  <si>
    <t>July released on check 4461; check 4479 has not paid at the bank</t>
  </si>
  <si>
    <t>Recorded on the extended last day, 09/28/2026</t>
  </si>
  <si>
    <t>July release is on the contractor's form S-9; releases nothing</t>
  </si>
  <si>
    <t>No copy of the notice of completion; last day 11/09/2026</t>
  </si>
  <si>
    <t>Progress waivers through 07/31/2026; retention is saved</t>
  </si>
  <si>
    <t>Copy mailed 09/08/2026 in time; recorded after 09/28/2026</t>
  </si>
  <si>
    <t>Progress waiver through 07/31/2026; August work and retention remain</t>
  </si>
  <si>
    <t>Direct contractor; no notice owed, last day 11/09/2026</t>
  </si>
  <si>
    <t>Copy mailed 09/09/2026, a day late; last day 11/09/2026</t>
  </si>
  <si>
    <t>Dates that govern every claim</t>
  </si>
  <si>
    <t>Date</t>
  </si>
  <si>
    <t>Completion of the work of improvement</t>
  </si>
  <si>
    <t>Completion memorandum and notice of completion item 5</t>
  </si>
  <si>
    <t>Notice of completion recorded</t>
  </si>
  <si>
    <t>Document No. 2026-0081562</t>
  </si>
  <si>
    <t>Days from completion to recording</t>
  </si>
  <si>
    <t>The fifteenth day, the last that section 8182(a) allows</t>
  </si>
  <si>
    <t>Notice of completion effective</t>
  </si>
  <si>
    <t>section 8182(a)</t>
  </si>
  <si>
    <t>Last day to give a copy of the notice of completion</t>
  </si>
  <si>
    <t>The tenth day, 09/05/2026, was a Saturday and the Monday was Labor Day, so section 12a runs the period to the Tuesday</t>
  </si>
  <si>
    <t>Last day to record, claimant given its copy in time</t>
  </si>
  <si>
    <t>The thirtieth day, 09/25/2026, was a day the county offices were closed for the whole day, a holiday under section 12b, so section 12a runs the period to the Monday</t>
  </si>
  <si>
    <t>Last day to record, person not given a copy in time</t>
  </si>
  <si>
    <t>section 8190(d), 90 days after completion</t>
  </si>
  <si>
    <t>Last day for Dunmore-Kettle Builders to record</t>
  </si>
  <si>
    <t>Its copy was mailed 09/09/2026, after the last day to give it</t>
  </si>
  <si>
    <t>Civil index and recorder searches run</t>
  </si>
  <si>
    <t>No action by any claimant found; no notice of pendency of action</t>
  </si>
  <si>
    <t>Bank's date for releases and bonds of record</t>
  </si>
  <si>
    <t>Sutter Valley Bank counsel, per the October 2 email</t>
  </si>
  <si>
    <t>Refinance closing</t>
  </si>
  <si>
    <t>October 2 email</t>
  </si>
  <si>
    <t>Every value on this page reads from the tabs behind it. Standing, enforceable amount, and bond are worked on the Claims tab from the Notices, NOC Copies, Deadlines, Waivers, and Amounts tabs, and the governing dates and money figures are on the Parameters tab.</t>
  </si>
  <si>
    <t>Dates, rule constants, and money figures the analysis applies, with the source of each</t>
  </si>
  <si>
    <t>PARAMETER</t>
  </si>
  <si>
    <t>VALUE</t>
  </si>
  <si>
    <t>SERIAL</t>
  </si>
  <si>
    <t>SOURCE</t>
  </si>
  <si>
    <t>08/11/2026</t>
  </si>
  <si>
    <t>Completion memorandum of August 19, 2026, final inspection and last labor; notice of completion item 5</t>
  </si>
  <si>
    <t>08/26/2026</t>
  </si>
  <si>
    <t>Notice of completion, Document No. 2026-0081562</t>
  </si>
  <si>
    <t>Holiday, Labor Day</t>
  </si>
  <si>
    <t>09/07/2026</t>
  </si>
  <si>
    <t>Memorandum of September 10, 2026 on the copies of the notice of completion</t>
  </si>
  <si>
    <t>Holiday under Code of Civil Procedure section 12b, county offices closed the whole day</t>
  </si>
  <si>
    <t>09/25/2026</t>
  </si>
  <si>
    <t>Close-out file, part D, civil index search</t>
  </si>
  <si>
    <t>Days allowed to record a notice of completion after completion</t>
  </si>
  <si>
    <t>Days allowed to give a copy of the notice of completion</t>
  </si>
  <si>
    <t>section 8190(a)</t>
  </si>
  <si>
    <t>Days after the notice of completion to record, claimants other than the direct contractor</t>
  </si>
  <si>
    <t>section 8414</t>
  </si>
  <si>
    <t>Days after the notice of completion to record, direct contractor</t>
  </si>
  <si>
    <t>section 8412</t>
  </si>
  <si>
    <t>Days after completion to record where the notice does not shorten the time</t>
  </si>
  <si>
    <t>section 8190(d) with sections 8412 and 8414</t>
  </si>
  <si>
    <t>Days after first furnishing for a timely preliminary notice</t>
  </si>
  <si>
    <t>section 8204(a)</t>
  </si>
  <si>
    <t>Days a late preliminary notice reaches back</t>
  </si>
  <si>
    <t>section 8204(b)</t>
  </si>
  <si>
    <t>Days after recording to commence an action</t>
  </si>
  <si>
    <t>section 8460(a)</t>
  </si>
  <si>
    <t>Release bond, percent of the recorded claim</t>
  </si>
  <si>
    <t>section 8424(b)</t>
  </si>
  <si>
    <t>Days between the demand for release and a petition</t>
  </si>
  <si>
    <t>section 8482</t>
  </si>
  <si>
    <t>Days after completion for payment of retention</t>
  </si>
  <si>
    <t>section 8812(a)</t>
  </si>
  <si>
    <t>Percent of a disputed amount the owner may withhold from retention</t>
  </si>
  <si>
    <t>section 8812(c)</t>
  </si>
  <si>
    <t>10/02/2026</t>
  </si>
  <si>
    <t>Close-out file, part D</t>
  </si>
  <si>
    <t>Date the analysis is due</t>
  </si>
  <si>
    <t>10/20/2026</t>
  </si>
  <si>
    <t>The handoff, Tuesday, October 20</t>
  </si>
  <si>
    <t>11/20/2026</t>
  </si>
  <si>
    <t>11/06/2026</t>
  </si>
  <si>
    <t>Contract sum, Dunmore-Kettle Builders, Inc., as signed</t>
  </si>
  <si>
    <t>Owner Payments tab of the project file; completion memorandum of August 19, 2026</t>
  </si>
  <si>
    <t>Change orders 1 to 6 approved by the owner</t>
  </si>
  <si>
    <t>Adjusted contract sum</t>
  </si>
  <si>
    <t>PN-14 on what the owner holds, the contract sum as adjusted by the approved change orders</t>
  </si>
  <si>
    <t>Paid to the direct contractor to date</t>
  </si>
  <si>
    <t>Owner Payments tab, applications 1 through 7; application 8 is unpaid</t>
  </si>
  <si>
    <t>Retention withheld from the direct contractor</t>
  </si>
  <si>
    <t>Owner Payments tab of the project file; completion memorandum</t>
  </si>
  <si>
    <t>Direct contractor's estimate to correct the two rooftop units</t>
  </si>
  <si>
    <t>Completion memorandum of August 19, 2026</t>
  </si>
  <si>
    <t>Derived dates and figures</t>
  </si>
  <si>
    <t>Days from completion to the recording of the notice of completion</t>
  </si>
  <si>
    <t>Completion and recording rows above</t>
  </si>
  <si>
    <t>Notice of completion effective under section 8182</t>
  </si>
  <si>
    <t>section 8182(a), the fifteenth day counted with the day of completion excluded</t>
  </si>
  <si>
    <t>Tenth day after the notice of completion was recorded</t>
  </si>
  <si>
    <t>section 8190(a), before the section 12a extension</t>
  </si>
  <si>
    <t>Weekday of the tenth day</t>
  </si>
  <si>
    <t>A Saturday, followed by the Sunday and by Labor Day</t>
  </si>
  <si>
    <t>section 8190(a) with the section 12a extension</t>
  </si>
  <si>
    <t>Thirtieth day after the notice of completion</t>
  </si>
  <si>
    <t>section 8414, before the section 12a extension</t>
  </si>
  <si>
    <t>Weekday of the thirtieth day</t>
  </si>
  <si>
    <t>A Friday on which the county offices were closed for the whole day</t>
  </si>
  <si>
    <t>section 8414 with the section 12a extension</t>
  </si>
  <si>
    <t>Last day to record, direct contractor given its copy in time</t>
  </si>
  <si>
    <t>section 8412 with the section 12a extension</t>
  </si>
  <si>
    <t>PN-14, the adjusted contract sum less what the owner has paid on it</t>
  </si>
  <si>
    <t>Retention due to the direct contractor</t>
  </si>
  <si>
    <t>section 8812(a) with the section 12a extension</t>
  </si>
  <si>
    <t>Retention the owner may withhold for the rooftop unit correction</t>
  </si>
  <si>
    <t>section 8812(c), 150 percent of the disputed amount</t>
  </si>
  <si>
    <t>Dunmore-Kettle Builders subcontractor payment ledger, dk_subcontractor_payments.csv, copied line for line</t>
  </si>
  <si>
    <t>ENTRY_DATE</t>
  </si>
  <si>
    <t>CHECK_NO</t>
  </si>
  <si>
    <t>TYPE</t>
  </si>
  <si>
    <t>PAYEE</t>
  </si>
  <si>
    <t>TRADE</t>
  </si>
  <si>
    <t>PAY_APP</t>
  </si>
  <si>
    <t>AMOUNT</t>
  </si>
  <si>
    <t>BANK_CLEARED</t>
  </si>
  <si>
    <t>03/27/2026</t>
  </si>
  <si>
    <t>CHK</t>
  </si>
  <si>
    <t>Ostrowski Electric Inc</t>
  </si>
  <si>
    <t>Electrical</t>
  </si>
  <si>
    <t>04/01/2026</t>
  </si>
  <si>
    <t>Tallac Concrete Inc</t>
  </si>
  <si>
    <t>Site concrete</t>
  </si>
  <si>
    <t>03/31/2026</t>
  </si>
  <si>
    <t>Petrakis Plumbing Inc</t>
  </si>
  <si>
    <t>Plumbing</t>
  </si>
  <si>
    <t>04/02/2026</t>
  </si>
  <si>
    <t>04/28/2026</t>
  </si>
  <si>
    <t>05/01/2026</t>
  </si>
  <si>
    <t>04/30/2026</t>
  </si>
  <si>
    <t>R Nakamura Framing Inc</t>
  </si>
  <si>
    <t>Rough carpentry</t>
  </si>
  <si>
    <t>05/04/2026</t>
  </si>
  <si>
    <t>Fenwick Roofing Inc</t>
  </si>
  <si>
    <t>Roofing</t>
  </si>
  <si>
    <t>04/29/2026</t>
  </si>
  <si>
    <t>Kastner Mechanical Contractors Inc</t>
  </si>
  <si>
    <t>HVAC</t>
  </si>
  <si>
    <t>05/05/2026</t>
  </si>
  <si>
    <t>05/29/2026</t>
  </si>
  <si>
    <t>06/03/2026</t>
  </si>
  <si>
    <t>06/02/2026</t>
  </si>
  <si>
    <t>Calder Drywall and Plaster LLC</t>
  </si>
  <si>
    <t>Drywall and plaster</t>
  </si>
  <si>
    <t>06/04/2026</t>
  </si>
  <si>
    <t>06/01/2026</t>
  </si>
  <si>
    <t>Lindqvist Fire Protection</t>
  </si>
  <si>
    <t>Fire sprinklers</t>
  </si>
  <si>
    <t>06/05/2026</t>
  </si>
  <si>
    <t>06/26/2026</t>
  </si>
  <si>
    <t>07/01/2026</t>
  </si>
  <si>
    <t>06/30/2026</t>
  </si>
  <si>
    <t>07/02/2026</t>
  </si>
  <si>
    <t>06/29/2026</t>
  </si>
  <si>
    <t>07/06/2026</t>
  </si>
  <si>
    <t>Bautista Painting Co</t>
  </si>
  <si>
    <t>Painting</t>
  </si>
  <si>
    <t>07/07/2026</t>
  </si>
  <si>
    <t>Abrego Glass and Glazing</t>
  </si>
  <si>
    <t>Storefront and glazing</t>
  </si>
  <si>
    <t>Calder Bros Masonry Inc</t>
  </si>
  <si>
    <t>Masonry</t>
  </si>
  <si>
    <t>07/29/2026</t>
  </si>
  <si>
    <t>08/03/2026</t>
  </si>
  <si>
    <t>08/04/2026</t>
  </si>
  <si>
    <t>07/30/2026</t>
  </si>
  <si>
    <t>08/05/2026</t>
  </si>
  <si>
    <t>08/18/2026</t>
  </si>
  <si>
    <t>08/19/2026</t>
  </si>
  <si>
    <t>08/24/2026</t>
  </si>
  <si>
    <t>08/25/2026</t>
  </si>
  <si>
    <t>STP</t>
  </si>
  <si>
    <t>09/18/2026</t>
  </si>
  <si>
    <t>09/23/2026</t>
  </si>
  <si>
    <t>09/30/2026</t>
  </si>
  <si>
    <t>Preliminary notice by claimant: whether one was owed, when it was given, what it covers, and whether the owner was given it</t>
  </si>
  <si>
    <t>CONTRACTED_WITH</t>
  </si>
  <si>
    <t>CLASS</t>
  </si>
  <si>
    <t>FIRST_FURNISHED</t>
  </si>
  <si>
    <t>FIRST_SERIAL</t>
  </si>
  <si>
    <t>NOTICE_GIVEN</t>
  </si>
  <si>
    <t>NOTICE_SERIAL</t>
  </si>
  <si>
    <t>DAYS_TO_NOTICE</t>
  </si>
  <si>
    <t>GIVEN_TO_OWNER</t>
  </si>
  <si>
    <t>NOTICE_OWED</t>
  </si>
  <si>
    <t>TIMELY_NOTICE</t>
  </si>
  <si>
    <t>COVERAGE_FROM</t>
  </si>
  <si>
    <t>COVERAGE_SERIAL</t>
  </si>
  <si>
    <t>READ_FROM</t>
  </si>
  <si>
    <t>Tallac Concrete, Inc.</t>
  </si>
  <si>
    <t>Dunmore-Kettle Builders, Inc.</t>
  </si>
  <si>
    <t>Other claimant</t>
  </si>
  <si>
    <t>02/02/2026</t>
  </si>
  <si>
    <t>02/09/2026</t>
  </si>
  <si>
    <t>Yes, owner log entry mailed 02/09/2026</t>
  </si>
  <si>
    <t>Claim 1 item 7; Prelim Log row for Tallac Concrete</t>
  </si>
  <si>
    <t>Foothill Ready Mix, Inc.</t>
  </si>
  <si>
    <t>02/05/2026</t>
  </si>
  <si>
    <t>02/11/2026</t>
  </si>
  <si>
    <t>Yes, owner log entry mailed 02/11/2026</t>
  </si>
  <si>
    <t>Claim 2 item 7; Prelim Log row for Foothill Ready Mix</t>
  </si>
  <si>
    <t>Norcal Rebar &amp; Mesh, LLC</t>
  </si>
  <si>
    <t>02/03/2026</t>
  </si>
  <si>
    <t>02/17/2026</t>
  </si>
  <si>
    <t>No, Exhibit A names Dunmore-Kettle and Tallac, and the owner log has no entry</t>
  </si>
  <si>
    <t>Claim 3 item 7 and Exhibit A; Prelim Log, no entry</t>
  </si>
  <si>
    <t>Hedrick &amp; Sons Building Supply</t>
  </si>
  <si>
    <t>R. Nakamura Framing, Inc.</t>
  </si>
  <si>
    <t>04/06/2026</t>
  </si>
  <si>
    <t>Yes, owner log entry mailed 05/29/2026</t>
  </si>
  <si>
    <t>Claim 4 item 7 and Exhibit A, first delivery 04/06/2026; Prelim Log DATE_MAILED</t>
  </si>
  <si>
    <t>Abrego Glass &amp; Glazing</t>
  </si>
  <si>
    <t>04/27/2026</t>
  </si>
  <si>
    <t>Yes, owner log entry mailed 05/04/2026</t>
  </si>
  <si>
    <t>Claim 5 item 7; Prelim Log row for Abrego Glass &amp; Glazing</t>
  </si>
  <si>
    <t>Kastner Mechanical Contractors, Inc.</t>
  </si>
  <si>
    <t>03/16/2026</t>
  </si>
  <si>
    <t>03/20/2026</t>
  </si>
  <si>
    <t>Yes, owner log entry mailed 03/20/2026</t>
  </si>
  <si>
    <t>Claim 6 item 7; Prelim Log row for Kastner Mechanical Contractors</t>
  </si>
  <si>
    <t>Bautista Painting Co.</t>
  </si>
  <si>
    <t>05/18/2026</t>
  </si>
  <si>
    <t>05/27/2026</t>
  </si>
  <si>
    <t>Yes, owner log entry mailed 05/27/2026</t>
  </si>
  <si>
    <t>Claim 7 item 7; Prelim Log row for Bautista Painting Co.</t>
  </si>
  <si>
    <t>Fenwick Roofing, Inc.</t>
  </si>
  <si>
    <t>03/09/2026</t>
  </si>
  <si>
    <t>03/12/2026</t>
  </si>
  <si>
    <t>Yes, owner log entry mailed 03/12/2026</t>
  </si>
  <si>
    <t>Claim 8 item 7; Prelim Log row for Fenwick Roofing</t>
  </si>
  <si>
    <t>03/02/2026</t>
  </si>
  <si>
    <t>Yes, owner log entry mailed 03/09/2026</t>
  </si>
  <si>
    <t>Claim 9 item 7; Prelim Log row for Lindqvist Fire Protection</t>
  </si>
  <si>
    <t>Sierra Pipe &amp; Supply, Inc.</t>
  </si>
  <si>
    <t>Petrakis Plumbing, Inc.</t>
  </si>
  <si>
    <t>02/23/2026</t>
  </si>
  <si>
    <t>Yes, owner log entry mailed 03/16/2026</t>
  </si>
  <si>
    <t>Claim 10 Exhibit A, ticket R-51022 delivered 02/23/2026; Prelim Log DATE_MAILED</t>
  </si>
  <si>
    <t>Ostrowski Electric, Inc.</t>
  </si>
  <si>
    <t>01/19/2026</t>
  </si>
  <si>
    <t>01/30/2026</t>
  </si>
  <si>
    <t>Yes, owner log entry mailed 01/30/2026</t>
  </si>
  <si>
    <t>Claim 11 item 7; Prelim Log row for Ostrowski Electric</t>
  </si>
  <si>
    <t>Calder Drywall &amp; Plaster, LLC</t>
  </si>
  <si>
    <t>04/20/2026</t>
  </si>
  <si>
    <t>04/24/2026</t>
  </si>
  <si>
    <t>Yes, owner log entry mailed 04/24/2026</t>
  </si>
  <si>
    <t>Claim 12 item 7; Prelim Log row for Calder Drywall &amp; Plaster</t>
  </si>
  <si>
    <t>02/12/2026</t>
  </si>
  <si>
    <t>Yes, owner log entry mailed 02/12/2026</t>
  </si>
  <si>
    <t>Claim 13 item 7; Prelim Log row for Petrakis Plumbing</t>
  </si>
  <si>
    <t>Sorensen Landscape Co.</t>
  </si>
  <si>
    <t>Piedmont Ridge Properties, LLC</t>
  </si>
  <si>
    <t>Direct contractor</t>
  </si>
  <si>
    <t>06/08/2026</t>
  </si>
  <si>
    <t>None given and none owed, the claimant contracted with the owner itself</t>
  </si>
  <si>
    <t>Claim 14 items 5, 7 and 8; Owner Payments tab, the owner's own agreements</t>
  </si>
  <si>
    <t>Capitol Wire &amp; Lighting, Inc.</t>
  </si>
  <si>
    <t>01/27/2026</t>
  </si>
  <si>
    <t>02/16/2026</t>
  </si>
  <si>
    <t>Yes, owner log entry mailed 02/16/2026</t>
  </si>
  <si>
    <t>Claim 15 Exhibit A, ticket D-30117 delivered 01/27/2026; Prelim Log DATE_MAILED</t>
  </si>
  <si>
    <t>Notice given is the date of deposit (section 8116), read from DATE_MAILED on the owner's log or from the exhibit to the claim, never from the date typed on the notice, the date received, or the recital in the claim. First furnishing is read from the claim and the statement of account attached to it, never from the preliminary notice form. A late notice covers work furnished from the twentieth day before it was given, the day of giving not counted. A direct contractor owes no preliminary notice on a job with no construction lender (section 8200(e)).</t>
  </si>
  <si>
    <t>Copy of the notice of completion by person: who was entitled to one, when it was mailed, and the last day to record that follows</t>
  </si>
  <si>
    <t>PERSON</t>
  </si>
  <si>
    <t>ENTITLED_TO_COPY</t>
  </si>
  <si>
    <t>ADDRESSEE_ON_MAIL_LOG</t>
  </si>
  <si>
    <t>COPY_MAILED</t>
  </si>
  <si>
    <t>MAILED_SERIAL</t>
  </si>
  <si>
    <t>GIVEN_IN_TIME</t>
  </si>
  <si>
    <t>NOTICE_SHORTENS_TIME</t>
  </si>
  <si>
    <t>LAST_DAY_TO_RECORD</t>
  </si>
  <si>
    <t>LAST_DAY_SERIAL</t>
  </si>
  <si>
    <t>08/31/2026</t>
  </si>
  <si>
    <t>Certified Mail tab, Tallac Concrete Inc, mailed 08/31/2026</t>
  </si>
  <si>
    <t>Foothill Ready Mix</t>
  </si>
  <si>
    <t>Certified Mail tab, Foothill Ready Mix, mailed 08/31/2026</t>
  </si>
  <si>
    <t>Not on the log</t>
  </si>
  <si>
    <t>Certified Mail tab, no entry; no preliminary notice to the owner, so no copy was owed</t>
  </si>
  <si>
    <t>Hedrick and Sons Bldg Supply</t>
  </si>
  <si>
    <t>09/08/2026</t>
  </si>
  <si>
    <t>Certified Mail tab, Hedrick and Sons Bldg Supply, mailed 09/08/2026</t>
  </si>
  <si>
    <t>Certified Mail tab, Abrego Glass and Glazing, mailed 08/31/2026</t>
  </si>
  <si>
    <t>Kastner Mechanical</t>
  </si>
  <si>
    <t>Certified Mail tab, Kastner Mechanical, mailed 08/31/2026</t>
  </si>
  <si>
    <t>Bautista Painting</t>
  </si>
  <si>
    <t>Certified Mail tab, Bautista Painting, mailed 09/08/2026</t>
  </si>
  <si>
    <t>Certified Mail tab, Fenwick Roofing Inc, mailed 08/31/2026</t>
  </si>
  <si>
    <t>Certified Mail tab, Lindqvist Fire Protection, mailed 08/31/2026</t>
  </si>
  <si>
    <t>Sierra Pipe and Supply</t>
  </si>
  <si>
    <t>Certified Mail tab, Sierra Pipe and Supply, mailed 09/08/2026</t>
  </si>
  <si>
    <t>Certified Mail tab, Ostrowski Electric Inc, mailed 08/31/2026</t>
  </si>
  <si>
    <t>Certified Mail tab, no entry for Calder Drywall &amp; Plaster; the 08/31/2026 entry is Calder Bros Masonry of Penryn</t>
  </si>
  <si>
    <t>Petrakis Plumbing</t>
  </si>
  <si>
    <t>Certified Mail tab, Petrakis Plumbing, mailed 09/08/2026</t>
  </si>
  <si>
    <t>Certified Mail tab, no entry; memorandum of September 10, 2026</t>
  </si>
  <si>
    <t>Capitol Wire and Lighting</t>
  </si>
  <si>
    <t>09/09/2026</t>
  </si>
  <si>
    <t>Certified Mail tab, Capitol Wire and Lighting, mailed 09/09/2026</t>
  </si>
  <si>
    <t>The direct contractor on the notice of completion, which has not recorded a claim</t>
  </si>
  <si>
    <t>Yes</t>
  </si>
  <si>
    <t>Dunmore-Kettle Builders</t>
  </si>
  <si>
    <t>Certified Mail tab, Dunmore-Kettle Builders, mailed 09/09/2026</t>
  </si>
  <si>
    <t>A copy is owed to the direct contractor and to every claimant that gave the owner a preliminary notice, within 10 days after the notice of completion was recorded (section 8190(a)). The tenth day was a Saturday and the Monday after it was Labor Day, so a copy deposited on Tuesday 09/08/2026 was given in time and one deposited on Wednesday 09/09/2026 was not. Where no copy was given in time, the notice of completion does not shorten that person's time, and the last day is 90 days after completion (section 8190(d)).</t>
  </si>
  <si>
    <t>Recording, service, and enforcement by claim, counted under Code of Civil Procedure sections 12, 12a and 12b</t>
  </si>
  <si>
    <t>RECORDED_SERIAL</t>
  </si>
  <si>
    <t>COPY_OF_CLAIM_MAILED_TO</t>
  </si>
  <si>
    <t>ACTION_DUE_BY</t>
  </si>
  <si>
    <t>ACTION_DUE_SERIAL</t>
  </si>
  <si>
    <t>ACTION_ON_INDEX</t>
  </si>
  <si>
    <t>DOC_NO</t>
  </si>
  <si>
    <t>Owner, 3100 Douglas Boulevard, Roseville</t>
  </si>
  <si>
    <t>None</t>
  </si>
  <si>
    <t>2026-0060418</t>
  </si>
  <si>
    <t>2026-0063905</t>
  </si>
  <si>
    <t>09/14/2026</t>
  </si>
  <si>
    <t>2026-0095207</t>
  </si>
  <si>
    <t>09/16/2026</t>
  </si>
  <si>
    <t>2026-0096088</t>
  </si>
  <si>
    <t>09/17/2026</t>
  </si>
  <si>
    <t>Dunmore-Kettle Builders, 2140 Sunset Boulevard, Rocklin</t>
  </si>
  <si>
    <t>2026-0096531</t>
  </si>
  <si>
    <t>09/21/2026</t>
  </si>
  <si>
    <t>2026-0097644</t>
  </si>
  <si>
    <t>09/22/2026</t>
  </si>
  <si>
    <t>2026-0098120</t>
  </si>
  <si>
    <t>2026-0098577</t>
  </si>
  <si>
    <t>09/24/2026</t>
  </si>
  <si>
    <t>Owner, 1440 Eureka Road, Roseville, the address on building permit B25-1187</t>
  </si>
  <si>
    <t>2026-0098901</t>
  </si>
  <si>
    <t>2026-0098955</t>
  </si>
  <si>
    <t>09/28/2026</t>
  </si>
  <si>
    <t>2026-0100263</t>
  </si>
  <si>
    <t>09/29/2026</t>
  </si>
  <si>
    <t>2026-0100719</t>
  </si>
  <si>
    <t>2026-0101184</t>
  </si>
  <si>
    <t>2026-0101236</t>
  </si>
  <si>
    <t>10/01/2026</t>
  </si>
  <si>
    <t>2026-0101655</t>
  </si>
  <si>
    <t>LAST_DAY_TO_RECORD is read from the NOC Copies tab. A claim is served on the owner when its copy was mailed to the owner at its place of business or at the address the building permit shows for it (section 8416(c)(1)); a copy mailed to the direct contractor alone is no service. ACTION_ON_INDEX is read from the civil index search of 10/02/2026, which found no action by any claimant. A lien is expired only where that search was run after its ACTION_DUE_BY date (section 8460(a) and PN-14). Not shown marks a lien whose last day to sue has passed since the search, so that the search cannot show whether an action was filed in time.</t>
  </si>
  <si>
    <t>Every waiver on file from a claimant, read against the payment ledger</t>
  </si>
  <si>
    <t>FORM_TITLE</t>
  </si>
  <si>
    <t>THROUGH_DATE</t>
  </si>
  <si>
    <t>THROUGH_SERIAL</t>
  </si>
  <si>
    <t>EXCEPTIONS</t>
  </si>
  <si>
    <t>CHECK_REF</t>
  </si>
  <si>
    <t>CHECK_AT_THE_BANK</t>
  </si>
  <si>
    <t>STATUTORY_FORM</t>
  </si>
  <si>
    <t>FORM_KIND</t>
  </si>
  <si>
    <t>EFFECTIVE</t>
  </si>
  <si>
    <t>WHY</t>
  </si>
  <si>
    <t>Unconditional Waiver and Release on Progress Payment</t>
  </si>
  <si>
    <t>02/28/2026</t>
  </si>
  <si>
    <t>Lien release letter on Tallac Concrete letterhead</t>
  </si>
  <si>
    <t>05/08/2026</t>
  </si>
  <si>
    <t>Letter says all claims for the May billing and retention are released on payment of the balance</t>
  </si>
  <si>
    <t>05/31/2026</t>
  </si>
  <si>
    <t>Conditional Waiver and Release on Progress Payment</t>
  </si>
  <si>
    <t>07/31/2026</t>
  </si>
  <si>
    <t>Dunmore-Kettle Builders check 4460</t>
  </si>
  <si>
    <t>Conditional Waiver and Release on Final Payment</t>
  </si>
  <si>
    <t>Disputed claims for extras: $0.00</t>
  </si>
  <si>
    <t>Dunmore-Kettle Builders check 4448</t>
  </si>
  <si>
    <t>Dunmore-Kettle Builders check 4461</t>
  </si>
  <si>
    <t>Dunmore-Kettle Builders check 4479</t>
  </si>
  <si>
    <t>Subcontractor's Release and Affidavit, Dunmore-Kettle form S-9</t>
  </si>
  <si>
    <t>None stated</t>
  </si>
  <si>
    <t>Hedrick &amp; Sons, Foothill Ready Mix, Norcal Rebar, Sierra Pipe &amp; Supply, Inc., and Capitol Wire &amp; Lighting, Inc. have no waiver on file. The Sorensen row is read from the owner's own agreements on the Owner Payments tab, and every other row from the Waiver Log. CHECK_AT_THE_BANK is read from the ledger by check number: a stop payment line against the check, a blank BANK_CLEARED, or the date the check paid. A progress form releases work through its through date and saves retention and unpaid extras, and a final form releases every lien right on the job, retention included (sections 8132 to 8138).</t>
  </si>
  <si>
    <t>The recorded claims built up from each claimant's own statement, with the part of each the claimant could enforce</t>
  </si>
  <si>
    <t>COMPONENT</t>
  </si>
  <si>
    <t>KIND</t>
  </si>
  <si>
    <t>FURNISHED_THROUGH</t>
  </si>
  <si>
    <t>FURNISHED_SERIAL</t>
  </si>
  <si>
    <t>SECURED_BY_THE_LIEN</t>
  </si>
  <si>
    <t>RELEASED_BY_WAIVER</t>
  </si>
  <si>
    <t>ENFORCEABLE_PART</t>
  </si>
  <si>
    <t>LATER_CHECK</t>
  </si>
  <si>
    <t>LATER_CHECK_AT_THE_BANK</t>
  </si>
  <si>
    <t>Retention withheld, 5 percent of the $412,000.00 subcontract</t>
  </si>
  <si>
    <t>Retention</t>
  </si>
  <si>
    <t>Subcontractors tab; claim 1 item 2</t>
  </si>
  <si>
    <t>Balance of the May 2026 billing after the short payment on check 4436</t>
  </si>
  <si>
    <t>Progress</t>
  </si>
  <si>
    <t>Claim 1 item 2; lien release letter amount; Reid Castellano email</t>
  </si>
  <si>
    <t>Ready mixed concrete delivered to Tallac Concrete, April 14 to May 6, 2026</t>
  </si>
  <si>
    <t>Materials</t>
  </si>
  <si>
    <t>05/06/2026</t>
  </si>
  <si>
    <t>Claim 2 items 2, 6 and 7</t>
  </si>
  <si>
    <t>Reinforcing steel and mesh delivered to Tallac Concrete, February 3 to April 21, 2026</t>
  </si>
  <si>
    <t>04/21/2026</t>
  </si>
  <si>
    <t>Claim 3 items 2 and 7</t>
  </si>
  <si>
    <t>Invoice S-40702, ticket T-88717, framing lumber, second floor package</t>
  </si>
  <si>
    <t>Claim 4 Exhibit A, the Delivered column</t>
  </si>
  <si>
    <t>Invoice S-40915, ticket T-88960, roof trusses, lot 1</t>
  </si>
  <si>
    <t>Invoice S-41188, ticket T-89074, roof trusses, lot 2</t>
  </si>
  <si>
    <t>Invoice S-41188, ticket T-89131, roof sheathing</t>
  </si>
  <si>
    <t>05/12/2026</t>
  </si>
  <si>
    <t>Invoice S-41420, ticket T-89466, sheathing and blocking, roof</t>
  </si>
  <si>
    <t>05/26/2026</t>
  </si>
  <si>
    <t>Invoice S-41733, ticket T-89802, exterior sheathing and weather barrier</t>
  </si>
  <si>
    <t>06/09/2026</t>
  </si>
  <si>
    <t>Invoice S-41990, ticket T-90155, backing, blocking, and fastener package</t>
  </si>
  <si>
    <t>06/23/2026</t>
  </si>
  <si>
    <t>Finance charges at 1.5 percent per month through 08/31/2026</t>
  </si>
  <si>
    <t>Charges</t>
  </si>
  <si>
    <t>Claim 4 Exhibit A, line FC-0831</t>
  </si>
  <si>
    <t>Retention withheld, 5 percent of the $186,900.00 subcontract</t>
  </si>
  <si>
    <t>07/17/2026</t>
  </si>
  <si>
    <t>Claim 5 item 6; Subcontractors tab</t>
  </si>
  <si>
    <t>Progress payment for the period ending July 31, 2026</t>
  </si>
  <si>
    <t>Claim 6 item 6; DK Ledger checks 4460 and 4474</t>
  </si>
  <si>
    <t>Final billing for the period ending August 11, 2026</t>
  </si>
  <si>
    <t>Claim 6 item 6</t>
  </si>
  <si>
    <t>Retention withheld, 5 percent of the $444,600.00 subcontract</t>
  </si>
  <si>
    <t>08/10/2026</t>
  </si>
  <si>
    <t>Claim 6 item 6; Subcontractors tab</t>
  </si>
  <si>
    <t>Progress payment for the period ending July 31, 2026, no check issued</t>
  </si>
  <si>
    <t>Claim 7 item 6; Reid Castellano email</t>
  </si>
  <si>
    <t>Retention withheld, 5 percent of the $76,900.00 subcontract</t>
  </si>
  <si>
    <t>08/07/2026</t>
  </si>
  <si>
    <t>Claim 7 item 6; Subcontractors tab</t>
  </si>
  <si>
    <t>Invoice BP-2262, change order 1 punch list work August 1 to August 7, 2026</t>
  </si>
  <si>
    <t>Extra</t>
  </si>
  <si>
    <t>Claim 7 item 6; Subcontractors tab, change order approved</t>
  </si>
  <si>
    <t>Retention withheld, 5 percent of the $298,750.00 subcontract</t>
  </si>
  <si>
    <t>07/10/2026</t>
  </si>
  <si>
    <t>Claim 8 item 6; Subcontractors tab</t>
  </si>
  <si>
    <t>Retention withheld, 5 percent of the $142,650.00 subcontract</t>
  </si>
  <si>
    <t>Claim 9 item 6; Subcontractors tab</t>
  </si>
  <si>
    <t>Change order request 3, fourteen added heads on the tenant side, June 22 to June 30, 2026, never approved</t>
  </si>
  <si>
    <t>Request</t>
  </si>
  <si>
    <t>Claim 9 item 6; Subcontractors tab, no change order; Reid Castellano email</t>
  </si>
  <si>
    <t>Invoice F-20318, ticket R-51022, underground DWV pipe and fittings</t>
  </si>
  <si>
    <t>Claim 10 Exhibit A, the Delivered column</t>
  </si>
  <si>
    <t>Invoice F-22315, ticket R-53240, plumbing fixtures, first release</t>
  </si>
  <si>
    <t>07/14/2026</t>
  </si>
  <si>
    <t>Invoice F-22488, ticket R-53411, plumbing fixtures, second release, and trim</t>
  </si>
  <si>
    <t>07/27/2026</t>
  </si>
  <si>
    <t>Invoice F-22540, ticket R-53467, closeout fittings, escutcheons, and stops</t>
  </si>
  <si>
    <t>Final progress payment for the period ending August 11, 2026</t>
  </si>
  <si>
    <t>Claim 11 item 6; DK Ledger check 4479</t>
  </si>
  <si>
    <t>Retention withheld, 5 percent of the $685,000.00 subcontract</t>
  </si>
  <si>
    <t>Claim 11 item 6; Subcontractors tab</t>
  </si>
  <si>
    <t>Progress payment for the period ending July 31, 2026, held against a back charge</t>
  </si>
  <si>
    <t>Claim 12 item 6; Reid Castellano email</t>
  </si>
  <si>
    <t>Retention withheld, 5 percent of the $194,300.00 subcontract</t>
  </si>
  <si>
    <t>07/24/2026</t>
  </si>
  <si>
    <t>Claim 12 item 6; Subcontractors tab</t>
  </si>
  <si>
    <t>Retention withheld, 5 percent of the subcontract and change order 1</t>
  </si>
  <si>
    <t>Claim 13 item 6; Subcontractors tab</t>
  </si>
  <si>
    <t>Final invoice for work performed August 1 to August 6, 2026</t>
  </si>
  <si>
    <t>08/06/2026</t>
  </si>
  <si>
    <t>Claim 14 item 6</t>
  </si>
  <si>
    <t>Retention withheld, 5 percent of the $88,400.00 agreement</t>
  </si>
  <si>
    <t>Claim 14 item 6; Owner Payments tab</t>
  </si>
  <si>
    <t>Invoice C-11842, ticket D-30117, temporary power panel and service conductors, balance after the short payment</t>
  </si>
  <si>
    <t>Claim 15 Exhibit A, the Delivered and Balance columns</t>
  </si>
  <si>
    <t>Invoice C-14212, ticket D-32781, lighting fixtures, second release, and exit signs</t>
  </si>
  <si>
    <t>07/20/2026</t>
  </si>
  <si>
    <t>Claim 15 Exhibit A, the Delivered column</t>
  </si>
  <si>
    <t>Invoice C-14350, ticket D-32904, fire alarm devices and cable</t>
  </si>
  <si>
    <t>Invoice C-14471, ticket D-33066, rooftop unit disconnects and whips</t>
  </si>
  <si>
    <t>Invoice C-14519, ticket D-33120, lamps, cover plates, and closeout items</t>
  </si>
  <si>
    <t>Each claimant's components sum to the amount of its claim of lien as recorded, which the claimant states after deducting payments received (section 8430(a)). A component is secured when it was furnished inside the period the claimant's preliminary notice covers, is work furnished rather than a charge on the account, and is part of the price agreed, which is the contract price with the change orders that were approved: Bautista's change order 1 is on the subcontractor list and Lindqvist's request 3 is not. It is enforceable when no effective waiver releases it. Hedrick's, Sierra Pipe's, and Capitol Wire's deliveries are dated by the delivery ticket, not by the invoice. LATER_CHECK is a check the ledger shows to the claimant for the component that no waiver on file names, and a component the bank has paid is no longer enforceable (section 8430(a)). Whether the claimant can enforce anything at all is decided on the Claims tab.</t>
  </si>
  <si>
    <t>Standing of each recorded claim and what the owner does about it</t>
  </si>
  <si>
    <t>OVERSTATED_BY</t>
  </si>
  <si>
    <t>ACTION</t>
  </si>
  <si>
    <t>UNDER_THE_DIRECT_CONTRACT</t>
  </si>
  <si>
    <t>STANDING reads the tests in order: lien rights, the recording date, service on the owner, the 90 days to sue, and the waivers. The release bond is measured by the recorded amount (section 8424(b)), not by the enforceable amount. A claim marked Not shown under EXPIRED stays with the enforceable claims until a search run after its last day to sue shows no action, as PN-14 directs.</t>
  </si>
  <si>
    <t>Note to Marguerite Okonjo on the Larkspur Crossing Building B claims</t>
  </si>
  <si>
    <t>Marguerite, this is the analysis of the fifteen claims of mechanics lien recorded against Larkspur Crossing Building B, worked under PN-14 from the recorder's copies, the owner's project file, Dunmore-Kettle's payment ledger, and the close-out file. The fifteen claims total $561,561.79 as recorded. Nadia expects every claim to be late, waived, or Dunmore-Kettle's to answer. Five of the fifteen can be demanded released, and ten cannot. The ten have to be bonded or settled before the bank's November 6 date, and both of the answers Nadia wants come out against her.</t>
  </si>
  <si>
    <t>The release bonds on the ten claims total $578,094.11 at 125 percent of the recorded amounts under section 8424(b), which is $3,094.11 over the $575,000.00 line the surety has approved. The bonds are $198,931.25 for Kastner, $76,846.25 for Ostrowski, $67,788.51 for Hedrick, $58,250.00 for Bautista, $48,643.75 for Calder Drywall, $31,350.00 for Sorensen, $29,350.00 for Capitol Wire, $24,678.30 for Sierra Pipe, $21,506.05 for Foothill, and $20,750.00 for Lindqvist. The shortest way inside the line is to pay Lindqvist's $7,132.50 of retention against an unconditional final release, which takes its $20,750.00 bond out, or to pay Sorensen's $25,080.00, which is Piedmont Ridge's own bill. The other way is an amended claim from Kastner, Hedrick, Bautista, Sierra Pipe, or Lindqvist at the enforceable amount before the bonds are written.</t>
  </si>
  <si>
    <t>The claimants under the Dunmore-Kettle contract could enforce $286,087.47, and Piedmont Ridge holds $283,135.50 on that contract, which is the unpaid application 8 of $93,423.00 net of its retention and the retention of $189,712.50 together, measured against the contract sum as adjusted by the six approved change orders to $3,794,250.00. The money held falls $2,951.97 short. Measured against the contract sum as signed, $3,748,250.00, the figure held would be $237,135.50 and the shortfall $48,951.97, but PN-14 takes the adjusted sum. Sorensen's $25,080.00 is outside that comparison, because Sorensen contracted with the owner itself and its claim is the owner's own debt.</t>
  </si>
  <si>
    <t>The notice of completion was recorded on August 26, the fifteenth day after the completion of August 11, so it is effective under section 8182(a) and shortens the time of every person that was given its copy in time. Counted the office's way, the day of completion is not counted, and the fifteenth day is. The notice was recorded on that last day.</t>
  </si>
  <si>
    <t>The last day for a claimant given its copy of the notice of completion was Monday, September 28, 2026. The thirtieth day after the notice of completion was recorded was Friday, September 25, and the close-out file shows the clerk's office and the recorder's office closed to the public for the whole of that day. Under Code of Civil Procedure section 12b a day on which the county office is closed for the whole day is a holiday for computing time, so section 12a carries the period over that Friday and the weekend. Ostrowski Electric recorded on that Monday, and its claim is timely.</t>
  </si>
  <si>
    <t>Calder Drywall &amp; Plaster recorded on September 29, one day after that last day, and its claim is timely all the same. Calder Drywall gave the owner a preliminary notice on April 24, and it was never given a copy of the notice of completion. The certified mail log shows a copy to Calder Bros. Masonry on August 31 and none to Calder Drywall, and Calder Bros. Masonry is a different company. Devlin's September 10 memorandum says the mail log is the whole record. Under section 8190(d) the notice of completion does not shorten Calder Drywall's time, so its last day is November 9, 2026, and the whole $38,915.00 is enforceable. The release it signed for July is on Dunmore-Kettle's form S-9, which is not one of the four statutory forms and releases nothing.</t>
  </si>
  <si>
    <t>Capitol Wire &amp; Lighting, Inc. recorded on October 1 and is timely for the same reason. Its copy of the notice of completion went out on Wednesday, September 9, one day after the last day to give it, in the same lot as Dunmore-Kettle's, so under section 8190(d) its last day is also November 9. Its preliminary notice was deposited on February 16, the twentieth day after its first delivery of January 27 on its own statement of account, so the notice was in time and the whole $23,480.00 is enforceable, the disputed $1,500.00 on the first invoice included. Petrakis Plumbing recorded on September 30 and is late. Its copy of the notice of completion was mailed on Tuesday, September 8, thirteen days after the recording. The tenth day was a Saturday, and the Monday after it was Labor Day, so the last day to give the copy was that Tuesday. The copy was given in time, and the September 28 last day applies to Petrakis.</t>
  </si>
  <si>
    <t>Sorensen Landscape contracted with the owner itself under the agreement of May 19, 2026, so it is a direct contractor. It owed no preliminary notice, because there is no construction lender, and the 30 day period never applied to it. No copy of the notice of completion was mailed to Sorensen, so its last day is November 9, 2026, and its September 30 claim for $25,080.00 is timely and enforceable in full.</t>
  </si>
  <si>
    <t>Kastner Mechanical could enforce $85,235.00 of its $159,145.00, the final billing and the retention. Reid's message says the July draw went out on check 4460, and the ledger carries a stop payment against check 4460 on August 24, so the conditional waiver for July rests on no payment. The ledger also carries check 4474 to Kastner for the same $73,910.00, issued September 18 and paid at the bank on September 23, two days after Kastner recorded. The July draw has been paid, and a payment received reduces the lien under section 8430(a) whether or not a waiver covers it.</t>
  </si>
  <si>
    <t>Ostrowski Electric could enforce $61,477.00. Check 4479 for its final draw was issued on September 30 and has not paid at the bank on the ledger exported October 3, so the conditional waiver given for it is not yet effective. If check 4479 clears, Ostrowski's enforceable amount falls to the retention of $34,250.00.</t>
  </si>
  <si>
    <t>Bautista Painting signed an unconditional waiver through July 31 on August 3 and was never paid. The form is effective when signed, so the $38,475.00 July draw is released against the property, and $8,125.00 remains for the retention and the August change order invoice, change order 1 being on the subcontractor list as approved. Fenwick Roofing signed a conditional waiver and release on final payment that names check 4448, and that check paid on August 3. A final form releases every lien right on the job, retention included, so none of Fenwick's $14,937.50 claim for retention can be enforced against the property.</t>
  </si>
  <si>
    <t>Hedrick &amp; Sons could enforce $29,091.69 of its $54,230.81. Its first delivery was April 6. Its preliminary notice was deposited on May 29, so the notice was late and reaches back only to May 9. The claim recites May 27 as the notice date, and the notice form gives May 11 as the first delivery. PN-14 uses neither date. Tickets T-88717, T-88960, and T-89074 fall before the window and come to $23,226.75. Ticket T-89074 was delivered on May 8, although its invoice is dated May 12. The $1,912.37 of finance charges on line FC-0831 is not work furnished and is not secured. Sierra Pipe &amp; Supply, Inc. could enforce $15,426.44 of its $19,742.64. The claim recites March 3 as its first delivery, and the owner's log carries the same date from the notice form, but Sierra Pipe's own statement of account shows ticket R-51022 delivered on February 23. Its notice was deposited on March 16, the twenty-first day after that delivery, so the notice was one day late and reaches back only to February 24. The $4,316.20 on invoice F-20318 is outside the window, and the three July deliveries, $15,426.44 together, are inside it.</t>
  </si>
  <si>
    <t>Lindqvist Fire Protection could enforce $7,132.50 of its $16,600.00, the retention. The other $9,467.50 is change order request 3 for the added heads on the tenant side. The subcontractor list carries no change order for Lindqvist, so the request was never approved. It is no part of the price agreed under section 8430(a). The unconditional waivers through June 30 do not reach it, because a progress form saves an extra for which the claimant has not been paid, but the lien secures only the lesser of the reasonable value and the price agreed, so nothing of it can be enforced against the property. Lindqvist mailed its claim to the owner at 1440 Eureka Road, Suite 100, and Devlin's August 19 memorandum confirms that the city still shows that address for Piedmont Ridge on permit B25-1187. Section 8416(c)(1) allows service at the address shown on the building permit, so the claim was served on the owner, unlike Abrego's.</t>
  </si>
  <si>
    <t>Tallac Concrete's lien has expired. It recorded on June 26, its last day to sue was September 24, and the civil index search of October 2 found no action. Foothill Ready Mix recorded on July 6, and its last day to sue was Monday, October 5, 2026. The search was run before its last day, so it cannot show whether Foothill sued in time. Under PN-14 the $17,204.84 claim stays with the enforceable claims, and its $21,506.05 bond stays in the total until a search run after October 5 shows no action. A clean search would bring the bonds down to $556,588.06, inside the line.</t>
  </si>
  <si>
    <t>Norcal Rebar's preliminary notice went to Dunmore-Kettle and to Tallac and was never given to the owner, so Norcal has no lien rights for its $27,640.00. Abrego Glass &amp; Glazing's claim for $9,345.00 was served on Dunmore-Kettle and not on the owner, although the owner's address is on the face of the claim, and under section 8416(e) the claim is unenforceable. The five claims to demand released total $99,086.50 as recorded. The summary petition under sections 8480 to 8488 is open only against Tallac, so a refusal by Norcal, Abrego, Fenwick, or Petrakis leaves you the choice between a bond and an action.</t>
  </si>
  <si>
    <t>Dunmore-Kettle can still record its own claim until November 9, 2026, which is after the bank's November 6 date. Its copy of the notice of completion was mailed on September 9, one day after the last day to give it, so the 60 days that would have ended on October 26 do not bind it. Reid writes that Dunmore-Kettle will record by the middle of October if the final application and the retention are not paid.</t>
  </si>
  <si>
    <t>The file leaves four points open. The civil index has to be run again for Foothill and for Tallac, because an action filed on the last day can be indexed late. Nadia should be asked for any proof that a copy of the notice of completion reached Calder Drywall, Sorensen, or Capitol Wire by another route, and for the permit as the city holds it, since Lindqvist's service stands on the address it shows. Hedrick's and Sierra Pipe's delivery dates should be checked against Dunmore-Kettle's receiving tickets before an amended claim is negotiated. The retention of $189,712.50 fell due on September 28 under section 8812(a), the forty-fifth day having been the closed Friday, the recorded claims justify holding it, and the $22,000.00 rooftop unit correction supports holding $33,000.00 on its own under section 8812(c).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</si>
</sst>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name val="Calibri"/>
      <family val="2"/>
    </font>
    <font>
      <b/>
      <sz val="10"/>
      <name val="Calibri"/>
      <family val="2"/>
    </font>
    <font>
      <sz val="10"/>
      <name val="Calibri"/>
      <family val="2"/>
    </font>
    <font>
      <sz val="9"/>
      <name val="Calibri"/>
      <family val="2"/>
    </font>
  </fonts>
  <fills count="3">
    <fill>
      <patternFill patternType="none"/>
    </fill>
    <fill>
      <patternFill patternType="gray125"/>
    </fill>
    <fill>
      <patternFill patternType="solid">
        <fgColor rgb="FFE7E1D6"/>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3" fillId="0" borderId="0" xfId="0" applyFont="1"/>
    <xf numFmtId="0" fontId="2" fillId="0" borderId="0" xfId="0" applyFont="1"/>
    <xf numFmtId="0" fontId="2" fillId="2" borderId="0" xfId="0" applyFont="1" applyFill="1" applyAlignment="1">
      <alignment vertical="top" wrapText="1"/>
    </xf>
    <xf numFmtId="0" fontId="3" fillId="0" borderId="0" xfId="0" applyFont="1" applyAlignment="1">
      <alignment vertical="top"/>
    </xf>
    <xf numFmtId="4" fontId="3" fillId="0" borderId="0" xfId="0" applyNumberFormat="1" applyFont="1" applyAlignment="1">
      <alignment vertical="top"/>
    </xf>
    <xf numFmtId="0" fontId="3" fillId="0" borderId="0" xfId="0" applyFont="1" applyAlignment="1">
      <alignment vertical="top" wrapText="1"/>
    </xf>
    <xf numFmtId="0" fontId="4" fillId="0" borderId="0" xfId="0" applyFont="1" applyAlignment="1">
      <alignment vertical="top"/>
    </xf>
    <xf numFmtId="0" fontId="2" fillId="0" borderId="0" xfId="0" applyFont="1" applyAlignment="1">
      <alignment vertical="top"/>
    </xf>
    <xf numFmtId="4" fontId="2" fillId="0" borderId="0" xfId="0" applyNumberFormat="1"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5"/>
  <sheetViews>
    <sheetView tabSelected="1" workbookViewId="0"/>
  </sheetViews>
  <sheetFormatPr baseColWidth="10" defaultColWidth="8.83203125" defaultRowHeight="15" x14ac:dyDescent="0.2"/>
  <cols>
    <col min="1" max="1" width="58" customWidth="1"/>
    <col min="2" max="2" width="30" customWidth="1"/>
    <col min="3" max="3" width="20" customWidth="1"/>
    <col min="4" max="4" width="12" customWidth="1"/>
    <col min="5" max="5" width="9" customWidth="1"/>
    <col min="6" max="6" width="12" customWidth="1"/>
    <col min="7" max="7" width="11" customWidth="1"/>
    <col min="8" max="8" width="22" customWidth="1"/>
    <col min="9" max="9" width="18" customWidth="1"/>
    <col min="10" max="10" width="46" customWidth="1"/>
    <col min="11" max="11" width="15" customWidth="1"/>
    <col min="12" max="12" width="44" customWidth="1"/>
    <col min="13" max="13" width="46" customWidth="1"/>
  </cols>
  <sheetData>
    <row r="1" spans="1:3" ht="17" customHeight="1" x14ac:dyDescent="0.2">
      <c r="A1" s="1" t="s">
        <v>0</v>
      </c>
    </row>
    <row r="2" spans="1:3" x14ac:dyDescent="0.2">
      <c r="A2" s="2" t="s">
        <v>1</v>
      </c>
    </row>
    <row r="4" spans="1:3" x14ac:dyDescent="0.2">
      <c r="A4" s="3" t="s">
        <v>2</v>
      </c>
    </row>
    <row r="5" spans="1:3" ht="30" customHeight="1" x14ac:dyDescent="0.2">
      <c r="A5" s="4" t="s">
        <v>3</v>
      </c>
      <c r="B5" s="4" t="s">
        <v>4</v>
      </c>
      <c r="C5" s="4" t="s">
        <v>5</v>
      </c>
    </row>
    <row r="6" spans="1:3" x14ac:dyDescent="0.2">
      <c r="A6" s="5" t="s">
        <v>6</v>
      </c>
      <c r="B6" s="6">
        <f>SUM(K25:K39)</f>
        <v>578094.11</v>
      </c>
      <c r="C6" s="5" t="s">
        <v>7</v>
      </c>
    </row>
    <row r="7" spans="1:3" x14ac:dyDescent="0.2">
      <c r="A7" s="5" t="s">
        <v>8</v>
      </c>
      <c r="B7" s="6">
        <f>Parameters!$B$24</f>
        <v>575000</v>
      </c>
      <c r="C7" s="5" t="s">
        <v>9</v>
      </c>
    </row>
    <row r="8" spans="1:3" x14ac:dyDescent="0.2">
      <c r="A8" s="5" t="s">
        <v>10</v>
      </c>
      <c r="B8" s="6">
        <f>ROUND(B6-B7,2)</f>
        <v>3094.11</v>
      </c>
      <c r="C8" s="5" t="s">
        <v>11</v>
      </c>
    </row>
    <row r="9" spans="1:3" x14ac:dyDescent="0.2">
      <c r="A9" s="5" t="s">
        <v>12</v>
      </c>
      <c r="B9" s="5" t="str">
        <f>IF(B6&lt;=B7,"Yes, the bonds are inside the line","No, the bonds are over the line")</f>
        <v>No, the bonds are over the line</v>
      </c>
      <c r="C9" s="5" t="s">
        <v>13</v>
      </c>
    </row>
    <row r="10" spans="1:3" x14ac:dyDescent="0.2">
      <c r="A10" s="5" t="s">
        <v>14</v>
      </c>
      <c r="B10" s="6">
        <f>Claims!D23</f>
        <v>286087.47</v>
      </c>
      <c r="C10" s="5" t="s">
        <v>15</v>
      </c>
    </row>
    <row r="11" spans="1:3" x14ac:dyDescent="0.2">
      <c r="A11" s="5" t="s">
        <v>16</v>
      </c>
      <c r="B11" s="6">
        <f>Parameters!$B$44</f>
        <v>283135.5</v>
      </c>
      <c r="C11" s="5" t="s">
        <v>17</v>
      </c>
    </row>
    <row r="12" spans="1:3" x14ac:dyDescent="0.2">
      <c r="A12" s="5" t="s">
        <v>18</v>
      </c>
      <c r="B12" s="6">
        <f>ROUND(B10-B11,2)</f>
        <v>2951.97</v>
      </c>
      <c r="C12" s="5" t="s">
        <v>19</v>
      </c>
    </row>
    <row r="13" spans="1:3" x14ac:dyDescent="0.2">
      <c r="A13" s="5" t="s">
        <v>20</v>
      </c>
      <c r="B13" s="5" t="str">
        <f>IF(B10&lt;=B11,"Yes, the money held covers them","No, the money held falls short")</f>
        <v>No, the money held falls short</v>
      </c>
      <c r="C13" s="5" t="s">
        <v>21</v>
      </c>
    </row>
    <row r="15" spans="1:3" x14ac:dyDescent="0.2">
      <c r="A15" s="3" t="s">
        <v>22</v>
      </c>
    </row>
    <row r="16" spans="1:3" ht="30" customHeight="1" x14ac:dyDescent="0.2">
      <c r="A16" s="4" t="s">
        <v>23</v>
      </c>
      <c r="B16" s="4" t="s">
        <v>4</v>
      </c>
    </row>
    <row r="17" spans="1:13" x14ac:dyDescent="0.2">
      <c r="A17" s="5" t="s">
        <v>24</v>
      </c>
      <c r="B17" s="6">
        <f>SUM(C25:C39)</f>
        <v>561561.79</v>
      </c>
    </row>
    <row r="18" spans="1:13" x14ac:dyDescent="0.2">
      <c r="A18" s="5" t="s">
        <v>25</v>
      </c>
      <c r="B18" s="6">
        <f>SUM(I25:I39)</f>
        <v>311167.47</v>
      </c>
    </row>
    <row r="19" spans="1:13" x14ac:dyDescent="0.2">
      <c r="A19" s="5" t="s">
        <v>26</v>
      </c>
      <c r="B19" s="5">
        <f>Claims!D20</f>
        <v>10</v>
      </c>
    </row>
    <row r="20" spans="1:13" x14ac:dyDescent="0.2">
      <c r="A20" s="5" t="s">
        <v>27</v>
      </c>
      <c r="B20" s="5">
        <f>Claims!D21</f>
        <v>5</v>
      </c>
    </row>
    <row r="21" spans="1:13" x14ac:dyDescent="0.2">
      <c r="A21" s="5" t="s">
        <v>28</v>
      </c>
      <c r="B21" s="6">
        <f>Claims!D22</f>
        <v>99086.5</v>
      </c>
    </row>
    <row r="23" spans="1:13" x14ac:dyDescent="0.2">
      <c r="A23" s="3" t="s">
        <v>29</v>
      </c>
    </row>
    <row r="24" spans="1:13" ht="30" customHeight="1" x14ac:dyDescent="0.2">
      <c r="A24" s="4" t="s">
        <v>30</v>
      </c>
      <c r="B24" s="4" t="s">
        <v>31</v>
      </c>
      <c r="C24" s="4" t="s">
        <v>32</v>
      </c>
      <c r="D24" s="4" t="s">
        <v>33</v>
      </c>
      <c r="E24" s="4" t="s">
        <v>34</v>
      </c>
      <c r="F24" s="4" t="s">
        <v>35</v>
      </c>
      <c r="G24" s="4" t="s">
        <v>36</v>
      </c>
      <c r="H24" s="4" t="s">
        <v>37</v>
      </c>
      <c r="I24" s="4" t="s">
        <v>38</v>
      </c>
      <c r="J24" s="4" t="s">
        <v>39</v>
      </c>
      <c r="K24" s="4" t="s">
        <v>40</v>
      </c>
      <c r="L24" s="4" t="s">
        <v>41</v>
      </c>
      <c r="M24" s="4" t="s">
        <v>42</v>
      </c>
    </row>
    <row r="25" spans="1:13" ht="42" customHeight="1" x14ac:dyDescent="0.2">
      <c r="A25" s="5" t="str">
        <f>Claims!A4</f>
        <v>Tallac Concrete, Inc.</v>
      </c>
      <c r="B25" s="5" t="str">
        <f>Claims!B4</f>
        <v>06/26/2026</v>
      </c>
      <c r="C25" s="6">
        <f>Claims!D4</f>
        <v>33275</v>
      </c>
      <c r="D25" s="5" t="str">
        <f>Claims!F4</f>
        <v>Yes</v>
      </c>
      <c r="E25" s="5" t="str">
        <f>Claims!G4</f>
        <v>Yes</v>
      </c>
      <c r="F25" s="5" t="str">
        <f>Claims!H4</f>
        <v>Yes</v>
      </c>
      <c r="G25" s="5" t="str">
        <f>Claims!I4</f>
        <v>Yes</v>
      </c>
      <c r="H25" s="5" t="str">
        <f>Claims!J4</f>
        <v>Expired</v>
      </c>
      <c r="I25" s="6">
        <f>Claims!K4</f>
        <v>0</v>
      </c>
      <c r="J25" s="7" t="str">
        <f>Claims!M4</f>
        <v>Demand a release under section 8482, then petition under sections 8480 to 8488 after 10 days</v>
      </c>
      <c r="K25" s="6">
        <f>Claims!N4</f>
        <v>0</v>
      </c>
      <c r="L25" s="7" t="s">
        <v>43</v>
      </c>
      <c r="M25" s="7" t="s">
        <v>44</v>
      </c>
    </row>
    <row r="26" spans="1:13" ht="42" customHeight="1" x14ac:dyDescent="0.2">
      <c r="A26" s="5" t="str">
        <f>Claims!A5</f>
        <v>Foothill Ready Mix, Inc.</v>
      </c>
      <c r="B26" s="5" t="str">
        <f>Claims!B5</f>
        <v>07/06/2026</v>
      </c>
      <c r="C26" s="6">
        <f>Claims!D5</f>
        <v>17204.84</v>
      </c>
      <c r="D26" s="5" t="str">
        <f>Claims!F5</f>
        <v>Yes</v>
      </c>
      <c r="E26" s="5" t="str">
        <f>Claims!G5</f>
        <v>Yes</v>
      </c>
      <c r="F26" s="5" t="str">
        <f>Claims!H5</f>
        <v>Yes</v>
      </c>
      <c r="G26" s="5" t="str">
        <f>Claims!I5</f>
        <v>Not shown</v>
      </c>
      <c r="H26" s="5" t="str">
        <f>Claims!J5</f>
        <v>Enforceable</v>
      </c>
      <c r="I26" s="6">
        <f>Claims!K5</f>
        <v>17204.84</v>
      </c>
      <c r="J26" s="7" t="str">
        <f>Claims!M5</f>
        <v>Bond at 125 percent until a new index search shows no action, then demand a release</v>
      </c>
      <c r="K26" s="6">
        <f>Claims!N5</f>
        <v>21506.05</v>
      </c>
      <c r="L26" s="7" t="s">
        <v>45</v>
      </c>
      <c r="M26" s="7" t="s">
        <v>46</v>
      </c>
    </row>
    <row r="27" spans="1:13" ht="42" customHeight="1" x14ac:dyDescent="0.2">
      <c r="A27" s="5" t="str">
        <f>Claims!A6</f>
        <v>Norcal Rebar &amp; Mesh, LLC</v>
      </c>
      <c r="B27" s="5" t="str">
        <f>Claims!B6</f>
        <v>09/14/2026</v>
      </c>
      <c r="C27" s="6">
        <f>Claims!D6</f>
        <v>27640</v>
      </c>
      <c r="D27" s="5" t="str">
        <f>Claims!F6</f>
        <v>No</v>
      </c>
      <c r="E27" s="5" t="str">
        <f>Claims!G6</f>
        <v>Yes</v>
      </c>
      <c r="F27" s="5" t="str">
        <f>Claims!H6</f>
        <v>Yes</v>
      </c>
      <c r="G27" s="5" t="str">
        <f>Claims!I6</f>
        <v>No</v>
      </c>
      <c r="H27" s="5" t="str">
        <f>Claims!J6</f>
        <v>No lien rights</v>
      </c>
      <c r="I27" s="6">
        <f>Claims!K6</f>
        <v>0</v>
      </c>
      <c r="J27" s="7" t="str">
        <f>Claims!M6</f>
        <v>Demand a recorded release, the defect being no preliminary notice to the owner</v>
      </c>
      <c r="K27" s="6">
        <f>Claims!N6</f>
        <v>0</v>
      </c>
      <c r="L27" s="7" t="s">
        <v>45</v>
      </c>
      <c r="M27" s="7" t="s">
        <v>47</v>
      </c>
    </row>
    <row r="28" spans="1:13" ht="42" customHeight="1" x14ac:dyDescent="0.2">
      <c r="A28" s="5" t="str">
        <f>Claims!A7</f>
        <v>Hedrick &amp; Sons Building Supply</v>
      </c>
      <c r="B28" s="5" t="str">
        <f>Claims!B7</f>
        <v>09/16/2026</v>
      </c>
      <c r="C28" s="6">
        <f>Claims!D7</f>
        <v>54230.81</v>
      </c>
      <c r="D28" s="5" t="str">
        <f>Claims!F7</f>
        <v>Yes</v>
      </c>
      <c r="E28" s="5" t="str">
        <f>Claims!G7</f>
        <v>Yes</v>
      </c>
      <c r="F28" s="5" t="str">
        <f>Claims!H7</f>
        <v>Yes</v>
      </c>
      <c r="G28" s="5" t="str">
        <f>Claims!I7</f>
        <v>No</v>
      </c>
      <c r="H28" s="5" t="str">
        <f>Claims!J7</f>
        <v>Enforceable</v>
      </c>
      <c r="I28" s="6">
        <f>Claims!K7</f>
        <v>29091.69</v>
      </c>
      <c r="J28" s="7" t="str">
        <f>Claims!M7</f>
        <v>Bond at 125 percent of the recorded claim, or take an amended claim at the enforceable amount</v>
      </c>
      <c r="K28" s="6">
        <f>Claims!N7</f>
        <v>67788.51</v>
      </c>
      <c r="L28" s="7" t="s">
        <v>45</v>
      </c>
      <c r="M28" s="7" t="s">
        <v>48</v>
      </c>
    </row>
    <row r="29" spans="1:13" ht="42" customHeight="1" x14ac:dyDescent="0.2">
      <c r="A29" s="5" t="str">
        <f>Claims!A8</f>
        <v>Abrego Glass &amp; Glazing</v>
      </c>
      <c r="B29" s="5" t="str">
        <f>Claims!B8</f>
        <v>09/17/2026</v>
      </c>
      <c r="C29" s="6">
        <f>Claims!D8</f>
        <v>9345</v>
      </c>
      <c r="D29" s="5" t="str">
        <f>Claims!F8</f>
        <v>Yes</v>
      </c>
      <c r="E29" s="5" t="str">
        <f>Claims!G8</f>
        <v>Yes</v>
      </c>
      <c r="F29" s="5" t="str">
        <f>Claims!H8</f>
        <v>No</v>
      </c>
      <c r="G29" s="5" t="str">
        <f>Claims!I8</f>
        <v>No</v>
      </c>
      <c r="H29" s="5" t="str">
        <f>Claims!J8</f>
        <v>Not served on the owner</v>
      </c>
      <c r="I29" s="6">
        <f>Claims!K8</f>
        <v>0</v>
      </c>
      <c r="J29" s="7" t="str">
        <f>Claims!M8</f>
        <v>Demand a recorded release, the defect being no service on the owner</v>
      </c>
      <c r="K29" s="6">
        <f>Claims!N8</f>
        <v>0</v>
      </c>
      <c r="L29" s="7" t="s">
        <v>49</v>
      </c>
      <c r="M29" s="7" t="s">
        <v>50</v>
      </c>
    </row>
    <row r="30" spans="1:13" ht="42" customHeight="1" x14ac:dyDescent="0.2">
      <c r="A30" s="5" t="str">
        <f>Claims!A9</f>
        <v>Kastner Mechanical Contractors, Inc.</v>
      </c>
      <c r="B30" s="5" t="str">
        <f>Claims!B9</f>
        <v>09/21/2026</v>
      </c>
      <c r="C30" s="6">
        <f>Claims!D9</f>
        <v>159145</v>
      </c>
      <c r="D30" s="5" t="str">
        <f>Claims!F9</f>
        <v>Yes</v>
      </c>
      <c r="E30" s="5" t="str">
        <f>Claims!G9</f>
        <v>Yes</v>
      </c>
      <c r="F30" s="5" t="str">
        <f>Claims!H9</f>
        <v>Yes</v>
      </c>
      <c r="G30" s="5" t="str">
        <f>Claims!I9</f>
        <v>No</v>
      </c>
      <c r="H30" s="5" t="str">
        <f>Claims!J9</f>
        <v>Enforceable</v>
      </c>
      <c r="I30" s="6">
        <f>Claims!K9</f>
        <v>85235</v>
      </c>
      <c r="J30" s="7" t="str">
        <f>Claims!M9</f>
        <v>Bond at 125 percent of the recorded claim, or take an amended claim at the enforceable amount</v>
      </c>
      <c r="K30" s="6">
        <f>Claims!N9</f>
        <v>198931.25</v>
      </c>
      <c r="L30" s="7" t="s">
        <v>51</v>
      </c>
      <c r="M30" s="7" t="s">
        <v>52</v>
      </c>
    </row>
    <row r="31" spans="1:13" ht="42" customHeight="1" x14ac:dyDescent="0.2">
      <c r="A31" s="5" t="str">
        <f>Claims!A10</f>
        <v>Bautista Painting Co.</v>
      </c>
      <c r="B31" s="5" t="str">
        <f>Claims!B10</f>
        <v>09/22/2026</v>
      </c>
      <c r="C31" s="6">
        <f>Claims!D10</f>
        <v>46600</v>
      </c>
      <c r="D31" s="5" t="str">
        <f>Claims!F10</f>
        <v>Yes</v>
      </c>
      <c r="E31" s="5" t="str">
        <f>Claims!G10</f>
        <v>Yes</v>
      </c>
      <c r="F31" s="5" t="str">
        <f>Claims!H10</f>
        <v>Yes</v>
      </c>
      <c r="G31" s="5" t="str">
        <f>Claims!I10</f>
        <v>No</v>
      </c>
      <c r="H31" s="5" t="str">
        <f>Claims!J10</f>
        <v>Enforceable</v>
      </c>
      <c r="I31" s="6">
        <f>Claims!K10</f>
        <v>8125</v>
      </c>
      <c r="J31" s="7" t="str">
        <f>Claims!M10</f>
        <v>Bond at 125 percent of the recorded claim, or take an amended claim at the enforceable amount</v>
      </c>
      <c r="K31" s="6">
        <f>Claims!N10</f>
        <v>58250</v>
      </c>
      <c r="L31" s="7" t="s">
        <v>53</v>
      </c>
      <c r="M31" s="7" t="s">
        <v>54</v>
      </c>
    </row>
    <row r="32" spans="1:13" ht="42" customHeight="1" x14ac:dyDescent="0.2">
      <c r="A32" s="5" t="str">
        <f>Claims!A11</f>
        <v>Fenwick Roofing, Inc.</v>
      </c>
      <c r="B32" s="5" t="str">
        <f>Claims!B11</f>
        <v>09/23/2026</v>
      </c>
      <c r="C32" s="6">
        <f>Claims!D11</f>
        <v>14937.5</v>
      </c>
      <c r="D32" s="5" t="str">
        <f>Claims!F11</f>
        <v>Yes</v>
      </c>
      <c r="E32" s="5" t="str">
        <f>Claims!G11</f>
        <v>Yes</v>
      </c>
      <c r="F32" s="5" t="str">
        <f>Claims!H11</f>
        <v>Yes</v>
      </c>
      <c r="G32" s="5" t="str">
        <f>Claims!I11</f>
        <v>No</v>
      </c>
      <c r="H32" s="5" t="str">
        <f>Claims!J11</f>
        <v>Waived in full</v>
      </c>
      <c r="I32" s="6">
        <f>Claims!K11</f>
        <v>0</v>
      </c>
      <c r="J32" s="7" t="str">
        <f>Claims!M11</f>
        <v>Demand a recorded release, the defect being a final waiver of the whole claim</v>
      </c>
      <c r="K32" s="6">
        <f>Claims!N11</f>
        <v>0</v>
      </c>
      <c r="L32" s="7" t="s">
        <v>55</v>
      </c>
      <c r="M32" s="7" t="s">
        <v>56</v>
      </c>
    </row>
    <row r="33" spans="1:13" ht="42" customHeight="1" x14ac:dyDescent="0.2">
      <c r="A33" s="5" t="str">
        <f>Claims!A12</f>
        <v>Lindqvist Fire Protection</v>
      </c>
      <c r="B33" s="5" t="str">
        <f>Claims!B12</f>
        <v>09/24/2026</v>
      </c>
      <c r="C33" s="6">
        <f>Claims!D12</f>
        <v>16600</v>
      </c>
      <c r="D33" s="5" t="str">
        <f>Claims!F12</f>
        <v>Yes</v>
      </c>
      <c r="E33" s="5" t="str">
        <f>Claims!G12</f>
        <v>Yes</v>
      </c>
      <c r="F33" s="5" t="str">
        <f>Claims!H12</f>
        <v>Yes</v>
      </c>
      <c r="G33" s="5" t="str">
        <f>Claims!I12</f>
        <v>No</v>
      </c>
      <c r="H33" s="5" t="str">
        <f>Claims!J12</f>
        <v>Enforceable</v>
      </c>
      <c r="I33" s="6">
        <f>Claims!K12</f>
        <v>7132.5</v>
      </c>
      <c r="J33" s="7" t="str">
        <f>Claims!M12</f>
        <v>Bond at 125 percent of the recorded claim, or take an amended claim at the enforceable amount</v>
      </c>
      <c r="K33" s="6">
        <f>Claims!N12</f>
        <v>20750</v>
      </c>
      <c r="L33" s="7" t="s">
        <v>57</v>
      </c>
      <c r="M33" s="7" t="s">
        <v>58</v>
      </c>
    </row>
    <row r="34" spans="1:13" ht="42" customHeight="1" x14ac:dyDescent="0.2">
      <c r="A34" s="5" t="str">
        <f>Claims!A13</f>
        <v>Sierra Pipe &amp; Supply, Inc.</v>
      </c>
      <c r="B34" s="5" t="str">
        <f>Claims!B13</f>
        <v>09/24/2026</v>
      </c>
      <c r="C34" s="6">
        <f>Claims!D13</f>
        <v>19742.64</v>
      </c>
      <c r="D34" s="5" t="str">
        <f>Claims!F13</f>
        <v>Yes</v>
      </c>
      <c r="E34" s="5" t="str">
        <f>Claims!G13</f>
        <v>Yes</v>
      </c>
      <c r="F34" s="5" t="str">
        <f>Claims!H13</f>
        <v>Yes</v>
      </c>
      <c r="G34" s="5" t="str">
        <f>Claims!I13</f>
        <v>No</v>
      </c>
      <c r="H34" s="5" t="str">
        <f>Claims!J13</f>
        <v>Enforceable</v>
      </c>
      <c r="I34" s="6">
        <f>Claims!K13</f>
        <v>15426.44</v>
      </c>
      <c r="J34" s="7" t="str">
        <f>Claims!M13</f>
        <v>Bond at 125 percent of the recorded claim, or take an amended claim at the enforceable amount</v>
      </c>
      <c r="K34" s="6">
        <f>Claims!N13</f>
        <v>24678.3</v>
      </c>
      <c r="L34" s="7" t="s">
        <v>45</v>
      </c>
      <c r="M34" s="7" t="s">
        <v>59</v>
      </c>
    </row>
    <row r="35" spans="1:13" ht="42" customHeight="1" x14ac:dyDescent="0.2">
      <c r="A35" s="5" t="str">
        <f>Claims!A14</f>
        <v>Ostrowski Electric, Inc.</v>
      </c>
      <c r="B35" s="5" t="str">
        <f>Claims!B14</f>
        <v>09/28/2026</v>
      </c>
      <c r="C35" s="6">
        <f>Claims!D14</f>
        <v>61477</v>
      </c>
      <c r="D35" s="5" t="str">
        <f>Claims!F14</f>
        <v>Yes</v>
      </c>
      <c r="E35" s="5" t="str">
        <f>Claims!G14</f>
        <v>Yes</v>
      </c>
      <c r="F35" s="5" t="str">
        <f>Claims!H14</f>
        <v>Yes</v>
      </c>
      <c r="G35" s="5" t="str">
        <f>Claims!I14</f>
        <v>No</v>
      </c>
      <c r="H35" s="5" t="str">
        <f>Claims!J14</f>
        <v>Enforceable</v>
      </c>
      <c r="I35" s="6">
        <f>Claims!K14</f>
        <v>61477</v>
      </c>
      <c r="J35" s="7" t="str">
        <f>Claims!M14</f>
        <v>Bond at 125 percent, or pay from the money held against an unconditional final release</v>
      </c>
      <c r="K35" s="6">
        <f>Claims!N14</f>
        <v>76846.25</v>
      </c>
      <c r="L35" s="7" t="s">
        <v>60</v>
      </c>
      <c r="M35" s="7" t="s">
        <v>61</v>
      </c>
    </row>
    <row r="36" spans="1:13" ht="42" customHeight="1" x14ac:dyDescent="0.2">
      <c r="A36" s="5" t="str">
        <f>Claims!A15</f>
        <v>Calder Drywall &amp; Plaster, LLC</v>
      </c>
      <c r="B36" s="5" t="str">
        <f>Claims!B15</f>
        <v>09/29/2026</v>
      </c>
      <c r="C36" s="6">
        <f>Claims!D15</f>
        <v>38915</v>
      </c>
      <c r="D36" s="5" t="str">
        <f>Claims!F15</f>
        <v>Yes</v>
      </c>
      <c r="E36" s="5" t="str">
        <f>Claims!G15</f>
        <v>Yes</v>
      </c>
      <c r="F36" s="5" t="str">
        <f>Claims!H15</f>
        <v>Yes</v>
      </c>
      <c r="G36" s="5" t="str">
        <f>Claims!I15</f>
        <v>No</v>
      </c>
      <c r="H36" s="5" t="str">
        <f>Claims!J15</f>
        <v>Enforceable</v>
      </c>
      <c r="I36" s="6">
        <f>Claims!K15</f>
        <v>38915</v>
      </c>
      <c r="J36" s="7" t="str">
        <f>Claims!M15</f>
        <v>Bond at 125 percent, or pay from the money held against an unconditional final release</v>
      </c>
      <c r="K36" s="6">
        <f>Claims!N15</f>
        <v>48643.75</v>
      </c>
      <c r="L36" s="7" t="s">
        <v>62</v>
      </c>
      <c r="M36" s="7" t="s">
        <v>63</v>
      </c>
    </row>
    <row r="37" spans="1:13" ht="42" customHeight="1" x14ac:dyDescent="0.2">
      <c r="A37" s="5" t="str">
        <f>Claims!A16</f>
        <v>Petrakis Plumbing, Inc.</v>
      </c>
      <c r="B37" s="5" t="str">
        <f>Claims!B16</f>
        <v>09/30/2026</v>
      </c>
      <c r="C37" s="6">
        <f>Claims!D16</f>
        <v>13889</v>
      </c>
      <c r="D37" s="5" t="str">
        <f>Claims!F16</f>
        <v>Yes</v>
      </c>
      <c r="E37" s="5" t="str">
        <f>Claims!G16</f>
        <v>No</v>
      </c>
      <c r="F37" s="5" t="str">
        <f>Claims!H16</f>
        <v>Yes</v>
      </c>
      <c r="G37" s="5" t="str">
        <f>Claims!I16</f>
        <v>No</v>
      </c>
      <c r="H37" s="5" t="str">
        <f>Claims!J16</f>
        <v>Untimely</v>
      </c>
      <c r="I37" s="6">
        <f>Claims!K16</f>
        <v>0</v>
      </c>
      <c r="J37" s="7" t="str">
        <f>Claims!M16</f>
        <v>Demand a recorded release, the defect being a recording after the last day</v>
      </c>
      <c r="K37" s="6">
        <f>Claims!N16</f>
        <v>0</v>
      </c>
      <c r="L37" s="7" t="s">
        <v>64</v>
      </c>
      <c r="M37" s="7" t="s">
        <v>65</v>
      </c>
    </row>
    <row r="38" spans="1:13" ht="42" customHeight="1" x14ac:dyDescent="0.2">
      <c r="A38" s="5" t="str">
        <f>Claims!A17</f>
        <v>Sorensen Landscape Co.</v>
      </c>
      <c r="B38" s="5" t="str">
        <f>Claims!B17</f>
        <v>09/30/2026</v>
      </c>
      <c r="C38" s="6">
        <f>Claims!D17</f>
        <v>25080</v>
      </c>
      <c r="D38" s="5" t="str">
        <f>Claims!F17</f>
        <v>Yes</v>
      </c>
      <c r="E38" s="5" t="str">
        <f>Claims!G17</f>
        <v>Yes</v>
      </c>
      <c r="F38" s="5" t="str">
        <f>Claims!H17</f>
        <v>Yes</v>
      </c>
      <c r="G38" s="5" t="str">
        <f>Claims!I17</f>
        <v>No</v>
      </c>
      <c r="H38" s="5" t="str">
        <f>Claims!J17</f>
        <v>Enforceable</v>
      </c>
      <c r="I38" s="6">
        <f>Claims!K17</f>
        <v>25080</v>
      </c>
      <c r="J38" s="7" t="str">
        <f>Claims!M17</f>
        <v>Bond at 125 percent, or pay the owner's own balance against an unconditional final release</v>
      </c>
      <c r="K38" s="6">
        <f>Claims!N17</f>
        <v>31350</v>
      </c>
      <c r="L38" s="7" t="s">
        <v>66</v>
      </c>
      <c r="M38" s="7" t="s">
        <v>67</v>
      </c>
    </row>
    <row r="39" spans="1:13" ht="42" customHeight="1" x14ac:dyDescent="0.2">
      <c r="A39" s="5" t="str">
        <f>Claims!A18</f>
        <v>Capitol Wire &amp; Lighting, Inc.</v>
      </c>
      <c r="B39" s="5" t="str">
        <f>Claims!B18</f>
        <v>10/01/2026</v>
      </c>
      <c r="C39" s="6">
        <f>Claims!D18</f>
        <v>23480</v>
      </c>
      <c r="D39" s="5" t="str">
        <f>Claims!F18</f>
        <v>Yes</v>
      </c>
      <c r="E39" s="5" t="str">
        <f>Claims!G18</f>
        <v>Yes</v>
      </c>
      <c r="F39" s="5" t="str">
        <f>Claims!H18</f>
        <v>Yes</v>
      </c>
      <c r="G39" s="5" t="str">
        <f>Claims!I18</f>
        <v>No</v>
      </c>
      <c r="H39" s="5" t="str">
        <f>Claims!J18</f>
        <v>Enforceable</v>
      </c>
      <c r="I39" s="6">
        <f>Claims!K18</f>
        <v>23480</v>
      </c>
      <c r="J39" s="7" t="str">
        <f>Claims!M18</f>
        <v>Bond at 125 percent, or pay from the money held against an unconditional final release</v>
      </c>
      <c r="K39" s="6">
        <f>Claims!N18</f>
        <v>29350</v>
      </c>
      <c r="L39" s="7" t="s">
        <v>45</v>
      </c>
      <c r="M39" s="7" t="s">
        <v>68</v>
      </c>
    </row>
    <row r="41" spans="1:13" x14ac:dyDescent="0.2">
      <c r="A41" s="3" t="s">
        <v>69</v>
      </c>
    </row>
    <row r="42" spans="1:13" ht="30" customHeight="1" x14ac:dyDescent="0.2">
      <c r="A42" s="4" t="s">
        <v>70</v>
      </c>
      <c r="B42" s="4" t="s">
        <v>4</v>
      </c>
      <c r="C42" s="4" t="s">
        <v>5</v>
      </c>
    </row>
    <row r="43" spans="1:13" ht="45" x14ac:dyDescent="0.2">
      <c r="A43" s="5" t="s">
        <v>71</v>
      </c>
      <c r="B43" s="5" t="str">
        <f>Parameters!B4</f>
        <v>08/11/2026</v>
      </c>
      <c r="C43" s="7" t="s">
        <v>72</v>
      </c>
    </row>
    <row r="44" spans="1:13" ht="30" x14ac:dyDescent="0.2">
      <c r="A44" s="5" t="s">
        <v>73</v>
      </c>
      <c r="B44" s="5" t="str">
        <f>Parameters!B5</f>
        <v>08/26/2026</v>
      </c>
      <c r="C44" s="7" t="s">
        <v>74</v>
      </c>
    </row>
    <row r="45" spans="1:13" ht="30" x14ac:dyDescent="0.2">
      <c r="A45" s="5" t="s">
        <v>75</v>
      </c>
      <c r="B45" s="5">
        <f>Parameters!B34</f>
        <v>15</v>
      </c>
      <c r="C45" s="7" t="s">
        <v>76</v>
      </c>
    </row>
    <row r="46" spans="1:13" x14ac:dyDescent="0.2">
      <c r="A46" s="5" t="s">
        <v>77</v>
      </c>
      <c r="B46" s="5" t="str">
        <f>Parameters!B35</f>
        <v>Yes, recorded within 15 days of completion</v>
      </c>
      <c r="C46" s="7" t="s">
        <v>78</v>
      </c>
    </row>
    <row r="47" spans="1:13" ht="75" x14ac:dyDescent="0.2">
      <c r="A47" s="5" t="s">
        <v>79</v>
      </c>
      <c r="B47" s="5" t="str">
        <f>Parameters!B38</f>
        <v>09/08/2026</v>
      </c>
      <c r="C47" s="7" t="s">
        <v>80</v>
      </c>
    </row>
    <row r="48" spans="1:13" ht="105" x14ac:dyDescent="0.2">
      <c r="A48" s="5" t="s">
        <v>81</v>
      </c>
      <c r="B48" s="5" t="str">
        <f>Parameters!B41</f>
        <v>09/28/2026</v>
      </c>
      <c r="C48" s="7" t="s">
        <v>82</v>
      </c>
    </row>
    <row r="49" spans="1:3" ht="30" x14ac:dyDescent="0.2">
      <c r="A49" s="5" t="s">
        <v>83</v>
      </c>
      <c r="B49" s="5" t="str">
        <f>Parameters!B43</f>
        <v>11/09/2026</v>
      </c>
      <c r="C49" s="7" t="s">
        <v>84</v>
      </c>
    </row>
    <row r="50" spans="1:3" ht="45" x14ac:dyDescent="0.2">
      <c r="A50" s="5" t="s">
        <v>85</v>
      </c>
      <c r="B50" s="5" t="str">
        <f>'NOC Copies'!I22</f>
        <v>11/09/2026</v>
      </c>
      <c r="C50" s="7" t="s">
        <v>86</v>
      </c>
    </row>
    <row r="51" spans="1:3" ht="45" x14ac:dyDescent="0.2">
      <c r="A51" s="5" t="s">
        <v>87</v>
      </c>
      <c r="B51" s="5" t="str">
        <f>Parameters!B20</f>
        <v>10/02/2026</v>
      </c>
      <c r="C51" s="7" t="s">
        <v>88</v>
      </c>
    </row>
    <row r="52" spans="1:3" ht="30" x14ac:dyDescent="0.2">
      <c r="A52" s="5" t="s">
        <v>89</v>
      </c>
      <c r="B52" s="5" t="str">
        <f>Parameters!B23</f>
        <v>11/06/2026</v>
      </c>
      <c r="C52" s="7" t="s">
        <v>90</v>
      </c>
    </row>
    <row r="53" spans="1:3" x14ac:dyDescent="0.2">
      <c r="A53" s="5" t="s">
        <v>91</v>
      </c>
      <c r="B53" s="5" t="str">
        <f>Parameters!B22</f>
        <v>11/20/2026</v>
      </c>
      <c r="C53" s="7" t="s">
        <v>92</v>
      </c>
    </row>
    <row r="55" spans="1:3" x14ac:dyDescent="0.2">
      <c r="A55" s="8" t="s">
        <v>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6"/>
  <sheetViews>
    <sheetView workbookViewId="0"/>
  </sheetViews>
  <sheetFormatPr baseColWidth="10" defaultColWidth="8.83203125" defaultRowHeight="15" x14ac:dyDescent="0.2"/>
  <cols>
    <col min="1" max="1" width="78" customWidth="1"/>
    <col min="2" max="2" width="16" customWidth="1"/>
    <col min="3" max="3" width="12" customWidth="1"/>
    <col min="4" max="4" width="84" customWidth="1"/>
  </cols>
  <sheetData>
    <row r="1" spans="1:4" ht="17" customHeight="1" x14ac:dyDescent="0.2">
      <c r="A1" s="1" t="s">
        <v>94</v>
      </c>
    </row>
    <row r="3" spans="1:4" ht="30" customHeight="1" x14ac:dyDescent="0.2">
      <c r="A3" s="4" t="s">
        <v>95</v>
      </c>
      <c r="B3" s="4" t="s">
        <v>96</v>
      </c>
      <c r="C3" s="4" t="s">
        <v>97</v>
      </c>
      <c r="D3" s="4" t="s">
        <v>98</v>
      </c>
    </row>
    <row r="4" spans="1:4" x14ac:dyDescent="0.2">
      <c r="A4" s="5" t="s">
        <v>71</v>
      </c>
      <c r="B4" s="5" t="s">
        <v>99</v>
      </c>
      <c r="C4" s="5">
        <f>DATE(VALUE(RIGHT(B4,4)),VALUE(LEFT(B4,2)),VALUE(MID(B4,4,2)))</f>
        <v>46245</v>
      </c>
      <c r="D4" s="5" t="s">
        <v>100</v>
      </c>
    </row>
    <row r="5" spans="1:4" x14ac:dyDescent="0.2">
      <c r="A5" s="5" t="s">
        <v>73</v>
      </c>
      <c r="B5" s="5" t="s">
        <v>101</v>
      </c>
      <c r="C5" s="5">
        <f>DATE(VALUE(RIGHT(B5,4)),VALUE(LEFT(B5,2)),VALUE(MID(B5,4,2)))</f>
        <v>46260</v>
      </c>
      <c r="D5" s="5" t="s">
        <v>102</v>
      </c>
    </row>
    <row r="6" spans="1:4" x14ac:dyDescent="0.2">
      <c r="A6" s="5" t="s">
        <v>103</v>
      </c>
      <c r="B6" s="5" t="s">
        <v>104</v>
      </c>
      <c r="C6" s="5">
        <f>DATE(VALUE(RIGHT(B6,4)),VALUE(LEFT(B6,2)),VALUE(MID(B6,4,2)))</f>
        <v>46272</v>
      </c>
      <c r="D6" s="5" t="s">
        <v>105</v>
      </c>
    </row>
    <row r="7" spans="1:4" x14ac:dyDescent="0.2">
      <c r="A7" s="5" t="s">
        <v>106</v>
      </c>
      <c r="B7" s="5" t="s">
        <v>107</v>
      </c>
      <c r="C7" s="5">
        <f>DATE(VALUE(RIGHT(B7,4)),VALUE(LEFT(B7,2)),VALUE(MID(B7,4,2)))</f>
        <v>46290</v>
      </c>
      <c r="D7" s="5" t="s">
        <v>108</v>
      </c>
    </row>
    <row r="8" spans="1:4" x14ac:dyDescent="0.2">
      <c r="A8" s="5" t="s">
        <v>109</v>
      </c>
      <c r="B8" s="5">
        <v>15</v>
      </c>
      <c r="D8" s="5" t="s">
        <v>78</v>
      </c>
    </row>
    <row r="9" spans="1:4" x14ac:dyDescent="0.2">
      <c r="A9" s="5" t="s">
        <v>110</v>
      </c>
      <c r="B9" s="5">
        <v>10</v>
      </c>
      <c r="D9" s="5" t="s">
        <v>111</v>
      </c>
    </row>
    <row r="10" spans="1:4" x14ac:dyDescent="0.2">
      <c r="A10" s="5" t="s">
        <v>112</v>
      </c>
      <c r="B10" s="5">
        <v>30</v>
      </c>
      <c r="D10" s="5" t="s">
        <v>113</v>
      </c>
    </row>
    <row r="11" spans="1:4" x14ac:dyDescent="0.2">
      <c r="A11" s="5" t="s">
        <v>114</v>
      </c>
      <c r="B11" s="5">
        <v>60</v>
      </c>
      <c r="D11" s="5" t="s">
        <v>115</v>
      </c>
    </row>
    <row r="12" spans="1:4" x14ac:dyDescent="0.2">
      <c r="A12" s="5" t="s">
        <v>116</v>
      </c>
      <c r="B12" s="5">
        <v>90</v>
      </c>
      <c r="D12" s="5" t="s">
        <v>117</v>
      </c>
    </row>
    <row r="13" spans="1:4" x14ac:dyDescent="0.2">
      <c r="A13" s="5" t="s">
        <v>118</v>
      </c>
      <c r="B13" s="5">
        <v>20</v>
      </c>
      <c r="D13" s="5" t="s">
        <v>119</v>
      </c>
    </row>
    <row r="14" spans="1:4" x14ac:dyDescent="0.2">
      <c r="A14" s="5" t="s">
        <v>120</v>
      </c>
      <c r="B14" s="5">
        <v>20</v>
      </c>
      <c r="D14" s="5" t="s">
        <v>121</v>
      </c>
    </row>
    <row r="15" spans="1:4" x14ac:dyDescent="0.2">
      <c r="A15" s="5" t="s">
        <v>122</v>
      </c>
      <c r="B15" s="5">
        <v>90</v>
      </c>
      <c r="D15" s="5" t="s">
        <v>123</v>
      </c>
    </row>
    <row r="16" spans="1:4" x14ac:dyDescent="0.2">
      <c r="A16" s="5" t="s">
        <v>124</v>
      </c>
      <c r="B16" s="5">
        <v>125</v>
      </c>
      <c r="D16" s="5" t="s">
        <v>125</v>
      </c>
    </row>
    <row r="17" spans="1:4" x14ac:dyDescent="0.2">
      <c r="A17" s="5" t="s">
        <v>126</v>
      </c>
      <c r="B17" s="5">
        <v>10</v>
      </c>
      <c r="D17" s="5" t="s">
        <v>127</v>
      </c>
    </row>
    <row r="18" spans="1:4" x14ac:dyDescent="0.2">
      <c r="A18" s="5" t="s">
        <v>128</v>
      </c>
      <c r="B18" s="5">
        <v>45</v>
      </c>
      <c r="D18" s="5" t="s">
        <v>129</v>
      </c>
    </row>
    <row r="19" spans="1:4" x14ac:dyDescent="0.2">
      <c r="A19" s="5" t="s">
        <v>130</v>
      </c>
      <c r="B19" s="5">
        <v>150</v>
      </c>
      <c r="D19" s="5" t="s">
        <v>131</v>
      </c>
    </row>
    <row r="20" spans="1:4" x14ac:dyDescent="0.2">
      <c r="A20" s="5" t="s">
        <v>87</v>
      </c>
      <c r="B20" s="5" t="s">
        <v>132</v>
      </c>
      <c r="C20" s="5">
        <f>DATE(VALUE(RIGHT(B20,4)),VALUE(LEFT(B20,2)),VALUE(MID(B20,4,2)))</f>
        <v>46297</v>
      </c>
      <c r="D20" s="5" t="s">
        <v>133</v>
      </c>
    </row>
    <row r="21" spans="1:4" x14ac:dyDescent="0.2">
      <c r="A21" s="5" t="s">
        <v>134</v>
      </c>
      <c r="B21" s="5" t="s">
        <v>135</v>
      </c>
      <c r="C21" s="5">
        <f>DATE(VALUE(RIGHT(B21,4)),VALUE(LEFT(B21,2)),VALUE(MID(B21,4,2)))</f>
        <v>46315</v>
      </c>
      <c r="D21" s="5" t="s">
        <v>136</v>
      </c>
    </row>
    <row r="22" spans="1:4" x14ac:dyDescent="0.2">
      <c r="A22" s="5" t="s">
        <v>91</v>
      </c>
      <c r="B22" s="5" t="s">
        <v>137</v>
      </c>
      <c r="C22" s="5">
        <f>DATE(VALUE(RIGHT(B22,4)),VALUE(LEFT(B22,2)),VALUE(MID(B22,4,2)))</f>
        <v>46346</v>
      </c>
      <c r="D22" s="5" t="s">
        <v>9</v>
      </c>
    </row>
    <row r="23" spans="1:4" x14ac:dyDescent="0.2">
      <c r="A23" s="5" t="s">
        <v>89</v>
      </c>
      <c r="B23" s="5" t="s">
        <v>138</v>
      </c>
      <c r="C23" s="5">
        <f>DATE(VALUE(RIGHT(B23,4)),VALUE(LEFT(B23,2)),VALUE(MID(B23,4,2)))</f>
        <v>46332</v>
      </c>
      <c r="D23" s="5" t="s">
        <v>9</v>
      </c>
    </row>
    <row r="24" spans="1:4" x14ac:dyDescent="0.2">
      <c r="A24" s="5" t="s">
        <v>8</v>
      </c>
      <c r="B24" s="6">
        <v>575000</v>
      </c>
      <c r="D24" s="5" t="s">
        <v>9</v>
      </c>
    </row>
    <row r="25" spans="1:4" x14ac:dyDescent="0.2">
      <c r="A25" s="5" t="s">
        <v>139</v>
      </c>
      <c r="B25" s="6">
        <v>3748250</v>
      </c>
      <c r="D25" s="5" t="s">
        <v>140</v>
      </c>
    </row>
    <row r="26" spans="1:4" x14ac:dyDescent="0.2">
      <c r="A26" s="5" t="s">
        <v>141</v>
      </c>
      <c r="B26" s="6">
        <v>46000</v>
      </c>
      <c r="D26" s="5" t="s">
        <v>140</v>
      </c>
    </row>
    <row r="27" spans="1:4" x14ac:dyDescent="0.2">
      <c r="A27" s="5" t="s">
        <v>142</v>
      </c>
      <c r="B27" s="6">
        <f>ROUND(B25+B26,2)</f>
        <v>3794250</v>
      </c>
      <c r="D27" s="5" t="s">
        <v>143</v>
      </c>
    </row>
    <row r="28" spans="1:4" x14ac:dyDescent="0.2">
      <c r="A28" s="5" t="s">
        <v>144</v>
      </c>
      <c r="B28" s="6">
        <v>3511114.5</v>
      </c>
      <c r="D28" s="5" t="s">
        <v>145</v>
      </c>
    </row>
    <row r="29" spans="1:4" x14ac:dyDescent="0.2">
      <c r="A29" s="5" t="s">
        <v>146</v>
      </c>
      <c r="B29" s="6">
        <v>189712.5</v>
      </c>
      <c r="D29" s="5" t="s">
        <v>147</v>
      </c>
    </row>
    <row r="30" spans="1:4" x14ac:dyDescent="0.2">
      <c r="A30" s="5" t="s">
        <v>148</v>
      </c>
      <c r="B30" s="6">
        <v>22000</v>
      </c>
      <c r="D30" s="5" t="s">
        <v>149</v>
      </c>
    </row>
    <row r="32" spans="1:4" x14ac:dyDescent="0.2">
      <c r="A32" s="3" t="s">
        <v>150</v>
      </c>
    </row>
    <row r="33" spans="1:4" ht="30" customHeight="1" x14ac:dyDescent="0.2">
      <c r="A33" s="4" t="s">
        <v>95</v>
      </c>
      <c r="B33" s="4" t="s">
        <v>96</v>
      </c>
      <c r="C33" s="4" t="s">
        <v>97</v>
      </c>
      <c r="D33" s="4" t="s">
        <v>98</v>
      </c>
    </row>
    <row r="34" spans="1:4" x14ac:dyDescent="0.2">
      <c r="A34" s="5" t="s">
        <v>151</v>
      </c>
      <c r="B34" s="5">
        <f>Parameters!$C$5-Parameters!$C$4</f>
        <v>15</v>
      </c>
      <c r="D34" s="5" t="s">
        <v>152</v>
      </c>
    </row>
    <row r="35" spans="1:4" x14ac:dyDescent="0.2">
      <c r="A35" s="5" t="s">
        <v>153</v>
      </c>
      <c r="B35" s="5" t="str">
        <f>IF((Parameters!$C$5-Parameters!$C$4)&lt;=Parameters!$B$8,"Yes, recorded within 15 days of completion","No, recorded more than 15 days after completion")</f>
        <v>Yes, recorded within 15 days of completion</v>
      </c>
      <c r="D35" s="5" t="s">
        <v>154</v>
      </c>
    </row>
    <row r="36" spans="1:4" x14ac:dyDescent="0.2">
      <c r="A36" s="5" t="s">
        <v>155</v>
      </c>
      <c r="B36" s="5" t="str">
        <f>TEXT(C36,"mm/dd/yyyy")</f>
        <v>09/05/2026</v>
      </c>
      <c r="C36" s="5">
        <f>Parameters!$C$5+Parameters!$B$9</f>
        <v>46270</v>
      </c>
      <c r="D36" s="5" t="s">
        <v>156</v>
      </c>
    </row>
    <row r="37" spans="1:4" x14ac:dyDescent="0.2">
      <c r="A37" s="5" t="s">
        <v>157</v>
      </c>
      <c r="B37" s="5" t="str">
        <f>TEXT(Parameters!$C$5+Parameters!$B$9,"dddd")</f>
        <v>Saturday</v>
      </c>
      <c r="D37" s="5" t="s">
        <v>158</v>
      </c>
    </row>
    <row r="38" spans="1:4" x14ac:dyDescent="0.2">
      <c r="A38" s="5" t="s">
        <v>79</v>
      </c>
      <c r="B38" s="5" t="str">
        <f>TEXT(C38,"mm/dd/yyyy")</f>
        <v>09/08/2026</v>
      </c>
      <c r="C38" s="5">
        <f>IF(OR(WEEKDAY(Parameters!$C$5+Parameters!$B$9,2)&gt;5,COUNTIF(Parameters!$C$6:$C$7,Parameters!$C$5+Parameters!$B$9)&gt;0),WORKDAY(Parameters!$C$5+Parameters!$B$9,1,Parameters!$C$6:$C$7),Parameters!$C$5+Parameters!$B$9)</f>
        <v>46273</v>
      </c>
      <c r="D38" s="5" t="s">
        <v>159</v>
      </c>
    </row>
    <row r="39" spans="1:4" x14ac:dyDescent="0.2">
      <c r="A39" s="5" t="s">
        <v>160</v>
      </c>
      <c r="B39" s="5" t="str">
        <f>TEXT(C39,"mm/dd/yyyy")</f>
        <v>09/25/2026</v>
      </c>
      <c r="C39" s="5">
        <f>Parameters!$C$5+Parameters!$B$10</f>
        <v>46290</v>
      </c>
      <c r="D39" s="5" t="s">
        <v>161</v>
      </c>
    </row>
    <row r="40" spans="1:4" x14ac:dyDescent="0.2">
      <c r="A40" s="5" t="s">
        <v>162</v>
      </c>
      <c r="B40" s="5" t="str">
        <f>TEXT(Parameters!$C$5+Parameters!$B$10,"dddd")</f>
        <v>Friday</v>
      </c>
      <c r="D40" s="5" t="s">
        <v>163</v>
      </c>
    </row>
    <row r="41" spans="1:4" x14ac:dyDescent="0.2">
      <c r="A41" s="5" t="s">
        <v>81</v>
      </c>
      <c r="B41" s="5" t="str">
        <f>TEXT(C41,"mm/dd/yyyy")</f>
        <v>09/28/2026</v>
      </c>
      <c r="C41" s="5">
        <f>IF(OR(WEEKDAY(Parameters!$C$5+Parameters!$B$10,2)&gt;5,COUNTIF(Parameters!$C$6:$C$7,Parameters!$C$5+Parameters!$B$10)&gt;0),WORKDAY(Parameters!$C$5+Parameters!$B$10,1,Parameters!$C$6:$C$7),Parameters!$C$5+Parameters!$B$10)</f>
        <v>46293</v>
      </c>
      <c r="D41" s="5" t="s">
        <v>164</v>
      </c>
    </row>
    <row r="42" spans="1:4" x14ac:dyDescent="0.2">
      <c r="A42" s="5" t="s">
        <v>165</v>
      </c>
      <c r="B42" s="5" t="str">
        <f>TEXT(C42,"mm/dd/yyyy")</f>
        <v>10/26/2026</v>
      </c>
      <c r="C42" s="5">
        <f>IF(OR(WEEKDAY(Parameters!$C$5+Parameters!$B$11,2)&gt;5,COUNTIF(Parameters!$C$6:$C$7,Parameters!$C$5+Parameters!$B$11)&gt;0),WORKDAY(Parameters!$C$5+Parameters!$B$11,1,Parameters!$C$6:$C$7),Parameters!$C$5+Parameters!$B$11)</f>
        <v>46321</v>
      </c>
      <c r="D42" s="5" t="s">
        <v>166</v>
      </c>
    </row>
    <row r="43" spans="1:4" x14ac:dyDescent="0.2">
      <c r="A43" s="5" t="s">
        <v>83</v>
      </c>
      <c r="B43" s="5" t="str">
        <f>TEXT(C43,"mm/dd/yyyy")</f>
        <v>11/09/2026</v>
      </c>
      <c r="C43" s="5">
        <f>IF(OR(WEEKDAY(Parameters!$C$4+Parameters!$B$12,2)&gt;5,COUNTIF(Parameters!$C$6:$C$7,Parameters!$C$4+Parameters!$B$12)&gt;0),WORKDAY(Parameters!$C$4+Parameters!$B$12,1,Parameters!$C$6:$C$7),Parameters!$C$4+Parameters!$B$12)</f>
        <v>46335</v>
      </c>
      <c r="D43" s="5" t="s">
        <v>84</v>
      </c>
    </row>
    <row r="44" spans="1:4" x14ac:dyDescent="0.2">
      <c r="A44" s="5" t="s">
        <v>16</v>
      </c>
      <c r="B44" s="6">
        <f>ROUND(Parameters!$B$27-Parameters!$B$28,2)</f>
        <v>283135.5</v>
      </c>
      <c r="D44" s="5" t="s">
        <v>167</v>
      </c>
    </row>
    <row r="45" spans="1:4" x14ac:dyDescent="0.2">
      <c r="A45" s="5" t="s">
        <v>168</v>
      </c>
      <c r="B45" s="5" t="str">
        <f>TEXT(C45,"mm/dd/yyyy")</f>
        <v>09/28/2026</v>
      </c>
      <c r="C45" s="5">
        <f>IF(OR(WEEKDAY(Parameters!$C$4+Parameters!$B$18,2)&gt;5,COUNTIF(Parameters!$C$6:$C$7,Parameters!$C$4+Parameters!$B$18)&gt;0),WORKDAY(Parameters!$C$4+Parameters!$B$18,1,Parameters!$C$6:$C$7),Parameters!$C$4+Parameters!$B$18)</f>
        <v>46293</v>
      </c>
      <c r="D45" s="5" t="s">
        <v>169</v>
      </c>
    </row>
    <row r="46" spans="1:4" x14ac:dyDescent="0.2">
      <c r="A46" s="5" t="s">
        <v>170</v>
      </c>
      <c r="B46" s="6">
        <f>ROUND(Parameters!$B$30*Parameters!$B$19/100,2)</f>
        <v>33000</v>
      </c>
      <c r="D46" s="5" t="s">
        <v>171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2"/>
  <sheetViews>
    <sheetView workbookViewId="0"/>
  </sheetViews>
  <sheetFormatPr baseColWidth="10" defaultColWidth="8.83203125" defaultRowHeight="15" x14ac:dyDescent="0.2"/>
  <cols>
    <col min="1" max="1" width="12" customWidth="1"/>
    <col min="2" max="2" width="11" customWidth="1"/>
    <col min="3" max="3" width="8" customWidth="1"/>
    <col min="4" max="4" width="36" customWidth="1"/>
    <col min="5" max="5" width="24" customWidth="1"/>
    <col min="6" max="6" width="9" customWidth="1"/>
    <col min="7" max="8" width="14" customWidth="1"/>
  </cols>
  <sheetData>
    <row r="1" spans="1:8" ht="17" customHeight="1" x14ac:dyDescent="0.2">
      <c r="A1" s="1" t="s">
        <v>172</v>
      </c>
    </row>
    <row r="3" spans="1:8" ht="30" customHeight="1" x14ac:dyDescent="0.2">
      <c r="A3" s="4" t="s">
        <v>173</v>
      </c>
      <c r="B3" s="4" t="s">
        <v>174</v>
      </c>
      <c r="C3" s="4" t="s">
        <v>175</v>
      </c>
      <c r="D3" s="4" t="s">
        <v>176</v>
      </c>
      <c r="E3" s="4" t="s">
        <v>177</v>
      </c>
      <c r="F3" s="4" t="s">
        <v>178</v>
      </c>
      <c r="G3" s="4" t="s">
        <v>179</v>
      </c>
      <c r="H3" s="4" t="s">
        <v>180</v>
      </c>
    </row>
    <row r="4" spans="1:8" x14ac:dyDescent="0.2">
      <c r="A4" s="5" t="s">
        <v>181</v>
      </c>
      <c r="B4" s="5">
        <v>4390</v>
      </c>
      <c r="C4" s="5" t="s">
        <v>182</v>
      </c>
      <c r="D4" s="5" t="s">
        <v>183</v>
      </c>
      <c r="E4" s="5" t="s">
        <v>184</v>
      </c>
      <c r="F4" s="5">
        <v>2</v>
      </c>
      <c r="G4" s="6">
        <v>152950</v>
      </c>
      <c r="H4" s="5" t="s">
        <v>185</v>
      </c>
    </row>
    <row r="5" spans="1:8" x14ac:dyDescent="0.2">
      <c r="A5" s="5" t="s">
        <v>181</v>
      </c>
      <c r="B5" s="5">
        <v>4391</v>
      </c>
      <c r="C5" s="5" t="s">
        <v>182</v>
      </c>
      <c r="D5" s="5" t="s">
        <v>186</v>
      </c>
      <c r="E5" s="5" t="s">
        <v>187</v>
      </c>
      <c r="F5" s="5">
        <v>2</v>
      </c>
      <c r="G5" s="6">
        <v>71250</v>
      </c>
      <c r="H5" s="5" t="s">
        <v>188</v>
      </c>
    </row>
    <row r="6" spans="1:8" x14ac:dyDescent="0.2">
      <c r="A6" s="5" t="s">
        <v>181</v>
      </c>
      <c r="B6" s="5">
        <v>4393</v>
      </c>
      <c r="C6" s="5" t="s">
        <v>182</v>
      </c>
      <c r="D6" s="5" t="s">
        <v>189</v>
      </c>
      <c r="E6" s="5" t="s">
        <v>190</v>
      </c>
      <c r="F6" s="5">
        <v>2</v>
      </c>
      <c r="G6" s="6">
        <v>61370</v>
      </c>
      <c r="H6" s="5" t="s">
        <v>191</v>
      </c>
    </row>
    <row r="7" spans="1:8" x14ac:dyDescent="0.2">
      <c r="A7" s="5" t="s">
        <v>192</v>
      </c>
      <c r="B7" s="5">
        <v>4402</v>
      </c>
      <c r="C7" s="5" t="s">
        <v>182</v>
      </c>
      <c r="D7" s="5" t="s">
        <v>183</v>
      </c>
      <c r="E7" s="5" t="s">
        <v>184</v>
      </c>
      <c r="F7" s="5">
        <v>3</v>
      </c>
      <c r="G7" s="6">
        <v>121600</v>
      </c>
      <c r="H7" s="5" t="s">
        <v>193</v>
      </c>
    </row>
    <row r="8" spans="1:8" x14ac:dyDescent="0.2">
      <c r="A8" s="5" t="s">
        <v>192</v>
      </c>
      <c r="B8" s="5">
        <v>4403</v>
      </c>
      <c r="C8" s="5" t="s">
        <v>182</v>
      </c>
      <c r="D8" s="5" t="s">
        <v>186</v>
      </c>
      <c r="E8" s="5" t="s">
        <v>187</v>
      </c>
      <c r="F8" s="5">
        <v>3</v>
      </c>
      <c r="G8" s="6">
        <v>158650</v>
      </c>
      <c r="H8" s="5" t="s">
        <v>194</v>
      </c>
    </row>
    <row r="9" spans="1:8" x14ac:dyDescent="0.2">
      <c r="A9" s="5" t="s">
        <v>192</v>
      </c>
      <c r="B9" s="5">
        <v>4404</v>
      </c>
      <c r="C9" s="5" t="s">
        <v>182</v>
      </c>
      <c r="D9" s="5" t="s">
        <v>195</v>
      </c>
      <c r="E9" s="5" t="s">
        <v>196</v>
      </c>
      <c r="F9" s="5">
        <v>3</v>
      </c>
      <c r="G9" s="6">
        <v>164730</v>
      </c>
      <c r="H9" s="5" t="s">
        <v>197</v>
      </c>
    </row>
    <row r="10" spans="1:8" x14ac:dyDescent="0.2">
      <c r="A10" s="5" t="s">
        <v>192</v>
      </c>
      <c r="B10" s="5">
        <v>4405</v>
      </c>
      <c r="C10" s="5" t="s">
        <v>182</v>
      </c>
      <c r="D10" s="5" t="s">
        <v>198</v>
      </c>
      <c r="E10" s="5" t="s">
        <v>199</v>
      </c>
      <c r="F10" s="5">
        <v>3</v>
      </c>
      <c r="G10" s="6">
        <v>95410</v>
      </c>
      <c r="H10" s="5" t="s">
        <v>193</v>
      </c>
    </row>
    <row r="11" spans="1:8" x14ac:dyDescent="0.2">
      <c r="A11" s="5" t="s">
        <v>200</v>
      </c>
      <c r="B11" s="5">
        <v>4407</v>
      </c>
      <c r="C11" s="5" t="s">
        <v>182</v>
      </c>
      <c r="D11" s="5" t="s">
        <v>201</v>
      </c>
      <c r="E11" s="5" t="s">
        <v>202</v>
      </c>
      <c r="F11" s="5">
        <v>3</v>
      </c>
      <c r="G11" s="6">
        <v>32110</v>
      </c>
      <c r="H11" s="5" t="s">
        <v>197</v>
      </c>
    </row>
    <row r="12" spans="1:8" x14ac:dyDescent="0.2">
      <c r="A12" s="5" t="s">
        <v>200</v>
      </c>
      <c r="B12" s="5">
        <v>4409</v>
      </c>
      <c r="C12" s="5" t="s">
        <v>182</v>
      </c>
      <c r="D12" s="5" t="s">
        <v>189</v>
      </c>
      <c r="E12" s="5" t="s">
        <v>190</v>
      </c>
      <c r="F12" s="5">
        <v>3</v>
      </c>
      <c r="G12" s="6">
        <v>48830</v>
      </c>
      <c r="H12" s="5" t="s">
        <v>203</v>
      </c>
    </row>
    <row r="13" spans="1:8" x14ac:dyDescent="0.2">
      <c r="A13" s="5" t="s">
        <v>204</v>
      </c>
      <c r="B13" s="5">
        <v>4418</v>
      </c>
      <c r="C13" s="5" t="s">
        <v>182</v>
      </c>
      <c r="D13" s="5" t="s">
        <v>183</v>
      </c>
      <c r="E13" s="5" t="s">
        <v>184</v>
      </c>
      <c r="F13" s="5">
        <v>4</v>
      </c>
      <c r="G13" s="6">
        <v>98325</v>
      </c>
      <c r="H13" s="5" t="s">
        <v>205</v>
      </c>
    </row>
    <row r="14" spans="1:8" x14ac:dyDescent="0.2">
      <c r="A14" s="5" t="s">
        <v>204</v>
      </c>
      <c r="B14" s="5">
        <v>4419</v>
      </c>
      <c r="C14" s="5" t="s">
        <v>182</v>
      </c>
      <c r="D14" s="5" t="s">
        <v>195</v>
      </c>
      <c r="E14" s="5" t="s">
        <v>196</v>
      </c>
      <c r="F14" s="5">
        <v>4</v>
      </c>
      <c r="G14" s="6">
        <v>194370</v>
      </c>
      <c r="H14" s="5" t="s">
        <v>206</v>
      </c>
    </row>
    <row r="15" spans="1:8" x14ac:dyDescent="0.2">
      <c r="A15" s="5" t="s">
        <v>204</v>
      </c>
      <c r="B15" s="5">
        <v>4420</v>
      </c>
      <c r="C15" s="5" t="s">
        <v>182</v>
      </c>
      <c r="D15" s="5" t="s">
        <v>201</v>
      </c>
      <c r="E15" s="5" t="s">
        <v>202</v>
      </c>
      <c r="F15" s="5">
        <v>4</v>
      </c>
      <c r="G15" s="6">
        <v>97565</v>
      </c>
      <c r="H15" s="5" t="s">
        <v>205</v>
      </c>
    </row>
    <row r="16" spans="1:8" x14ac:dyDescent="0.2">
      <c r="A16" s="5" t="s">
        <v>204</v>
      </c>
      <c r="B16" s="5">
        <v>4422</v>
      </c>
      <c r="C16" s="5" t="s">
        <v>182</v>
      </c>
      <c r="D16" s="5" t="s">
        <v>207</v>
      </c>
      <c r="E16" s="5" t="s">
        <v>208</v>
      </c>
      <c r="F16" s="5">
        <v>4</v>
      </c>
      <c r="G16" s="6">
        <v>8700</v>
      </c>
      <c r="H16" s="5" t="s">
        <v>209</v>
      </c>
    </row>
    <row r="17" spans="1:8" x14ac:dyDescent="0.2">
      <c r="A17" s="5" t="s">
        <v>204</v>
      </c>
      <c r="B17" s="5">
        <v>4423</v>
      </c>
      <c r="C17" s="5" t="s">
        <v>182</v>
      </c>
      <c r="D17" s="5" t="s">
        <v>198</v>
      </c>
      <c r="E17" s="5" t="s">
        <v>199</v>
      </c>
      <c r="F17" s="5">
        <v>4</v>
      </c>
      <c r="G17" s="6">
        <v>173465</v>
      </c>
      <c r="H17" s="5" t="s">
        <v>206</v>
      </c>
    </row>
    <row r="18" spans="1:8" x14ac:dyDescent="0.2">
      <c r="A18" s="5" t="s">
        <v>210</v>
      </c>
      <c r="B18" s="5">
        <v>4424</v>
      </c>
      <c r="C18" s="5" t="s">
        <v>182</v>
      </c>
      <c r="D18" s="5" t="s">
        <v>211</v>
      </c>
      <c r="E18" s="5" t="s">
        <v>212</v>
      </c>
      <c r="F18" s="5">
        <v>4</v>
      </c>
      <c r="G18" s="6">
        <v>69501.5</v>
      </c>
      <c r="H18" s="5" t="s">
        <v>213</v>
      </c>
    </row>
    <row r="19" spans="1:8" x14ac:dyDescent="0.2">
      <c r="A19" s="5" t="s">
        <v>210</v>
      </c>
      <c r="B19" s="5">
        <v>4426</v>
      </c>
      <c r="C19" s="5" t="s">
        <v>182</v>
      </c>
      <c r="D19" s="5" t="s">
        <v>186</v>
      </c>
      <c r="E19" s="5" t="s">
        <v>187</v>
      </c>
      <c r="F19" s="5">
        <v>4</v>
      </c>
      <c r="G19" s="6">
        <v>143710</v>
      </c>
      <c r="H19" s="5" t="s">
        <v>209</v>
      </c>
    </row>
    <row r="20" spans="1:8" x14ac:dyDescent="0.2">
      <c r="A20" s="5" t="s">
        <v>214</v>
      </c>
      <c r="B20" s="5">
        <v>4433</v>
      </c>
      <c r="C20" s="5" t="s">
        <v>182</v>
      </c>
      <c r="D20" s="5" t="s">
        <v>183</v>
      </c>
      <c r="E20" s="5" t="s">
        <v>184</v>
      </c>
      <c r="F20" s="5">
        <v>5</v>
      </c>
      <c r="G20" s="6">
        <v>89305</v>
      </c>
      <c r="H20" s="5" t="s">
        <v>215</v>
      </c>
    </row>
    <row r="21" spans="1:8" x14ac:dyDescent="0.2">
      <c r="A21" s="5" t="s">
        <v>214</v>
      </c>
      <c r="B21" s="5">
        <v>4434</v>
      </c>
      <c r="C21" s="5" t="s">
        <v>182</v>
      </c>
      <c r="D21" s="5" t="s">
        <v>195</v>
      </c>
      <c r="E21" s="5" t="s">
        <v>196</v>
      </c>
      <c r="F21" s="5">
        <v>5</v>
      </c>
      <c r="G21" s="6">
        <v>106400</v>
      </c>
      <c r="H21" s="5" t="s">
        <v>215</v>
      </c>
    </row>
    <row r="22" spans="1:8" x14ac:dyDescent="0.2">
      <c r="A22" s="5" t="s">
        <v>214</v>
      </c>
      <c r="B22" s="5">
        <v>4435</v>
      </c>
      <c r="C22" s="5" t="s">
        <v>182</v>
      </c>
      <c r="D22" s="5" t="s">
        <v>201</v>
      </c>
      <c r="E22" s="5" t="s">
        <v>202</v>
      </c>
      <c r="F22" s="5">
        <v>5</v>
      </c>
      <c r="G22" s="6">
        <v>66860</v>
      </c>
      <c r="H22" s="5" t="s">
        <v>216</v>
      </c>
    </row>
    <row r="23" spans="1:8" x14ac:dyDescent="0.2">
      <c r="A23" s="5" t="s">
        <v>214</v>
      </c>
      <c r="B23" s="5">
        <v>4436</v>
      </c>
      <c r="C23" s="5" t="s">
        <v>182</v>
      </c>
      <c r="D23" s="5" t="s">
        <v>186</v>
      </c>
      <c r="E23" s="5" t="s">
        <v>187</v>
      </c>
      <c r="F23" s="5">
        <v>5</v>
      </c>
      <c r="G23" s="6">
        <v>5115</v>
      </c>
      <c r="H23" s="5" t="s">
        <v>217</v>
      </c>
    </row>
    <row r="24" spans="1:8" x14ac:dyDescent="0.2">
      <c r="A24" s="5" t="s">
        <v>218</v>
      </c>
      <c r="B24" s="5">
        <v>4437</v>
      </c>
      <c r="C24" s="5" t="s">
        <v>182</v>
      </c>
      <c r="D24" s="5" t="s">
        <v>207</v>
      </c>
      <c r="E24" s="5" t="s">
        <v>208</v>
      </c>
      <c r="F24" s="5">
        <v>5</v>
      </c>
      <c r="G24" s="6">
        <v>46170</v>
      </c>
      <c r="H24" s="5" t="s">
        <v>219</v>
      </c>
    </row>
    <row r="25" spans="1:8" x14ac:dyDescent="0.2">
      <c r="A25" s="5" t="s">
        <v>218</v>
      </c>
      <c r="B25" s="5">
        <v>4438</v>
      </c>
      <c r="C25" s="5" t="s">
        <v>182</v>
      </c>
      <c r="D25" s="5" t="s">
        <v>220</v>
      </c>
      <c r="E25" s="5" t="s">
        <v>221</v>
      </c>
      <c r="F25" s="5">
        <v>5</v>
      </c>
      <c r="G25" s="6">
        <v>12825</v>
      </c>
      <c r="H25" s="5" t="s">
        <v>222</v>
      </c>
    </row>
    <row r="26" spans="1:8" x14ac:dyDescent="0.2">
      <c r="A26" s="5" t="s">
        <v>218</v>
      </c>
      <c r="B26" s="5">
        <v>4439</v>
      </c>
      <c r="C26" s="5" t="s">
        <v>182</v>
      </c>
      <c r="D26" s="5" t="s">
        <v>223</v>
      </c>
      <c r="E26" s="5" t="s">
        <v>224</v>
      </c>
      <c r="F26" s="5">
        <v>5</v>
      </c>
      <c r="G26" s="6">
        <v>112765</v>
      </c>
      <c r="H26" s="5" t="s">
        <v>217</v>
      </c>
    </row>
    <row r="27" spans="1:8" x14ac:dyDescent="0.2">
      <c r="A27" s="5" t="s">
        <v>216</v>
      </c>
      <c r="B27" s="5">
        <v>4440</v>
      </c>
      <c r="C27" s="5" t="s">
        <v>182</v>
      </c>
      <c r="D27" s="5" t="s">
        <v>189</v>
      </c>
      <c r="E27" s="5" t="s">
        <v>190</v>
      </c>
      <c r="F27" s="5">
        <v>5</v>
      </c>
      <c r="G27" s="6">
        <v>116525</v>
      </c>
      <c r="H27" s="5" t="s">
        <v>219</v>
      </c>
    </row>
    <row r="28" spans="1:8" x14ac:dyDescent="0.2">
      <c r="A28" s="5" t="s">
        <v>216</v>
      </c>
      <c r="B28" s="5">
        <v>4441</v>
      </c>
      <c r="C28" s="5" t="s">
        <v>182</v>
      </c>
      <c r="D28" s="5" t="s">
        <v>225</v>
      </c>
      <c r="E28" s="5" t="s">
        <v>226</v>
      </c>
      <c r="F28" s="5">
        <v>5</v>
      </c>
      <c r="G28" s="6">
        <v>31350</v>
      </c>
      <c r="H28" s="5" t="s">
        <v>219</v>
      </c>
    </row>
    <row r="29" spans="1:8" x14ac:dyDescent="0.2">
      <c r="A29" s="5" t="s">
        <v>227</v>
      </c>
      <c r="B29" s="5">
        <v>4448</v>
      </c>
      <c r="C29" s="5" t="s">
        <v>182</v>
      </c>
      <c r="D29" s="5" t="s">
        <v>198</v>
      </c>
      <c r="E29" s="5" t="s">
        <v>199</v>
      </c>
      <c r="F29" s="5">
        <v>6</v>
      </c>
      <c r="G29" s="6">
        <v>14937.5</v>
      </c>
      <c r="H29" s="5" t="s">
        <v>228</v>
      </c>
    </row>
    <row r="30" spans="1:8" x14ac:dyDescent="0.2">
      <c r="A30" s="5" t="s">
        <v>227</v>
      </c>
      <c r="B30" s="5">
        <v>4449</v>
      </c>
      <c r="C30" s="5" t="s">
        <v>182</v>
      </c>
      <c r="D30" s="5" t="s">
        <v>183</v>
      </c>
      <c r="E30" s="5" t="s">
        <v>184</v>
      </c>
      <c r="F30" s="5">
        <v>6</v>
      </c>
      <c r="G30" s="6">
        <v>120113</v>
      </c>
      <c r="H30" s="5" t="s">
        <v>228</v>
      </c>
    </row>
    <row r="31" spans="1:8" x14ac:dyDescent="0.2">
      <c r="A31" s="5" t="s">
        <v>227</v>
      </c>
      <c r="B31" s="5">
        <v>4451</v>
      </c>
      <c r="C31" s="5" t="s">
        <v>182</v>
      </c>
      <c r="D31" s="5" t="s">
        <v>195</v>
      </c>
      <c r="E31" s="5" t="s">
        <v>196</v>
      </c>
      <c r="F31" s="5">
        <v>6</v>
      </c>
      <c r="G31" s="6">
        <v>21280</v>
      </c>
      <c r="H31" s="5" t="s">
        <v>229</v>
      </c>
    </row>
    <row r="32" spans="1:8" x14ac:dyDescent="0.2">
      <c r="A32" s="5" t="s">
        <v>227</v>
      </c>
      <c r="B32" s="5">
        <v>4452</v>
      </c>
      <c r="C32" s="5" t="s">
        <v>182</v>
      </c>
      <c r="D32" s="5" t="s">
        <v>201</v>
      </c>
      <c r="E32" s="5" t="s">
        <v>202</v>
      </c>
      <c r="F32" s="5">
        <v>6</v>
      </c>
      <c r="G32" s="6">
        <v>88920</v>
      </c>
      <c r="H32" s="5" t="s">
        <v>228</v>
      </c>
    </row>
    <row r="33" spans="1:8" x14ac:dyDescent="0.2">
      <c r="A33" s="5" t="s">
        <v>230</v>
      </c>
      <c r="B33" s="5">
        <v>4453</v>
      </c>
      <c r="C33" s="5" t="s">
        <v>182</v>
      </c>
      <c r="D33" s="5" t="s">
        <v>220</v>
      </c>
      <c r="E33" s="5" t="s">
        <v>221</v>
      </c>
      <c r="F33" s="5">
        <v>6</v>
      </c>
      <c r="G33" s="6">
        <v>21755</v>
      </c>
      <c r="H33" s="5" t="s">
        <v>231</v>
      </c>
    </row>
    <row r="34" spans="1:8" x14ac:dyDescent="0.2">
      <c r="A34" s="5" t="s">
        <v>230</v>
      </c>
      <c r="B34" s="5">
        <v>4454</v>
      </c>
      <c r="C34" s="5" t="s">
        <v>182</v>
      </c>
      <c r="D34" s="5" t="s">
        <v>223</v>
      </c>
      <c r="E34" s="5" t="s">
        <v>224</v>
      </c>
      <c r="F34" s="5">
        <v>6</v>
      </c>
      <c r="G34" s="6">
        <v>64790</v>
      </c>
      <c r="H34" s="5" t="s">
        <v>229</v>
      </c>
    </row>
    <row r="35" spans="1:8" x14ac:dyDescent="0.2">
      <c r="A35" s="5" t="s">
        <v>230</v>
      </c>
      <c r="B35" s="5">
        <v>4455</v>
      </c>
      <c r="C35" s="5" t="s">
        <v>182</v>
      </c>
      <c r="D35" s="5" t="s">
        <v>211</v>
      </c>
      <c r="E35" s="5" t="s">
        <v>212</v>
      </c>
      <c r="F35" s="5">
        <v>6</v>
      </c>
      <c r="G35" s="6">
        <v>66016</v>
      </c>
      <c r="H35" s="5" t="s">
        <v>231</v>
      </c>
    </row>
    <row r="36" spans="1:8" x14ac:dyDescent="0.2">
      <c r="A36" s="5" t="s">
        <v>230</v>
      </c>
      <c r="B36" s="5">
        <v>4456</v>
      </c>
      <c r="C36" s="5" t="s">
        <v>182</v>
      </c>
      <c r="D36" s="5" t="s">
        <v>207</v>
      </c>
      <c r="E36" s="5" t="s">
        <v>208</v>
      </c>
      <c r="F36" s="5">
        <v>6</v>
      </c>
      <c r="G36" s="6">
        <v>100515</v>
      </c>
      <c r="H36" s="5" t="s">
        <v>229</v>
      </c>
    </row>
    <row r="37" spans="1:8" x14ac:dyDescent="0.2">
      <c r="A37" s="5" t="s">
        <v>232</v>
      </c>
      <c r="B37" s="5">
        <v>4460</v>
      </c>
      <c r="C37" s="5" t="s">
        <v>182</v>
      </c>
      <c r="D37" s="5" t="s">
        <v>201</v>
      </c>
      <c r="E37" s="5" t="s">
        <v>202</v>
      </c>
      <c r="F37" s="5">
        <v>7</v>
      </c>
      <c r="G37" s="6">
        <v>73910</v>
      </c>
    </row>
    <row r="38" spans="1:8" x14ac:dyDescent="0.2">
      <c r="A38" s="5" t="s">
        <v>233</v>
      </c>
      <c r="B38" s="5">
        <v>4461</v>
      </c>
      <c r="C38" s="5" t="s">
        <v>182</v>
      </c>
      <c r="D38" s="5" t="s">
        <v>183</v>
      </c>
      <c r="E38" s="5" t="s">
        <v>184</v>
      </c>
      <c r="F38" s="5">
        <v>7</v>
      </c>
      <c r="G38" s="6">
        <v>41230</v>
      </c>
      <c r="H38" s="5" t="s">
        <v>234</v>
      </c>
    </row>
    <row r="39" spans="1:8" x14ac:dyDescent="0.2">
      <c r="A39" s="5" t="s">
        <v>233</v>
      </c>
      <c r="B39" s="5">
        <v>4463</v>
      </c>
      <c r="C39" s="5" t="s">
        <v>182</v>
      </c>
      <c r="D39" s="5" t="s">
        <v>189</v>
      </c>
      <c r="E39" s="5" t="s">
        <v>190</v>
      </c>
      <c r="F39" s="5">
        <v>7</v>
      </c>
      <c r="G39" s="6">
        <v>37166</v>
      </c>
      <c r="H39" s="5" t="s">
        <v>235</v>
      </c>
    </row>
    <row r="40" spans="1:8" x14ac:dyDescent="0.2">
      <c r="A40" s="5" t="s">
        <v>234</v>
      </c>
      <c r="B40" s="5">
        <v>4460</v>
      </c>
      <c r="C40" s="5" t="s">
        <v>236</v>
      </c>
      <c r="D40" s="5" t="s">
        <v>201</v>
      </c>
      <c r="E40" s="5" t="s">
        <v>202</v>
      </c>
      <c r="F40" s="5">
        <v>7</v>
      </c>
      <c r="G40" s="6">
        <v>-73910</v>
      </c>
    </row>
    <row r="41" spans="1:8" x14ac:dyDescent="0.2">
      <c r="A41" s="5" t="s">
        <v>237</v>
      </c>
      <c r="B41" s="5">
        <v>4474</v>
      </c>
      <c r="C41" s="5" t="s">
        <v>182</v>
      </c>
      <c r="D41" s="5" t="s">
        <v>201</v>
      </c>
      <c r="E41" s="5" t="s">
        <v>202</v>
      </c>
      <c r="F41" s="5">
        <v>7</v>
      </c>
      <c r="G41" s="6">
        <v>73910</v>
      </c>
      <c r="H41" s="5" t="s">
        <v>238</v>
      </c>
    </row>
    <row r="42" spans="1:8" x14ac:dyDescent="0.2">
      <c r="A42" s="5" t="s">
        <v>239</v>
      </c>
      <c r="B42" s="5">
        <v>4479</v>
      </c>
      <c r="C42" s="5" t="s">
        <v>182</v>
      </c>
      <c r="D42" s="5" t="s">
        <v>183</v>
      </c>
      <c r="E42" s="5" t="s">
        <v>184</v>
      </c>
      <c r="F42" s="5">
        <v>8</v>
      </c>
      <c r="G42" s="6">
        <v>27227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0"/>
  <sheetViews>
    <sheetView workbookViewId="0"/>
  </sheetViews>
  <sheetFormatPr baseColWidth="10" defaultColWidth="8.83203125" defaultRowHeight="15" x14ac:dyDescent="0.2"/>
  <cols>
    <col min="1" max="1" width="36" customWidth="1"/>
    <col min="2" max="2" width="30" customWidth="1"/>
    <col min="3" max="3" width="17" customWidth="1"/>
    <col min="4" max="4" width="15" customWidth="1"/>
    <col min="5" max="5" width="11" customWidth="1"/>
    <col min="6" max="6" width="14" customWidth="1"/>
    <col min="7" max="7" width="11" customWidth="1"/>
    <col min="8" max="8" width="12" customWidth="1"/>
    <col min="9" max="9" width="50" customWidth="1"/>
    <col min="10" max="10" width="11" customWidth="1"/>
    <col min="11" max="11" width="12" customWidth="1"/>
    <col min="12" max="12" width="14" customWidth="1"/>
    <col min="13" max="13" width="12" customWidth="1"/>
    <col min="14" max="14" width="11" customWidth="1"/>
    <col min="15" max="15" width="52" customWidth="1"/>
  </cols>
  <sheetData>
    <row r="1" spans="1:15" ht="17" customHeight="1" x14ac:dyDescent="0.2">
      <c r="A1" s="1" t="s">
        <v>240</v>
      </c>
    </row>
    <row r="3" spans="1:15" ht="30" customHeight="1" x14ac:dyDescent="0.2">
      <c r="A3" s="4" t="s">
        <v>30</v>
      </c>
      <c r="B3" s="4" t="s">
        <v>241</v>
      </c>
      <c r="C3" s="4" t="s">
        <v>242</v>
      </c>
      <c r="D3" s="4" t="s">
        <v>243</v>
      </c>
      <c r="E3" s="4" t="s">
        <v>244</v>
      </c>
      <c r="F3" s="4" t="s">
        <v>245</v>
      </c>
      <c r="G3" s="4" t="s">
        <v>246</v>
      </c>
      <c r="H3" s="4" t="s">
        <v>247</v>
      </c>
      <c r="I3" s="4" t="s">
        <v>248</v>
      </c>
      <c r="J3" s="4" t="s">
        <v>249</v>
      </c>
      <c r="K3" s="4" t="s">
        <v>250</v>
      </c>
      <c r="L3" s="4" t="s">
        <v>251</v>
      </c>
      <c r="M3" s="4" t="s">
        <v>252</v>
      </c>
      <c r="N3" s="4" t="s">
        <v>33</v>
      </c>
      <c r="O3" s="4" t="s">
        <v>253</v>
      </c>
    </row>
    <row r="4" spans="1:15" ht="30" customHeight="1" x14ac:dyDescent="0.2">
      <c r="A4" s="5" t="s">
        <v>254</v>
      </c>
      <c r="B4" s="5" t="s">
        <v>255</v>
      </c>
      <c r="C4" s="5" t="s">
        <v>256</v>
      </c>
      <c r="D4" s="5" t="s">
        <v>257</v>
      </c>
      <c r="E4" s="5">
        <f t="shared" ref="E4:E18" si="0">DATE(VALUE(RIGHT(D4,4)),VALUE(LEFT(D4,2)),VALUE(MID(D4,4,2)))</f>
        <v>46055</v>
      </c>
      <c r="F4" s="5" t="s">
        <v>258</v>
      </c>
      <c r="G4" s="5">
        <f t="shared" ref="G4:G18" si="1">IF(F4="","",DATE(VALUE(RIGHT(F4,4)),VALUE(LEFT(F4,2)),VALUE(MID(F4,4,2))))</f>
        <v>46062</v>
      </c>
      <c r="H4" s="5">
        <f t="shared" ref="H4:H18" si="2">IF(F4="","",G4-E4)</f>
        <v>7</v>
      </c>
      <c r="I4" s="7" t="s">
        <v>259</v>
      </c>
      <c r="J4" s="5" t="str">
        <f t="shared" ref="J4:J18" si="3">IF(C4="Direct contractor","No","Yes")</f>
        <v>Yes</v>
      </c>
      <c r="K4" s="5" t="str">
        <f>IF(J4="No","Not owed",IF(F4="","No notice",IF(H4&lt;=Parameters!$B$13,"Yes","No")))</f>
        <v>Yes</v>
      </c>
      <c r="L4" s="5" t="str">
        <f t="shared" ref="L4:L18" si="4">TEXT(M4,"mm/dd/yyyy")</f>
        <v>02/02/2026</v>
      </c>
      <c r="M4" s="5">
        <f>IF(OR(J4="No",F4="",K4="Yes"),E4,G4-Parameters!$B$14)</f>
        <v>46055</v>
      </c>
      <c r="N4" s="5" t="str">
        <f t="shared" ref="N4:N18" si="5">IF(J4="No","Yes",IF(LEFT(I4,3)="Yes","Yes","No"))</f>
        <v>Yes</v>
      </c>
      <c r="O4" s="7" t="s">
        <v>260</v>
      </c>
    </row>
    <row r="5" spans="1:15" ht="30" customHeight="1" x14ac:dyDescent="0.2">
      <c r="A5" s="5" t="s">
        <v>261</v>
      </c>
      <c r="B5" s="5" t="s">
        <v>254</v>
      </c>
      <c r="C5" s="5" t="s">
        <v>256</v>
      </c>
      <c r="D5" s="5" t="s">
        <v>262</v>
      </c>
      <c r="E5" s="5">
        <f t="shared" si="0"/>
        <v>46058</v>
      </c>
      <c r="F5" s="5" t="s">
        <v>263</v>
      </c>
      <c r="G5" s="5">
        <f t="shared" si="1"/>
        <v>46064</v>
      </c>
      <c r="H5" s="5">
        <f t="shared" si="2"/>
        <v>6</v>
      </c>
      <c r="I5" s="7" t="s">
        <v>264</v>
      </c>
      <c r="J5" s="5" t="str">
        <f t="shared" si="3"/>
        <v>Yes</v>
      </c>
      <c r="K5" s="5" t="str">
        <f>IF(J5="No","Not owed",IF(F5="","No notice",IF(H5&lt;=Parameters!$B$13,"Yes","No")))</f>
        <v>Yes</v>
      </c>
      <c r="L5" s="5" t="str">
        <f t="shared" si="4"/>
        <v>02/05/2026</v>
      </c>
      <c r="M5" s="5">
        <f>IF(OR(J5="No",F5="",K5="Yes"),E5,G5-Parameters!$B$14)</f>
        <v>46058</v>
      </c>
      <c r="N5" s="5" t="str">
        <f t="shared" si="5"/>
        <v>Yes</v>
      </c>
      <c r="O5" s="7" t="s">
        <v>265</v>
      </c>
    </row>
    <row r="6" spans="1:15" ht="30" customHeight="1" x14ac:dyDescent="0.2">
      <c r="A6" s="5" t="s">
        <v>266</v>
      </c>
      <c r="B6" s="5" t="s">
        <v>254</v>
      </c>
      <c r="C6" s="5" t="s">
        <v>256</v>
      </c>
      <c r="D6" s="5" t="s">
        <v>267</v>
      </c>
      <c r="E6" s="5">
        <f t="shared" si="0"/>
        <v>46056</v>
      </c>
      <c r="F6" s="5" t="s">
        <v>268</v>
      </c>
      <c r="G6" s="5">
        <f t="shared" si="1"/>
        <v>46070</v>
      </c>
      <c r="H6" s="5">
        <f t="shared" si="2"/>
        <v>14</v>
      </c>
      <c r="I6" s="7" t="s">
        <v>269</v>
      </c>
      <c r="J6" s="5" t="str">
        <f t="shared" si="3"/>
        <v>Yes</v>
      </c>
      <c r="K6" s="5" t="str">
        <f>IF(J6="No","Not owed",IF(F6="","No notice",IF(H6&lt;=Parameters!$B$13,"Yes","No")))</f>
        <v>Yes</v>
      </c>
      <c r="L6" s="5" t="str">
        <f t="shared" si="4"/>
        <v>02/03/2026</v>
      </c>
      <c r="M6" s="5">
        <f>IF(OR(J6="No",F6="",K6="Yes"),E6,G6-Parameters!$B$14)</f>
        <v>46056</v>
      </c>
      <c r="N6" s="5" t="str">
        <f t="shared" si="5"/>
        <v>No</v>
      </c>
      <c r="O6" s="7" t="s">
        <v>270</v>
      </c>
    </row>
    <row r="7" spans="1:15" ht="30" customHeight="1" x14ac:dyDescent="0.2">
      <c r="A7" s="5" t="s">
        <v>271</v>
      </c>
      <c r="B7" s="5" t="s">
        <v>272</v>
      </c>
      <c r="C7" s="5" t="s">
        <v>256</v>
      </c>
      <c r="D7" s="5" t="s">
        <v>273</v>
      </c>
      <c r="E7" s="5">
        <f t="shared" si="0"/>
        <v>46118</v>
      </c>
      <c r="F7" s="5" t="s">
        <v>204</v>
      </c>
      <c r="G7" s="5">
        <f t="shared" si="1"/>
        <v>46171</v>
      </c>
      <c r="H7" s="5">
        <f t="shared" si="2"/>
        <v>53</v>
      </c>
      <c r="I7" s="7" t="s">
        <v>274</v>
      </c>
      <c r="J7" s="5" t="str">
        <f t="shared" si="3"/>
        <v>Yes</v>
      </c>
      <c r="K7" s="5" t="str">
        <f>IF(J7="No","Not owed",IF(F7="","No notice",IF(H7&lt;=Parameters!$B$13,"Yes","No")))</f>
        <v>No</v>
      </c>
      <c r="L7" s="5" t="str">
        <f t="shared" si="4"/>
        <v>05/09/2026</v>
      </c>
      <c r="M7" s="5">
        <f>IF(OR(J7="No",F7="",K7="Yes"),E7,G7-Parameters!$B$14)</f>
        <v>46151</v>
      </c>
      <c r="N7" s="5" t="str">
        <f t="shared" si="5"/>
        <v>Yes</v>
      </c>
      <c r="O7" s="7" t="s">
        <v>275</v>
      </c>
    </row>
    <row r="8" spans="1:15" ht="30" customHeight="1" x14ac:dyDescent="0.2">
      <c r="A8" s="5" t="s">
        <v>276</v>
      </c>
      <c r="B8" s="5" t="s">
        <v>255</v>
      </c>
      <c r="C8" s="5" t="s">
        <v>256</v>
      </c>
      <c r="D8" s="5" t="s">
        <v>277</v>
      </c>
      <c r="E8" s="5">
        <f t="shared" si="0"/>
        <v>46139</v>
      </c>
      <c r="F8" s="5" t="s">
        <v>197</v>
      </c>
      <c r="G8" s="5">
        <f t="shared" si="1"/>
        <v>46146</v>
      </c>
      <c r="H8" s="5">
        <f t="shared" si="2"/>
        <v>7</v>
      </c>
      <c r="I8" s="7" t="s">
        <v>278</v>
      </c>
      <c r="J8" s="5" t="str">
        <f t="shared" si="3"/>
        <v>Yes</v>
      </c>
      <c r="K8" s="5" t="str">
        <f>IF(J8="No","Not owed",IF(F8="","No notice",IF(H8&lt;=Parameters!$B$13,"Yes","No")))</f>
        <v>Yes</v>
      </c>
      <c r="L8" s="5" t="str">
        <f t="shared" si="4"/>
        <v>04/27/2026</v>
      </c>
      <c r="M8" s="5">
        <f>IF(OR(J8="No",F8="",K8="Yes"),E8,G8-Parameters!$B$14)</f>
        <v>46139</v>
      </c>
      <c r="N8" s="5" t="str">
        <f t="shared" si="5"/>
        <v>Yes</v>
      </c>
      <c r="O8" s="7" t="s">
        <v>279</v>
      </c>
    </row>
    <row r="9" spans="1:15" ht="30" customHeight="1" x14ac:dyDescent="0.2">
      <c r="A9" s="5" t="s">
        <v>280</v>
      </c>
      <c r="B9" s="5" t="s">
        <v>255</v>
      </c>
      <c r="C9" s="5" t="s">
        <v>256</v>
      </c>
      <c r="D9" s="5" t="s">
        <v>281</v>
      </c>
      <c r="E9" s="5">
        <f t="shared" si="0"/>
        <v>46097</v>
      </c>
      <c r="F9" s="5" t="s">
        <v>282</v>
      </c>
      <c r="G9" s="5">
        <f t="shared" si="1"/>
        <v>46101</v>
      </c>
      <c r="H9" s="5">
        <f t="shared" si="2"/>
        <v>4</v>
      </c>
      <c r="I9" s="7" t="s">
        <v>283</v>
      </c>
      <c r="J9" s="5" t="str">
        <f t="shared" si="3"/>
        <v>Yes</v>
      </c>
      <c r="K9" s="5" t="str">
        <f>IF(J9="No","Not owed",IF(F9="","No notice",IF(H9&lt;=Parameters!$B$13,"Yes","No")))</f>
        <v>Yes</v>
      </c>
      <c r="L9" s="5" t="str">
        <f t="shared" si="4"/>
        <v>03/16/2026</v>
      </c>
      <c r="M9" s="5">
        <f>IF(OR(J9="No",F9="",K9="Yes"),E9,G9-Parameters!$B$14)</f>
        <v>46097</v>
      </c>
      <c r="N9" s="5" t="str">
        <f t="shared" si="5"/>
        <v>Yes</v>
      </c>
      <c r="O9" s="7" t="s">
        <v>284</v>
      </c>
    </row>
    <row r="10" spans="1:15" ht="30" customHeight="1" x14ac:dyDescent="0.2">
      <c r="A10" s="5" t="s">
        <v>285</v>
      </c>
      <c r="B10" s="5" t="s">
        <v>255</v>
      </c>
      <c r="C10" s="5" t="s">
        <v>256</v>
      </c>
      <c r="D10" s="5" t="s">
        <v>286</v>
      </c>
      <c r="E10" s="5">
        <f t="shared" si="0"/>
        <v>46160</v>
      </c>
      <c r="F10" s="5" t="s">
        <v>287</v>
      </c>
      <c r="G10" s="5">
        <f t="shared" si="1"/>
        <v>46169</v>
      </c>
      <c r="H10" s="5">
        <f t="shared" si="2"/>
        <v>9</v>
      </c>
      <c r="I10" s="7" t="s">
        <v>288</v>
      </c>
      <c r="J10" s="5" t="str">
        <f t="shared" si="3"/>
        <v>Yes</v>
      </c>
      <c r="K10" s="5" t="str">
        <f>IF(J10="No","Not owed",IF(F10="","No notice",IF(H10&lt;=Parameters!$B$13,"Yes","No")))</f>
        <v>Yes</v>
      </c>
      <c r="L10" s="5" t="str">
        <f t="shared" si="4"/>
        <v>05/18/2026</v>
      </c>
      <c r="M10" s="5">
        <f>IF(OR(J10="No",F10="",K10="Yes"),E10,G10-Parameters!$B$14)</f>
        <v>46160</v>
      </c>
      <c r="N10" s="5" t="str">
        <f t="shared" si="5"/>
        <v>Yes</v>
      </c>
      <c r="O10" s="7" t="s">
        <v>289</v>
      </c>
    </row>
    <row r="11" spans="1:15" ht="30" customHeight="1" x14ac:dyDescent="0.2">
      <c r="A11" s="5" t="s">
        <v>290</v>
      </c>
      <c r="B11" s="5" t="s">
        <v>255</v>
      </c>
      <c r="C11" s="5" t="s">
        <v>256</v>
      </c>
      <c r="D11" s="5" t="s">
        <v>291</v>
      </c>
      <c r="E11" s="5">
        <f t="shared" si="0"/>
        <v>46090</v>
      </c>
      <c r="F11" s="5" t="s">
        <v>292</v>
      </c>
      <c r="G11" s="5">
        <f t="shared" si="1"/>
        <v>46093</v>
      </c>
      <c r="H11" s="5">
        <f t="shared" si="2"/>
        <v>3</v>
      </c>
      <c r="I11" s="7" t="s">
        <v>293</v>
      </c>
      <c r="J11" s="5" t="str">
        <f t="shared" si="3"/>
        <v>Yes</v>
      </c>
      <c r="K11" s="5" t="str">
        <f>IF(J11="No","Not owed",IF(F11="","No notice",IF(H11&lt;=Parameters!$B$13,"Yes","No")))</f>
        <v>Yes</v>
      </c>
      <c r="L11" s="5" t="str">
        <f t="shared" si="4"/>
        <v>03/09/2026</v>
      </c>
      <c r="M11" s="5">
        <f>IF(OR(J11="No",F11="",K11="Yes"),E11,G11-Parameters!$B$14)</f>
        <v>46090</v>
      </c>
      <c r="N11" s="5" t="str">
        <f t="shared" si="5"/>
        <v>Yes</v>
      </c>
      <c r="O11" s="7" t="s">
        <v>294</v>
      </c>
    </row>
    <row r="12" spans="1:15" ht="30" customHeight="1" x14ac:dyDescent="0.2">
      <c r="A12" s="5" t="s">
        <v>211</v>
      </c>
      <c r="B12" s="5" t="s">
        <v>255</v>
      </c>
      <c r="C12" s="5" t="s">
        <v>256</v>
      </c>
      <c r="D12" s="5" t="s">
        <v>295</v>
      </c>
      <c r="E12" s="5">
        <f t="shared" si="0"/>
        <v>46083</v>
      </c>
      <c r="F12" s="5" t="s">
        <v>291</v>
      </c>
      <c r="G12" s="5">
        <f t="shared" si="1"/>
        <v>46090</v>
      </c>
      <c r="H12" s="5">
        <f t="shared" si="2"/>
        <v>7</v>
      </c>
      <c r="I12" s="7" t="s">
        <v>296</v>
      </c>
      <c r="J12" s="5" t="str">
        <f t="shared" si="3"/>
        <v>Yes</v>
      </c>
      <c r="K12" s="5" t="str">
        <f>IF(J12="No","Not owed",IF(F12="","No notice",IF(H12&lt;=Parameters!$B$13,"Yes","No")))</f>
        <v>Yes</v>
      </c>
      <c r="L12" s="5" t="str">
        <f t="shared" si="4"/>
        <v>03/02/2026</v>
      </c>
      <c r="M12" s="5">
        <f>IF(OR(J12="No",F12="",K12="Yes"),E12,G12-Parameters!$B$14)</f>
        <v>46083</v>
      </c>
      <c r="N12" s="5" t="str">
        <f t="shared" si="5"/>
        <v>Yes</v>
      </c>
      <c r="O12" s="7" t="s">
        <v>297</v>
      </c>
    </row>
    <row r="13" spans="1:15" ht="30" customHeight="1" x14ac:dyDescent="0.2">
      <c r="A13" s="5" t="s">
        <v>298</v>
      </c>
      <c r="B13" s="5" t="s">
        <v>299</v>
      </c>
      <c r="C13" s="5" t="s">
        <v>256</v>
      </c>
      <c r="D13" s="5" t="s">
        <v>300</v>
      </c>
      <c r="E13" s="5">
        <f t="shared" si="0"/>
        <v>46076</v>
      </c>
      <c r="F13" s="5" t="s">
        <v>281</v>
      </c>
      <c r="G13" s="5">
        <f t="shared" si="1"/>
        <v>46097</v>
      </c>
      <c r="H13" s="5">
        <f t="shared" si="2"/>
        <v>21</v>
      </c>
      <c r="I13" s="7" t="s">
        <v>301</v>
      </c>
      <c r="J13" s="5" t="str">
        <f t="shared" si="3"/>
        <v>Yes</v>
      </c>
      <c r="K13" s="5" t="str">
        <f>IF(J13="No","Not owed",IF(F13="","No notice",IF(H13&lt;=Parameters!$B$13,"Yes","No")))</f>
        <v>No</v>
      </c>
      <c r="L13" s="5" t="str">
        <f t="shared" si="4"/>
        <v>02/24/2026</v>
      </c>
      <c r="M13" s="5">
        <f>IF(OR(J13="No",F13="",K13="Yes"),E13,G13-Parameters!$B$14)</f>
        <v>46077</v>
      </c>
      <c r="N13" s="5" t="str">
        <f t="shared" si="5"/>
        <v>Yes</v>
      </c>
      <c r="O13" s="7" t="s">
        <v>302</v>
      </c>
    </row>
    <row r="14" spans="1:15" ht="30" customHeight="1" x14ac:dyDescent="0.2">
      <c r="A14" s="5" t="s">
        <v>303</v>
      </c>
      <c r="B14" s="5" t="s">
        <v>255</v>
      </c>
      <c r="C14" s="5" t="s">
        <v>256</v>
      </c>
      <c r="D14" s="5" t="s">
        <v>304</v>
      </c>
      <c r="E14" s="5">
        <f t="shared" si="0"/>
        <v>46041</v>
      </c>
      <c r="F14" s="5" t="s">
        <v>305</v>
      </c>
      <c r="G14" s="5">
        <f t="shared" si="1"/>
        <v>46052</v>
      </c>
      <c r="H14" s="5">
        <f t="shared" si="2"/>
        <v>11</v>
      </c>
      <c r="I14" s="7" t="s">
        <v>306</v>
      </c>
      <c r="J14" s="5" t="str">
        <f t="shared" si="3"/>
        <v>Yes</v>
      </c>
      <c r="K14" s="5" t="str">
        <f>IF(J14="No","Not owed",IF(F14="","No notice",IF(H14&lt;=Parameters!$B$13,"Yes","No")))</f>
        <v>Yes</v>
      </c>
      <c r="L14" s="5" t="str">
        <f t="shared" si="4"/>
        <v>01/19/2026</v>
      </c>
      <c r="M14" s="5">
        <f>IF(OR(J14="No",F14="",K14="Yes"),E14,G14-Parameters!$B$14)</f>
        <v>46041</v>
      </c>
      <c r="N14" s="5" t="str">
        <f t="shared" si="5"/>
        <v>Yes</v>
      </c>
      <c r="O14" s="7" t="s">
        <v>307</v>
      </c>
    </row>
    <row r="15" spans="1:15" ht="30" customHeight="1" x14ac:dyDescent="0.2">
      <c r="A15" s="5" t="s">
        <v>308</v>
      </c>
      <c r="B15" s="5" t="s">
        <v>255</v>
      </c>
      <c r="C15" s="5" t="s">
        <v>256</v>
      </c>
      <c r="D15" s="5" t="s">
        <v>309</v>
      </c>
      <c r="E15" s="5">
        <f t="shared" si="0"/>
        <v>46132</v>
      </c>
      <c r="F15" s="5" t="s">
        <v>310</v>
      </c>
      <c r="G15" s="5">
        <f t="shared" si="1"/>
        <v>46136</v>
      </c>
      <c r="H15" s="5">
        <f t="shared" si="2"/>
        <v>4</v>
      </c>
      <c r="I15" s="7" t="s">
        <v>311</v>
      </c>
      <c r="J15" s="5" t="str">
        <f t="shared" si="3"/>
        <v>Yes</v>
      </c>
      <c r="K15" s="5" t="str">
        <f>IF(J15="No","Not owed",IF(F15="","No notice",IF(H15&lt;=Parameters!$B$13,"Yes","No")))</f>
        <v>Yes</v>
      </c>
      <c r="L15" s="5" t="str">
        <f t="shared" si="4"/>
        <v>04/20/2026</v>
      </c>
      <c r="M15" s="5">
        <f>IF(OR(J15="No",F15="",K15="Yes"),E15,G15-Parameters!$B$14)</f>
        <v>46132</v>
      </c>
      <c r="N15" s="5" t="str">
        <f t="shared" si="5"/>
        <v>Yes</v>
      </c>
      <c r="O15" s="7" t="s">
        <v>312</v>
      </c>
    </row>
    <row r="16" spans="1:15" ht="30" customHeight="1" x14ac:dyDescent="0.2">
      <c r="A16" s="5" t="s">
        <v>299</v>
      </c>
      <c r="B16" s="5" t="s">
        <v>255</v>
      </c>
      <c r="C16" s="5" t="s">
        <v>256</v>
      </c>
      <c r="D16" s="5" t="s">
        <v>258</v>
      </c>
      <c r="E16" s="5">
        <f t="shared" si="0"/>
        <v>46062</v>
      </c>
      <c r="F16" s="5" t="s">
        <v>313</v>
      </c>
      <c r="G16" s="5">
        <f t="shared" si="1"/>
        <v>46065</v>
      </c>
      <c r="H16" s="5">
        <f t="shared" si="2"/>
        <v>3</v>
      </c>
      <c r="I16" s="7" t="s">
        <v>314</v>
      </c>
      <c r="J16" s="5" t="str">
        <f t="shared" si="3"/>
        <v>Yes</v>
      </c>
      <c r="K16" s="5" t="str">
        <f>IF(J16="No","Not owed",IF(F16="","No notice",IF(H16&lt;=Parameters!$B$13,"Yes","No")))</f>
        <v>Yes</v>
      </c>
      <c r="L16" s="5" t="str">
        <f t="shared" si="4"/>
        <v>02/09/2026</v>
      </c>
      <c r="M16" s="5">
        <f>IF(OR(J16="No",F16="",K16="Yes"),E16,G16-Parameters!$B$14)</f>
        <v>46062</v>
      </c>
      <c r="N16" s="5" t="str">
        <f t="shared" si="5"/>
        <v>Yes</v>
      </c>
      <c r="O16" s="7" t="s">
        <v>315</v>
      </c>
    </row>
    <row r="17" spans="1:15" ht="30" customHeight="1" x14ac:dyDescent="0.2">
      <c r="A17" s="5" t="s">
        <v>316</v>
      </c>
      <c r="B17" s="5" t="s">
        <v>317</v>
      </c>
      <c r="C17" s="5" t="s">
        <v>318</v>
      </c>
      <c r="D17" s="5" t="s">
        <v>319</v>
      </c>
      <c r="E17" s="5">
        <f t="shared" si="0"/>
        <v>46181</v>
      </c>
      <c r="G17" s="5" t="str">
        <f t="shared" si="1"/>
        <v/>
      </c>
      <c r="H17" s="5" t="str">
        <f t="shared" si="2"/>
        <v/>
      </c>
      <c r="I17" s="7" t="s">
        <v>320</v>
      </c>
      <c r="J17" s="5" t="str">
        <f t="shared" si="3"/>
        <v>No</v>
      </c>
      <c r="K17" s="5" t="str">
        <f>IF(J17="No","Not owed",IF(F17="","No notice",IF(H17&lt;=Parameters!$B$13,"Yes","No")))</f>
        <v>Not owed</v>
      </c>
      <c r="L17" s="5" t="str">
        <f t="shared" si="4"/>
        <v>06/08/2026</v>
      </c>
      <c r="M17" s="5">
        <f>IF(OR(J17="No",F17="",K17="Yes"),E17,G17-Parameters!$B$14)</f>
        <v>46181</v>
      </c>
      <c r="N17" s="5" t="str">
        <f t="shared" si="5"/>
        <v>Yes</v>
      </c>
      <c r="O17" s="7" t="s">
        <v>321</v>
      </c>
    </row>
    <row r="18" spans="1:15" ht="30" customHeight="1" x14ac:dyDescent="0.2">
      <c r="A18" s="5" t="s">
        <v>322</v>
      </c>
      <c r="B18" s="5" t="s">
        <v>303</v>
      </c>
      <c r="C18" s="5" t="s">
        <v>256</v>
      </c>
      <c r="D18" s="5" t="s">
        <v>323</v>
      </c>
      <c r="E18" s="5">
        <f t="shared" si="0"/>
        <v>46049</v>
      </c>
      <c r="F18" s="5" t="s">
        <v>324</v>
      </c>
      <c r="G18" s="5">
        <f t="shared" si="1"/>
        <v>46069</v>
      </c>
      <c r="H18" s="5">
        <f t="shared" si="2"/>
        <v>20</v>
      </c>
      <c r="I18" s="7" t="s">
        <v>325</v>
      </c>
      <c r="J18" s="5" t="str">
        <f t="shared" si="3"/>
        <v>Yes</v>
      </c>
      <c r="K18" s="5" t="str">
        <f>IF(J18="No","Not owed",IF(F18="","No notice",IF(H18&lt;=Parameters!$B$13,"Yes","No")))</f>
        <v>Yes</v>
      </c>
      <c r="L18" s="5" t="str">
        <f t="shared" si="4"/>
        <v>01/27/2026</v>
      </c>
      <c r="M18" s="5">
        <f>IF(OR(J18="No",F18="",K18="Yes"),E18,G18-Parameters!$B$14)</f>
        <v>46049</v>
      </c>
      <c r="N18" s="5" t="str">
        <f t="shared" si="5"/>
        <v>Yes</v>
      </c>
      <c r="O18" s="7" t="s">
        <v>326</v>
      </c>
    </row>
    <row r="20" spans="1:15" x14ac:dyDescent="0.2">
      <c r="A20" s="8" t="s">
        <v>327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4"/>
  <sheetViews>
    <sheetView workbookViewId="0"/>
  </sheetViews>
  <sheetFormatPr baseColWidth="10" defaultColWidth="8.83203125" defaultRowHeight="15" x14ac:dyDescent="0.2"/>
  <cols>
    <col min="1" max="1" width="36" customWidth="1"/>
    <col min="2" max="2" width="17" customWidth="1"/>
    <col min="3" max="3" width="12" customWidth="1"/>
    <col min="4" max="4" width="34" customWidth="1"/>
    <col min="5" max="5" width="13" customWidth="1"/>
    <col min="6" max="6" width="11" customWidth="1"/>
    <col min="7" max="8" width="13" customWidth="1"/>
    <col min="9" max="9" width="14" customWidth="1"/>
    <col min="10" max="10" width="11" customWidth="1"/>
    <col min="11" max="11" width="66" customWidth="1"/>
  </cols>
  <sheetData>
    <row r="1" spans="1:11" ht="17" customHeight="1" x14ac:dyDescent="0.2">
      <c r="A1" s="1" t="s">
        <v>328</v>
      </c>
    </row>
    <row r="3" spans="1:11" ht="30" customHeight="1" x14ac:dyDescent="0.2">
      <c r="A3" s="4" t="s">
        <v>329</v>
      </c>
      <c r="B3" s="4" t="s">
        <v>242</v>
      </c>
      <c r="C3" s="4" t="s">
        <v>330</v>
      </c>
      <c r="D3" s="4" t="s">
        <v>331</v>
      </c>
      <c r="E3" s="4" t="s">
        <v>332</v>
      </c>
      <c r="F3" s="4" t="s">
        <v>333</v>
      </c>
      <c r="G3" s="4" t="s">
        <v>334</v>
      </c>
      <c r="H3" s="4" t="s">
        <v>335</v>
      </c>
      <c r="I3" s="4" t="s">
        <v>336</v>
      </c>
      <c r="J3" s="4" t="s">
        <v>337</v>
      </c>
      <c r="K3" s="4" t="s">
        <v>253</v>
      </c>
    </row>
    <row r="4" spans="1:11" ht="30" customHeight="1" x14ac:dyDescent="0.2">
      <c r="A4" s="5" t="s">
        <v>254</v>
      </c>
      <c r="B4" s="5" t="str">
        <f>Notices!C4</f>
        <v>Other claimant</v>
      </c>
      <c r="C4" s="5" t="str">
        <f>IF(OR(Notices!C4="Direct contractor",LEFT(Notices!I4,3)="Yes"),"Yes","No")</f>
        <v>Yes</v>
      </c>
      <c r="D4" s="5" t="s">
        <v>186</v>
      </c>
      <c r="E4" s="5" t="s">
        <v>338</v>
      </c>
      <c r="F4" s="5">
        <f t="shared" ref="F4:F18" si="0">IF(E4="","",DATE(VALUE(RIGHT(E4,4)),VALUE(LEFT(E4,2)),VALUE(MID(E4,4,2))))</f>
        <v>46265</v>
      </c>
      <c r="G4" s="5" t="str">
        <f>IF(C4="No","Not entitled",IF(E4="","No",IF(F4&lt;=Parameters!$C$38,"Yes","No")))</f>
        <v>Yes</v>
      </c>
      <c r="H4" s="5" t="str">
        <f t="shared" ref="H4:H18" si="1">IF(G4="No","No","Yes")</f>
        <v>Yes</v>
      </c>
      <c r="I4" s="5" t="str">
        <f t="shared" ref="I4:I18" si="2">TEXT(J4,"mm/dd/yyyy")</f>
        <v>09/28/2026</v>
      </c>
      <c r="J4" s="5">
        <f>IF(H4="No",Parameters!$C$43,IF(B4="Direct contractor",Parameters!$C$42,Parameters!$C$41))</f>
        <v>46293</v>
      </c>
      <c r="K4" s="7" t="s">
        <v>339</v>
      </c>
    </row>
    <row r="5" spans="1:11" ht="30" customHeight="1" x14ac:dyDescent="0.2">
      <c r="A5" s="5" t="s">
        <v>261</v>
      </c>
      <c r="B5" s="5" t="str">
        <f>Notices!C5</f>
        <v>Other claimant</v>
      </c>
      <c r="C5" s="5" t="str">
        <f>IF(OR(Notices!C5="Direct contractor",LEFT(Notices!I5,3)="Yes"),"Yes","No")</f>
        <v>Yes</v>
      </c>
      <c r="D5" s="5" t="s">
        <v>340</v>
      </c>
      <c r="E5" s="5" t="s">
        <v>338</v>
      </c>
      <c r="F5" s="5">
        <f t="shared" si="0"/>
        <v>46265</v>
      </c>
      <c r="G5" s="5" t="str">
        <f>IF(C5="No","Not entitled",IF(E5="","No",IF(F5&lt;=Parameters!$C$38,"Yes","No")))</f>
        <v>Yes</v>
      </c>
      <c r="H5" s="5" t="str">
        <f t="shared" si="1"/>
        <v>Yes</v>
      </c>
      <c r="I5" s="5" t="str">
        <f t="shared" si="2"/>
        <v>09/28/2026</v>
      </c>
      <c r="J5" s="5">
        <f>IF(H5="No",Parameters!$C$43,IF(B5="Direct contractor",Parameters!$C$42,Parameters!$C$41))</f>
        <v>46293</v>
      </c>
      <c r="K5" s="7" t="s">
        <v>341</v>
      </c>
    </row>
    <row r="6" spans="1:11" ht="30" customHeight="1" x14ac:dyDescent="0.2">
      <c r="A6" s="5" t="s">
        <v>266</v>
      </c>
      <c r="B6" s="5" t="str">
        <f>Notices!C6</f>
        <v>Other claimant</v>
      </c>
      <c r="C6" s="5" t="str">
        <f>IF(OR(Notices!C6="Direct contractor",LEFT(Notices!I6,3)="Yes"),"Yes","No")</f>
        <v>No</v>
      </c>
      <c r="D6" s="5" t="s">
        <v>342</v>
      </c>
      <c r="F6" s="5" t="str">
        <f t="shared" si="0"/>
        <v/>
      </c>
      <c r="G6" s="5" t="str">
        <f>IF(C6="No","Not entitled",IF(E6="","No",IF(F6&lt;=Parameters!$C$38,"Yes","No")))</f>
        <v>Not entitled</v>
      </c>
      <c r="H6" s="5" t="str">
        <f t="shared" si="1"/>
        <v>Yes</v>
      </c>
      <c r="I6" s="5" t="str">
        <f t="shared" si="2"/>
        <v>09/28/2026</v>
      </c>
      <c r="J6" s="5">
        <f>IF(H6="No",Parameters!$C$43,IF(B6="Direct contractor",Parameters!$C$42,Parameters!$C$41))</f>
        <v>46293</v>
      </c>
      <c r="K6" s="7" t="s">
        <v>343</v>
      </c>
    </row>
    <row r="7" spans="1:11" ht="30" customHeight="1" x14ac:dyDescent="0.2">
      <c r="A7" s="5" t="s">
        <v>271</v>
      </c>
      <c r="B7" s="5" t="str">
        <f>Notices!C7</f>
        <v>Other claimant</v>
      </c>
      <c r="C7" s="5" t="str">
        <f>IF(OR(Notices!C7="Direct contractor",LEFT(Notices!I7,3)="Yes"),"Yes","No")</f>
        <v>Yes</v>
      </c>
      <c r="D7" s="5" t="s">
        <v>344</v>
      </c>
      <c r="E7" s="5" t="s">
        <v>345</v>
      </c>
      <c r="F7" s="5">
        <f t="shared" si="0"/>
        <v>46273</v>
      </c>
      <c r="G7" s="5" t="str">
        <f>IF(C7="No","Not entitled",IF(E7="","No",IF(F7&lt;=Parameters!$C$38,"Yes","No")))</f>
        <v>Yes</v>
      </c>
      <c r="H7" s="5" t="str">
        <f t="shared" si="1"/>
        <v>Yes</v>
      </c>
      <c r="I7" s="5" t="str">
        <f t="shared" si="2"/>
        <v>09/28/2026</v>
      </c>
      <c r="J7" s="5">
        <f>IF(H7="No",Parameters!$C$43,IF(B7="Direct contractor",Parameters!$C$42,Parameters!$C$41))</f>
        <v>46293</v>
      </c>
      <c r="K7" s="7" t="s">
        <v>346</v>
      </c>
    </row>
    <row r="8" spans="1:11" ht="30" customHeight="1" x14ac:dyDescent="0.2">
      <c r="A8" s="5" t="s">
        <v>276</v>
      </c>
      <c r="B8" s="5" t="str">
        <f>Notices!C8</f>
        <v>Other claimant</v>
      </c>
      <c r="C8" s="5" t="str">
        <f>IF(OR(Notices!C8="Direct contractor",LEFT(Notices!I8,3)="Yes"),"Yes","No")</f>
        <v>Yes</v>
      </c>
      <c r="D8" s="5" t="s">
        <v>223</v>
      </c>
      <c r="E8" s="5" t="s">
        <v>338</v>
      </c>
      <c r="F8" s="5">
        <f t="shared" si="0"/>
        <v>46265</v>
      </c>
      <c r="G8" s="5" t="str">
        <f>IF(C8="No","Not entitled",IF(E8="","No",IF(F8&lt;=Parameters!$C$38,"Yes","No")))</f>
        <v>Yes</v>
      </c>
      <c r="H8" s="5" t="str">
        <f t="shared" si="1"/>
        <v>Yes</v>
      </c>
      <c r="I8" s="5" t="str">
        <f t="shared" si="2"/>
        <v>09/28/2026</v>
      </c>
      <c r="J8" s="5">
        <f>IF(H8="No",Parameters!$C$43,IF(B8="Direct contractor",Parameters!$C$42,Parameters!$C$41))</f>
        <v>46293</v>
      </c>
      <c r="K8" s="7" t="s">
        <v>347</v>
      </c>
    </row>
    <row r="9" spans="1:11" ht="30" customHeight="1" x14ac:dyDescent="0.2">
      <c r="A9" s="5" t="s">
        <v>280</v>
      </c>
      <c r="B9" s="5" t="str">
        <f>Notices!C9</f>
        <v>Other claimant</v>
      </c>
      <c r="C9" s="5" t="str">
        <f>IF(OR(Notices!C9="Direct contractor",LEFT(Notices!I9,3)="Yes"),"Yes","No")</f>
        <v>Yes</v>
      </c>
      <c r="D9" s="5" t="s">
        <v>348</v>
      </c>
      <c r="E9" s="5" t="s">
        <v>338</v>
      </c>
      <c r="F9" s="5">
        <f t="shared" si="0"/>
        <v>46265</v>
      </c>
      <c r="G9" s="5" t="str">
        <f>IF(C9="No","Not entitled",IF(E9="","No",IF(F9&lt;=Parameters!$C$38,"Yes","No")))</f>
        <v>Yes</v>
      </c>
      <c r="H9" s="5" t="str">
        <f t="shared" si="1"/>
        <v>Yes</v>
      </c>
      <c r="I9" s="5" t="str">
        <f t="shared" si="2"/>
        <v>09/28/2026</v>
      </c>
      <c r="J9" s="5">
        <f>IF(H9="No",Parameters!$C$43,IF(B9="Direct contractor",Parameters!$C$42,Parameters!$C$41))</f>
        <v>46293</v>
      </c>
      <c r="K9" s="7" t="s">
        <v>349</v>
      </c>
    </row>
    <row r="10" spans="1:11" ht="30" customHeight="1" x14ac:dyDescent="0.2">
      <c r="A10" s="5" t="s">
        <v>285</v>
      </c>
      <c r="B10" s="5" t="str">
        <f>Notices!C10</f>
        <v>Other claimant</v>
      </c>
      <c r="C10" s="5" t="str">
        <f>IF(OR(Notices!C10="Direct contractor",LEFT(Notices!I10,3)="Yes"),"Yes","No")</f>
        <v>Yes</v>
      </c>
      <c r="D10" s="5" t="s">
        <v>350</v>
      </c>
      <c r="E10" s="5" t="s">
        <v>345</v>
      </c>
      <c r="F10" s="5">
        <f t="shared" si="0"/>
        <v>46273</v>
      </c>
      <c r="G10" s="5" t="str">
        <f>IF(C10="No","Not entitled",IF(E10="","No",IF(F10&lt;=Parameters!$C$38,"Yes","No")))</f>
        <v>Yes</v>
      </c>
      <c r="H10" s="5" t="str">
        <f t="shared" si="1"/>
        <v>Yes</v>
      </c>
      <c r="I10" s="5" t="str">
        <f t="shared" si="2"/>
        <v>09/28/2026</v>
      </c>
      <c r="J10" s="5">
        <f>IF(H10="No",Parameters!$C$43,IF(B10="Direct contractor",Parameters!$C$42,Parameters!$C$41))</f>
        <v>46293</v>
      </c>
      <c r="K10" s="7" t="s">
        <v>351</v>
      </c>
    </row>
    <row r="11" spans="1:11" ht="30" customHeight="1" x14ac:dyDescent="0.2">
      <c r="A11" s="5" t="s">
        <v>290</v>
      </c>
      <c r="B11" s="5" t="str">
        <f>Notices!C11</f>
        <v>Other claimant</v>
      </c>
      <c r="C11" s="5" t="str">
        <f>IF(OR(Notices!C11="Direct contractor",LEFT(Notices!I11,3)="Yes"),"Yes","No")</f>
        <v>Yes</v>
      </c>
      <c r="D11" s="5" t="s">
        <v>198</v>
      </c>
      <c r="E11" s="5" t="s">
        <v>338</v>
      </c>
      <c r="F11" s="5">
        <f t="shared" si="0"/>
        <v>46265</v>
      </c>
      <c r="G11" s="5" t="str">
        <f>IF(C11="No","Not entitled",IF(E11="","No",IF(F11&lt;=Parameters!$C$38,"Yes","No")))</f>
        <v>Yes</v>
      </c>
      <c r="H11" s="5" t="str">
        <f t="shared" si="1"/>
        <v>Yes</v>
      </c>
      <c r="I11" s="5" t="str">
        <f t="shared" si="2"/>
        <v>09/28/2026</v>
      </c>
      <c r="J11" s="5">
        <f>IF(H11="No",Parameters!$C$43,IF(B11="Direct contractor",Parameters!$C$42,Parameters!$C$41))</f>
        <v>46293</v>
      </c>
      <c r="K11" s="7" t="s">
        <v>352</v>
      </c>
    </row>
    <row r="12" spans="1:11" ht="30" customHeight="1" x14ac:dyDescent="0.2">
      <c r="A12" s="5" t="s">
        <v>211</v>
      </c>
      <c r="B12" s="5" t="str">
        <f>Notices!C12</f>
        <v>Other claimant</v>
      </c>
      <c r="C12" s="5" t="str">
        <f>IF(OR(Notices!C12="Direct contractor",LEFT(Notices!I12,3)="Yes"),"Yes","No")</f>
        <v>Yes</v>
      </c>
      <c r="D12" s="5" t="s">
        <v>211</v>
      </c>
      <c r="E12" s="5" t="s">
        <v>338</v>
      </c>
      <c r="F12" s="5">
        <f t="shared" si="0"/>
        <v>46265</v>
      </c>
      <c r="G12" s="5" t="str">
        <f>IF(C12="No","Not entitled",IF(E12="","No",IF(F12&lt;=Parameters!$C$38,"Yes","No")))</f>
        <v>Yes</v>
      </c>
      <c r="H12" s="5" t="str">
        <f t="shared" si="1"/>
        <v>Yes</v>
      </c>
      <c r="I12" s="5" t="str">
        <f t="shared" si="2"/>
        <v>09/28/2026</v>
      </c>
      <c r="J12" s="5">
        <f>IF(H12="No",Parameters!$C$43,IF(B12="Direct contractor",Parameters!$C$42,Parameters!$C$41))</f>
        <v>46293</v>
      </c>
      <c r="K12" s="7" t="s">
        <v>353</v>
      </c>
    </row>
    <row r="13" spans="1:11" ht="30" customHeight="1" x14ac:dyDescent="0.2">
      <c r="A13" s="5" t="s">
        <v>298</v>
      </c>
      <c r="B13" s="5" t="str">
        <f>Notices!C13</f>
        <v>Other claimant</v>
      </c>
      <c r="C13" s="5" t="str">
        <f>IF(OR(Notices!C13="Direct contractor",LEFT(Notices!I13,3)="Yes"),"Yes","No")</f>
        <v>Yes</v>
      </c>
      <c r="D13" s="5" t="s">
        <v>354</v>
      </c>
      <c r="E13" s="5" t="s">
        <v>345</v>
      </c>
      <c r="F13" s="5">
        <f t="shared" si="0"/>
        <v>46273</v>
      </c>
      <c r="G13" s="5" t="str">
        <f>IF(C13="No","Not entitled",IF(E13="","No",IF(F13&lt;=Parameters!$C$38,"Yes","No")))</f>
        <v>Yes</v>
      </c>
      <c r="H13" s="5" t="str">
        <f t="shared" si="1"/>
        <v>Yes</v>
      </c>
      <c r="I13" s="5" t="str">
        <f t="shared" si="2"/>
        <v>09/28/2026</v>
      </c>
      <c r="J13" s="5">
        <f>IF(H13="No",Parameters!$C$43,IF(B13="Direct contractor",Parameters!$C$42,Parameters!$C$41))</f>
        <v>46293</v>
      </c>
      <c r="K13" s="7" t="s">
        <v>355</v>
      </c>
    </row>
    <row r="14" spans="1:11" ht="30" customHeight="1" x14ac:dyDescent="0.2">
      <c r="A14" s="5" t="s">
        <v>303</v>
      </c>
      <c r="B14" s="5" t="str">
        <f>Notices!C14</f>
        <v>Other claimant</v>
      </c>
      <c r="C14" s="5" t="str">
        <f>IF(OR(Notices!C14="Direct contractor",LEFT(Notices!I14,3)="Yes"),"Yes","No")</f>
        <v>Yes</v>
      </c>
      <c r="D14" s="5" t="s">
        <v>183</v>
      </c>
      <c r="E14" s="5" t="s">
        <v>338</v>
      </c>
      <c r="F14" s="5">
        <f t="shared" si="0"/>
        <v>46265</v>
      </c>
      <c r="G14" s="5" t="str">
        <f>IF(C14="No","Not entitled",IF(E14="","No",IF(F14&lt;=Parameters!$C$38,"Yes","No")))</f>
        <v>Yes</v>
      </c>
      <c r="H14" s="5" t="str">
        <f t="shared" si="1"/>
        <v>Yes</v>
      </c>
      <c r="I14" s="5" t="str">
        <f t="shared" si="2"/>
        <v>09/28/2026</v>
      </c>
      <c r="J14" s="5">
        <f>IF(H14="No",Parameters!$C$43,IF(B14="Direct contractor",Parameters!$C$42,Parameters!$C$41))</f>
        <v>46293</v>
      </c>
      <c r="K14" s="7" t="s">
        <v>356</v>
      </c>
    </row>
    <row r="15" spans="1:11" ht="30" customHeight="1" x14ac:dyDescent="0.2">
      <c r="A15" s="5" t="s">
        <v>308</v>
      </c>
      <c r="B15" s="5" t="str">
        <f>Notices!C15</f>
        <v>Other claimant</v>
      </c>
      <c r="C15" s="5" t="str">
        <f>IF(OR(Notices!C15="Direct contractor",LEFT(Notices!I15,3)="Yes"),"Yes","No")</f>
        <v>Yes</v>
      </c>
      <c r="D15" s="5" t="s">
        <v>342</v>
      </c>
      <c r="F15" s="5" t="str">
        <f t="shared" si="0"/>
        <v/>
      </c>
      <c r="G15" s="5" t="str">
        <f>IF(C15="No","Not entitled",IF(E15="","No",IF(F15&lt;=Parameters!$C$38,"Yes","No")))</f>
        <v>No</v>
      </c>
      <c r="H15" s="5" t="str">
        <f t="shared" si="1"/>
        <v>No</v>
      </c>
      <c r="I15" s="5" t="str">
        <f t="shared" si="2"/>
        <v>11/09/2026</v>
      </c>
      <c r="J15" s="5">
        <f>IF(H15="No",Parameters!$C$43,IF(B15="Direct contractor",Parameters!$C$42,Parameters!$C$41))</f>
        <v>46335</v>
      </c>
      <c r="K15" s="7" t="s">
        <v>357</v>
      </c>
    </row>
    <row r="16" spans="1:11" ht="30" customHeight="1" x14ac:dyDescent="0.2">
      <c r="A16" s="5" t="s">
        <v>299</v>
      </c>
      <c r="B16" s="5" t="str">
        <f>Notices!C16</f>
        <v>Other claimant</v>
      </c>
      <c r="C16" s="5" t="str">
        <f>IF(OR(Notices!C16="Direct contractor",LEFT(Notices!I16,3)="Yes"),"Yes","No")</f>
        <v>Yes</v>
      </c>
      <c r="D16" s="5" t="s">
        <v>358</v>
      </c>
      <c r="E16" s="5" t="s">
        <v>345</v>
      </c>
      <c r="F16" s="5">
        <f t="shared" si="0"/>
        <v>46273</v>
      </c>
      <c r="G16" s="5" t="str">
        <f>IF(C16="No","Not entitled",IF(E16="","No",IF(F16&lt;=Parameters!$C$38,"Yes","No")))</f>
        <v>Yes</v>
      </c>
      <c r="H16" s="5" t="str">
        <f t="shared" si="1"/>
        <v>Yes</v>
      </c>
      <c r="I16" s="5" t="str">
        <f t="shared" si="2"/>
        <v>09/28/2026</v>
      </c>
      <c r="J16" s="5">
        <f>IF(H16="No",Parameters!$C$43,IF(B16="Direct contractor",Parameters!$C$42,Parameters!$C$41))</f>
        <v>46293</v>
      </c>
      <c r="K16" s="7" t="s">
        <v>359</v>
      </c>
    </row>
    <row r="17" spans="1:11" ht="30" customHeight="1" x14ac:dyDescent="0.2">
      <c r="A17" s="5" t="s">
        <v>316</v>
      </c>
      <c r="B17" s="5" t="str">
        <f>Notices!C17</f>
        <v>Direct contractor</v>
      </c>
      <c r="C17" s="5" t="str">
        <f>IF(OR(Notices!C17="Direct contractor",LEFT(Notices!I17,3)="Yes"),"Yes","No")</f>
        <v>Yes</v>
      </c>
      <c r="D17" s="5" t="s">
        <v>342</v>
      </c>
      <c r="F17" s="5" t="str">
        <f t="shared" si="0"/>
        <v/>
      </c>
      <c r="G17" s="5" t="str">
        <f>IF(C17="No","Not entitled",IF(E17="","No",IF(F17&lt;=Parameters!$C$38,"Yes","No")))</f>
        <v>No</v>
      </c>
      <c r="H17" s="5" t="str">
        <f t="shared" si="1"/>
        <v>No</v>
      </c>
      <c r="I17" s="5" t="str">
        <f t="shared" si="2"/>
        <v>11/09/2026</v>
      </c>
      <c r="J17" s="5">
        <f>IF(H17="No",Parameters!$C$43,IF(B17="Direct contractor",Parameters!$C$42,Parameters!$C$41))</f>
        <v>46335</v>
      </c>
      <c r="K17" s="7" t="s">
        <v>360</v>
      </c>
    </row>
    <row r="18" spans="1:11" ht="30" customHeight="1" x14ac:dyDescent="0.2">
      <c r="A18" s="5" t="s">
        <v>322</v>
      </c>
      <c r="B18" s="5" t="str">
        <f>Notices!C18</f>
        <v>Other claimant</v>
      </c>
      <c r="C18" s="5" t="str">
        <f>IF(OR(Notices!C18="Direct contractor",LEFT(Notices!I18,3)="Yes"),"Yes","No")</f>
        <v>Yes</v>
      </c>
      <c r="D18" s="5" t="s">
        <v>361</v>
      </c>
      <c r="E18" s="5" t="s">
        <v>362</v>
      </c>
      <c r="F18" s="5">
        <f t="shared" si="0"/>
        <v>46274</v>
      </c>
      <c r="G18" s="5" t="str">
        <f>IF(C18="No","Not entitled",IF(E18="","No",IF(F18&lt;=Parameters!$C$38,"Yes","No")))</f>
        <v>No</v>
      </c>
      <c r="H18" s="5" t="str">
        <f t="shared" si="1"/>
        <v>No</v>
      </c>
      <c r="I18" s="5" t="str">
        <f t="shared" si="2"/>
        <v>11/09/2026</v>
      </c>
      <c r="J18" s="5">
        <f>IF(H18="No",Parameters!$C$43,IF(B18="Direct contractor",Parameters!$C$42,Parameters!$C$41))</f>
        <v>46335</v>
      </c>
      <c r="K18" s="7" t="s">
        <v>363</v>
      </c>
    </row>
    <row r="20" spans="1:11" x14ac:dyDescent="0.2">
      <c r="A20" s="3" t="s">
        <v>364</v>
      </c>
    </row>
    <row r="21" spans="1:11" ht="30" customHeight="1" x14ac:dyDescent="0.2">
      <c r="A21" s="4" t="s">
        <v>329</v>
      </c>
      <c r="B21" s="4" t="s">
        <v>242</v>
      </c>
      <c r="C21" s="4" t="s">
        <v>330</v>
      </c>
      <c r="D21" s="4" t="s">
        <v>331</v>
      </c>
      <c r="E21" s="4" t="s">
        <v>332</v>
      </c>
      <c r="F21" s="4" t="s">
        <v>333</v>
      </c>
      <c r="G21" s="4" t="s">
        <v>334</v>
      </c>
      <c r="H21" s="4" t="s">
        <v>335</v>
      </c>
      <c r="I21" s="4" t="s">
        <v>336</v>
      </c>
      <c r="J21" s="4" t="s">
        <v>337</v>
      </c>
      <c r="K21" s="4" t="s">
        <v>253</v>
      </c>
    </row>
    <row r="22" spans="1:11" ht="30" customHeight="1" x14ac:dyDescent="0.2">
      <c r="A22" s="5" t="s">
        <v>255</v>
      </c>
      <c r="B22" s="5" t="s">
        <v>318</v>
      </c>
      <c r="C22" s="5" t="s">
        <v>365</v>
      </c>
      <c r="D22" s="5" t="s">
        <v>366</v>
      </c>
      <c r="E22" s="5" t="s">
        <v>362</v>
      </c>
      <c r="F22" s="5">
        <f>IF(E22="","",DATE(VALUE(RIGHT(E22,4)),VALUE(LEFT(E22,2)),VALUE(MID(E22,4,2))))</f>
        <v>46274</v>
      </c>
      <c r="G22" s="5" t="str">
        <f>IF(C22="No","Not entitled",IF(E22="","No",IF(F22&lt;=Parameters!$C$38,"Yes","No")))</f>
        <v>No</v>
      </c>
      <c r="H22" s="5" t="str">
        <f>IF(G22="No","No","Yes")</f>
        <v>No</v>
      </c>
      <c r="I22" s="5" t="str">
        <f>TEXT(J22,"mm/dd/yyyy")</f>
        <v>11/09/2026</v>
      </c>
      <c r="J22" s="5">
        <f>IF(H22="No",Parameters!$C$43,IF(B22="Direct contractor",Parameters!$C$42,Parameters!$C$41))</f>
        <v>46335</v>
      </c>
      <c r="K22" s="7" t="s">
        <v>367</v>
      </c>
    </row>
    <row r="24" spans="1:11" x14ac:dyDescent="0.2">
      <c r="A24" s="8" t="s">
        <v>368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0"/>
  <sheetViews>
    <sheetView workbookViewId="0"/>
  </sheetViews>
  <sheetFormatPr baseColWidth="10" defaultColWidth="8.83203125" defaultRowHeight="15" x14ac:dyDescent="0.2"/>
  <cols>
    <col min="1" max="1" width="36" customWidth="1"/>
    <col min="2" max="2" width="12" customWidth="1"/>
    <col min="3" max="3" width="11" customWidth="1"/>
    <col min="4" max="4" width="16" customWidth="1"/>
    <col min="5" max="5" width="9" customWidth="1"/>
    <col min="6" max="6" width="52" customWidth="1"/>
    <col min="7" max="7" width="12" customWidth="1"/>
    <col min="8" max="8" width="14" customWidth="1"/>
    <col min="9" max="9" width="11" customWidth="1"/>
    <col min="10" max="10" width="14" customWidth="1"/>
    <col min="11" max="11" width="11" customWidth="1"/>
    <col min="12" max="12" width="14" customWidth="1"/>
  </cols>
  <sheetData>
    <row r="1" spans="1:12" ht="17" customHeight="1" x14ac:dyDescent="0.2">
      <c r="A1" s="1" t="s">
        <v>369</v>
      </c>
    </row>
    <row r="3" spans="1:12" ht="30" customHeight="1" x14ac:dyDescent="0.2">
      <c r="A3" s="4" t="s">
        <v>30</v>
      </c>
      <c r="B3" s="4" t="s">
        <v>31</v>
      </c>
      <c r="C3" s="4" t="s">
        <v>370</v>
      </c>
      <c r="D3" s="4" t="s">
        <v>336</v>
      </c>
      <c r="E3" s="4" t="s">
        <v>34</v>
      </c>
      <c r="F3" s="4" t="s">
        <v>371</v>
      </c>
      <c r="G3" s="4" t="s">
        <v>35</v>
      </c>
      <c r="H3" s="4" t="s">
        <v>372</v>
      </c>
      <c r="I3" s="4" t="s">
        <v>373</v>
      </c>
      <c r="J3" s="4" t="s">
        <v>374</v>
      </c>
      <c r="K3" s="4" t="s">
        <v>36</v>
      </c>
      <c r="L3" s="4" t="s">
        <v>375</v>
      </c>
    </row>
    <row r="4" spans="1:12" ht="30" customHeight="1" x14ac:dyDescent="0.2">
      <c r="A4" s="5" t="s">
        <v>254</v>
      </c>
      <c r="B4" s="5" t="s">
        <v>214</v>
      </c>
      <c r="C4" s="5">
        <f t="shared" ref="C4:C18" si="0">DATE(VALUE(RIGHT(B4,4)),VALUE(LEFT(B4,2)),VALUE(MID(B4,4,2)))</f>
        <v>46199</v>
      </c>
      <c r="D4" s="5" t="str">
        <f>'NOC Copies'!I4</f>
        <v>09/28/2026</v>
      </c>
      <c r="E4" s="5" t="str">
        <f>IF(C4&lt;='NOC Copies'!J4,"Yes","No")</f>
        <v>Yes</v>
      </c>
      <c r="F4" s="7" t="s">
        <v>376</v>
      </c>
      <c r="G4" s="5" t="str">
        <f t="shared" ref="G4:G18" si="1">IF(LEFT(F4,5)="Owner","Yes","No")</f>
        <v>Yes</v>
      </c>
      <c r="H4" s="5" t="str">
        <f t="shared" ref="H4:H18" si="2">TEXT(I4,"mm/dd/yyyy")</f>
        <v>09/24/2026</v>
      </c>
      <c r="I4" s="5">
        <f>IF(OR(WEEKDAY(C4+Parameters!$B$15,2)&gt;5,COUNTIF(Parameters!$C$6:$C$7,C4+Parameters!$B$15)&gt;0),WORKDAY(C4+Parameters!$B$15,1,Parameters!$C$6:$C$7),C4+Parameters!$B$15)</f>
        <v>46289</v>
      </c>
      <c r="J4" s="5" t="s">
        <v>377</v>
      </c>
      <c r="K4" s="5" t="str">
        <f>IF(J4&lt;&gt;"None","No",IF(Parameters!$C$20&gt;I4,"Yes",IF(Parameters!$C$21&gt;I4,"Not shown","No")))</f>
        <v>Yes</v>
      </c>
      <c r="L4" s="5" t="s">
        <v>378</v>
      </c>
    </row>
    <row r="5" spans="1:12" ht="30" customHeight="1" x14ac:dyDescent="0.2">
      <c r="A5" s="5" t="s">
        <v>261</v>
      </c>
      <c r="B5" s="5" t="s">
        <v>219</v>
      </c>
      <c r="C5" s="5">
        <f t="shared" si="0"/>
        <v>46209</v>
      </c>
      <c r="D5" s="5" t="str">
        <f>'NOC Copies'!I5</f>
        <v>09/28/2026</v>
      </c>
      <c r="E5" s="5" t="str">
        <f>IF(C5&lt;='NOC Copies'!J5,"Yes","No")</f>
        <v>Yes</v>
      </c>
      <c r="F5" s="7" t="s">
        <v>376</v>
      </c>
      <c r="G5" s="5" t="str">
        <f t="shared" si="1"/>
        <v>Yes</v>
      </c>
      <c r="H5" s="5" t="str">
        <f t="shared" si="2"/>
        <v>10/05/2026</v>
      </c>
      <c r="I5" s="5">
        <f>IF(OR(WEEKDAY(C5+Parameters!$B$15,2)&gt;5,COUNTIF(Parameters!$C$6:$C$7,C5+Parameters!$B$15)&gt;0),WORKDAY(C5+Parameters!$B$15,1,Parameters!$C$6:$C$7),C5+Parameters!$B$15)</f>
        <v>46300</v>
      </c>
      <c r="J5" s="5" t="s">
        <v>377</v>
      </c>
      <c r="K5" s="5" t="str">
        <f>IF(J5&lt;&gt;"None","No",IF(Parameters!$C$20&gt;I5,"Yes",IF(Parameters!$C$21&gt;I5,"Not shown","No")))</f>
        <v>Not shown</v>
      </c>
      <c r="L5" s="5" t="s">
        <v>379</v>
      </c>
    </row>
    <row r="6" spans="1:12" ht="30" customHeight="1" x14ac:dyDescent="0.2">
      <c r="A6" s="5" t="s">
        <v>266</v>
      </c>
      <c r="B6" s="5" t="s">
        <v>380</v>
      </c>
      <c r="C6" s="5">
        <f t="shared" si="0"/>
        <v>46279</v>
      </c>
      <c r="D6" s="5" t="str">
        <f>'NOC Copies'!I6</f>
        <v>09/28/2026</v>
      </c>
      <c r="E6" s="5" t="str">
        <f>IF(C6&lt;='NOC Copies'!J6,"Yes","No")</f>
        <v>Yes</v>
      </c>
      <c r="F6" s="7" t="s">
        <v>376</v>
      </c>
      <c r="G6" s="5" t="str">
        <f t="shared" si="1"/>
        <v>Yes</v>
      </c>
      <c r="H6" s="5" t="str">
        <f t="shared" si="2"/>
        <v>12/14/2026</v>
      </c>
      <c r="I6" s="5">
        <f>IF(OR(WEEKDAY(C6+Parameters!$B$15,2)&gt;5,COUNTIF(Parameters!$C$6:$C$7,C6+Parameters!$B$15)&gt;0),WORKDAY(C6+Parameters!$B$15,1,Parameters!$C$6:$C$7),C6+Parameters!$B$15)</f>
        <v>46370</v>
      </c>
      <c r="J6" s="5" t="s">
        <v>377</v>
      </c>
      <c r="K6" s="5" t="str">
        <f>IF(J6&lt;&gt;"None","No",IF(Parameters!$C$20&gt;I6,"Yes",IF(Parameters!$C$21&gt;I6,"Not shown","No")))</f>
        <v>No</v>
      </c>
      <c r="L6" s="5" t="s">
        <v>381</v>
      </c>
    </row>
    <row r="7" spans="1:12" ht="30" customHeight="1" x14ac:dyDescent="0.2">
      <c r="A7" s="5" t="s">
        <v>271</v>
      </c>
      <c r="B7" s="5" t="s">
        <v>382</v>
      </c>
      <c r="C7" s="5">
        <f t="shared" si="0"/>
        <v>46281</v>
      </c>
      <c r="D7" s="5" t="str">
        <f>'NOC Copies'!I7</f>
        <v>09/28/2026</v>
      </c>
      <c r="E7" s="5" t="str">
        <f>IF(C7&lt;='NOC Copies'!J7,"Yes","No")</f>
        <v>Yes</v>
      </c>
      <c r="F7" s="7" t="s">
        <v>376</v>
      </c>
      <c r="G7" s="5" t="str">
        <f t="shared" si="1"/>
        <v>Yes</v>
      </c>
      <c r="H7" s="5" t="str">
        <f t="shared" si="2"/>
        <v>12/15/2026</v>
      </c>
      <c r="I7" s="5">
        <f>IF(OR(WEEKDAY(C7+Parameters!$B$15,2)&gt;5,COUNTIF(Parameters!$C$6:$C$7,C7+Parameters!$B$15)&gt;0),WORKDAY(C7+Parameters!$B$15,1,Parameters!$C$6:$C$7),C7+Parameters!$B$15)</f>
        <v>46371</v>
      </c>
      <c r="J7" s="5" t="s">
        <v>377</v>
      </c>
      <c r="K7" s="5" t="str">
        <f>IF(J7&lt;&gt;"None","No",IF(Parameters!$C$20&gt;I7,"Yes",IF(Parameters!$C$21&gt;I7,"Not shown","No")))</f>
        <v>No</v>
      </c>
      <c r="L7" s="5" t="s">
        <v>383</v>
      </c>
    </row>
    <row r="8" spans="1:12" ht="30" customHeight="1" x14ac:dyDescent="0.2">
      <c r="A8" s="5" t="s">
        <v>276</v>
      </c>
      <c r="B8" s="5" t="s">
        <v>384</v>
      </c>
      <c r="C8" s="5">
        <f t="shared" si="0"/>
        <v>46282</v>
      </c>
      <c r="D8" s="5" t="str">
        <f>'NOC Copies'!I8</f>
        <v>09/28/2026</v>
      </c>
      <c r="E8" s="5" t="str">
        <f>IF(C8&lt;='NOC Copies'!J8,"Yes","No")</f>
        <v>Yes</v>
      </c>
      <c r="F8" s="7" t="s">
        <v>385</v>
      </c>
      <c r="G8" s="5" t="str">
        <f t="shared" si="1"/>
        <v>No</v>
      </c>
      <c r="H8" s="5" t="str">
        <f t="shared" si="2"/>
        <v>12/16/2026</v>
      </c>
      <c r="I8" s="5">
        <f>IF(OR(WEEKDAY(C8+Parameters!$B$15,2)&gt;5,COUNTIF(Parameters!$C$6:$C$7,C8+Parameters!$B$15)&gt;0),WORKDAY(C8+Parameters!$B$15,1,Parameters!$C$6:$C$7),C8+Parameters!$B$15)</f>
        <v>46372</v>
      </c>
      <c r="J8" s="5" t="s">
        <v>377</v>
      </c>
      <c r="K8" s="5" t="str">
        <f>IF(J8&lt;&gt;"None","No",IF(Parameters!$C$20&gt;I8,"Yes",IF(Parameters!$C$21&gt;I8,"Not shown","No")))</f>
        <v>No</v>
      </c>
      <c r="L8" s="5" t="s">
        <v>386</v>
      </c>
    </row>
    <row r="9" spans="1:12" ht="30" customHeight="1" x14ac:dyDescent="0.2">
      <c r="A9" s="5" t="s">
        <v>280</v>
      </c>
      <c r="B9" s="5" t="s">
        <v>387</v>
      </c>
      <c r="C9" s="5">
        <f t="shared" si="0"/>
        <v>46286</v>
      </c>
      <c r="D9" s="5" t="str">
        <f>'NOC Copies'!I9</f>
        <v>09/28/2026</v>
      </c>
      <c r="E9" s="5" t="str">
        <f>IF(C9&lt;='NOC Copies'!J9,"Yes","No")</f>
        <v>Yes</v>
      </c>
      <c r="F9" s="7" t="s">
        <v>376</v>
      </c>
      <c r="G9" s="5" t="str">
        <f t="shared" si="1"/>
        <v>Yes</v>
      </c>
      <c r="H9" s="5" t="str">
        <f t="shared" si="2"/>
        <v>12/21/2026</v>
      </c>
      <c r="I9" s="5">
        <f>IF(OR(WEEKDAY(C9+Parameters!$B$15,2)&gt;5,COUNTIF(Parameters!$C$6:$C$7,C9+Parameters!$B$15)&gt;0),WORKDAY(C9+Parameters!$B$15,1,Parameters!$C$6:$C$7),C9+Parameters!$B$15)</f>
        <v>46377</v>
      </c>
      <c r="J9" s="5" t="s">
        <v>377</v>
      </c>
      <c r="K9" s="5" t="str">
        <f>IF(J9&lt;&gt;"None","No",IF(Parameters!$C$20&gt;I9,"Yes",IF(Parameters!$C$21&gt;I9,"Not shown","No")))</f>
        <v>No</v>
      </c>
      <c r="L9" s="5" t="s">
        <v>388</v>
      </c>
    </row>
    <row r="10" spans="1:12" ht="30" customHeight="1" x14ac:dyDescent="0.2">
      <c r="A10" s="5" t="s">
        <v>285</v>
      </c>
      <c r="B10" s="5" t="s">
        <v>389</v>
      </c>
      <c r="C10" s="5">
        <f t="shared" si="0"/>
        <v>46287</v>
      </c>
      <c r="D10" s="5" t="str">
        <f>'NOC Copies'!I10</f>
        <v>09/28/2026</v>
      </c>
      <c r="E10" s="5" t="str">
        <f>IF(C10&lt;='NOC Copies'!J10,"Yes","No")</f>
        <v>Yes</v>
      </c>
      <c r="F10" s="7" t="s">
        <v>376</v>
      </c>
      <c r="G10" s="5" t="str">
        <f t="shared" si="1"/>
        <v>Yes</v>
      </c>
      <c r="H10" s="5" t="str">
        <f t="shared" si="2"/>
        <v>12/21/2026</v>
      </c>
      <c r="I10" s="5">
        <f>IF(OR(WEEKDAY(C10+Parameters!$B$15,2)&gt;5,COUNTIF(Parameters!$C$6:$C$7,C10+Parameters!$B$15)&gt;0),WORKDAY(C10+Parameters!$B$15,1,Parameters!$C$6:$C$7),C10+Parameters!$B$15)</f>
        <v>46377</v>
      </c>
      <c r="J10" s="5" t="s">
        <v>377</v>
      </c>
      <c r="K10" s="5" t="str">
        <f>IF(J10&lt;&gt;"None","No",IF(Parameters!$C$20&gt;I10,"Yes",IF(Parameters!$C$21&gt;I10,"Not shown","No")))</f>
        <v>No</v>
      </c>
      <c r="L10" s="5" t="s">
        <v>390</v>
      </c>
    </row>
    <row r="11" spans="1:12" ht="30" customHeight="1" x14ac:dyDescent="0.2">
      <c r="A11" s="5" t="s">
        <v>290</v>
      </c>
      <c r="B11" s="5" t="s">
        <v>238</v>
      </c>
      <c r="C11" s="5">
        <f t="shared" si="0"/>
        <v>46288</v>
      </c>
      <c r="D11" s="5" t="str">
        <f>'NOC Copies'!I11</f>
        <v>09/28/2026</v>
      </c>
      <c r="E11" s="5" t="str">
        <f>IF(C11&lt;='NOC Copies'!J11,"Yes","No")</f>
        <v>Yes</v>
      </c>
      <c r="F11" s="7" t="s">
        <v>376</v>
      </c>
      <c r="G11" s="5" t="str">
        <f t="shared" si="1"/>
        <v>Yes</v>
      </c>
      <c r="H11" s="5" t="str">
        <f t="shared" si="2"/>
        <v>12/22/2026</v>
      </c>
      <c r="I11" s="5">
        <f>IF(OR(WEEKDAY(C11+Parameters!$B$15,2)&gt;5,COUNTIF(Parameters!$C$6:$C$7,C11+Parameters!$B$15)&gt;0),WORKDAY(C11+Parameters!$B$15,1,Parameters!$C$6:$C$7),C11+Parameters!$B$15)</f>
        <v>46378</v>
      </c>
      <c r="J11" s="5" t="s">
        <v>377</v>
      </c>
      <c r="K11" s="5" t="str">
        <f>IF(J11&lt;&gt;"None","No",IF(Parameters!$C$20&gt;I11,"Yes",IF(Parameters!$C$21&gt;I11,"Not shown","No")))</f>
        <v>No</v>
      </c>
      <c r="L11" s="5" t="s">
        <v>391</v>
      </c>
    </row>
    <row r="12" spans="1:12" ht="30" customHeight="1" x14ac:dyDescent="0.2">
      <c r="A12" s="5" t="s">
        <v>211</v>
      </c>
      <c r="B12" s="5" t="s">
        <v>392</v>
      </c>
      <c r="C12" s="5">
        <f t="shared" si="0"/>
        <v>46289</v>
      </c>
      <c r="D12" s="5" t="str">
        <f>'NOC Copies'!I12</f>
        <v>09/28/2026</v>
      </c>
      <c r="E12" s="5" t="str">
        <f>IF(C12&lt;='NOC Copies'!J12,"Yes","No")</f>
        <v>Yes</v>
      </c>
      <c r="F12" s="7" t="s">
        <v>393</v>
      </c>
      <c r="G12" s="5" t="str">
        <f t="shared" si="1"/>
        <v>Yes</v>
      </c>
      <c r="H12" s="5" t="str">
        <f t="shared" si="2"/>
        <v>12/23/2026</v>
      </c>
      <c r="I12" s="5">
        <f>IF(OR(WEEKDAY(C12+Parameters!$B$15,2)&gt;5,COUNTIF(Parameters!$C$6:$C$7,C12+Parameters!$B$15)&gt;0),WORKDAY(C12+Parameters!$B$15,1,Parameters!$C$6:$C$7),C12+Parameters!$B$15)</f>
        <v>46379</v>
      </c>
      <c r="J12" s="5" t="s">
        <v>377</v>
      </c>
      <c r="K12" s="5" t="str">
        <f>IF(J12&lt;&gt;"None","No",IF(Parameters!$C$20&gt;I12,"Yes",IF(Parameters!$C$21&gt;I12,"Not shown","No")))</f>
        <v>No</v>
      </c>
      <c r="L12" s="5" t="s">
        <v>394</v>
      </c>
    </row>
    <row r="13" spans="1:12" ht="30" customHeight="1" x14ac:dyDescent="0.2">
      <c r="A13" s="5" t="s">
        <v>298</v>
      </c>
      <c r="B13" s="5" t="s">
        <v>392</v>
      </c>
      <c r="C13" s="5">
        <f t="shared" si="0"/>
        <v>46289</v>
      </c>
      <c r="D13" s="5" t="str">
        <f>'NOC Copies'!I13</f>
        <v>09/28/2026</v>
      </c>
      <c r="E13" s="5" t="str">
        <f>IF(C13&lt;='NOC Copies'!J13,"Yes","No")</f>
        <v>Yes</v>
      </c>
      <c r="F13" s="7" t="s">
        <v>376</v>
      </c>
      <c r="G13" s="5" t="str">
        <f t="shared" si="1"/>
        <v>Yes</v>
      </c>
      <c r="H13" s="5" t="str">
        <f t="shared" si="2"/>
        <v>12/23/2026</v>
      </c>
      <c r="I13" s="5">
        <f>IF(OR(WEEKDAY(C13+Parameters!$B$15,2)&gt;5,COUNTIF(Parameters!$C$6:$C$7,C13+Parameters!$B$15)&gt;0),WORKDAY(C13+Parameters!$B$15,1,Parameters!$C$6:$C$7),C13+Parameters!$B$15)</f>
        <v>46379</v>
      </c>
      <c r="J13" s="5" t="s">
        <v>377</v>
      </c>
      <c r="K13" s="5" t="str">
        <f>IF(J13&lt;&gt;"None","No",IF(Parameters!$C$20&gt;I13,"Yes",IF(Parameters!$C$21&gt;I13,"Not shown","No")))</f>
        <v>No</v>
      </c>
      <c r="L13" s="5" t="s">
        <v>395</v>
      </c>
    </row>
    <row r="14" spans="1:12" ht="30" customHeight="1" x14ac:dyDescent="0.2">
      <c r="A14" s="5" t="s">
        <v>303</v>
      </c>
      <c r="B14" s="5" t="s">
        <v>396</v>
      </c>
      <c r="C14" s="5">
        <f t="shared" si="0"/>
        <v>46293</v>
      </c>
      <c r="D14" s="5" t="str">
        <f>'NOC Copies'!I14</f>
        <v>09/28/2026</v>
      </c>
      <c r="E14" s="5" t="str">
        <f>IF(C14&lt;='NOC Copies'!J14,"Yes","No")</f>
        <v>Yes</v>
      </c>
      <c r="F14" s="7" t="s">
        <v>376</v>
      </c>
      <c r="G14" s="5" t="str">
        <f t="shared" si="1"/>
        <v>Yes</v>
      </c>
      <c r="H14" s="5" t="str">
        <f t="shared" si="2"/>
        <v>12/28/2026</v>
      </c>
      <c r="I14" s="5">
        <f>IF(OR(WEEKDAY(C14+Parameters!$B$15,2)&gt;5,COUNTIF(Parameters!$C$6:$C$7,C14+Parameters!$B$15)&gt;0),WORKDAY(C14+Parameters!$B$15,1,Parameters!$C$6:$C$7),C14+Parameters!$B$15)</f>
        <v>46384</v>
      </c>
      <c r="J14" s="5" t="s">
        <v>377</v>
      </c>
      <c r="K14" s="5" t="str">
        <f>IF(J14&lt;&gt;"None","No",IF(Parameters!$C$20&gt;I14,"Yes",IF(Parameters!$C$21&gt;I14,"Not shown","No")))</f>
        <v>No</v>
      </c>
      <c r="L14" s="5" t="s">
        <v>397</v>
      </c>
    </row>
    <row r="15" spans="1:12" ht="30" customHeight="1" x14ac:dyDescent="0.2">
      <c r="A15" s="5" t="s">
        <v>308</v>
      </c>
      <c r="B15" s="5" t="s">
        <v>398</v>
      </c>
      <c r="C15" s="5">
        <f t="shared" si="0"/>
        <v>46294</v>
      </c>
      <c r="D15" s="5" t="str">
        <f>'NOC Copies'!I15</f>
        <v>11/09/2026</v>
      </c>
      <c r="E15" s="5" t="str">
        <f>IF(C15&lt;='NOC Copies'!J15,"Yes","No")</f>
        <v>Yes</v>
      </c>
      <c r="F15" s="7" t="s">
        <v>376</v>
      </c>
      <c r="G15" s="5" t="str">
        <f t="shared" si="1"/>
        <v>Yes</v>
      </c>
      <c r="H15" s="5" t="str">
        <f t="shared" si="2"/>
        <v>12/28/2026</v>
      </c>
      <c r="I15" s="5">
        <f>IF(OR(WEEKDAY(C15+Parameters!$B$15,2)&gt;5,COUNTIF(Parameters!$C$6:$C$7,C15+Parameters!$B$15)&gt;0),WORKDAY(C15+Parameters!$B$15,1,Parameters!$C$6:$C$7),C15+Parameters!$B$15)</f>
        <v>46384</v>
      </c>
      <c r="J15" s="5" t="s">
        <v>377</v>
      </c>
      <c r="K15" s="5" t="str">
        <f>IF(J15&lt;&gt;"None","No",IF(Parameters!$C$20&gt;I15,"Yes",IF(Parameters!$C$21&gt;I15,"Not shown","No")))</f>
        <v>No</v>
      </c>
      <c r="L15" s="5" t="s">
        <v>399</v>
      </c>
    </row>
    <row r="16" spans="1:12" ht="30" customHeight="1" x14ac:dyDescent="0.2">
      <c r="A16" s="5" t="s">
        <v>299</v>
      </c>
      <c r="B16" s="5" t="s">
        <v>239</v>
      </c>
      <c r="C16" s="5">
        <f t="shared" si="0"/>
        <v>46295</v>
      </c>
      <c r="D16" s="5" t="str">
        <f>'NOC Copies'!I16</f>
        <v>09/28/2026</v>
      </c>
      <c r="E16" s="5" t="str">
        <f>IF(C16&lt;='NOC Copies'!J16,"Yes","No")</f>
        <v>No</v>
      </c>
      <c r="F16" s="7" t="s">
        <v>376</v>
      </c>
      <c r="G16" s="5" t="str">
        <f t="shared" si="1"/>
        <v>Yes</v>
      </c>
      <c r="H16" s="5" t="str">
        <f t="shared" si="2"/>
        <v>12/29/2026</v>
      </c>
      <c r="I16" s="5">
        <f>IF(OR(WEEKDAY(C16+Parameters!$B$15,2)&gt;5,COUNTIF(Parameters!$C$6:$C$7,C16+Parameters!$B$15)&gt;0),WORKDAY(C16+Parameters!$B$15,1,Parameters!$C$6:$C$7),C16+Parameters!$B$15)</f>
        <v>46385</v>
      </c>
      <c r="J16" s="5" t="s">
        <v>377</v>
      </c>
      <c r="K16" s="5" t="str">
        <f>IF(J16&lt;&gt;"None","No",IF(Parameters!$C$20&gt;I16,"Yes",IF(Parameters!$C$21&gt;I16,"Not shown","No")))</f>
        <v>No</v>
      </c>
      <c r="L16" s="5" t="s">
        <v>400</v>
      </c>
    </row>
    <row r="17" spans="1:12" ht="30" customHeight="1" x14ac:dyDescent="0.2">
      <c r="A17" s="5" t="s">
        <v>316</v>
      </c>
      <c r="B17" s="5" t="s">
        <v>239</v>
      </c>
      <c r="C17" s="5">
        <f t="shared" si="0"/>
        <v>46295</v>
      </c>
      <c r="D17" s="5" t="str">
        <f>'NOC Copies'!I17</f>
        <v>11/09/2026</v>
      </c>
      <c r="E17" s="5" t="str">
        <f>IF(C17&lt;='NOC Copies'!J17,"Yes","No")</f>
        <v>Yes</v>
      </c>
      <c r="F17" s="7" t="s">
        <v>376</v>
      </c>
      <c r="G17" s="5" t="str">
        <f t="shared" si="1"/>
        <v>Yes</v>
      </c>
      <c r="H17" s="5" t="str">
        <f t="shared" si="2"/>
        <v>12/29/2026</v>
      </c>
      <c r="I17" s="5">
        <f>IF(OR(WEEKDAY(C17+Parameters!$B$15,2)&gt;5,COUNTIF(Parameters!$C$6:$C$7,C17+Parameters!$B$15)&gt;0),WORKDAY(C17+Parameters!$B$15,1,Parameters!$C$6:$C$7),C17+Parameters!$B$15)</f>
        <v>46385</v>
      </c>
      <c r="J17" s="5" t="s">
        <v>377</v>
      </c>
      <c r="K17" s="5" t="str">
        <f>IF(J17&lt;&gt;"None","No",IF(Parameters!$C$20&gt;I17,"Yes",IF(Parameters!$C$21&gt;I17,"Not shown","No")))</f>
        <v>No</v>
      </c>
      <c r="L17" s="5" t="s">
        <v>401</v>
      </c>
    </row>
    <row r="18" spans="1:12" ht="30" customHeight="1" x14ac:dyDescent="0.2">
      <c r="A18" s="5" t="s">
        <v>322</v>
      </c>
      <c r="B18" s="5" t="s">
        <v>402</v>
      </c>
      <c r="C18" s="5">
        <f t="shared" si="0"/>
        <v>46296</v>
      </c>
      <c r="D18" s="5" t="str">
        <f>'NOC Copies'!I18</f>
        <v>11/09/2026</v>
      </c>
      <c r="E18" s="5" t="str">
        <f>IF(C18&lt;='NOC Copies'!J18,"Yes","No")</f>
        <v>Yes</v>
      </c>
      <c r="F18" s="7" t="s">
        <v>376</v>
      </c>
      <c r="G18" s="5" t="str">
        <f t="shared" si="1"/>
        <v>Yes</v>
      </c>
      <c r="H18" s="5" t="str">
        <f t="shared" si="2"/>
        <v>12/30/2026</v>
      </c>
      <c r="I18" s="5">
        <f>IF(OR(WEEKDAY(C18+Parameters!$B$15,2)&gt;5,COUNTIF(Parameters!$C$6:$C$7,C18+Parameters!$B$15)&gt;0),WORKDAY(C18+Parameters!$B$15,1,Parameters!$C$6:$C$7),C18+Parameters!$B$15)</f>
        <v>46386</v>
      </c>
      <c r="J18" s="5" t="s">
        <v>377</v>
      </c>
      <c r="K18" s="5" t="str">
        <f>IF(J18&lt;&gt;"None","No",IF(Parameters!$C$20&gt;I18,"Yes",IF(Parameters!$C$21&gt;I18,"Not shown","No")))</f>
        <v>No</v>
      </c>
      <c r="L18" s="5" t="s">
        <v>403</v>
      </c>
    </row>
    <row r="20" spans="1:12" x14ac:dyDescent="0.2">
      <c r="A20" s="8" t="s">
        <v>404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0"/>
  <sheetViews>
    <sheetView workbookViewId="0"/>
  </sheetViews>
  <sheetFormatPr baseColWidth="10" defaultColWidth="8.83203125" defaultRowHeight="15" x14ac:dyDescent="0.2"/>
  <cols>
    <col min="1" max="1" width="34" customWidth="1"/>
    <col min="2" max="2" width="46" customWidth="1"/>
    <col min="3" max="3" width="13" customWidth="1"/>
    <col min="4" max="4" width="12" customWidth="1"/>
    <col min="5" max="5" width="13" customWidth="1"/>
    <col min="6" max="6" width="40" customWidth="1"/>
    <col min="7" max="7" width="34" customWidth="1"/>
    <col min="8" max="8" width="10" customWidth="1"/>
    <col min="9" max="9" width="22" customWidth="1"/>
    <col min="10" max="10" width="11" customWidth="1"/>
    <col min="11" max="12" width="10" customWidth="1"/>
    <col min="13" max="13" width="58" customWidth="1"/>
  </cols>
  <sheetData>
    <row r="1" spans="1:13" ht="17" customHeight="1" x14ac:dyDescent="0.2">
      <c r="A1" s="1" t="s">
        <v>405</v>
      </c>
    </row>
    <row r="3" spans="1:13" ht="30" customHeight="1" x14ac:dyDescent="0.2">
      <c r="A3" s="4" t="s">
        <v>30</v>
      </c>
      <c r="B3" s="4" t="s">
        <v>406</v>
      </c>
      <c r="C3" s="4" t="s">
        <v>407</v>
      </c>
      <c r="D3" s="4" t="s">
        <v>408</v>
      </c>
      <c r="E3" s="4" t="s">
        <v>179</v>
      </c>
      <c r="F3" s="4" t="s">
        <v>409</v>
      </c>
      <c r="G3" s="4" t="s">
        <v>410</v>
      </c>
      <c r="H3" s="4" t="s">
        <v>174</v>
      </c>
      <c r="I3" s="4" t="s">
        <v>411</v>
      </c>
      <c r="J3" s="4" t="s">
        <v>412</v>
      </c>
      <c r="K3" s="4" t="s">
        <v>413</v>
      </c>
      <c r="L3" s="4" t="s">
        <v>414</v>
      </c>
      <c r="M3" s="4" t="s">
        <v>415</v>
      </c>
    </row>
    <row r="4" spans="1:13" x14ac:dyDescent="0.2">
      <c r="A4" s="5" t="s">
        <v>254</v>
      </c>
      <c r="B4" s="7" t="s">
        <v>416</v>
      </c>
      <c r="C4" s="5" t="s">
        <v>417</v>
      </c>
      <c r="D4" s="5">
        <f t="shared" ref="D4:D38" si="0">IF(C4="","",DATE(VALUE(RIGHT(C4,4)),VALUE(LEFT(C4,2)),VALUE(MID(C4,4,2))))</f>
        <v>46081</v>
      </c>
      <c r="E4" s="6">
        <v>71250</v>
      </c>
      <c r="F4" s="7" t="s">
        <v>377</v>
      </c>
      <c r="H4" s="5" t="str">
        <f t="shared" ref="H4:H38" si="1">IF(G4="","",VALUE(RIGHT(G4,4)))</f>
        <v/>
      </c>
      <c r="I4" s="5" t="str">
        <f>IF(G4="","No check named",IF(COUNTIFS('DK Ledger'!$B$4:$B$42,H4,'DK Ledger'!$C$4:$C$42,"STP")&gt;0,"Stopped",IF(INDEX('DK Ledger'!$H$4:$H$42,MATCH(H4,'DK Ledger'!$B$4:$B$42,0))="","Not paid by the bank","Paid "&amp;INDEX('DK Ledger'!$H$4:$H$42,MATCH(H4,'DK Ledger'!$B$4:$B$42,0)))))</f>
        <v>No check named</v>
      </c>
      <c r="J4" s="5" t="str">
        <f t="shared" ref="J4:J38" si="2">IF(OR(LEFT(B4,32)="Unconditional Waiver and Release",LEFT(B4,30)="Conditional Waiver and Release"),"Yes","No")</f>
        <v>Yes</v>
      </c>
      <c r="K4" s="5" t="str">
        <f t="shared" ref="K4:K38" si="3">IF(J4="No","None",IF(ISNUMBER(SEARCH("Final Payment",B4)),"Final","Progress"))</f>
        <v>Progress</v>
      </c>
      <c r="L4" s="5" t="str">
        <f t="shared" ref="L4:L38" si="4">IF(J4="No","No",IF(LEFT(B4,13)="Unconditional","Yes",IF(LEFT(I4,4)="Paid","Yes","No")))</f>
        <v>Yes</v>
      </c>
      <c r="M4" s="7" t="str">
        <f t="shared" ref="M4:M38" si="5">IF(J4="No","Not one of the four statutory forms, releases nothing",IF(LEFT(B4,13)="Unconditional",IF(K4="Final","Effective when signed whether or not paid, section 8138","Effective when signed whether or not paid, section 8134"),IF(LEFT(I4,4)="Paid","Check paid by the bank, effective under section 8124(b)","No evidence of payment under section 8124(b), releases nothing until payment is shown")))</f>
        <v>Effective when signed whether or not paid, section 8134</v>
      </c>
    </row>
    <row r="5" spans="1:13" x14ac:dyDescent="0.2">
      <c r="A5" s="5" t="s">
        <v>254</v>
      </c>
      <c r="B5" s="7" t="s">
        <v>416</v>
      </c>
      <c r="C5" s="5" t="s">
        <v>188</v>
      </c>
      <c r="D5" s="5">
        <f t="shared" si="0"/>
        <v>46112</v>
      </c>
      <c r="E5" s="6">
        <v>158650</v>
      </c>
      <c r="F5" s="7" t="s">
        <v>377</v>
      </c>
      <c r="H5" s="5" t="str">
        <f t="shared" si="1"/>
        <v/>
      </c>
      <c r="I5" s="5" t="str">
        <f>IF(G5="","No check named",IF(COUNTIFS('DK Ledger'!$B$4:$B$42,H5,'DK Ledger'!$C$4:$C$42,"STP")&gt;0,"Stopped",IF(INDEX('DK Ledger'!$H$4:$H$42,MATCH(H5,'DK Ledger'!$B$4:$B$42,0))="","Not paid by the bank","Paid "&amp;INDEX('DK Ledger'!$H$4:$H$42,MATCH(H5,'DK Ledger'!$B$4:$B$42,0)))))</f>
        <v>No check named</v>
      </c>
      <c r="J5" s="5" t="str">
        <f t="shared" si="2"/>
        <v>Yes</v>
      </c>
      <c r="K5" s="5" t="str">
        <f t="shared" si="3"/>
        <v>Progress</v>
      </c>
      <c r="L5" s="5" t="str">
        <f t="shared" si="4"/>
        <v>Yes</v>
      </c>
      <c r="M5" s="7" t="str">
        <f t="shared" si="5"/>
        <v>Effective when signed whether or not paid, section 8134</v>
      </c>
    </row>
    <row r="6" spans="1:13" x14ac:dyDescent="0.2">
      <c r="A6" s="5" t="s">
        <v>254</v>
      </c>
      <c r="B6" s="7" t="s">
        <v>416</v>
      </c>
      <c r="C6" s="5" t="s">
        <v>194</v>
      </c>
      <c r="D6" s="5">
        <f t="shared" si="0"/>
        <v>46142</v>
      </c>
      <c r="E6" s="6">
        <v>143710</v>
      </c>
      <c r="F6" s="7" t="s">
        <v>377</v>
      </c>
      <c r="H6" s="5" t="str">
        <f t="shared" si="1"/>
        <v/>
      </c>
      <c r="I6" s="5" t="str">
        <f>IF(G6="","No check named",IF(COUNTIFS('DK Ledger'!$B$4:$B$42,H6,'DK Ledger'!$C$4:$C$42,"STP")&gt;0,"Stopped",IF(INDEX('DK Ledger'!$H$4:$H$42,MATCH(H6,'DK Ledger'!$B$4:$B$42,0))="","Not paid by the bank","Paid "&amp;INDEX('DK Ledger'!$H$4:$H$42,MATCH(H6,'DK Ledger'!$B$4:$B$42,0)))))</f>
        <v>No check named</v>
      </c>
      <c r="J6" s="5" t="str">
        <f t="shared" si="2"/>
        <v>Yes</v>
      </c>
      <c r="K6" s="5" t="str">
        <f t="shared" si="3"/>
        <v>Progress</v>
      </c>
      <c r="L6" s="5" t="str">
        <f t="shared" si="4"/>
        <v>Yes</v>
      </c>
      <c r="M6" s="7" t="str">
        <f t="shared" si="5"/>
        <v>Effective when signed whether or not paid, section 8134</v>
      </c>
    </row>
    <row r="7" spans="1:13" ht="30" customHeight="1" x14ac:dyDescent="0.2">
      <c r="A7" s="5" t="s">
        <v>254</v>
      </c>
      <c r="B7" s="7" t="s">
        <v>418</v>
      </c>
      <c r="C7" s="5" t="s">
        <v>419</v>
      </c>
      <c r="D7" s="5">
        <f t="shared" si="0"/>
        <v>46150</v>
      </c>
      <c r="E7" s="6">
        <v>12675</v>
      </c>
      <c r="F7" s="7" t="s">
        <v>420</v>
      </c>
      <c r="H7" s="5" t="str">
        <f t="shared" si="1"/>
        <v/>
      </c>
      <c r="I7" s="5" t="str">
        <f>IF(G7="","No check named",IF(COUNTIFS('DK Ledger'!$B$4:$B$42,H7,'DK Ledger'!$C$4:$C$42,"STP")&gt;0,"Stopped",IF(INDEX('DK Ledger'!$H$4:$H$42,MATCH(H7,'DK Ledger'!$B$4:$B$42,0))="","Not paid by the bank","Paid "&amp;INDEX('DK Ledger'!$H$4:$H$42,MATCH(H7,'DK Ledger'!$B$4:$B$42,0)))))</f>
        <v>No check named</v>
      </c>
      <c r="J7" s="5" t="str">
        <f t="shared" si="2"/>
        <v>No</v>
      </c>
      <c r="K7" s="5" t="str">
        <f t="shared" si="3"/>
        <v>None</v>
      </c>
      <c r="L7" s="5" t="str">
        <f t="shared" si="4"/>
        <v>No</v>
      </c>
      <c r="M7" s="7" t="str">
        <f t="shared" si="5"/>
        <v>Not one of the four statutory forms, releases nothing</v>
      </c>
    </row>
    <row r="8" spans="1:13" x14ac:dyDescent="0.2">
      <c r="A8" s="5" t="s">
        <v>276</v>
      </c>
      <c r="B8" s="7" t="s">
        <v>416</v>
      </c>
      <c r="C8" s="5" t="s">
        <v>421</v>
      </c>
      <c r="D8" s="5">
        <f t="shared" si="0"/>
        <v>46173</v>
      </c>
      <c r="E8" s="6">
        <v>112765</v>
      </c>
      <c r="F8" s="7" t="s">
        <v>377</v>
      </c>
      <c r="H8" s="5" t="str">
        <f t="shared" si="1"/>
        <v/>
      </c>
      <c r="I8" s="5" t="str">
        <f>IF(G8="","No check named",IF(COUNTIFS('DK Ledger'!$B$4:$B$42,H8,'DK Ledger'!$C$4:$C$42,"STP")&gt;0,"Stopped",IF(INDEX('DK Ledger'!$H$4:$H$42,MATCH(H8,'DK Ledger'!$B$4:$B$42,0))="","Not paid by the bank","Paid "&amp;INDEX('DK Ledger'!$H$4:$H$42,MATCH(H8,'DK Ledger'!$B$4:$B$42,0)))))</f>
        <v>No check named</v>
      </c>
      <c r="J8" s="5" t="str">
        <f t="shared" si="2"/>
        <v>Yes</v>
      </c>
      <c r="K8" s="5" t="str">
        <f t="shared" si="3"/>
        <v>Progress</v>
      </c>
      <c r="L8" s="5" t="str">
        <f t="shared" si="4"/>
        <v>Yes</v>
      </c>
      <c r="M8" s="7" t="str">
        <f t="shared" si="5"/>
        <v>Effective when signed whether or not paid, section 8134</v>
      </c>
    </row>
    <row r="9" spans="1:13" x14ac:dyDescent="0.2">
      <c r="A9" s="5" t="s">
        <v>276</v>
      </c>
      <c r="B9" s="7" t="s">
        <v>416</v>
      </c>
      <c r="C9" s="5" t="s">
        <v>216</v>
      </c>
      <c r="D9" s="5">
        <f t="shared" si="0"/>
        <v>46203</v>
      </c>
      <c r="E9" s="6">
        <v>64790</v>
      </c>
      <c r="F9" s="7" t="s">
        <v>377</v>
      </c>
      <c r="H9" s="5" t="str">
        <f t="shared" si="1"/>
        <v/>
      </c>
      <c r="I9" s="5" t="str">
        <f>IF(G9="","No check named",IF(COUNTIFS('DK Ledger'!$B$4:$B$42,H9,'DK Ledger'!$C$4:$C$42,"STP")&gt;0,"Stopped",IF(INDEX('DK Ledger'!$H$4:$H$42,MATCH(H9,'DK Ledger'!$B$4:$B$42,0))="","Not paid by the bank","Paid "&amp;INDEX('DK Ledger'!$H$4:$H$42,MATCH(H9,'DK Ledger'!$B$4:$B$42,0)))))</f>
        <v>No check named</v>
      </c>
      <c r="J9" s="5" t="str">
        <f t="shared" si="2"/>
        <v>Yes</v>
      </c>
      <c r="K9" s="5" t="str">
        <f t="shared" si="3"/>
        <v>Progress</v>
      </c>
      <c r="L9" s="5" t="str">
        <f t="shared" si="4"/>
        <v>Yes</v>
      </c>
      <c r="M9" s="7" t="str">
        <f t="shared" si="5"/>
        <v>Effective when signed whether or not paid, section 8134</v>
      </c>
    </row>
    <row r="10" spans="1:13" x14ac:dyDescent="0.2">
      <c r="A10" s="5" t="s">
        <v>280</v>
      </c>
      <c r="B10" s="7" t="s">
        <v>416</v>
      </c>
      <c r="C10" s="5" t="s">
        <v>188</v>
      </c>
      <c r="D10" s="5">
        <f t="shared" si="0"/>
        <v>46112</v>
      </c>
      <c r="E10" s="6">
        <v>32110</v>
      </c>
      <c r="F10" s="7" t="s">
        <v>377</v>
      </c>
      <c r="H10" s="5" t="str">
        <f t="shared" si="1"/>
        <v/>
      </c>
      <c r="I10" s="5" t="str">
        <f>IF(G10="","No check named",IF(COUNTIFS('DK Ledger'!$B$4:$B$42,H10,'DK Ledger'!$C$4:$C$42,"STP")&gt;0,"Stopped",IF(INDEX('DK Ledger'!$H$4:$H$42,MATCH(H10,'DK Ledger'!$B$4:$B$42,0))="","Not paid by the bank","Paid "&amp;INDEX('DK Ledger'!$H$4:$H$42,MATCH(H10,'DK Ledger'!$B$4:$B$42,0)))))</f>
        <v>No check named</v>
      </c>
      <c r="J10" s="5" t="str">
        <f t="shared" si="2"/>
        <v>Yes</v>
      </c>
      <c r="K10" s="5" t="str">
        <f t="shared" si="3"/>
        <v>Progress</v>
      </c>
      <c r="L10" s="5" t="str">
        <f t="shared" si="4"/>
        <v>Yes</v>
      </c>
      <c r="M10" s="7" t="str">
        <f t="shared" si="5"/>
        <v>Effective when signed whether or not paid, section 8134</v>
      </c>
    </row>
    <row r="11" spans="1:13" x14ac:dyDescent="0.2">
      <c r="A11" s="5" t="s">
        <v>280</v>
      </c>
      <c r="B11" s="7" t="s">
        <v>416</v>
      </c>
      <c r="C11" s="5" t="s">
        <v>194</v>
      </c>
      <c r="D11" s="5">
        <f t="shared" si="0"/>
        <v>46142</v>
      </c>
      <c r="E11" s="6">
        <v>97565</v>
      </c>
      <c r="F11" s="7" t="s">
        <v>377</v>
      </c>
      <c r="H11" s="5" t="str">
        <f t="shared" si="1"/>
        <v/>
      </c>
      <c r="I11" s="5" t="str">
        <f>IF(G11="","No check named",IF(COUNTIFS('DK Ledger'!$B$4:$B$42,H11,'DK Ledger'!$C$4:$C$42,"STP")&gt;0,"Stopped",IF(INDEX('DK Ledger'!$H$4:$H$42,MATCH(H11,'DK Ledger'!$B$4:$B$42,0))="","Not paid by the bank","Paid "&amp;INDEX('DK Ledger'!$H$4:$H$42,MATCH(H11,'DK Ledger'!$B$4:$B$42,0)))))</f>
        <v>No check named</v>
      </c>
      <c r="J11" s="5" t="str">
        <f t="shared" si="2"/>
        <v>Yes</v>
      </c>
      <c r="K11" s="5" t="str">
        <f t="shared" si="3"/>
        <v>Progress</v>
      </c>
      <c r="L11" s="5" t="str">
        <f t="shared" si="4"/>
        <v>Yes</v>
      </c>
      <c r="M11" s="7" t="str">
        <f t="shared" si="5"/>
        <v>Effective when signed whether or not paid, section 8134</v>
      </c>
    </row>
    <row r="12" spans="1:13" x14ac:dyDescent="0.2">
      <c r="A12" s="5" t="s">
        <v>280</v>
      </c>
      <c r="B12" s="7" t="s">
        <v>416</v>
      </c>
      <c r="C12" s="5" t="s">
        <v>421</v>
      </c>
      <c r="D12" s="5">
        <f t="shared" si="0"/>
        <v>46173</v>
      </c>
      <c r="E12" s="6">
        <v>66860</v>
      </c>
      <c r="F12" s="7" t="s">
        <v>377</v>
      </c>
      <c r="H12" s="5" t="str">
        <f t="shared" si="1"/>
        <v/>
      </c>
      <c r="I12" s="5" t="str">
        <f>IF(G12="","No check named",IF(COUNTIFS('DK Ledger'!$B$4:$B$42,H12,'DK Ledger'!$C$4:$C$42,"STP")&gt;0,"Stopped",IF(INDEX('DK Ledger'!$H$4:$H$42,MATCH(H12,'DK Ledger'!$B$4:$B$42,0))="","Not paid by the bank","Paid "&amp;INDEX('DK Ledger'!$H$4:$H$42,MATCH(H12,'DK Ledger'!$B$4:$B$42,0)))))</f>
        <v>No check named</v>
      </c>
      <c r="J12" s="5" t="str">
        <f t="shared" si="2"/>
        <v>Yes</v>
      </c>
      <c r="K12" s="5" t="str">
        <f t="shared" si="3"/>
        <v>Progress</v>
      </c>
      <c r="L12" s="5" t="str">
        <f t="shared" si="4"/>
        <v>Yes</v>
      </c>
      <c r="M12" s="7" t="str">
        <f t="shared" si="5"/>
        <v>Effective when signed whether or not paid, section 8134</v>
      </c>
    </row>
    <row r="13" spans="1:13" x14ac:dyDescent="0.2">
      <c r="A13" s="5" t="s">
        <v>280</v>
      </c>
      <c r="B13" s="7" t="s">
        <v>416</v>
      </c>
      <c r="C13" s="5" t="s">
        <v>216</v>
      </c>
      <c r="D13" s="5">
        <f t="shared" si="0"/>
        <v>46203</v>
      </c>
      <c r="E13" s="6">
        <v>88920</v>
      </c>
      <c r="F13" s="7" t="s">
        <v>377</v>
      </c>
      <c r="H13" s="5" t="str">
        <f t="shared" si="1"/>
        <v/>
      </c>
      <c r="I13" s="5" t="str">
        <f>IF(G13="","No check named",IF(COUNTIFS('DK Ledger'!$B$4:$B$42,H13,'DK Ledger'!$C$4:$C$42,"STP")&gt;0,"Stopped",IF(INDEX('DK Ledger'!$H$4:$H$42,MATCH(H13,'DK Ledger'!$B$4:$B$42,0))="","Not paid by the bank","Paid "&amp;INDEX('DK Ledger'!$H$4:$H$42,MATCH(H13,'DK Ledger'!$B$4:$B$42,0)))))</f>
        <v>No check named</v>
      </c>
      <c r="J13" s="5" t="str">
        <f t="shared" si="2"/>
        <v>Yes</v>
      </c>
      <c r="K13" s="5" t="str">
        <f t="shared" si="3"/>
        <v>Progress</v>
      </c>
      <c r="L13" s="5" t="str">
        <f t="shared" si="4"/>
        <v>Yes</v>
      </c>
      <c r="M13" s="7" t="str">
        <f t="shared" si="5"/>
        <v>Effective when signed whether or not paid, section 8134</v>
      </c>
    </row>
    <row r="14" spans="1:13" x14ac:dyDescent="0.2">
      <c r="A14" s="5" t="s">
        <v>280</v>
      </c>
      <c r="B14" s="7" t="s">
        <v>422</v>
      </c>
      <c r="C14" s="5" t="s">
        <v>423</v>
      </c>
      <c r="D14" s="5">
        <f t="shared" si="0"/>
        <v>46234</v>
      </c>
      <c r="E14" s="6">
        <v>73910</v>
      </c>
      <c r="F14" s="7" t="s">
        <v>377</v>
      </c>
      <c r="G14" s="5" t="s">
        <v>424</v>
      </c>
      <c r="H14" s="5">
        <f t="shared" si="1"/>
        <v>4460</v>
      </c>
      <c r="I14" s="5" t="str">
        <f>IF(G14="","No check named",IF(COUNTIFS('DK Ledger'!$B$4:$B$42,H14,'DK Ledger'!$C$4:$C$42,"STP")&gt;0,"Stopped",IF(INDEX('DK Ledger'!$H$4:$H$42,MATCH(H14,'DK Ledger'!$B$4:$B$42,0))="","Not paid by the bank","Paid "&amp;INDEX('DK Ledger'!$H$4:$H$42,MATCH(H14,'DK Ledger'!$B$4:$B$42,0)))))</f>
        <v>Stopped</v>
      </c>
      <c r="J14" s="5" t="str">
        <f t="shared" si="2"/>
        <v>Yes</v>
      </c>
      <c r="K14" s="5" t="str">
        <f t="shared" si="3"/>
        <v>Progress</v>
      </c>
      <c r="L14" s="5" t="str">
        <f t="shared" si="4"/>
        <v>No</v>
      </c>
      <c r="M14" s="7" t="str">
        <f t="shared" si="5"/>
        <v>No evidence of payment under section 8124(b), releases nothing until payment is shown</v>
      </c>
    </row>
    <row r="15" spans="1:13" x14ac:dyDescent="0.2">
      <c r="A15" s="5" t="s">
        <v>285</v>
      </c>
      <c r="B15" s="7" t="s">
        <v>416</v>
      </c>
      <c r="C15" s="5" t="s">
        <v>421</v>
      </c>
      <c r="D15" s="5">
        <f t="shared" si="0"/>
        <v>46173</v>
      </c>
      <c r="E15" s="6">
        <v>12825</v>
      </c>
      <c r="F15" s="7" t="s">
        <v>377</v>
      </c>
      <c r="H15" s="5" t="str">
        <f t="shared" si="1"/>
        <v/>
      </c>
      <c r="I15" s="5" t="str">
        <f>IF(G15="","No check named",IF(COUNTIFS('DK Ledger'!$B$4:$B$42,H15,'DK Ledger'!$C$4:$C$42,"STP")&gt;0,"Stopped",IF(INDEX('DK Ledger'!$H$4:$H$42,MATCH(H15,'DK Ledger'!$B$4:$B$42,0))="","Not paid by the bank","Paid "&amp;INDEX('DK Ledger'!$H$4:$H$42,MATCH(H15,'DK Ledger'!$B$4:$B$42,0)))))</f>
        <v>No check named</v>
      </c>
      <c r="J15" s="5" t="str">
        <f t="shared" si="2"/>
        <v>Yes</v>
      </c>
      <c r="K15" s="5" t="str">
        <f t="shared" si="3"/>
        <v>Progress</v>
      </c>
      <c r="L15" s="5" t="str">
        <f t="shared" si="4"/>
        <v>Yes</v>
      </c>
      <c r="M15" s="7" t="str">
        <f t="shared" si="5"/>
        <v>Effective when signed whether or not paid, section 8134</v>
      </c>
    </row>
    <row r="16" spans="1:13" x14ac:dyDescent="0.2">
      <c r="A16" s="5" t="s">
        <v>285</v>
      </c>
      <c r="B16" s="7" t="s">
        <v>416</v>
      </c>
      <c r="C16" s="5" t="s">
        <v>216</v>
      </c>
      <c r="D16" s="5">
        <f t="shared" si="0"/>
        <v>46203</v>
      </c>
      <c r="E16" s="6">
        <v>21755</v>
      </c>
      <c r="F16" s="7" t="s">
        <v>377</v>
      </c>
      <c r="H16" s="5" t="str">
        <f t="shared" si="1"/>
        <v/>
      </c>
      <c r="I16" s="5" t="str">
        <f>IF(G16="","No check named",IF(COUNTIFS('DK Ledger'!$B$4:$B$42,H16,'DK Ledger'!$C$4:$C$42,"STP")&gt;0,"Stopped",IF(INDEX('DK Ledger'!$H$4:$H$42,MATCH(H16,'DK Ledger'!$B$4:$B$42,0))="","Not paid by the bank","Paid "&amp;INDEX('DK Ledger'!$H$4:$H$42,MATCH(H16,'DK Ledger'!$B$4:$B$42,0)))))</f>
        <v>No check named</v>
      </c>
      <c r="J16" s="5" t="str">
        <f t="shared" si="2"/>
        <v>Yes</v>
      </c>
      <c r="K16" s="5" t="str">
        <f t="shared" si="3"/>
        <v>Progress</v>
      </c>
      <c r="L16" s="5" t="str">
        <f t="shared" si="4"/>
        <v>Yes</v>
      </c>
      <c r="M16" s="7" t="str">
        <f t="shared" si="5"/>
        <v>Effective when signed whether or not paid, section 8134</v>
      </c>
    </row>
    <row r="17" spans="1:13" x14ac:dyDescent="0.2">
      <c r="A17" s="5" t="s">
        <v>285</v>
      </c>
      <c r="B17" s="7" t="s">
        <v>416</v>
      </c>
      <c r="C17" s="5" t="s">
        <v>423</v>
      </c>
      <c r="D17" s="5">
        <f t="shared" si="0"/>
        <v>46234</v>
      </c>
      <c r="E17" s="6">
        <v>38475</v>
      </c>
      <c r="F17" s="7" t="s">
        <v>377</v>
      </c>
      <c r="H17" s="5" t="str">
        <f t="shared" si="1"/>
        <v/>
      </c>
      <c r="I17" s="5" t="str">
        <f>IF(G17="","No check named",IF(COUNTIFS('DK Ledger'!$B$4:$B$42,H17,'DK Ledger'!$C$4:$C$42,"STP")&gt;0,"Stopped",IF(INDEX('DK Ledger'!$H$4:$H$42,MATCH(H17,'DK Ledger'!$B$4:$B$42,0))="","Not paid by the bank","Paid "&amp;INDEX('DK Ledger'!$H$4:$H$42,MATCH(H17,'DK Ledger'!$B$4:$B$42,0)))))</f>
        <v>No check named</v>
      </c>
      <c r="J17" s="5" t="str">
        <f t="shared" si="2"/>
        <v>Yes</v>
      </c>
      <c r="K17" s="5" t="str">
        <f t="shared" si="3"/>
        <v>Progress</v>
      </c>
      <c r="L17" s="5" t="str">
        <f t="shared" si="4"/>
        <v>Yes</v>
      </c>
      <c r="M17" s="7" t="str">
        <f t="shared" si="5"/>
        <v>Effective when signed whether or not paid, section 8134</v>
      </c>
    </row>
    <row r="18" spans="1:13" x14ac:dyDescent="0.2">
      <c r="A18" s="5" t="s">
        <v>290</v>
      </c>
      <c r="B18" s="7" t="s">
        <v>416</v>
      </c>
      <c r="C18" s="5" t="s">
        <v>188</v>
      </c>
      <c r="D18" s="5">
        <f t="shared" si="0"/>
        <v>46112</v>
      </c>
      <c r="E18" s="6">
        <v>95410</v>
      </c>
      <c r="F18" s="7" t="s">
        <v>377</v>
      </c>
      <c r="H18" s="5" t="str">
        <f t="shared" si="1"/>
        <v/>
      </c>
      <c r="I18" s="5" t="str">
        <f>IF(G18="","No check named",IF(COUNTIFS('DK Ledger'!$B$4:$B$42,H18,'DK Ledger'!$C$4:$C$42,"STP")&gt;0,"Stopped",IF(INDEX('DK Ledger'!$H$4:$H$42,MATCH(H18,'DK Ledger'!$B$4:$B$42,0))="","Not paid by the bank","Paid "&amp;INDEX('DK Ledger'!$H$4:$H$42,MATCH(H18,'DK Ledger'!$B$4:$B$42,0)))))</f>
        <v>No check named</v>
      </c>
      <c r="J18" s="5" t="str">
        <f t="shared" si="2"/>
        <v>Yes</v>
      </c>
      <c r="K18" s="5" t="str">
        <f t="shared" si="3"/>
        <v>Progress</v>
      </c>
      <c r="L18" s="5" t="str">
        <f t="shared" si="4"/>
        <v>Yes</v>
      </c>
      <c r="M18" s="7" t="str">
        <f t="shared" si="5"/>
        <v>Effective when signed whether or not paid, section 8134</v>
      </c>
    </row>
    <row r="19" spans="1:13" x14ac:dyDescent="0.2">
      <c r="A19" s="5" t="s">
        <v>290</v>
      </c>
      <c r="B19" s="7" t="s">
        <v>416</v>
      </c>
      <c r="C19" s="5" t="s">
        <v>194</v>
      </c>
      <c r="D19" s="5">
        <f t="shared" si="0"/>
        <v>46142</v>
      </c>
      <c r="E19" s="6">
        <v>173465</v>
      </c>
      <c r="F19" s="7" t="s">
        <v>377</v>
      </c>
      <c r="H19" s="5" t="str">
        <f t="shared" si="1"/>
        <v/>
      </c>
      <c r="I19" s="5" t="str">
        <f>IF(G19="","No check named",IF(COUNTIFS('DK Ledger'!$B$4:$B$42,H19,'DK Ledger'!$C$4:$C$42,"STP")&gt;0,"Stopped",IF(INDEX('DK Ledger'!$H$4:$H$42,MATCH(H19,'DK Ledger'!$B$4:$B$42,0))="","Not paid by the bank","Paid "&amp;INDEX('DK Ledger'!$H$4:$H$42,MATCH(H19,'DK Ledger'!$B$4:$B$42,0)))))</f>
        <v>No check named</v>
      </c>
      <c r="J19" s="5" t="str">
        <f t="shared" si="2"/>
        <v>Yes</v>
      </c>
      <c r="K19" s="5" t="str">
        <f t="shared" si="3"/>
        <v>Progress</v>
      </c>
      <c r="L19" s="5" t="str">
        <f t="shared" si="4"/>
        <v>Yes</v>
      </c>
      <c r="M19" s="7" t="str">
        <f t="shared" si="5"/>
        <v>Effective when signed whether or not paid, section 8134</v>
      </c>
    </row>
    <row r="20" spans="1:13" x14ac:dyDescent="0.2">
      <c r="A20" s="5" t="s">
        <v>290</v>
      </c>
      <c r="B20" s="7" t="s">
        <v>425</v>
      </c>
      <c r="D20" s="5" t="str">
        <f t="shared" si="0"/>
        <v/>
      </c>
      <c r="E20" s="6">
        <v>14937.5</v>
      </c>
      <c r="F20" s="7" t="s">
        <v>426</v>
      </c>
      <c r="G20" s="5" t="s">
        <v>427</v>
      </c>
      <c r="H20" s="5">
        <f t="shared" si="1"/>
        <v>4448</v>
      </c>
      <c r="I20" s="5" t="str">
        <f>IF(G20="","No check named",IF(COUNTIFS('DK Ledger'!$B$4:$B$42,H20,'DK Ledger'!$C$4:$C$42,"STP")&gt;0,"Stopped",IF(INDEX('DK Ledger'!$H$4:$H$42,MATCH(H20,'DK Ledger'!$B$4:$B$42,0))="","Not paid by the bank","Paid "&amp;INDEX('DK Ledger'!$H$4:$H$42,MATCH(H20,'DK Ledger'!$B$4:$B$42,0)))))</f>
        <v>Paid 08/03/2026</v>
      </c>
      <c r="J20" s="5" t="str">
        <f t="shared" si="2"/>
        <v>Yes</v>
      </c>
      <c r="K20" s="5" t="str">
        <f t="shared" si="3"/>
        <v>Final</v>
      </c>
      <c r="L20" s="5" t="str">
        <f t="shared" si="4"/>
        <v>Yes</v>
      </c>
      <c r="M20" s="7" t="str">
        <f t="shared" si="5"/>
        <v>Check paid by the bank, effective under section 8124(b)</v>
      </c>
    </row>
    <row r="21" spans="1:13" x14ac:dyDescent="0.2">
      <c r="A21" s="5" t="s">
        <v>211</v>
      </c>
      <c r="B21" s="7" t="s">
        <v>416</v>
      </c>
      <c r="C21" s="5" t="s">
        <v>194</v>
      </c>
      <c r="D21" s="5">
        <f t="shared" si="0"/>
        <v>46142</v>
      </c>
      <c r="E21" s="6">
        <v>69501.5</v>
      </c>
      <c r="F21" s="7" t="s">
        <v>377</v>
      </c>
      <c r="H21" s="5" t="str">
        <f t="shared" si="1"/>
        <v/>
      </c>
      <c r="I21" s="5" t="str">
        <f>IF(G21="","No check named",IF(COUNTIFS('DK Ledger'!$B$4:$B$42,H21,'DK Ledger'!$C$4:$C$42,"STP")&gt;0,"Stopped",IF(INDEX('DK Ledger'!$H$4:$H$42,MATCH(H21,'DK Ledger'!$B$4:$B$42,0))="","Not paid by the bank","Paid "&amp;INDEX('DK Ledger'!$H$4:$H$42,MATCH(H21,'DK Ledger'!$B$4:$B$42,0)))))</f>
        <v>No check named</v>
      </c>
      <c r="J21" s="5" t="str">
        <f t="shared" si="2"/>
        <v>Yes</v>
      </c>
      <c r="K21" s="5" t="str">
        <f t="shared" si="3"/>
        <v>Progress</v>
      </c>
      <c r="L21" s="5" t="str">
        <f t="shared" si="4"/>
        <v>Yes</v>
      </c>
      <c r="M21" s="7" t="str">
        <f t="shared" si="5"/>
        <v>Effective when signed whether or not paid, section 8134</v>
      </c>
    </row>
    <row r="22" spans="1:13" x14ac:dyDescent="0.2">
      <c r="A22" s="5" t="s">
        <v>211</v>
      </c>
      <c r="B22" s="7" t="s">
        <v>416</v>
      </c>
      <c r="C22" s="5" t="s">
        <v>216</v>
      </c>
      <c r="D22" s="5">
        <f t="shared" si="0"/>
        <v>46203</v>
      </c>
      <c r="E22" s="6">
        <v>66016</v>
      </c>
      <c r="F22" s="7" t="s">
        <v>377</v>
      </c>
      <c r="H22" s="5" t="str">
        <f t="shared" si="1"/>
        <v/>
      </c>
      <c r="I22" s="5" t="str">
        <f>IF(G22="","No check named",IF(COUNTIFS('DK Ledger'!$B$4:$B$42,H22,'DK Ledger'!$C$4:$C$42,"STP")&gt;0,"Stopped",IF(INDEX('DK Ledger'!$H$4:$H$42,MATCH(H22,'DK Ledger'!$B$4:$B$42,0))="","Not paid by the bank","Paid "&amp;INDEX('DK Ledger'!$H$4:$H$42,MATCH(H22,'DK Ledger'!$B$4:$B$42,0)))))</f>
        <v>No check named</v>
      </c>
      <c r="J22" s="5" t="str">
        <f t="shared" si="2"/>
        <v>Yes</v>
      </c>
      <c r="K22" s="5" t="str">
        <f t="shared" si="3"/>
        <v>Progress</v>
      </c>
      <c r="L22" s="5" t="str">
        <f t="shared" si="4"/>
        <v>Yes</v>
      </c>
      <c r="M22" s="7" t="str">
        <f t="shared" si="5"/>
        <v>Effective when signed whether or not paid, section 8134</v>
      </c>
    </row>
    <row r="23" spans="1:13" x14ac:dyDescent="0.2">
      <c r="A23" s="5" t="s">
        <v>303</v>
      </c>
      <c r="B23" s="7" t="s">
        <v>416</v>
      </c>
      <c r="C23" s="5" t="s">
        <v>417</v>
      </c>
      <c r="D23" s="5">
        <f t="shared" si="0"/>
        <v>46081</v>
      </c>
      <c r="E23" s="6">
        <v>152950</v>
      </c>
      <c r="F23" s="7" t="s">
        <v>377</v>
      </c>
      <c r="H23" s="5" t="str">
        <f t="shared" si="1"/>
        <v/>
      </c>
      <c r="I23" s="5" t="str">
        <f>IF(G23="","No check named",IF(COUNTIFS('DK Ledger'!$B$4:$B$42,H23,'DK Ledger'!$C$4:$C$42,"STP")&gt;0,"Stopped",IF(INDEX('DK Ledger'!$H$4:$H$42,MATCH(H23,'DK Ledger'!$B$4:$B$42,0))="","Not paid by the bank","Paid "&amp;INDEX('DK Ledger'!$H$4:$H$42,MATCH(H23,'DK Ledger'!$B$4:$B$42,0)))))</f>
        <v>No check named</v>
      </c>
      <c r="J23" s="5" t="str">
        <f t="shared" si="2"/>
        <v>Yes</v>
      </c>
      <c r="K23" s="5" t="str">
        <f t="shared" si="3"/>
        <v>Progress</v>
      </c>
      <c r="L23" s="5" t="str">
        <f t="shared" si="4"/>
        <v>Yes</v>
      </c>
      <c r="M23" s="7" t="str">
        <f t="shared" si="5"/>
        <v>Effective when signed whether or not paid, section 8134</v>
      </c>
    </row>
    <row r="24" spans="1:13" x14ac:dyDescent="0.2">
      <c r="A24" s="5" t="s">
        <v>303</v>
      </c>
      <c r="B24" s="7" t="s">
        <v>416</v>
      </c>
      <c r="C24" s="5" t="s">
        <v>188</v>
      </c>
      <c r="D24" s="5">
        <f t="shared" si="0"/>
        <v>46112</v>
      </c>
      <c r="E24" s="6">
        <v>121600</v>
      </c>
      <c r="F24" s="7" t="s">
        <v>377</v>
      </c>
      <c r="H24" s="5" t="str">
        <f t="shared" si="1"/>
        <v/>
      </c>
      <c r="I24" s="5" t="str">
        <f>IF(G24="","No check named",IF(COUNTIFS('DK Ledger'!$B$4:$B$42,H24,'DK Ledger'!$C$4:$C$42,"STP")&gt;0,"Stopped",IF(INDEX('DK Ledger'!$H$4:$H$42,MATCH(H24,'DK Ledger'!$B$4:$B$42,0))="","Not paid by the bank","Paid "&amp;INDEX('DK Ledger'!$H$4:$H$42,MATCH(H24,'DK Ledger'!$B$4:$B$42,0)))))</f>
        <v>No check named</v>
      </c>
      <c r="J24" s="5" t="str">
        <f t="shared" si="2"/>
        <v>Yes</v>
      </c>
      <c r="K24" s="5" t="str">
        <f t="shared" si="3"/>
        <v>Progress</v>
      </c>
      <c r="L24" s="5" t="str">
        <f t="shared" si="4"/>
        <v>Yes</v>
      </c>
      <c r="M24" s="7" t="str">
        <f t="shared" si="5"/>
        <v>Effective when signed whether or not paid, section 8134</v>
      </c>
    </row>
    <row r="25" spans="1:13" x14ac:dyDescent="0.2">
      <c r="A25" s="5" t="s">
        <v>303</v>
      </c>
      <c r="B25" s="7" t="s">
        <v>416</v>
      </c>
      <c r="C25" s="5" t="s">
        <v>194</v>
      </c>
      <c r="D25" s="5">
        <f t="shared" si="0"/>
        <v>46142</v>
      </c>
      <c r="E25" s="6">
        <v>98325</v>
      </c>
      <c r="F25" s="7" t="s">
        <v>377</v>
      </c>
      <c r="H25" s="5" t="str">
        <f t="shared" si="1"/>
        <v/>
      </c>
      <c r="I25" s="5" t="str">
        <f>IF(G25="","No check named",IF(COUNTIFS('DK Ledger'!$B$4:$B$42,H25,'DK Ledger'!$C$4:$C$42,"STP")&gt;0,"Stopped",IF(INDEX('DK Ledger'!$H$4:$H$42,MATCH(H25,'DK Ledger'!$B$4:$B$42,0))="","Not paid by the bank","Paid "&amp;INDEX('DK Ledger'!$H$4:$H$42,MATCH(H25,'DK Ledger'!$B$4:$B$42,0)))))</f>
        <v>No check named</v>
      </c>
      <c r="J25" s="5" t="str">
        <f t="shared" si="2"/>
        <v>Yes</v>
      </c>
      <c r="K25" s="5" t="str">
        <f t="shared" si="3"/>
        <v>Progress</v>
      </c>
      <c r="L25" s="5" t="str">
        <f t="shared" si="4"/>
        <v>Yes</v>
      </c>
      <c r="M25" s="7" t="str">
        <f t="shared" si="5"/>
        <v>Effective when signed whether or not paid, section 8134</v>
      </c>
    </row>
    <row r="26" spans="1:13" x14ac:dyDescent="0.2">
      <c r="A26" s="5" t="s">
        <v>303</v>
      </c>
      <c r="B26" s="7" t="s">
        <v>416</v>
      </c>
      <c r="C26" s="5" t="s">
        <v>421</v>
      </c>
      <c r="D26" s="5">
        <f t="shared" si="0"/>
        <v>46173</v>
      </c>
      <c r="E26" s="6">
        <v>89305</v>
      </c>
      <c r="F26" s="7" t="s">
        <v>377</v>
      </c>
      <c r="H26" s="5" t="str">
        <f t="shared" si="1"/>
        <v/>
      </c>
      <c r="I26" s="5" t="str">
        <f>IF(G26="","No check named",IF(COUNTIFS('DK Ledger'!$B$4:$B$42,H26,'DK Ledger'!$C$4:$C$42,"STP")&gt;0,"Stopped",IF(INDEX('DK Ledger'!$H$4:$H$42,MATCH(H26,'DK Ledger'!$B$4:$B$42,0))="","Not paid by the bank","Paid "&amp;INDEX('DK Ledger'!$H$4:$H$42,MATCH(H26,'DK Ledger'!$B$4:$B$42,0)))))</f>
        <v>No check named</v>
      </c>
      <c r="J26" s="5" t="str">
        <f t="shared" si="2"/>
        <v>Yes</v>
      </c>
      <c r="K26" s="5" t="str">
        <f t="shared" si="3"/>
        <v>Progress</v>
      </c>
      <c r="L26" s="5" t="str">
        <f t="shared" si="4"/>
        <v>Yes</v>
      </c>
      <c r="M26" s="7" t="str">
        <f t="shared" si="5"/>
        <v>Effective when signed whether or not paid, section 8134</v>
      </c>
    </row>
    <row r="27" spans="1:13" x14ac:dyDescent="0.2">
      <c r="A27" s="5" t="s">
        <v>303</v>
      </c>
      <c r="B27" s="7" t="s">
        <v>416</v>
      </c>
      <c r="C27" s="5" t="s">
        <v>216</v>
      </c>
      <c r="D27" s="5">
        <f t="shared" si="0"/>
        <v>46203</v>
      </c>
      <c r="E27" s="6">
        <v>120113</v>
      </c>
      <c r="F27" s="7" t="s">
        <v>377</v>
      </c>
      <c r="H27" s="5" t="str">
        <f t="shared" si="1"/>
        <v/>
      </c>
      <c r="I27" s="5" t="str">
        <f>IF(G27="","No check named",IF(COUNTIFS('DK Ledger'!$B$4:$B$42,H27,'DK Ledger'!$C$4:$C$42,"STP")&gt;0,"Stopped",IF(INDEX('DK Ledger'!$H$4:$H$42,MATCH(H27,'DK Ledger'!$B$4:$B$42,0))="","Not paid by the bank","Paid "&amp;INDEX('DK Ledger'!$H$4:$H$42,MATCH(H27,'DK Ledger'!$B$4:$B$42,0)))))</f>
        <v>No check named</v>
      </c>
      <c r="J27" s="5" t="str">
        <f t="shared" si="2"/>
        <v>Yes</v>
      </c>
      <c r="K27" s="5" t="str">
        <f t="shared" si="3"/>
        <v>Progress</v>
      </c>
      <c r="L27" s="5" t="str">
        <f t="shared" si="4"/>
        <v>Yes</v>
      </c>
      <c r="M27" s="7" t="str">
        <f t="shared" si="5"/>
        <v>Effective when signed whether or not paid, section 8134</v>
      </c>
    </row>
    <row r="28" spans="1:13" x14ac:dyDescent="0.2">
      <c r="A28" s="5" t="s">
        <v>303</v>
      </c>
      <c r="B28" s="7" t="s">
        <v>422</v>
      </c>
      <c r="C28" s="5" t="s">
        <v>423</v>
      </c>
      <c r="D28" s="5">
        <f t="shared" si="0"/>
        <v>46234</v>
      </c>
      <c r="E28" s="6">
        <v>41230</v>
      </c>
      <c r="F28" s="7" t="s">
        <v>377</v>
      </c>
      <c r="G28" s="5" t="s">
        <v>428</v>
      </c>
      <c r="H28" s="5">
        <f t="shared" si="1"/>
        <v>4461</v>
      </c>
      <c r="I28" s="5" t="str">
        <f>IF(G28="","No check named",IF(COUNTIFS('DK Ledger'!$B$4:$B$42,H28,'DK Ledger'!$C$4:$C$42,"STP")&gt;0,"Stopped",IF(INDEX('DK Ledger'!$H$4:$H$42,MATCH(H28,'DK Ledger'!$B$4:$B$42,0))="","Not paid by the bank","Paid "&amp;INDEX('DK Ledger'!$H$4:$H$42,MATCH(H28,'DK Ledger'!$B$4:$B$42,0)))))</f>
        <v>Paid 08/24/2026</v>
      </c>
      <c r="J28" s="5" t="str">
        <f t="shared" si="2"/>
        <v>Yes</v>
      </c>
      <c r="K28" s="5" t="str">
        <f t="shared" si="3"/>
        <v>Progress</v>
      </c>
      <c r="L28" s="5" t="str">
        <f t="shared" si="4"/>
        <v>Yes</v>
      </c>
      <c r="M28" s="7" t="str">
        <f t="shared" si="5"/>
        <v>Check paid by the bank, effective under section 8124(b)</v>
      </c>
    </row>
    <row r="29" spans="1:13" x14ac:dyDescent="0.2">
      <c r="A29" s="5" t="s">
        <v>303</v>
      </c>
      <c r="B29" s="7" t="s">
        <v>422</v>
      </c>
      <c r="C29" s="5" t="s">
        <v>99</v>
      </c>
      <c r="D29" s="5">
        <f t="shared" si="0"/>
        <v>46245</v>
      </c>
      <c r="E29" s="6">
        <v>27227</v>
      </c>
      <c r="F29" s="7" t="s">
        <v>377</v>
      </c>
      <c r="G29" s="5" t="s">
        <v>429</v>
      </c>
      <c r="H29" s="5">
        <f t="shared" si="1"/>
        <v>4479</v>
      </c>
      <c r="I29" s="5" t="str">
        <f>IF(G29="","No check named",IF(COUNTIFS('DK Ledger'!$B$4:$B$42,H29,'DK Ledger'!$C$4:$C$42,"STP")&gt;0,"Stopped",IF(INDEX('DK Ledger'!$H$4:$H$42,MATCH(H29,'DK Ledger'!$B$4:$B$42,0))="","Not paid by the bank","Paid "&amp;INDEX('DK Ledger'!$H$4:$H$42,MATCH(H29,'DK Ledger'!$B$4:$B$42,0)))))</f>
        <v>Not paid by the bank</v>
      </c>
      <c r="J29" s="5" t="str">
        <f t="shared" si="2"/>
        <v>Yes</v>
      </c>
      <c r="K29" s="5" t="str">
        <f t="shared" si="3"/>
        <v>Progress</v>
      </c>
      <c r="L29" s="5" t="str">
        <f t="shared" si="4"/>
        <v>No</v>
      </c>
      <c r="M29" s="7" t="str">
        <f t="shared" si="5"/>
        <v>No evidence of payment under section 8124(b), releases nothing until payment is shown</v>
      </c>
    </row>
    <row r="30" spans="1:13" x14ac:dyDescent="0.2">
      <c r="A30" s="5" t="s">
        <v>308</v>
      </c>
      <c r="B30" s="7" t="s">
        <v>416</v>
      </c>
      <c r="C30" s="5" t="s">
        <v>194</v>
      </c>
      <c r="D30" s="5">
        <f t="shared" si="0"/>
        <v>46142</v>
      </c>
      <c r="E30" s="6">
        <v>8700</v>
      </c>
      <c r="F30" s="7" t="s">
        <v>377</v>
      </c>
      <c r="H30" s="5" t="str">
        <f t="shared" si="1"/>
        <v/>
      </c>
      <c r="I30" s="5" t="str">
        <f>IF(G30="","No check named",IF(COUNTIFS('DK Ledger'!$B$4:$B$42,H30,'DK Ledger'!$C$4:$C$42,"STP")&gt;0,"Stopped",IF(INDEX('DK Ledger'!$H$4:$H$42,MATCH(H30,'DK Ledger'!$B$4:$B$42,0))="","Not paid by the bank","Paid "&amp;INDEX('DK Ledger'!$H$4:$H$42,MATCH(H30,'DK Ledger'!$B$4:$B$42,0)))))</f>
        <v>No check named</v>
      </c>
      <c r="J30" s="5" t="str">
        <f t="shared" si="2"/>
        <v>Yes</v>
      </c>
      <c r="K30" s="5" t="str">
        <f t="shared" si="3"/>
        <v>Progress</v>
      </c>
      <c r="L30" s="5" t="str">
        <f t="shared" si="4"/>
        <v>Yes</v>
      </c>
      <c r="M30" s="7" t="str">
        <f t="shared" si="5"/>
        <v>Effective when signed whether or not paid, section 8134</v>
      </c>
    </row>
    <row r="31" spans="1:13" x14ac:dyDescent="0.2">
      <c r="A31" s="5" t="s">
        <v>308</v>
      </c>
      <c r="B31" s="7" t="s">
        <v>416</v>
      </c>
      <c r="C31" s="5" t="s">
        <v>421</v>
      </c>
      <c r="D31" s="5">
        <f t="shared" si="0"/>
        <v>46173</v>
      </c>
      <c r="E31" s="6">
        <v>46170</v>
      </c>
      <c r="F31" s="7" t="s">
        <v>377</v>
      </c>
      <c r="H31" s="5" t="str">
        <f t="shared" si="1"/>
        <v/>
      </c>
      <c r="I31" s="5" t="str">
        <f>IF(G31="","No check named",IF(COUNTIFS('DK Ledger'!$B$4:$B$42,H31,'DK Ledger'!$C$4:$C$42,"STP")&gt;0,"Stopped",IF(INDEX('DK Ledger'!$H$4:$H$42,MATCH(H31,'DK Ledger'!$B$4:$B$42,0))="","Not paid by the bank","Paid "&amp;INDEX('DK Ledger'!$H$4:$H$42,MATCH(H31,'DK Ledger'!$B$4:$B$42,0)))))</f>
        <v>No check named</v>
      </c>
      <c r="J31" s="5" t="str">
        <f t="shared" si="2"/>
        <v>Yes</v>
      </c>
      <c r="K31" s="5" t="str">
        <f t="shared" si="3"/>
        <v>Progress</v>
      </c>
      <c r="L31" s="5" t="str">
        <f t="shared" si="4"/>
        <v>Yes</v>
      </c>
      <c r="M31" s="7" t="str">
        <f t="shared" si="5"/>
        <v>Effective when signed whether or not paid, section 8134</v>
      </c>
    </row>
    <row r="32" spans="1:13" x14ac:dyDescent="0.2">
      <c r="A32" s="5" t="s">
        <v>308</v>
      </c>
      <c r="B32" s="7" t="s">
        <v>416</v>
      </c>
      <c r="C32" s="5" t="s">
        <v>216</v>
      </c>
      <c r="D32" s="5">
        <f t="shared" si="0"/>
        <v>46203</v>
      </c>
      <c r="E32" s="6">
        <v>100515</v>
      </c>
      <c r="F32" s="7" t="s">
        <v>377</v>
      </c>
      <c r="H32" s="5" t="str">
        <f t="shared" si="1"/>
        <v/>
      </c>
      <c r="I32" s="5" t="str">
        <f>IF(G32="","No check named",IF(COUNTIFS('DK Ledger'!$B$4:$B$42,H32,'DK Ledger'!$C$4:$C$42,"STP")&gt;0,"Stopped",IF(INDEX('DK Ledger'!$H$4:$H$42,MATCH(H32,'DK Ledger'!$B$4:$B$42,0))="","Not paid by the bank","Paid "&amp;INDEX('DK Ledger'!$H$4:$H$42,MATCH(H32,'DK Ledger'!$B$4:$B$42,0)))))</f>
        <v>No check named</v>
      </c>
      <c r="J32" s="5" t="str">
        <f t="shared" si="2"/>
        <v>Yes</v>
      </c>
      <c r="K32" s="5" t="str">
        <f t="shared" si="3"/>
        <v>Progress</v>
      </c>
      <c r="L32" s="5" t="str">
        <f t="shared" si="4"/>
        <v>Yes</v>
      </c>
      <c r="M32" s="7" t="str">
        <f t="shared" si="5"/>
        <v>Effective when signed whether or not paid, section 8134</v>
      </c>
    </row>
    <row r="33" spans="1:13" x14ac:dyDescent="0.2">
      <c r="A33" s="5" t="s">
        <v>308</v>
      </c>
      <c r="B33" s="7" t="s">
        <v>430</v>
      </c>
      <c r="C33" s="5" t="s">
        <v>423</v>
      </c>
      <c r="D33" s="5">
        <f t="shared" si="0"/>
        <v>46234</v>
      </c>
      <c r="E33" s="6">
        <v>29200</v>
      </c>
      <c r="F33" s="7" t="s">
        <v>431</v>
      </c>
      <c r="H33" s="5" t="str">
        <f t="shared" si="1"/>
        <v/>
      </c>
      <c r="I33" s="5" t="str">
        <f>IF(G33="","No check named",IF(COUNTIFS('DK Ledger'!$B$4:$B$42,H33,'DK Ledger'!$C$4:$C$42,"STP")&gt;0,"Stopped",IF(INDEX('DK Ledger'!$H$4:$H$42,MATCH(H33,'DK Ledger'!$B$4:$B$42,0))="","Not paid by the bank","Paid "&amp;INDEX('DK Ledger'!$H$4:$H$42,MATCH(H33,'DK Ledger'!$B$4:$B$42,0)))))</f>
        <v>No check named</v>
      </c>
      <c r="J33" s="5" t="str">
        <f t="shared" si="2"/>
        <v>No</v>
      </c>
      <c r="K33" s="5" t="str">
        <f t="shared" si="3"/>
        <v>None</v>
      </c>
      <c r="L33" s="5" t="str">
        <f t="shared" si="4"/>
        <v>No</v>
      </c>
      <c r="M33" s="7" t="str">
        <f t="shared" si="5"/>
        <v>Not one of the four statutory forms, releases nothing</v>
      </c>
    </row>
    <row r="34" spans="1:13" x14ac:dyDescent="0.2">
      <c r="A34" s="5" t="s">
        <v>299</v>
      </c>
      <c r="B34" s="7" t="s">
        <v>416</v>
      </c>
      <c r="C34" s="5" t="s">
        <v>417</v>
      </c>
      <c r="D34" s="5">
        <f t="shared" si="0"/>
        <v>46081</v>
      </c>
      <c r="E34" s="6">
        <v>61370</v>
      </c>
      <c r="F34" s="7" t="s">
        <v>377</v>
      </c>
      <c r="H34" s="5" t="str">
        <f t="shared" si="1"/>
        <v/>
      </c>
      <c r="I34" s="5" t="str">
        <f>IF(G34="","No check named",IF(COUNTIFS('DK Ledger'!$B$4:$B$42,H34,'DK Ledger'!$C$4:$C$42,"STP")&gt;0,"Stopped",IF(INDEX('DK Ledger'!$H$4:$H$42,MATCH(H34,'DK Ledger'!$B$4:$B$42,0))="","Not paid by the bank","Paid "&amp;INDEX('DK Ledger'!$H$4:$H$42,MATCH(H34,'DK Ledger'!$B$4:$B$42,0)))))</f>
        <v>No check named</v>
      </c>
      <c r="J34" s="5" t="str">
        <f t="shared" si="2"/>
        <v>Yes</v>
      </c>
      <c r="K34" s="5" t="str">
        <f t="shared" si="3"/>
        <v>Progress</v>
      </c>
      <c r="L34" s="5" t="str">
        <f t="shared" si="4"/>
        <v>Yes</v>
      </c>
      <c r="M34" s="7" t="str">
        <f t="shared" si="5"/>
        <v>Effective when signed whether or not paid, section 8134</v>
      </c>
    </row>
    <row r="35" spans="1:13" x14ac:dyDescent="0.2">
      <c r="A35" s="5" t="s">
        <v>299</v>
      </c>
      <c r="B35" s="7" t="s">
        <v>416</v>
      </c>
      <c r="C35" s="5" t="s">
        <v>188</v>
      </c>
      <c r="D35" s="5">
        <f t="shared" si="0"/>
        <v>46112</v>
      </c>
      <c r="E35" s="6">
        <v>48830</v>
      </c>
      <c r="F35" s="7" t="s">
        <v>377</v>
      </c>
      <c r="H35" s="5" t="str">
        <f t="shared" si="1"/>
        <v/>
      </c>
      <c r="I35" s="5" t="str">
        <f>IF(G35="","No check named",IF(COUNTIFS('DK Ledger'!$B$4:$B$42,H35,'DK Ledger'!$C$4:$C$42,"STP")&gt;0,"Stopped",IF(INDEX('DK Ledger'!$H$4:$H$42,MATCH(H35,'DK Ledger'!$B$4:$B$42,0))="","Not paid by the bank","Paid "&amp;INDEX('DK Ledger'!$H$4:$H$42,MATCH(H35,'DK Ledger'!$B$4:$B$42,0)))))</f>
        <v>No check named</v>
      </c>
      <c r="J35" s="5" t="str">
        <f t="shared" si="2"/>
        <v>Yes</v>
      </c>
      <c r="K35" s="5" t="str">
        <f t="shared" si="3"/>
        <v>Progress</v>
      </c>
      <c r="L35" s="5" t="str">
        <f t="shared" si="4"/>
        <v>Yes</v>
      </c>
      <c r="M35" s="7" t="str">
        <f t="shared" si="5"/>
        <v>Effective when signed whether or not paid, section 8134</v>
      </c>
    </row>
    <row r="36" spans="1:13" x14ac:dyDescent="0.2">
      <c r="A36" s="5" t="s">
        <v>299</v>
      </c>
      <c r="B36" s="7" t="s">
        <v>416</v>
      </c>
      <c r="C36" s="5" t="s">
        <v>216</v>
      </c>
      <c r="D36" s="5">
        <f t="shared" si="0"/>
        <v>46203</v>
      </c>
      <c r="E36" s="6">
        <v>116525</v>
      </c>
      <c r="F36" s="7" t="s">
        <v>377</v>
      </c>
      <c r="H36" s="5" t="str">
        <f t="shared" si="1"/>
        <v/>
      </c>
      <c r="I36" s="5" t="str">
        <f>IF(G36="","No check named",IF(COUNTIFS('DK Ledger'!$B$4:$B$42,H36,'DK Ledger'!$C$4:$C$42,"STP")&gt;0,"Stopped",IF(INDEX('DK Ledger'!$H$4:$H$42,MATCH(H36,'DK Ledger'!$B$4:$B$42,0))="","Not paid by the bank","Paid "&amp;INDEX('DK Ledger'!$H$4:$H$42,MATCH(H36,'DK Ledger'!$B$4:$B$42,0)))))</f>
        <v>No check named</v>
      </c>
      <c r="J36" s="5" t="str">
        <f t="shared" si="2"/>
        <v>Yes</v>
      </c>
      <c r="K36" s="5" t="str">
        <f t="shared" si="3"/>
        <v>Progress</v>
      </c>
      <c r="L36" s="5" t="str">
        <f t="shared" si="4"/>
        <v>Yes</v>
      </c>
      <c r="M36" s="7" t="str">
        <f t="shared" si="5"/>
        <v>Effective when signed whether or not paid, section 8134</v>
      </c>
    </row>
    <row r="37" spans="1:13" x14ac:dyDescent="0.2">
      <c r="A37" s="5" t="s">
        <v>299</v>
      </c>
      <c r="B37" s="7" t="s">
        <v>416</v>
      </c>
      <c r="C37" s="5" t="s">
        <v>423</v>
      </c>
      <c r="D37" s="5">
        <f t="shared" si="0"/>
        <v>46234</v>
      </c>
      <c r="E37" s="6">
        <v>37166</v>
      </c>
      <c r="F37" s="7" t="s">
        <v>377</v>
      </c>
      <c r="H37" s="5" t="str">
        <f t="shared" si="1"/>
        <v/>
      </c>
      <c r="I37" s="5" t="str">
        <f>IF(G37="","No check named",IF(COUNTIFS('DK Ledger'!$B$4:$B$42,H37,'DK Ledger'!$C$4:$C$42,"STP")&gt;0,"Stopped",IF(INDEX('DK Ledger'!$H$4:$H$42,MATCH(H37,'DK Ledger'!$B$4:$B$42,0))="","Not paid by the bank","Paid "&amp;INDEX('DK Ledger'!$H$4:$H$42,MATCH(H37,'DK Ledger'!$B$4:$B$42,0)))))</f>
        <v>No check named</v>
      </c>
      <c r="J37" s="5" t="str">
        <f t="shared" si="2"/>
        <v>Yes</v>
      </c>
      <c r="K37" s="5" t="str">
        <f t="shared" si="3"/>
        <v>Progress</v>
      </c>
      <c r="L37" s="5" t="str">
        <f t="shared" si="4"/>
        <v>Yes</v>
      </c>
      <c r="M37" s="7" t="str">
        <f t="shared" si="5"/>
        <v>Effective when signed whether or not paid, section 8134</v>
      </c>
    </row>
    <row r="38" spans="1:13" x14ac:dyDescent="0.2">
      <c r="A38" s="5" t="s">
        <v>316</v>
      </c>
      <c r="B38" s="7" t="s">
        <v>416</v>
      </c>
      <c r="C38" s="5" t="s">
        <v>423</v>
      </c>
      <c r="D38" s="5">
        <f t="shared" si="0"/>
        <v>46234</v>
      </c>
      <c r="E38" s="6">
        <v>63320</v>
      </c>
      <c r="F38" s="7" t="s">
        <v>377</v>
      </c>
      <c r="H38" s="5" t="str">
        <f t="shared" si="1"/>
        <v/>
      </c>
      <c r="I38" s="5" t="str">
        <f>IF(G38="","No check named",IF(COUNTIFS('DK Ledger'!$B$4:$B$42,H38,'DK Ledger'!$C$4:$C$42,"STP")&gt;0,"Stopped",IF(INDEX('DK Ledger'!$H$4:$H$42,MATCH(H38,'DK Ledger'!$B$4:$B$42,0))="","Not paid by the bank","Paid "&amp;INDEX('DK Ledger'!$H$4:$H$42,MATCH(H38,'DK Ledger'!$B$4:$B$42,0)))))</f>
        <v>No check named</v>
      </c>
      <c r="J38" s="5" t="str">
        <f t="shared" si="2"/>
        <v>Yes</v>
      </c>
      <c r="K38" s="5" t="str">
        <f t="shared" si="3"/>
        <v>Progress</v>
      </c>
      <c r="L38" s="5" t="str">
        <f t="shared" si="4"/>
        <v>Yes</v>
      </c>
      <c r="M38" s="7" t="str">
        <f t="shared" si="5"/>
        <v>Effective when signed whether or not paid, section 8134</v>
      </c>
    </row>
    <row r="40" spans="1:13" x14ac:dyDescent="0.2">
      <c r="A40" s="8" t="s">
        <v>432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3"/>
  <sheetViews>
    <sheetView workbookViewId="0"/>
  </sheetViews>
  <sheetFormatPr baseColWidth="10" defaultColWidth="8.83203125" defaultRowHeight="15" x14ac:dyDescent="0.2"/>
  <cols>
    <col min="1" max="1" width="34" customWidth="1"/>
    <col min="2" max="2" width="70" customWidth="1"/>
    <col min="3" max="3" width="11" customWidth="1"/>
    <col min="4" max="4" width="14" customWidth="1"/>
    <col min="5" max="5" width="12" customWidth="1"/>
    <col min="6" max="6" width="13" customWidth="1"/>
    <col min="7" max="7" width="26" customWidth="1"/>
    <col min="8" max="8" width="28" customWidth="1"/>
    <col min="9" max="9" width="14" customWidth="1"/>
    <col min="10" max="10" width="50" customWidth="1"/>
    <col min="11" max="11" width="12" customWidth="1"/>
    <col min="12" max="12" width="22" customWidth="1"/>
  </cols>
  <sheetData>
    <row r="1" spans="1:12" ht="17" customHeight="1" x14ac:dyDescent="0.2">
      <c r="A1" s="1" t="s">
        <v>433</v>
      </c>
    </row>
    <row r="3" spans="1:12" ht="30" customHeight="1" x14ac:dyDescent="0.2">
      <c r="A3" s="4" t="s">
        <v>30</v>
      </c>
      <c r="B3" s="4" t="s">
        <v>434</v>
      </c>
      <c r="C3" s="4" t="s">
        <v>435</v>
      </c>
      <c r="D3" s="4" t="s">
        <v>436</v>
      </c>
      <c r="E3" s="4" t="s">
        <v>437</v>
      </c>
      <c r="F3" s="4" t="s">
        <v>179</v>
      </c>
      <c r="G3" s="4" t="s">
        <v>438</v>
      </c>
      <c r="H3" s="4" t="s">
        <v>439</v>
      </c>
      <c r="I3" s="4" t="s">
        <v>440</v>
      </c>
      <c r="J3" s="4" t="s">
        <v>253</v>
      </c>
      <c r="K3" s="4" t="s">
        <v>441</v>
      </c>
      <c r="L3" s="4" t="s">
        <v>442</v>
      </c>
    </row>
    <row r="4" spans="1:12" x14ac:dyDescent="0.2">
      <c r="A4" s="5" t="s">
        <v>254</v>
      </c>
      <c r="B4" s="7" t="s">
        <v>443</v>
      </c>
      <c r="C4" s="5" t="s">
        <v>444</v>
      </c>
      <c r="D4" s="5" t="s">
        <v>419</v>
      </c>
      <c r="E4" s="5">
        <f t="shared" ref="E4:E41" si="0">DATE(VALUE(RIGHT(D4,4)),VALUE(LEFT(D4,2)),VALUE(MID(D4,4,2)))</f>
        <v>46150</v>
      </c>
      <c r="F4" s="6">
        <v>20600</v>
      </c>
      <c r="G4" s="5" t="str">
        <f>IF(C4="Charges","No, not work furnished",IF(C4="Request","No, not in the price agreed",IF(E4&gt;=INDEX(Notices!$M$4:$M$18,MATCH(A4,Notices!$A$4:$A$18,0)),"Yes","No, before the notice window")))</f>
        <v>Yes</v>
      </c>
      <c r="H4" s="5" t="str">
        <f>IF(COUNTIFS(Waivers!$A$4:$A$38,A4,Waivers!$L$4:$L$38,"Yes",Waivers!$K$4:$K$38,"Final")&gt;0,"Yes, final form",IF(OR(C4="Retention",C4="Extra",C4="Request"),"No, saved by the progress form",IF(COUNTIFS(Waivers!$A$4:$A$38,A4,Waivers!$L$4:$L$38,"Yes",Waivers!$K$4:$K$38,"Progress",Waivers!$D$4:$D$38,"&gt;="&amp;E4)&gt;0,"Yes","No")))</f>
        <v>No, saved by the progress form</v>
      </c>
      <c r="I4" s="6">
        <f t="shared" ref="I4:I41" si="1">IF(AND(G4="Yes",LEFT(H4,2)="No",LEFT(L4,4)&lt;&gt;"Paid"),F4,0)</f>
        <v>20600</v>
      </c>
      <c r="J4" s="7" t="s">
        <v>445</v>
      </c>
      <c r="L4" s="5" t="str">
        <f>IF(K4="","None",IF(COUNTIFS('DK Ledger'!$B$4:$B$42,K4,'DK Ledger'!$C$4:$C$42,"STP")&gt;0,"Stopped",IF(INDEX('DK Ledger'!$H$4:$H$42,MATCH(K4,'DK Ledger'!$B$4:$B$42,0))="","Not paid by the bank","Paid "&amp;INDEX('DK Ledger'!$H$4:$H$42,MATCH(K4,'DK Ledger'!$B$4:$B$42,0)))))</f>
        <v>None</v>
      </c>
    </row>
    <row r="5" spans="1:12" ht="30" customHeight="1" x14ac:dyDescent="0.2">
      <c r="A5" s="5" t="s">
        <v>254</v>
      </c>
      <c r="B5" s="7" t="s">
        <v>446</v>
      </c>
      <c r="C5" s="5" t="s">
        <v>447</v>
      </c>
      <c r="D5" s="5" t="s">
        <v>419</v>
      </c>
      <c r="E5" s="5">
        <f t="shared" si="0"/>
        <v>46150</v>
      </c>
      <c r="F5" s="6">
        <v>12675</v>
      </c>
      <c r="G5" s="5" t="str">
        <f>IF(C5="Charges","No, not work furnished",IF(C5="Request","No, not in the price agreed",IF(E5&gt;=INDEX(Notices!$M$4:$M$18,MATCH(A5,Notices!$A$4:$A$18,0)),"Yes","No, before the notice window")))</f>
        <v>Yes</v>
      </c>
      <c r="H5" s="5" t="str">
        <f>IF(COUNTIFS(Waivers!$A$4:$A$38,A5,Waivers!$L$4:$L$38,"Yes",Waivers!$K$4:$K$38,"Final")&gt;0,"Yes, final form",IF(OR(C5="Retention",C5="Extra",C5="Request"),"No, saved by the progress form",IF(COUNTIFS(Waivers!$A$4:$A$38,A5,Waivers!$L$4:$L$38,"Yes",Waivers!$K$4:$K$38,"Progress",Waivers!$D$4:$D$38,"&gt;="&amp;E5)&gt;0,"Yes","No")))</f>
        <v>No</v>
      </c>
      <c r="I5" s="6">
        <f t="shared" si="1"/>
        <v>12675</v>
      </c>
      <c r="J5" s="7" t="s">
        <v>448</v>
      </c>
      <c r="L5" s="5" t="str">
        <f>IF(K5="","None",IF(COUNTIFS('DK Ledger'!$B$4:$B$42,K5,'DK Ledger'!$C$4:$C$42,"STP")&gt;0,"Stopped",IF(INDEX('DK Ledger'!$H$4:$H$42,MATCH(K5,'DK Ledger'!$B$4:$B$42,0))="","Not paid by the bank","Paid "&amp;INDEX('DK Ledger'!$H$4:$H$42,MATCH(K5,'DK Ledger'!$B$4:$B$42,0)))))</f>
        <v>None</v>
      </c>
    </row>
    <row r="6" spans="1:12" ht="30" customHeight="1" x14ac:dyDescent="0.2">
      <c r="A6" s="5" t="s">
        <v>261</v>
      </c>
      <c r="B6" s="7" t="s">
        <v>449</v>
      </c>
      <c r="C6" s="5" t="s">
        <v>450</v>
      </c>
      <c r="D6" s="5" t="s">
        <v>451</v>
      </c>
      <c r="E6" s="5">
        <f t="shared" si="0"/>
        <v>46148</v>
      </c>
      <c r="F6" s="6">
        <v>17204.84</v>
      </c>
      <c r="G6" s="5" t="str">
        <f>IF(C6="Charges","No, not work furnished",IF(C6="Request","No, not in the price agreed",IF(E6&gt;=INDEX(Notices!$M$4:$M$18,MATCH(A6,Notices!$A$4:$A$18,0)),"Yes","No, before the notice window")))</f>
        <v>Yes</v>
      </c>
      <c r="H6" s="5" t="str">
        <f>IF(COUNTIFS(Waivers!$A$4:$A$38,A6,Waivers!$L$4:$L$38,"Yes",Waivers!$K$4:$K$38,"Final")&gt;0,"Yes, final form",IF(OR(C6="Retention",C6="Extra",C6="Request"),"No, saved by the progress form",IF(COUNTIFS(Waivers!$A$4:$A$38,A6,Waivers!$L$4:$L$38,"Yes",Waivers!$K$4:$K$38,"Progress",Waivers!$D$4:$D$38,"&gt;="&amp;E6)&gt;0,"Yes","No")))</f>
        <v>No</v>
      </c>
      <c r="I6" s="6">
        <f t="shared" si="1"/>
        <v>17204.84</v>
      </c>
      <c r="J6" s="7" t="s">
        <v>452</v>
      </c>
      <c r="L6" s="5" t="str">
        <f>IF(K6="","None",IF(COUNTIFS('DK Ledger'!$B$4:$B$42,K6,'DK Ledger'!$C$4:$C$42,"STP")&gt;0,"Stopped",IF(INDEX('DK Ledger'!$H$4:$H$42,MATCH(K6,'DK Ledger'!$B$4:$B$42,0))="","Not paid by the bank","Paid "&amp;INDEX('DK Ledger'!$H$4:$H$42,MATCH(K6,'DK Ledger'!$B$4:$B$42,0)))))</f>
        <v>None</v>
      </c>
    </row>
    <row r="7" spans="1:12" ht="30" customHeight="1" x14ac:dyDescent="0.2">
      <c r="A7" s="5" t="s">
        <v>266</v>
      </c>
      <c r="B7" s="7" t="s">
        <v>453</v>
      </c>
      <c r="C7" s="5" t="s">
        <v>450</v>
      </c>
      <c r="D7" s="5" t="s">
        <v>454</v>
      </c>
      <c r="E7" s="5">
        <f t="shared" si="0"/>
        <v>46133</v>
      </c>
      <c r="F7" s="6">
        <v>27640</v>
      </c>
      <c r="G7" s="5" t="str">
        <f>IF(C7="Charges","No, not work furnished",IF(C7="Request","No, not in the price agreed",IF(E7&gt;=INDEX(Notices!$M$4:$M$18,MATCH(A7,Notices!$A$4:$A$18,0)),"Yes","No, before the notice window")))</f>
        <v>Yes</v>
      </c>
      <c r="H7" s="5" t="str">
        <f>IF(COUNTIFS(Waivers!$A$4:$A$38,A7,Waivers!$L$4:$L$38,"Yes",Waivers!$K$4:$K$38,"Final")&gt;0,"Yes, final form",IF(OR(C7="Retention",C7="Extra",C7="Request"),"No, saved by the progress form",IF(COUNTIFS(Waivers!$A$4:$A$38,A7,Waivers!$L$4:$L$38,"Yes",Waivers!$K$4:$K$38,"Progress",Waivers!$D$4:$D$38,"&gt;="&amp;E7)&gt;0,"Yes","No")))</f>
        <v>No</v>
      </c>
      <c r="I7" s="6">
        <f t="shared" si="1"/>
        <v>27640</v>
      </c>
      <c r="J7" s="7" t="s">
        <v>455</v>
      </c>
      <c r="L7" s="5" t="str">
        <f>IF(K7="","None",IF(COUNTIFS('DK Ledger'!$B$4:$B$42,K7,'DK Ledger'!$C$4:$C$42,"STP")&gt;0,"Stopped",IF(INDEX('DK Ledger'!$H$4:$H$42,MATCH(K7,'DK Ledger'!$B$4:$B$42,0))="","Not paid by the bank","Paid "&amp;INDEX('DK Ledger'!$H$4:$H$42,MATCH(K7,'DK Ledger'!$B$4:$B$42,0)))))</f>
        <v>None</v>
      </c>
    </row>
    <row r="8" spans="1:12" ht="30" customHeight="1" x14ac:dyDescent="0.2">
      <c r="A8" s="5" t="s">
        <v>271</v>
      </c>
      <c r="B8" s="7" t="s">
        <v>456</v>
      </c>
      <c r="C8" s="5" t="s">
        <v>450</v>
      </c>
      <c r="D8" s="5" t="s">
        <v>192</v>
      </c>
      <c r="E8" s="5">
        <f t="shared" si="0"/>
        <v>46140</v>
      </c>
      <c r="F8" s="6">
        <v>11406.25</v>
      </c>
      <c r="G8" s="5" t="str">
        <f>IF(C8="Charges","No, not work furnished",IF(C8="Request","No, not in the price agreed",IF(E8&gt;=INDEX(Notices!$M$4:$M$18,MATCH(A8,Notices!$A$4:$A$18,0)),"Yes","No, before the notice window")))</f>
        <v>No, before the notice window</v>
      </c>
      <c r="H8" s="5" t="str">
        <f>IF(COUNTIFS(Waivers!$A$4:$A$38,A8,Waivers!$L$4:$L$38,"Yes",Waivers!$K$4:$K$38,"Final")&gt;0,"Yes, final form",IF(OR(C8="Retention",C8="Extra",C8="Request"),"No, saved by the progress form",IF(COUNTIFS(Waivers!$A$4:$A$38,A8,Waivers!$L$4:$L$38,"Yes",Waivers!$K$4:$K$38,"Progress",Waivers!$D$4:$D$38,"&gt;="&amp;E8)&gt;0,"Yes","No")))</f>
        <v>No</v>
      </c>
      <c r="I8" s="6">
        <f t="shared" si="1"/>
        <v>0</v>
      </c>
      <c r="J8" s="7" t="s">
        <v>457</v>
      </c>
      <c r="L8" s="5" t="str">
        <f>IF(K8="","None",IF(COUNTIFS('DK Ledger'!$B$4:$B$42,K8,'DK Ledger'!$C$4:$C$42,"STP")&gt;0,"Stopped",IF(INDEX('DK Ledger'!$H$4:$H$42,MATCH(K8,'DK Ledger'!$B$4:$B$42,0))="","Not paid by the bank","Paid "&amp;INDEX('DK Ledger'!$H$4:$H$42,MATCH(K8,'DK Ledger'!$B$4:$B$42,0)))))</f>
        <v>None</v>
      </c>
    </row>
    <row r="9" spans="1:12" x14ac:dyDescent="0.2">
      <c r="A9" s="5" t="s">
        <v>271</v>
      </c>
      <c r="B9" s="7" t="s">
        <v>458</v>
      </c>
      <c r="C9" s="5" t="s">
        <v>450</v>
      </c>
      <c r="D9" s="5" t="s">
        <v>203</v>
      </c>
      <c r="E9" s="5">
        <f t="shared" si="0"/>
        <v>46147</v>
      </c>
      <c r="F9" s="6">
        <v>6930</v>
      </c>
      <c r="G9" s="5" t="str">
        <f>IF(C9="Charges","No, not work furnished",IF(C9="Request","No, not in the price agreed",IF(E9&gt;=INDEX(Notices!$M$4:$M$18,MATCH(A9,Notices!$A$4:$A$18,0)),"Yes","No, before the notice window")))</f>
        <v>No, before the notice window</v>
      </c>
      <c r="H9" s="5" t="str">
        <f>IF(COUNTIFS(Waivers!$A$4:$A$38,A9,Waivers!$L$4:$L$38,"Yes",Waivers!$K$4:$K$38,"Final")&gt;0,"Yes, final form",IF(OR(C9="Retention",C9="Extra",C9="Request"),"No, saved by the progress form",IF(COUNTIFS(Waivers!$A$4:$A$38,A9,Waivers!$L$4:$L$38,"Yes",Waivers!$K$4:$K$38,"Progress",Waivers!$D$4:$D$38,"&gt;="&amp;E9)&gt;0,"Yes","No")))</f>
        <v>No</v>
      </c>
      <c r="I9" s="6">
        <f t="shared" si="1"/>
        <v>0</v>
      </c>
      <c r="J9" s="7" t="s">
        <v>457</v>
      </c>
      <c r="L9" s="5" t="str">
        <f>IF(K9="","None",IF(COUNTIFS('DK Ledger'!$B$4:$B$42,K9,'DK Ledger'!$C$4:$C$42,"STP")&gt;0,"Stopped",IF(INDEX('DK Ledger'!$H$4:$H$42,MATCH(K9,'DK Ledger'!$B$4:$B$42,0))="","Not paid by the bank","Paid "&amp;INDEX('DK Ledger'!$H$4:$H$42,MATCH(K9,'DK Ledger'!$B$4:$B$42,0)))))</f>
        <v>None</v>
      </c>
    </row>
    <row r="10" spans="1:12" x14ac:dyDescent="0.2">
      <c r="A10" s="5" t="s">
        <v>271</v>
      </c>
      <c r="B10" s="7" t="s">
        <v>459</v>
      </c>
      <c r="C10" s="5" t="s">
        <v>450</v>
      </c>
      <c r="D10" s="5" t="s">
        <v>419</v>
      </c>
      <c r="E10" s="5">
        <f t="shared" si="0"/>
        <v>46150</v>
      </c>
      <c r="F10" s="6">
        <v>4890.5</v>
      </c>
      <c r="G10" s="5" t="str">
        <f>IF(C10="Charges","No, not work furnished",IF(C10="Request","No, not in the price agreed",IF(E10&gt;=INDEX(Notices!$M$4:$M$18,MATCH(A10,Notices!$A$4:$A$18,0)),"Yes","No, before the notice window")))</f>
        <v>No, before the notice window</v>
      </c>
      <c r="H10" s="5" t="str">
        <f>IF(COUNTIFS(Waivers!$A$4:$A$38,A10,Waivers!$L$4:$L$38,"Yes",Waivers!$K$4:$K$38,"Final")&gt;0,"Yes, final form",IF(OR(C10="Retention",C10="Extra",C10="Request"),"No, saved by the progress form",IF(COUNTIFS(Waivers!$A$4:$A$38,A10,Waivers!$L$4:$L$38,"Yes",Waivers!$K$4:$K$38,"Progress",Waivers!$D$4:$D$38,"&gt;="&amp;E10)&gt;0,"Yes","No")))</f>
        <v>No</v>
      </c>
      <c r="I10" s="6">
        <f t="shared" si="1"/>
        <v>0</v>
      </c>
      <c r="J10" s="7" t="s">
        <v>457</v>
      </c>
      <c r="L10" s="5" t="str">
        <f>IF(K10="","None",IF(COUNTIFS('DK Ledger'!$B$4:$B$42,K10,'DK Ledger'!$C$4:$C$42,"STP")&gt;0,"Stopped",IF(INDEX('DK Ledger'!$H$4:$H$42,MATCH(K10,'DK Ledger'!$B$4:$B$42,0))="","Not paid by the bank","Paid "&amp;INDEX('DK Ledger'!$H$4:$H$42,MATCH(K10,'DK Ledger'!$B$4:$B$42,0)))))</f>
        <v>None</v>
      </c>
    </row>
    <row r="11" spans="1:12" x14ac:dyDescent="0.2">
      <c r="A11" s="5" t="s">
        <v>271</v>
      </c>
      <c r="B11" s="7" t="s">
        <v>460</v>
      </c>
      <c r="C11" s="5" t="s">
        <v>450</v>
      </c>
      <c r="D11" s="5" t="s">
        <v>461</v>
      </c>
      <c r="E11" s="5">
        <f t="shared" si="0"/>
        <v>46154</v>
      </c>
      <c r="F11" s="6">
        <v>3228.25</v>
      </c>
      <c r="G11" s="5" t="str">
        <f>IF(C11="Charges","No, not work furnished",IF(C11="Request","No, not in the price agreed",IF(E11&gt;=INDEX(Notices!$M$4:$M$18,MATCH(A11,Notices!$A$4:$A$18,0)),"Yes","No, before the notice window")))</f>
        <v>Yes</v>
      </c>
      <c r="H11" s="5" t="str">
        <f>IF(COUNTIFS(Waivers!$A$4:$A$38,A11,Waivers!$L$4:$L$38,"Yes",Waivers!$K$4:$K$38,"Final")&gt;0,"Yes, final form",IF(OR(C11="Retention",C11="Extra",C11="Request"),"No, saved by the progress form",IF(COUNTIFS(Waivers!$A$4:$A$38,A11,Waivers!$L$4:$L$38,"Yes",Waivers!$K$4:$K$38,"Progress",Waivers!$D$4:$D$38,"&gt;="&amp;E11)&gt;0,"Yes","No")))</f>
        <v>No</v>
      </c>
      <c r="I11" s="6">
        <f t="shared" si="1"/>
        <v>3228.25</v>
      </c>
      <c r="J11" s="7" t="s">
        <v>457</v>
      </c>
      <c r="L11" s="5" t="str">
        <f>IF(K11="","None",IF(COUNTIFS('DK Ledger'!$B$4:$B$42,K11,'DK Ledger'!$C$4:$C$42,"STP")&gt;0,"Stopped",IF(INDEX('DK Ledger'!$H$4:$H$42,MATCH(K11,'DK Ledger'!$B$4:$B$42,0))="","Not paid by the bank","Paid "&amp;INDEX('DK Ledger'!$H$4:$H$42,MATCH(K11,'DK Ledger'!$B$4:$B$42,0)))))</f>
        <v>None</v>
      </c>
    </row>
    <row r="12" spans="1:12" ht="30" customHeight="1" x14ac:dyDescent="0.2">
      <c r="A12" s="5" t="s">
        <v>271</v>
      </c>
      <c r="B12" s="7" t="s">
        <v>462</v>
      </c>
      <c r="C12" s="5" t="s">
        <v>450</v>
      </c>
      <c r="D12" s="5" t="s">
        <v>463</v>
      </c>
      <c r="E12" s="5">
        <f t="shared" si="0"/>
        <v>46168</v>
      </c>
      <c r="F12" s="6">
        <v>9447.2</v>
      </c>
      <c r="G12" s="5" t="str">
        <f>IF(C12="Charges","No, not work furnished",IF(C12="Request","No, not in the price agreed",IF(E12&gt;=INDEX(Notices!$M$4:$M$18,MATCH(A12,Notices!$A$4:$A$18,0)),"Yes","No, before the notice window")))</f>
        <v>Yes</v>
      </c>
      <c r="H12" s="5" t="str">
        <f>IF(COUNTIFS(Waivers!$A$4:$A$38,A12,Waivers!$L$4:$L$38,"Yes",Waivers!$K$4:$K$38,"Final")&gt;0,"Yes, final form",IF(OR(C12="Retention",C12="Extra",C12="Request"),"No, saved by the progress form",IF(COUNTIFS(Waivers!$A$4:$A$38,A12,Waivers!$L$4:$L$38,"Yes",Waivers!$K$4:$K$38,"Progress",Waivers!$D$4:$D$38,"&gt;="&amp;E12)&gt;0,"Yes","No")))</f>
        <v>No</v>
      </c>
      <c r="I12" s="6">
        <f t="shared" si="1"/>
        <v>9447.2</v>
      </c>
      <c r="J12" s="7" t="s">
        <v>457</v>
      </c>
      <c r="L12" s="5" t="str">
        <f>IF(K12="","None",IF(COUNTIFS('DK Ledger'!$B$4:$B$42,K12,'DK Ledger'!$C$4:$C$42,"STP")&gt;0,"Stopped",IF(INDEX('DK Ledger'!$H$4:$H$42,MATCH(K12,'DK Ledger'!$B$4:$B$42,0))="","Not paid by the bank","Paid "&amp;INDEX('DK Ledger'!$H$4:$H$42,MATCH(K12,'DK Ledger'!$B$4:$B$42,0)))))</f>
        <v>None</v>
      </c>
    </row>
    <row r="13" spans="1:12" ht="30" customHeight="1" x14ac:dyDescent="0.2">
      <c r="A13" s="5" t="s">
        <v>271</v>
      </c>
      <c r="B13" s="7" t="s">
        <v>464</v>
      </c>
      <c r="C13" s="5" t="s">
        <v>450</v>
      </c>
      <c r="D13" s="5" t="s">
        <v>465</v>
      </c>
      <c r="E13" s="5">
        <f t="shared" si="0"/>
        <v>46182</v>
      </c>
      <c r="F13" s="6">
        <v>10220.4</v>
      </c>
      <c r="G13" s="5" t="str">
        <f>IF(C13="Charges","No, not work furnished",IF(C13="Request","No, not in the price agreed",IF(E13&gt;=INDEX(Notices!$M$4:$M$18,MATCH(A13,Notices!$A$4:$A$18,0)),"Yes","No, before the notice window")))</f>
        <v>Yes</v>
      </c>
      <c r="H13" s="5" t="str">
        <f>IF(COUNTIFS(Waivers!$A$4:$A$38,A13,Waivers!$L$4:$L$38,"Yes",Waivers!$K$4:$K$38,"Final")&gt;0,"Yes, final form",IF(OR(C13="Retention",C13="Extra",C13="Request"),"No, saved by the progress form",IF(COUNTIFS(Waivers!$A$4:$A$38,A13,Waivers!$L$4:$L$38,"Yes",Waivers!$K$4:$K$38,"Progress",Waivers!$D$4:$D$38,"&gt;="&amp;E13)&gt;0,"Yes","No")))</f>
        <v>No</v>
      </c>
      <c r="I13" s="6">
        <f t="shared" si="1"/>
        <v>10220.4</v>
      </c>
      <c r="J13" s="7" t="s">
        <v>457</v>
      </c>
      <c r="L13" s="5" t="str">
        <f>IF(K13="","None",IF(COUNTIFS('DK Ledger'!$B$4:$B$42,K13,'DK Ledger'!$C$4:$C$42,"STP")&gt;0,"Stopped",IF(INDEX('DK Ledger'!$H$4:$H$42,MATCH(K13,'DK Ledger'!$B$4:$B$42,0))="","Not paid by the bank","Paid "&amp;INDEX('DK Ledger'!$H$4:$H$42,MATCH(K13,'DK Ledger'!$B$4:$B$42,0)))))</f>
        <v>None</v>
      </c>
    </row>
    <row r="14" spans="1:12" ht="30" customHeight="1" x14ac:dyDescent="0.2">
      <c r="A14" s="5" t="s">
        <v>271</v>
      </c>
      <c r="B14" s="7" t="s">
        <v>466</v>
      </c>
      <c r="C14" s="5" t="s">
        <v>450</v>
      </c>
      <c r="D14" s="5" t="s">
        <v>467</v>
      </c>
      <c r="E14" s="5">
        <f t="shared" si="0"/>
        <v>46196</v>
      </c>
      <c r="F14" s="6">
        <v>6195.84</v>
      </c>
      <c r="G14" s="5" t="str">
        <f>IF(C14="Charges","No, not work furnished",IF(C14="Request","No, not in the price agreed",IF(E14&gt;=INDEX(Notices!$M$4:$M$18,MATCH(A14,Notices!$A$4:$A$18,0)),"Yes","No, before the notice window")))</f>
        <v>Yes</v>
      </c>
      <c r="H14" s="5" t="str">
        <f>IF(COUNTIFS(Waivers!$A$4:$A$38,A14,Waivers!$L$4:$L$38,"Yes",Waivers!$K$4:$K$38,"Final")&gt;0,"Yes, final form",IF(OR(C14="Retention",C14="Extra",C14="Request"),"No, saved by the progress form",IF(COUNTIFS(Waivers!$A$4:$A$38,A14,Waivers!$L$4:$L$38,"Yes",Waivers!$K$4:$K$38,"Progress",Waivers!$D$4:$D$38,"&gt;="&amp;E14)&gt;0,"Yes","No")))</f>
        <v>No</v>
      </c>
      <c r="I14" s="6">
        <f t="shared" si="1"/>
        <v>6195.84</v>
      </c>
      <c r="J14" s="7" t="s">
        <v>457</v>
      </c>
      <c r="L14" s="5" t="str">
        <f>IF(K14="","None",IF(COUNTIFS('DK Ledger'!$B$4:$B$42,K14,'DK Ledger'!$C$4:$C$42,"STP")&gt;0,"Stopped",IF(INDEX('DK Ledger'!$H$4:$H$42,MATCH(K14,'DK Ledger'!$B$4:$B$42,0))="","Not paid by the bank","Paid "&amp;INDEX('DK Ledger'!$H$4:$H$42,MATCH(K14,'DK Ledger'!$B$4:$B$42,0)))))</f>
        <v>None</v>
      </c>
    </row>
    <row r="15" spans="1:12" x14ac:dyDescent="0.2">
      <c r="A15" s="5" t="s">
        <v>271</v>
      </c>
      <c r="B15" s="7" t="s">
        <v>468</v>
      </c>
      <c r="C15" s="5" t="s">
        <v>469</v>
      </c>
      <c r="D15" s="5" t="s">
        <v>338</v>
      </c>
      <c r="E15" s="5">
        <f t="shared" si="0"/>
        <v>46265</v>
      </c>
      <c r="F15" s="6">
        <v>1912.37</v>
      </c>
      <c r="G15" s="5" t="str">
        <f>IF(C15="Charges","No, not work furnished",IF(C15="Request","No, not in the price agreed",IF(E15&gt;=INDEX(Notices!$M$4:$M$18,MATCH(A15,Notices!$A$4:$A$18,0)),"Yes","No, before the notice window")))</f>
        <v>No, not work furnished</v>
      </c>
      <c r="H15" s="5" t="str">
        <f>IF(COUNTIFS(Waivers!$A$4:$A$38,A15,Waivers!$L$4:$L$38,"Yes",Waivers!$K$4:$K$38,"Final")&gt;0,"Yes, final form",IF(OR(C15="Retention",C15="Extra",C15="Request"),"No, saved by the progress form",IF(COUNTIFS(Waivers!$A$4:$A$38,A15,Waivers!$L$4:$L$38,"Yes",Waivers!$K$4:$K$38,"Progress",Waivers!$D$4:$D$38,"&gt;="&amp;E15)&gt;0,"Yes","No")))</f>
        <v>No</v>
      </c>
      <c r="I15" s="6">
        <f t="shared" si="1"/>
        <v>0</v>
      </c>
      <c r="J15" s="7" t="s">
        <v>470</v>
      </c>
      <c r="L15" s="5" t="str">
        <f>IF(K15="","None",IF(COUNTIFS('DK Ledger'!$B$4:$B$42,K15,'DK Ledger'!$C$4:$C$42,"STP")&gt;0,"Stopped",IF(INDEX('DK Ledger'!$H$4:$H$42,MATCH(K15,'DK Ledger'!$B$4:$B$42,0))="","Not paid by the bank","Paid "&amp;INDEX('DK Ledger'!$H$4:$H$42,MATCH(K15,'DK Ledger'!$B$4:$B$42,0)))))</f>
        <v>None</v>
      </c>
    </row>
    <row r="16" spans="1:12" x14ac:dyDescent="0.2">
      <c r="A16" s="5" t="s">
        <v>276</v>
      </c>
      <c r="B16" s="7" t="s">
        <v>471</v>
      </c>
      <c r="C16" s="5" t="s">
        <v>444</v>
      </c>
      <c r="D16" s="5" t="s">
        <v>472</v>
      </c>
      <c r="E16" s="5">
        <f t="shared" si="0"/>
        <v>46220</v>
      </c>
      <c r="F16" s="6">
        <v>9345</v>
      </c>
      <c r="G16" s="5" t="str">
        <f>IF(C16="Charges","No, not work furnished",IF(C16="Request","No, not in the price agreed",IF(E16&gt;=INDEX(Notices!$M$4:$M$18,MATCH(A16,Notices!$A$4:$A$18,0)),"Yes","No, before the notice window")))</f>
        <v>Yes</v>
      </c>
      <c r="H16" s="5" t="str">
        <f>IF(COUNTIFS(Waivers!$A$4:$A$38,A16,Waivers!$L$4:$L$38,"Yes",Waivers!$K$4:$K$38,"Final")&gt;0,"Yes, final form",IF(OR(C16="Retention",C16="Extra",C16="Request"),"No, saved by the progress form",IF(COUNTIFS(Waivers!$A$4:$A$38,A16,Waivers!$L$4:$L$38,"Yes",Waivers!$K$4:$K$38,"Progress",Waivers!$D$4:$D$38,"&gt;="&amp;E16)&gt;0,"Yes","No")))</f>
        <v>No, saved by the progress form</v>
      </c>
      <c r="I16" s="6">
        <f t="shared" si="1"/>
        <v>9345</v>
      </c>
      <c r="J16" s="7" t="s">
        <v>473</v>
      </c>
      <c r="L16" s="5" t="str">
        <f>IF(K16="","None",IF(COUNTIFS('DK Ledger'!$B$4:$B$42,K16,'DK Ledger'!$C$4:$C$42,"STP")&gt;0,"Stopped",IF(INDEX('DK Ledger'!$H$4:$H$42,MATCH(K16,'DK Ledger'!$B$4:$B$42,0))="","Not paid by the bank","Paid "&amp;INDEX('DK Ledger'!$H$4:$H$42,MATCH(K16,'DK Ledger'!$B$4:$B$42,0)))))</f>
        <v>None</v>
      </c>
    </row>
    <row r="17" spans="1:12" x14ac:dyDescent="0.2">
      <c r="A17" s="5" t="s">
        <v>280</v>
      </c>
      <c r="B17" s="7" t="s">
        <v>474</v>
      </c>
      <c r="C17" s="5" t="s">
        <v>447</v>
      </c>
      <c r="D17" s="5" t="s">
        <v>423</v>
      </c>
      <c r="E17" s="5">
        <f t="shared" si="0"/>
        <v>46234</v>
      </c>
      <c r="F17" s="6">
        <v>73910</v>
      </c>
      <c r="G17" s="5" t="str">
        <f>IF(C17="Charges","No, not work furnished",IF(C17="Request","No, not in the price agreed",IF(E17&gt;=INDEX(Notices!$M$4:$M$18,MATCH(A17,Notices!$A$4:$A$18,0)),"Yes","No, before the notice window")))</f>
        <v>Yes</v>
      </c>
      <c r="H17" s="5" t="str">
        <f>IF(COUNTIFS(Waivers!$A$4:$A$38,A17,Waivers!$L$4:$L$38,"Yes",Waivers!$K$4:$K$38,"Final")&gt;0,"Yes, final form",IF(OR(C17="Retention",C17="Extra",C17="Request"),"No, saved by the progress form",IF(COUNTIFS(Waivers!$A$4:$A$38,A17,Waivers!$L$4:$L$38,"Yes",Waivers!$K$4:$K$38,"Progress",Waivers!$D$4:$D$38,"&gt;="&amp;E17)&gt;0,"Yes","No")))</f>
        <v>No</v>
      </c>
      <c r="I17" s="6">
        <f t="shared" si="1"/>
        <v>0</v>
      </c>
      <c r="J17" s="7" t="s">
        <v>475</v>
      </c>
      <c r="K17" s="5">
        <v>4474</v>
      </c>
      <c r="L17" s="5" t="str">
        <f>IF(K17="","None",IF(COUNTIFS('DK Ledger'!$B$4:$B$42,K17,'DK Ledger'!$C$4:$C$42,"STP")&gt;0,"Stopped",IF(INDEX('DK Ledger'!$H$4:$H$42,MATCH(K17,'DK Ledger'!$B$4:$B$42,0))="","Not paid by the bank","Paid "&amp;INDEX('DK Ledger'!$H$4:$H$42,MATCH(K17,'DK Ledger'!$B$4:$B$42,0)))))</f>
        <v>Paid 09/23/2026</v>
      </c>
    </row>
    <row r="18" spans="1:12" x14ac:dyDescent="0.2">
      <c r="A18" s="5" t="s">
        <v>280</v>
      </c>
      <c r="B18" s="7" t="s">
        <v>476</v>
      </c>
      <c r="C18" s="5" t="s">
        <v>447</v>
      </c>
      <c r="D18" s="5" t="s">
        <v>99</v>
      </c>
      <c r="E18" s="5">
        <f t="shared" si="0"/>
        <v>46245</v>
      </c>
      <c r="F18" s="6">
        <v>63005</v>
      </c>
      <c r="G18" s="5" t="str">
        <f>IF(C18="Charges","No, not work furnished",IF(C18="Request","No, not in the price agreed",IF(E18&gt;=INDEX(Notices!$M$4:$M$18,MATCH(A18,Notices!$A$4:$A$18,0)),"Yes","No, before the notice window")))</f>
        <v>Yes</v>
      </c>
      <c r="H18" s="5" t="str">
        <f>IF(COUNTIFS(Waivers!$A$4:$A$38,A18,Waivers!$L$4:$L$38,"Yes",Waivers!$K$4:$K$38,"Final")&gt;0,"Yes, final form",IF(OR(C18="Retention",C18="Extra",C18="Request"),"No, saved by the progress form",IF(COUNTIFS(Waivers!$A$4:$A$38,A18,Waivers!$L$4:$L$38,"Yes",Waivers!$K$4:$K$38,"Progress",Waivers!$D$4:$D$38,"&gt;="&amp;E18)&gt;0,"Yes","No")))</f>
        <v>No</v>
      </c>
      <c r="I18" s="6">
        <f t="shared" si="1"/>
        <v>63005</v>
      </c>
      <c r="J18" s="7" t="s">
        <v>477</v>
      </c>
      <c r="L18" s="5" t="str">
        <f>IF(K18="","None",IF(COUNTIFS('DK Ledger'!$B$4:$B$42,K18,'DK Ledger'!$C$4:$C$42,"STP")&gt;0,"Stopped",IF(INDEX('DK Ledger'!$H$4:$H$42,MATCH(K18,'DK Ledger'!$B$4:$B$42,0))="","Not paid by the bank","Paid "&amp;INDEX('DK Ledger'!$H$4:$H$42,MATCH(K18,'DK Ledger'!$B$4:$B$42,0)))))</f>
        <v>None</v>
      </c>
    </row>
    <row r="19" spans="1:12" x14ac:dyDescent="0.2">
      <c r="A19" s="5" t="s">
        <v>280</v>
      </c>
      <c r="B19" s="7" t="s">
        <v>478</v>
      </c>
      <c r="C19" s="5" t="s">
        <v>444</v>
      </c>
      <c r="D19" s="5" t="s">
        <v>479</v>
      </c>
      <c r="E19" s="5">
        <f t="shared" si="0"/>
        <v>46244</v>
      </c>
      <c r="F19" s="6">
        <v>22230</v>
      </c>
      <c r="G19" s="5" t="str">
        <f>IF(C19="Charges","No, not work furnished",IF(C19="Request","No, not in the price agreed",IF(E19&gt;=INDEX(Notices!$M$4:$M$18,MATCH(A19,Notices!$A$4:$A$18,0)),"Yes","No, before the notice window")))</f>
        <v>Yes</v>
      </c>
      <c r="H19" s="5" t="str">
        <f>IF(COUNTIFS(Waivers!$A$4:$A$38,A19,Waivers!$L$4:$L$38,"Yes",Waivers!$K$4:$K$38,"Final")&gt;0,"Yes, final form",IF(OR(C19="Retention",C19="Extra",C19="Request"),"No, saved by the progress form",IF(COUNTIFS(Waivers!$A$4:$A$38,A19,Waivers!$L$4:$L$38,"Yes",Waivers!$K$4:$K$38,"Progress",Waivers!$D$4:$D$38,"&gt;="&amp;E19)&gt;0,"Yes","No")))</f>
        <v>No, saved by the progress form</v>
      </c>
      <c r="I19" s="6">
        <f t="shared" si="1"/>
        <v>22230</v>
      </c>
      <c r="J19" s="7" t="s">
        <v>480</v>
      </c>
      <c r="L19" s="5" t="str">
        <f>IF(K19="","None",IF(COUNTIFS('DK Ledger'!$B$4:$B$42,K19,'DK Ledger'!$C$4:$C$42,"STP")&gt;0,"Stopped",IF(INDEX('DK Ledger'!$H$4:$H$42,MATCH(K19,'DK Ledger'!$B$4:$B$42,0))="","Not paid by the bank","Paid "&amp;INDEX('DK Ledger'!$H$4:$H$42,MATCH(K19,'DK Ledger'!$B$4:$B$42,0)))))</f>
        <v>None</v>
      </c>
    </row>
    <row r="20" spans="1:12" ht="30" customHeight="1" x14ac:dyDescent="0.2">
      <c r="A20" s="5" t="s">
        <v>285</v>
      </c>
      <c r="B20" s="7" t="s">
        <v>481</v>
      </c>
      <c r="C20" s="5" t="s">
        <v>447</v>
      </c>
      <c r="D20" s="5" t="s">
        <v>423</v>
      </c>
      <c r="E20" s="5">
        <f t="shared" si="0"/>
        <v>46234</v>
      </c>
      <c r="F20" s="6">
        <v>38475</v>
      </c>
      <c r="G20" s="5" t="str">
        <f>IF(C20="Charges","No, not work furnished",IF(C20="Request","No, not in the price agreed",IF(E20&gt;=INDEX(Notices!$M$4:$M$18,MATCH(A20,Notices!$A$4:$A$18,0)),"Yes","No, before the notice window")))</f>
        <v>Yes</v>
      </c>
      <c r="H20" s="5" t="str">
        <f>IF(COUNTIFS(Waivers!$A$4:$A$38,A20,Waivers!$L$4:$L$38,"Yes",Waivers!$K$4:$K$38,"Final")&gt;0,"Yes, final form",IF(OR(C20="Retention",C20="Extra",C20="Request"),"No, saved by the progress form",IF(COUNTIFS(Waivers!$A$4:$A$38,A20,Waivers!$L$4:$L$38,"Yes",Waivers!$K$4:$K$38,"Progress",Waivers!$D$4:$D$38,"&gt;="&amp;E20)&gt;0,"Yes","No")))</f>
        <v>Yes</v>
      </c>
      <c r="I20" s="6">
        <f t="shared" si="1"/>
        <v>0</v>
      </c>
      <c r="J20" s="7" t="s">
        <v>482</v>
      </c>
      <c r="L20" s="5" t="str">
        <f>IF(K20="","None",IF(COUNTIFS('DK Ledger'!$B$4:$B$42,K20,'DK Ledger'!$C$4:$C$42,"STP")&gt;0,"Stopped",IF(INDEX('DK Ledger'!$H$4:$H$42,MATCH(K20,'DK Ledger'!$B$4:$B$42,0))="","Not paid by the bank","Paid "&amp;INDEX('DK Ledger'!$H$4:$H$42,MATCH(K20,'DK Ledger'!$B$4:$B$42,0)))))</f>
        <v>None</v>
      </c>
    </row>
    <row r="21" spans="1:12" x14ac:dyDescent="0.2">
      <c r="A21" s="5" t="s">
        <v>285</v>
      </c>
      <c r="B21" s="7" t="s">
        <v>483</v>
      </c>
      <c r="C21" s="5" t="s">
        <v>444</v>
      </c>
      <c r="D21" s="5" t="s">
        <v>484</v>
      </c>
      <c r="E21" s="5">
        <f t="shared" si="0"/>
        <v>46241</v>
      </c>
      <c r="F21" s="6">
        <v>3845</v>
      </c>
      <c r="G21" s="5" t="str">
        <f>IF(C21="Charges","No, not work furnished",IF(C21="Request","No, not in the price agreed",IF(E21&gt;=INDEX(Notices!$M$4:$M$18,MATCH(A21,Notices!$A$4:$A$18,0)),"Yes","No, before the notice window")))</f>
        <v>Yes</v>
      </c>
      <c r="H21" s="5" t="str">
        <f>IF(COUNTIFS(Waivers!$A$4:$A$38,A21,Waivers!$L$4:$L$38,"Yes",Waivers!$K$4:$K$38,"Final")&gt;0,"Yes, final form",IF(OR(C21="Retention",C21="Extra",C21="Request"),"No, saved by the progress form",IF(COUNTIFS(Waivers!$A$4:$A$38,A21,Waivers!$L$4:$L$38,"Yes",Waivers!$K$4:$K$38,"Progress",Waivers!$D$4:$D$38,"&gt;="&amp;E21)&gt;0,"Yes","No")))</f>
        <v>No, saved by the progress form</v>
      </c>
      <c r="I21" s="6">
        <f t="shared" si="1"/>
        <v>3845</v>
      </c>
      <c r="J21" s="7" t="s">
        <v>485</v>
      </c>
      <c r="L21" s="5" t="str">
        <f>IF(K21="","None",IF(COUNTIFS('DK Ledger'!$B$4:$B$42,K21,'DK Ledger'!$C$4:$C$42,"STP")&gt;0,"Stopped",IF(INDEX('DK Ledger'!$H$4:$H$42,MATCH(K21,'DK Ledger'!$B$4:$B$42,0))="","Not paid by the bank","Paid "&amp;INDEX('DK Ledger'!$H$4:$H$42,MATCH(K21,'DK Ledger'!$B$4:$B$42,0)))))</f>
        <v>None</v>
      </c>
    </row>
    <row r="22" spans="1:12" ht="30" customHeight="1" x14ac:dyDescent="0.2">
      <c r="A22" s="5" t="s">
        <v>285</v>
      </c>
      <c r="B22" s="7" t="s">
        <v>486</v>
      </c>
      <c r="C22" s="5" t="s">
        <v>487</v>
      </c>
      <c r="D22" s="5" t="s">
        <v>484</v>
      </c>
      <c r="E22" s="5">
        <f t="shared" si="0"/>
        <v>46241</v>
      </c>
      <c r="F22" s="6">
        <v>4280</v>
      </c>
      <c r="G22" s="5" t="str">
        <f>IF(C22="Charges","No, not work furnished",IF(C22="Request","No, not in the price agreed",IF(E22&gt;=INDEX(Notices!$M$4:$M$18,MATCH(A22,Notices!$A$4:$A$18,0)),"Yes","No, before the notice window")))</f>
        <v>Yes</v>
      </c>
      <c r="H22" s="5" t="str">
        <f>IF(COUNTIFS(Waivers!$A$4:$A$38,A22,Waivers!$L$4:$L$38,"Yes",Waivers!$K$4:$K$38,"Final")&gt;0,"Yes, final form",IF(OR(C22="Retention",C22="Extra",C22="Request"),"No, saved by the progress form",IF(COUNTIFS(Waivers!$A$4:$A$38,A22,Waivers!$L$4:$L$38,"Yes",Waivers!$K$4:$K$38,"Progress",Waivers!$D$4:$D$38,"&gt;="&amp;E22)&gt;0,"Yes","No")))</f>
        <v>No, saved by the progress form</v>
      </c>
      <c r="I22" s="6">
        <f t="shared" si="1"/>
        <v>4280</v>
      </c>
      <c r="J22" s="7" t="s">
        <v>488</v>
      </c>
      <c r="L22" s="5" t="str">
        <f>IF(K22="","None",IF(COUNTIFS('DK Ledger'!$B$4:$B$42,K22,'DK Ledger'!$C$4:$C$42,"STP")&gt;0,"Stopped",IF(INDEX('DK Ledger'!$H$4:$H$42,MATCH(K22,'DK Ledger'!$B$4:$B$42,0))="","Not paid by the bank","Paid "&amp;INDEX('DK Ledger'!$H$4:$H$42,MATCH(K22,'DK Ledger'!$B$4:$B$42,0)))))</f>
        <v>None</v>
      </c>
    </row>
    <row r="23" spans="1:12" x14ac:dyDescent="0.2">
      <c r="A23" s="5" t="s">
        <v>290</v>
      </c>
      <c r="B23" s="7" t="s">
        <v>489</v>
      </c>
      <c r="C23" s="5" t="s">
        <v>444</v>
      </c>
      <c r="D23" s="5" t="s">
        <v>490</v>
      </c>
      <c r="E23" s="5">
        <f t="shared" si="0"/>
        <v>46213</v>
      </c>
      <c r="F23" s="6">
        <v>14937.5</v>
      </c>
      <c r="G23" s="5" t="str">
        <f>IF(C23="Charges","No, not work furnished",IF(C23="Request","No, not in the price agreed",IF(E23&gt;=INDEX(Notices!$M$4:$M$18,MATCH(A23,Notices!$A$4:$A$18,0)),"Yes","No, before the notice window")))</f>
        <v>Yes</v>
      </c>
      <c r="H23" s="5" t="str">
        <f>IF(COUNTIFS(Waivers!$A$4:$A$38,A23,Waivers!$L$4:$L$38,"Yes",Waivers!$K$4:$K$38,"Final")&gt;0,"Yes, final form",IF(OR(C23="Retention",C23="Extra",C23="Request"),"No, saved by the progress form",IF(COUNTIFS(Waivers!$A$4:$A$38,A23,Waivers!$L$4:$L$38,"Yes",Waivers!$K$4:$K$38,"Progress",Waivers!$D$4:$D$38,"&gt;="&amp;E23)&gt;0,"Yes","No")))</f>
        <v>Yes, final form</v>
      </c>
      <c r="I23" s="6">
        <f t="shared" si="1"/>
        <v>0</v>
      </c>
      <c r="J23" s="7" t="s">
        <v>491</v>
      </c>
      <c r="L23" s="5" t="str">
        <f>IF(K23="","None",IF(COUNTIFS('DK Ledger'!$B$4:$B$42,K23,'DK Ledger'!$C$4:$C$42,"STP")&gt;0,"Stopped",IF(INDEX('DK Ledger'!$H$4:$H$42,MATCH(K23,'DK Ledger'!$B$4:$B$42,0))="","Not paid by the bank","Paid "&amp;INDEX('DK Ledger'!$H$4:$H$42,MATCH(K23,'DK Ledger'!$B$4:$B$42,0)))))</f>
        <v>None</v>
      </c>
    </row>
    <row r="24" spans="1:12" x14ac:dyDescent="0.2">
      <c r="A24" s="5" t="s">
        <v>211</v>
      </c>
      <c r="B24" s="7" t="s">
        <v>492</v>
      </c>
      <c r="C24" s="5" t="s">
        <v>444</v>
      </c>
      <c r="D24" s="5" t="s">
        <v>216</v>
      </c>
      <c r="E24" s="5">
        <f t="shared" si="0"/>
        <v>46203</v>
      </c>
      <c r="F24" s="6">
        <v>7132.5</v>
      </c>
      <c r="G24" s="5" t="str">
        <f>IF(C24="Charges","No, not work furnished",IF(C24="Request","No, not in the price agreed",IF(E24&gt;=INDEX(Notices!$M$4:$M$18,MATCH(A24,Notices!$A$4:$A$18,0)),"Yes","No, before the notice window")))</f>
        <v>Yes</v>
      </c>
      <c r="H24" s="5" t="str">
        <f>IF(COUNTIFS(Waivers!$A$4:$A$38,A24,Waivers!$L$4:$L$38,"Yes",Waivers!$K$4:$K$38,"Final")&gt;0,"Yes, final form",IF(OR(C24="Retention",C24="Extra",C24="Request"),"No, saved by the progress form",IF(COUNTIFS(Waivers!$A$4:$A$38,A24,Waivers!$L$4:$L$38,"Yes",Waivers!$K$4:$K$38,"Progress",Waivers!$D$4:$D$38,"&gt;="&amp;E24)&gt;0,"Yes","No")))</f>
        <v>No, saved by the progress form</v>
      </c>
      <c r="I24" s="6">
        <f t="shared" si="1"/>
        <v>7132.5</v>
      </c>
      <c r="J24" s="7" t="s">
        <v>493</v>
      </c>
      <c r="L24" s="5" t="str">
        <f>IF(K24="","None",IF(COUNTIFS('DK Ledger'!$B$4:$B$42,K24,'DK Ledger'!$C$4:$C$42,"STP")&gt;0,"Stopped",IF(INDEX('DK Ledger'!$H$4:$H$42,MATCH(K24,'DK Ledger'!$B$4:$B$42,0))="","Not paid by the bank","Paid "&amp;INDEX('DK Ledger'!$H$4:$H$42,MATCH(K24,'DK Ledger'!$B$4:$B$42,0)))))</f>
        <v>None</v>
      </c>
    </row>
    <row r="25" spans="1:12" ht="30" customHeight="1" x14ac:dyDescent="0.2">
      <c r="A25" s="5" t="s">
        <v>211</v>
      </c>
      <c r="B25" s="7" t="s">
        <v>494</v>
      </c>
      <c r="C25" s="5" t="s">
        <v>495</v>
      </c>
      <c r="D25" s="5" t="s">
        <v>216</v>
      </c>
      <c r="E25" s="5">
        <f t="shared" si="0"/>
        <v>46203</v>
      </c>
      <c r="F25" s="6">
        <v>9467.5</v>
      </c>
      <c r="G25" s="5" t="str">
        <f>IF(C25="Charges","No, not work furnished",IF(C25="Request","No, not in the price agreed",IF(E25&gt;=INDEX(Notices!$M$4:$M$18,MATCH(A25,Notices!$A$4:$A$18,0)),"Yes","No, before the notice window")))</f>
        <v>No, not in the price agreed</v>
      </c>
      <c r="H25" s="5" t="str">
        <f>IF(COUNTIFS(Waivers!$A$4:$A$38,A25,Waivers!$L$4:$L$38,"Yes",Waivers!$K$4:$K$38,"Final")&gt;0,"Yes, final form",IF(OR(C25="Retention",C25="Extra",C25="Request"),"No, saved by the progress form",IF(COUNTIFS(Waivers!$A$4:$A$38,A25,Waivers!$L$4:$L$38,"Yes",Waivers!$K$4:$K$38,"Progress",Waivers!$D$4:$D$38,"&gt;="&amp;E25)&gt;0,"Yes","No")))</f>
        <v>No, saved by the progress form</v>
      </c>
      <c r="I25" s="6">
        <f t="shared" si="1"/>
        <v>0</v>
      </c>
      <c r="J25" s="7" t="s">
        <v>496</v>
      </c>
      <c r="L25" s="5" t="str">
        <f>IF(K25="","None",IF(COUNTIFS('DK Ledger'!$B$4:$B$42,K25,'DK Ledger'!$C$4:$C$42,"STP")&gt;0,"Stopped",IF(INDEX('DK Ledger'!$H$4:$H$42,MATCH(K25,'DK Ledger'!$B$4:$B$42,0))="","Not paid by the bank","Paid "&amp;INDEX('DK Ledger'!$H$4:$H$42,MATCH(K25,'DK Ledger'!$B$4:$B$42,0)))))</f>
        <v>None</v>
      </c>
    </row>
    <row r="26" spans="1:12" ht="30" customHeight="1" x14ac:dyDescent="0.2">
      <c r="A26" s="5" t="s">
        <v>298</v>
      </c>
      <c r="B26" s="7" t="s">
        <v>497</v>
      </c>
      <c r="C26" s="5" t="s">
        <v>450</v>
      </c>
      <c r="D26" s="5" t="s">
        <v>300</v>
      </c>
      <c r="E26" s="5">
        <f t="shared" si="0"/>
        <v>46076</v>
      </c>
      <c r="F26" s="6">
        <v>4316.2</v>
      </c>
      <c r="G26" s="5" t="str">
        <f>IF(C26="Charges","No, not work furnished",IF(C26="Request","No, not in the price agreed",IF(E26&gt;=INDEX(Notices!$M$4:$M$18,MATCH(A26,Notices!$A$4:$A$18,0)),"Yes","No, before the notice window")))</f>
        <v>No, before the notice window</v>
      </c>
      <c r="H26" s="5" t="str">
        <f>IF(COUNTIFS(Waivers!$A$4:$A$38,A26,Waivers!$L$4:$L$38,"Yes",Waivers!$K$4:$K$38,"Final")&gt;0,"Yes, final form",IF(OR(C26="Retention",C26="Extra",C26="Request"),"No, saved by the progress form",IF(COUNTIFS(Waivers!$A$4:$A$38,A26,Waivers!$L$4:$L$38,"Yes",Waivers!$K$4:$K$38,"Progress",Waivers!$D$4:$D$38,"&gt;="&amp;E26)&gt;0,"Yes","No")))</f>
        <v>No</v>
      </c>
      <c r="I26" s="6">
        <f t="shared" si="1"/>
        <v>0</v>
      </c>
      <c r="J26" s="7" t="s">
        <v>498</v>
      </c>
      <c r="L26" s="5" t="str">
        <f>IF(K26="","None",IF(COUNTIFS('DK Ledger'!$B$4:$B$42,K26,'DK Ledger'!$C$4:$C$42,"STP")&gt;0,"Stopped",IF(INDEX('DK Ledger'!$H$4:$H$42,MATCH(K26,'DK Ledger'!$B$4:$B$42,0))="","Not paid by the bank","Paid "&amp;INDEX('DK Ledger'!$H$4:$H$42,MATCH(K26,'DK Ledger'!$B$4:$B$42,0)))))</f>
        <v>None</v>
      </c>
    </row>
    <row r="27" spans="1:12" ht="30" customHeight="1" x14ac:dyDescent="0.2">
      <c r="A27" s="5" t="s">
        <v>298</v>
      </c>
      <c r="B27" s="7" t="s">
        <v>499</v>
      </c>
      <c r="C27" s="5" t="s">
        <v>450</v>
      </c>
      <c r="D27" s="5" t="s">
        <v>500</v>
      </c>
      <c r="E27" s="5">
        <f t="shared" si="0"/>
        <v>46217</v>
      </c>
      <c r="F27" s="6">
        <v>6842.3</v>
      </c>
      <c r="G27" s="5" t="str">
        <f>IF(C27="Charges","No, not work furnished",IF(C27="Request","No, not in the price agreed",IF(E27&gt;=INDEX(Notices!$M$4:$M$18,MATCH(A27,Notices!$A$4:$A$18,0)),"Yes","No, before the notice window")))</f>
        <v>Yes</v>
      </c>
      <c r="H27" s="5" t="str">
        <f>IF(COUNTIFS(Waivers!$A$4:$A$38,A27,Waivers!$L$4:$L$38,"Yes",Waivers!$K$4:$K$38,"Final")&gt;0,"Yes, final form",IF(OR(C27="Retention",C27="Extra",C27="Request"),"No, saved by the progress form",IF(COUNTIFS(Waivers!$A$4:$A$38,A27,Waivers!$L$4:$L$38,"Yes",Waivers!$K$4:$K$38,"Progress",Waivers!$D$4:$D$38,"&gt;="&amp;E27)&gt;0,"Yes","No")))</f>
        <v>No</v>
      </c>
      <c r="I27" s="6">
        <f t="shared" si="1"/>
        <v>6842.3</v>
      </c>
      <c r="J27" s="7" t="s">
        <v>498</v>
      </c>
      <c r="L27" s="5" t="str">
        <f>IF(K27="","None",IF(COUNTIFS('DK Ledger'!$B$4:$B$42,K27,'DK Ledger'!$C$4:$C$42,"STP")&gt;0,"Stopped",IF(INDEX('DK Ledger'!$H$4:$H$42,MATCH(K27,'DK Ledger'!$B$4:$B$42,0))="","Not paid by the bank","Paid "&amp;INDEX('DK Ledger'!$H$4:$H$42,MATCH(K27,'DK Ledger'!$B$4:$B$42,0)))))</f>
        <v>None</v>
      </c>
    </row>
    <row r="28" spans="1:12" ht="30" customHeight="1" x14ac:dyDescent="0.2">
      <c r="A28" s="5" t="s">
        <v>298</v>
      </c>
      <c r="B28" s="7" t="s">
        <v>501</v>
      </c>
      <c r="C28" s="5" t="s">
        <v>450</v>
      </c>
      <c r="D28" s="5" t="s">
        <v>502</v>
      </c>
      <c r="E28" s="5">
        <f t="shared" si="0"/>
        <v>46230</v>
      </c>
      <c r="F28" s="6">
        <v>5120.64</v>
      </c>
      <c r="G28" s="5" t="str">
        <f>IF(C28="Charges","No, not work furnished",IF(C28="Request","No, not in the price agreed",IF(E28&gt;=INDEX(Notices!$M$4:$M$18,MATCH(A28,Notices!$A$4:$A$18,0)),"Yes","No, before the notice window")))</f>
        <v>Yes</v>
      </c>
      <c r="H28" s="5" t="str">
        <f>IF(COUNTIFS(Waivers!$A$4:$A$38,A28,Waivers!$L$4:$L$38,"Yes",Waivers!$K$4:$K$38,"Final")&gt;0,"Yes, final form",IF(OR(C28="Retention",C28="Extra",C28="Request"),"No, saved by the progress form",IF(COUNTIFS(Waivers!$A$4:$A$38,A28,Waivers!$L$4:$L$38,"Yes",Waivers!$K$4:$K$38,"Progress",Waivers!$D$4:$D$38,"&gt;="&amp;E28)&gt;0,"Yes","No")))</f>
        <v>No</v>
      </c>
      <c r="I28" s="6">
        <f t="shared" si="1"/>
        <v>5120.64</v>
      </c>
      <c r="J28" s="7" t="s">
        <v>498</v>
      </c>
      <c r="L28" s="5" t="str">
        <f>IF(K28="","None",IF(COUNTIFS('DK Ledger'!$B$4:$B$42,K28,'DK Ledger'!$C$4:$C$42,"STP")&gt;0,"Stopped",IF(INDEX('DK Ledger'!$H$4:$H$42,MATCH(K28,'DK Ledger'!$B$4:$B$42,0))="","Not paid by the bank","Paid "&amp;INDEX('DK Ledger'!$H$4:$H$42,MATCH(K28,'DK Ledger'!$B$4:$B$42,0)))))</f>
        <v>None</v>
      </c>
    </row>
    <row r="29" spans="1:12" ht="30" customHeight="1" x14ac:dyDescent="0.2">
      <c r="A29" s="5" t="s">
        <v>298</v>
      </c>
      <c r="B29" s="7" t="s">
        <v>503</v>
      </c>
      <c r="C29" s="5" t="s">
        <v>450</v>
      </c>
      <c r="D29" s="5" t="s">
        <v>423</v>
      </c>
      <c r="E29" s="5">
        <f t="shared" si="0"/>
        <v>46234</v>
      </c>
      <c r="F29" s="6">
        <v>3463.5</v>
      </c>
      <c r="G29" s="5" t="str">
        <f>IF(C29="Charges","No, not work furnished",IF(C29="Request","No, not in the price agreed",IF(E29&gt;=INDEX(Notices!$M$4:$M$18,MATCH(A29,Notices!$A$4:$A$18,0)),"Yes","No, before the notice window")))</f>
        <v>Yes</v>
      </c>
      <c r="H29" s="5" t="str">
        <f>IF(COUNTIFS(Waivers!$A$4:$A$38,A29,Waivers!$L$4:$L$38,"Yes",Waivers!$K$4:$K$38,"Final")&gt;0,"Yes, final form",IF(OR(C29="Retention",C29="Extra",C29="Request"),"No, saved by the progress form",IF(COUNTIFS(Waivers!$A$4:$A$38,A29,Waivers!$L$4:$L$38,"Yes",Waivers!$K$4:$K$38,"Progress",Waivers!$D$4:$D$38,"&gt;="&amp;E29)&gt;0,"Yes","No")))</f>
        <v>No</v>
      </c>
      <c r="I29" s="6">
        <f t="shared" si="1"/>
        <v>3463.5</v>
      </c>
      <c r="J29" s="7" t="s">
        <v>498</v>
      </c>
      <c r="L29" s="5" t="str">
        <f>IF(K29="","None",IF(COUNTIFS('DK Ledger'!$B$4:$B$42,K29,'DK Ledger'!$C$4:$C$42,"STP")&gt;0,"Stopped",IF(INDEX('DK Ledger'!$H$4:$H$42,MATCH(K29,'DK Ledger'!$B$4:$B$42,0))="","Not paid by the bank","Paid "&amp;INDEX('DK Ledger'!$H$4:$H$42,MATCH(K29,'DK Ledger'!$B$4:$B$42,0)))))</f>
        <v>None</v>
      </c>
    </row>
    <row r="30" spans="1:12" x14ac:dyDescent="0.2">
      <c r="A30" s="5" t="s">
        <v>303</v>
      </c>
      <c r="B30" s="7" t="s">
        <v>504</v>
      </c>
      <c r="C30" s="5" t="s">
        <v>447</v>
      </c>
      <c r="D30" s="5" t="s">
        <v>99</v>
      </c>
      <c r="E30" s="5">
        <f t="shared" si="0"/>
        <v>46245</v>
      </c>
      <c r="F30" s="6">
        <v>27227</v>
      </c>
      <c r="G30" s="5" t="str">
        <f>IF(C30="Charges","No, not work furnished",IF(C30="Request","No, not in the price agreed",IF(E30&gt;=INDEX(Notices!$M$4:$M$18,MATCH(A30,Notices!$A$4:$A$18,0)),"Yes","No, before the notice window")))</f>
        <v>Yes</v>
      </c>
      <c r="H30" s="5" t="str">
        <f>IF(COUNTIFS(Waivers!$A$4:$A$38,A30,Waivers!$L$4:$L$38,"Yes",Waivers!$K$4:$K$38,"Final")&gt;0,"Yes, final form",IF(OR(C30="Retention",C30="Extra",C30="Request"),"No, saved by the progress form",IF(COUNTIFS(Waivers!$A$4:$A$38,A30,Waivers!$L$4:$L$38,"Yes",Waivers!$K$4:$K$38,"Progress",Waivers!$D$4:$D$38,"&gt;="&amp;E30)&gt;0,"Yes","No")))</f>
        <v>No</v>
      </c>
      <c r="I30" s="6">
        <f t="shared" si="1"/>
        <v>27227</v>
      </c>
      <c r="J30" s="7" t="s">
        <v>505</v>
      </c>
      <c r="L30" s="5" t="str">
        <f>IF(K30="","None",IF(COUNTIFS('DK Ledger'!$B$4:$B$42,K30,'DK Ledger'!$C$4:$C$42,"STP")&gt;0,"Stopped",IF(INDEX('DK Ledger'!$H$4:$H$42,MATCH(K30,'DK Ledger'!$B$4:$B$42,0))="","Not paid by the bank","Paid "&amp;INDEX('DK Ledger'!$H$4:$H$42,MATCH(K30,'DK Ledger'!$B$4:$B$42,0)))))</f>
        <v>None</v>
      </c>
    </row>
    <row r="31" spans="1:12" x14ac:dyDescent="0.2">
      <c r="A31" s="5" t="s">
        <v>303</v>
      </c>
      <c r="B31" s="7" t="s">
        <v>506</v>
      </c>
      <c r="C31" s="5" t="s">
        <v>444</v>
      </c>
      <c r="D31" s="5" t="s">
        <v>99</v>
      </c>
      <c r="E31" s="5">
        <f t="shared" si="0"/>
        <v>46245</v>
      </c>
      <c r="F31" s="6">
        <v>34250</v>
      </c>
      <c r="G31" s="5" t="str">
        <f>IF(C31="Charges","No, not work furnished",IF(C31="Request","No, not in the price agreed",IF(E31&gt;=INDEX(Notices!$M$4:$M$18,MATCH(A31,Notices!$A$4:$A$18,0)),"Yes","No, before the notice window")))</f>
        <v>Yes</v>
      </c>
      <c r="H31" s="5" t="str">
        <f>IF(COUNTIFS(Waivers!$A$4:$A$38,A31,Waivers!$L$4:$L$38,"Yes",Waivers!$K$4:$K$38,"Final")&gt;0,"Yes, final form",IF(OR(C31="Retention",C31="Extra",C31="Request"),"No, saved by the progress form",IF(COUNTIFS(Waivers!$A$4:$A$38,A31,Waivers!$L$4:$L$38,"Yes",Waivers!$K$4:$K$38,"Progress",Waivers!$D$4:$D$38,"&gt;="&amp;E31)&gt;0,"Yes","No")))</f>
        <v>No, saved by the progress form</v>
      </c>
      <c r="I31" s="6">
        <f t="shared" si="1"/>
        <v>34250</v>
      </c>
      <c r="J31" s="7" t="s">
        <v>507</v>
      </c>
      <c r="L31" s="5" t="str">
        <f>IF(K31="","None",IF(COUNTIFS('DK Ledger'!$B$4:$B$42,K31,'DK Ledger'!$C$4:$C$42,"STP")&gt;0,"Stopped",IF(INDEX('DK Ledger'!$H$4:$H$42,MATCH(K31,'DK Ledger'!$B$4:$B$42,0))="","Not paid by the bank","Paid "&amp;INDEX('DK Ledger'!$H$4:$H$42,MATCH(K31,'DK Ledger'!$B$4:$B$42,0)))))</f>
        <v>None</v>
      </c>
    </row>
    <row r="32" spans="1:12" ht="30" customHeight="1" x14ac:dyDescent="0.2">
      <c r="A32" s="5" t="s">
        <v>308</v>
      </c>
      <c r="B32" s="7" t="s">
        <v>508</v>
      </c>
      <c r="C32" s="5" t="s">
        <v>447</v>
      </c>
      <c r="D32" s="5" t="s">
        <v>423</v>
      </c>
      <c r="E32" s="5">
        <f t="shared" si="0"/>
        <v>46234</v>
      </c>
      <c r="F32" s="6">
        <v>29200</v>
      </c>
      <c r="G32" s="5" t="str">
        <f>IF(C32="Charges","No, not work furnished",IF(C32="Request","No, not in the price agreed",IF(E32&gt;=INDEX(Notices!$M$4:$M$18,MATCH(A32,Notices!$A$4:$A$18,0)),"Yes","No, before the notice window")))</f>
        <v>Yes</v>
      </c>
      <c r="H32" s="5" t="str">
        <f>IF(COUNTIFS(Waivers!$A$4:$A$38,A32,Waivers!$L$4:$L$38,"Yes",Waivers!$K$4:$K$38,"Final")&gt;0,"Yes, final form",IF(OR(C32="Retention",C32="Extra",C32="Request"),"No, saved by the progress form",IF(COUNTIFS(Waivers!$A$4:$A$38,A32,Waivers!$L$4:$L$38,"Yes",Waivers!$K$4:$K$38,"Progress",Waivers!$D$4:$D$38,"&gt;="&amp;E32)&gt;0,"Yes","No")))</f>
        <v>No</v>
      </c>
      <c r="I32" s="6">
        <f t="shared" si="1"/>
        <v>29200</v>
      </c>
      <c r="J32" s="7" t="s">
        <v>509</v>
      </c>
      <c r="L32" s="5" t="str">
        <f>IF(K32="","None",IF(COUNTIFS('DK Ledger'!$B$4:$B$42,K32,'DK Ledger'!$C$4:$C$42,"STP")&gt;0,"Stopped",IF(INDEX('DK Ledger'!$H$4:$H$42,MATCH(K32,'DK Ledger'!$B$4:$B$42,0))="","Not paid by the bank","Paid "&amp;INDEX('DK Ledger'!$H$4:$H$42,MATCH(K32,'DK Ledger'!$B$4:$B$42,0)))))</f>
        <v>None</v>
      </c>
    </row>
    <row r="33" spans="1:12" x14ac:dyDescent="0.2">
      <c r="A33" s="5" t="s">
        <v>308</v>
      </c>
      <c r="B33" s="7" t="s">
        <v>510</v>
      </c>
      <c r="C33" s="5" t="s">
        <v>444</v>
      </c>
      <c r="D33" s="5" t="s">
        <v>511</v>
      </c>
      <c r="E33" s="5">
        <f t="shared" si="0"/>
        <v>46227</v>
      </c>
      <c r="F33" s="6">
        <v>9715</v>
      </c>
      <c r="G33" s="5" t="str">
        <f>IF(C33="Charges","No, not work furnished",IF(C33="Request","No, not in the price agreed",IF(E33&gt;=INDEX(Notices!$M$4:$M$18,MATCH(A33,Notices!$A$4:$A$18,0)),"Yes","No, before the notice window")))</f>
        <v>Yes</v>
      </c>
      <c r="H33" s="5" t="str">
        <f>IF(COUNTIFS(Waivers!$A$4:$A$38,A33,Waivers!$L$4:$L$38,"Yes",Waivers!$K$4:$K$38,"Final")&gt;0,"Yes, final form",IF(OR(C33="Retention",C33="Extra",C33="Request"),"No, saved by the progress form",IF(COUNTIFS(Waivers!$A$4:$A$38,A33,Waivers!$L$4:$L$38,"Yes",Waivers!$K$4:$K$38,"Progress",Waivers!$D$4:$D$38,"&gt;="&amp;E33)&gt;0,"Yes","No")))</f>
        <v>No, saved by the progress form</v>
      </c>
      <c r="I33" s="6">
        <f t="shared" si="1"/>
        <v>9715</v>
      </c>
      <c r="J33" s="7" t="s">
        <v>512</v>
      </c>
      <c r="L33" s="5" t="str">
        <f>IF(K33="","None",IF(COUNTIFS('DK Ledger'!$B$4:$B$42,K33,'DK Ledger'!$C$4:$C$42,"STP")&gt;0,"Stopped",IF(INDEX('DK Ledger'!$H$4:$H$42,MATCH(K33,'DK Ledger'!$B$4:$B$42,0))="","Not paid by the bank","Paid "&amp;INDEX('DK Ledger'!$H$4:$H$42,MATCH(K33,'DK Ledger'!$B$4:$B$42,0)))))</f>
        <v>None</v>
      </c>
    </row>
    <row r="34" spans="1:12" ht="30" customHeight="1" x14ac:dyDescent="0.2">
      <c r="A34" s="5" t="s">
        <v>299</v>
      </c>
      <c r="B34" s="7" t="s">
        <v>513</v>
      </c>
      <c r="C34" s="5" t="s">
        <v>444</v>
      </c>
      <c r="D34" s="5" t="s">
        <v>231</v>
      </c>
      <c r="E34" s="5">
        <f t="shared" si="0"/>
        <v>46239</v>
      </c>
      <c r="F34" s="6">
        <v>13889</v>
      </c>
      <c r="G34" s="5" t="str">
        <f>IF(C34="Charges","No, not work furnished",IF(C34="Request","No, not in the price agreed",IF(E34&gt;=INDEX(Notices!$M$4:$M$18,MATCH(A34,Notices!$A$4:$A$18,0)),"Yes","No, before the notice window")))</f>
        <v>Yes</v>
      </c>
      <c r="H34" s="5" t="str">
        <f>IF(COUNTIFS(Waivers!$A$4:$A$38,A34,Waivers!$L$4:$L$38,"Yes",Waivers!$K$4:$K$38,"Final")&gt;0,"Yes, final form",IF(OR(C34="Retention",C34="Extra",C34="Request"),"No, saved by the progress form",IF(COUNTIFS(Waivers!$A$4:$A$38,A34,Waivers!$L$4:$L$38,"Yes",Waivers!$K$4:$K$38,"Progress",Waivers!$D$4:$D$38,"&gt;="&amp;E34)&gt;0,"Yes","No")))</f>
        <v>No, saved by the progress form</v>
      </c>
      <c r="I34" s="6">
        <f t="shared" si="1"/>
        <v>13889</v>
      </c>
      <c r="J34" s="7" t="s">
        <v>514</v>
      </c>
      <c r="L34" s="5" t="str">
        <f>IF(K34="","None",IF(COUNTIFS('DK Ledger'!$B$4:$B$42,K34,'DK Ledger'!$C$4:$C$42,"STP")&gt;0,"Stopped",IF(INDEX('DK Ledger'!$H$4:$H$42,MATCH(K34,'DK Ledger'!$B$4:$B$42,0))="","Not paid by the bank","Paid "&amp;INDEX('DK Ledger'!$H$4:$H$42,MATCH(K34,'DK Ledger'!$B$4:$B$42,0)))))</f>
        <v>None</v>
      </c>
    </row>
    <row r="35" spans="1:12" x14ac:dyDescent="0.2">
      <c r="A35" s="5" t="s">
        <v>316</v>
      </c>
      <c r="B35" s="7" t="s">
        <v>515</v>
      </c>
      <c r="C35" s="5" t="s">
        <v>447</v>
      </c>
      <c r="D35" s="5" t="s">
        <v>516</v>
      </c>
      <c r="E35" s="5">
        <f t="shared" si="0"/>
        <v>46240</v>
      </c>
      <c r="F35" s="6">
        <v>20660</v>
      </c>
      <c r="G35" s="5" t="str">
        <f>IF(C35="Charges","No, not work furnished",IF(C35="Request","No, not in the price agreed",IF(E35&gt;=INDEX(Notices!$M$4:$M$18,MATCH(A35,Notices!$A$4:$A$18,0)),"Yes","No, before the notice window")))</f>
        <v>Yes</v>
      </c>
      <c r="H35" s="5" t="str">
        <f>IF(COUNTIFS(Waivers!$A$4:$A$38,A35,Waivers!$L$4:$L$38,"Yes",Waivers!$K$4:$K$38,"Final")&gt;0,"Yes, final form",IF(OR(C35="Retention",C35="Extra",C35="Request"),"No, saved by the progress form",IF(COUNTIFS(Waivers!$A$4:$A$38,A35,Waivers!$L$4:$L$38,"Yes",Waivers!$K$4:$K$38,"Progress",Waivers!$D$4:$D$38,"&gt;="&amp;E35)&gt;0,"Yes","No")))</f>
        <v>No</v>
      </c>
      <c r="I35" s="6">
        <f t="shared" si="1"/>
        <v>20660</v>
      </c>
      <c r="J35" s="7" t="s">
        <v>517</v>
      </c>
      <c r="L35" s="5" t="str">
        <f>IF(K35="","None",IF(COUNTIFS('DK Ledger'!$B$4:$B$42,K35,'DK Ledger'!$C$4:$C$42,"STP")&gt;0,"Stopped",IF(INDEX('DK Ledger'!$H$4:$H$42,MATCH(K35,'DK Ledger'!$B$4:$B$42,0))="","Not paid by the bank","Paid "&amp;INDEX('DK Ledger'!$H$4:$H$42,MATCH(K35,'DK Ledger'!$B$4:$B$42,0)))))</f>
        <v>None</v>
      </c>
    </row>
    <row r="36" spans="1:12" x14ac:dyDescent="0.2">
      <c r="A36" s="5" t="s">
        <v>316</v>
      </c>
      <c r="B36" s="7" t="s">
        <v>518</v>
      </c>
      <c r="C36" s="5" t="s">
        <v>444</v>
      </c>
      <c r="D36" s="5" t="s">
        <v>516</v>
      </c>
      <c r="E36" s="5">
        <f t="shared" si="0"/>
        <v>46240</v>
      </c>
      <c r="F36" s="6">
        <v>4420</v>
      </c>
      <c r="G36" s="5" t="str">
        <f>IF(C36="Charges","No, not work furnished",IF(C36="Request","No, not in the price agreed",IF(E36&gt;=INDEX(Notices!$M$4:$M$18,MATCH(A36,Notices!$A$4:$A$18,0)),"Yes","No, before the notice window")))</f>
        <v>Yes</v>
      </c>
      <c r="H36" s="5" t="str">
        <f>IF(COUNTIFS(Waivers!$A$4:$A$38,A36,Waivers!$L$4:$L$38,"Yes",Waivers!$K$4:$K$38,"Final")&gt;0,"Yes, final form",IF(OR(C36="Retention",C36="Extra",C36="Request"),"No, saved by the progress form",IF(COUNTIFS(Waivers!$A$4:$A$38,A36,Waivers!$L$4:$L$38,"Yes",Waivers!$K$4:$K$38,"Progress",Waivers!$D$4:$D$38,"&gt;="&amp;E36)&gt;0,"Yes","No")))</f>
        <v>No, saved by the progress form</v>
      </c>
      <c r="I36" s="6">
        <f t="shared" si="1"/>
        <v>4420</v>
      </c>
      <c r="J36" s="7" t="s">
        <v>519</v>
      </c>
      <c r="L36" s="5" t="str">
        <f>IF(K36="","None",IF(COUNTIFS('DK Ledger'!$B$4:$B$42,K36,'DK Ledger'!$C$4:$C$42,"STP")&gt;0,"Stopped",IF(INDEX('DK Ledger'!$H$4:$H$42,MATCH(K36,'DK Ledger'!$B$4:$B$42,0))="","Not paid by the bank","Paid "&amp;INDEX('DK Ledger'!$H$4:$H$42,MATCH(K36,'DK Ledger'!$B$4:$B$42,0)))))</f>
        <v>None</v>
      </c>
    </row>
    <row r="37" spans="1:12" ht="30" customHeight="1" x14ac:dyDescent="0.2">
      <c r="A37" s="5" t="s">
        <v>322</v>
      </c>
      <c r="B37" s="7" t="s">
        <v>520</v>
      </c>
      <c r="C37" s="5" t="s">
        <v>450</v>
      </c>
      <c r="D37" s="5" t="s">
        <v>323</v>
      </c>
      <c r="E37" s="5">
        <f t="shared" si="0"/>
        <v>46049</v>
      </c>
      <c r="F37" s="6">
        <v>1500</v>
      </c>
      <c r="G37" s="5" t="str">
        <f>IF(C37="Charges","No, not work furnished",IF(C37="Request","No, not in the price agreed",IF(E37&gt;=INDEX(Notices!$M$4:$M$18,MATCH(A37,Notices!$A$4:$A$18,0)),"Yes","No, before the notice window")))</f>
        <v>Yes</v>
      </c>
      <c r="H37" s="5" t="str">
        <f>IF(COUNTIFS(Waivers!$A$4:$A$38,A37,Waivers!$L$4:$L$38,"Yes",Waivers!$K$4:$K$38,"Final")&gt;0,"Yes, final form",IF(OR(C37="Retention",C37="Extra",C37="Request"),"No, saved by the progress form",IF(COUNTIFS(Waivers!$A$4:$A$38,A37,Waivers!$L$4:$L$38,"Yes",Waivers!$K$4:$K$38,"Progress",Waivers!$D$4:$D$38,"&gt;="&amp;E37)&gt;0,"Yes","No")))</f>
        <v>No</v>
      </c>
      <c r="I37" s="6">
        <f t="shared" si="1"/>
        <v>1500</v>
      </c>
      <c r="J37" s="7" t="s">
        <v>521</v>
      </c>
      <c r="L37" s="5" t="str">
        <f>IF(K37="","None",IF(COUNTIFS('DK Ledger'!$B$4:$B$42,K37,'DK Ledger'!$C$4:$C$42,"STP")&gt;0,"Stopped",IF(INDEX('DK Ledger'!$H$4:$H$42,MATCH(K37,'DK Ledger'!$B$4:$B$42,0))="","Not paid by the bank","Paid "&amp;INDEX('DK Ledger'!$H$4:$H$42,MATCH(K37,'DK Ledger'!$B$4:$B$42,0)))))</f>
        <v>None</v>
      </c>
    </row>
    <row r="38" spans="1:12" ht="30" customHeight="1" x14ac:dyDescent="0.2">
      <c r="A38" s="5" t="s">
        <v>322</v>
      </c>
      <c r="B38" s="7" t="s">
        <v>522</v>
      </c>
      <c r="C38" s="5" t="s">
        <v>450</v>
      </c>
      <c r="D38" s="5" t="s">
        <v>523</v>
      </c>
      <c r="E38" s="5">
        <f t="shared" si="0"/>
        <v>46223</v>
      </c>
      <c r="F38" s="6">
        <v>8940</v>
      </c>
      <c r="G38" s="5" t="str">
        <f>IF(C38="Charges","No, not work furnished",IF(C38="Request","No, not in the price agreed",IF(E38&gt;=INDEX(Notices!$M$4:$M$18,MATCH(A38,Notices!$A$4:$A$18,0)),"Yes","No, before the notice window")))</f>
        <v>Yes</v>
      </c>
      <c r="H38" s="5" t="str">
        <f>IF(COUNTIFS(Waivers!$A$4:$A$38,A38,Waivers!$L$4:$L$38,"Yes",Waivers!$K$4:$K$38,"Final")&gt;0,"Yes, final form",IF(OR(C38="Retention",C38="Extra",C38="Request"),"No, saved by the progress form",IF(COUNTIFS(Waivers!$A$4:$A$38,A38,Waivers!$L$4:$L$38,"Yes",Waivers!$K$4:$K$38,"Progress",Waivers!$D$4:$D$38,"&gt;="&amp;E38)&gt;0,"Yes","No")))</f>
        <v>No</v>
      </c>
      <c r="I38" s="6">
        <f t="shared" si="1"/>
        <v>8940</v>
      </c>
      <c r="J38" s="7" t="s">
        <v>524</v>
      </c>
      <c r="L38" s="5" t="str">
        <f>IF(K38="","None",IF(COUNTIFS('DK Ledger'!$B$4:$B$42,K38,'DK Ledger'!$C$4:$C$42,"STP")&gt;0,"Stopped",IF(INDEX('DK Ledger'!$H$4:$H$42,MATCH(K38,'DK Ledger'!$B$4:$B$42,0))="","Not paid by the bank","Paid "&amp;INDEX('DK Ledger'!$H$4:$H$42,MATCH(K38,'DK Ledger'!$B$4:$B$42,0)))))</f>
        <v>None</v>
      </c>
    </row>
    <row r="39" spans="1:12" ht="30" customHeight="1" x14ac:dyDescent="0.2">
      <c r="A39" s="5" t="s">
        <v>322</v>
      </c>
      <c r="B39" s="7" t="s">
        <v>525</v>
      </c>
      <c r="C39" s="5" t="s">
        <v>450</v>
      </c>
      <c r="D39" s="5" t="s">
        <v>227</v>
      </c>
      <c r="E39" s="5">
        <f t="shared" si="0"/>
        <v>46232</v>
      </c>
      <c r="F39" s="6">
        <v>6210</v>
      </c>
      <c r="G39" s="5" t="str">
        <f>IF(C39="Charges","No, not work furnished",IF(C39="Request","No, not in the price agreed",IF(E39&gt;=INDEX(Notices!$M$4:$M$18,MATCH(A39,Notices!$A$4:$A$18,0)),"Yes","No, before the notice window")))</f>
        <v>Yes</v>
      </c>
      <c r="H39" s="5" t="str">
        <f>IF(COUNTIFS(Waivers!$A$4:$A$38,A39,Waivers!$L$4:$L$38,"Yes",Waivers!$K$4:$K$38,"Final")&gt;0,"Yes, final form",IF(OR(C39="Retention",C39="Extra",C39="Request"),"No, saved by the progress form",IF(COUNTIFS(Waivers!$A$4:$A$38,A39,Waivers!$L$4:$L$38,"Yes",Waivers!$K$4:$K$38,"Progress",Waivers!$D$4:$D$38,"&gt;="&amp;E39)&gt;0,"Yes","No")))</f>
        <v>No</v>
      </c>
      <c r="I39" s="6">
        <f t="shared" si="1"/>
        <v>6210</v>
      </c>
      <c r="J39" s="7" t="s">
        <v>524</v>
      </c>
      <c r="L39" s="5" t="str">
        <f>IF(K39="","None",IF(COUNTIFS('DK Ledger'!$B$4:$B$42,K39,'DK Ledger'!$C$4:$C$42,"STP")&gt;0,"Stopped",IF(INDEX('DK Ledger'!$H$4:$H$42,MATCH(K39,'DK Ledger'!$B$4:$B$42,0))="","Not paid by the bank","Paid "&amp;INDEX('DK Ledger'!$H$4:$H$42,MATCH(K39,'DK Ledger'!$B$4:$B$42,0)))))</f>
        <v>None</v>
      </c>
    </row>
    <row r="40" spans="1:12" ht="30" customHeight="1" x14ac:dyDescent="0.2">
      <c r="A40" s="5" t="s">
        <v>322</v>
      </c>
      <c r="B40" s="7" t="s">
        <v>526</v>
      </c>
      <c r="C40" s="5" t="s">
        <v>450</v>
      </c>
      <c r="D40" s="5" t="s">
        <v>516</v>
      </c>
      <c r="E40" s="5">
        <f t="shared" si="0"/>
        <v>46240</v>
      </c>
      <c r="F40" s="6">
        <v>4730</v>
      </c>
      <c r="G40" s="5" t="str">
        <f>IF(C40="Charges","No, not work furnished",IF(C40="Request","No, not in the price agreed",IF(E40&gt;=INDEX(Notices!$M$4:$M$18,MATCH(A40,Notices!$A$4:$A$18,0)),"Yes","No, before the notice window")))</f>
        <v>Yes</v>
      </c>
      <c r="H40" s="5" t="str">
        <f>IF(COUNTIFS(Waivers!$A$4:$A$38,A40,Waivers!$L$4:$L$38,"Yes",Waivers!$K$4:$K$38,"Final")&gt;0,"Yes, final form",IF(OR(C40="Retention",C40="Extra",C40="Request"),"No, saved by the progress form",IF(COUNTIFS(Waivers!$A$4:$A$38,A40,Waivers!$L$4:$L$38,"Yes",Waivers!$K$4:$K$38,"Progress",Waivers!$D$4:$D$38,"&gt;="&amp;E40)&gt;0,"Yes","No")))</f>
        <v>No</v>
      </c>
      <c r="I40" s="6">
        <f t="shared" si="1"/>
        <v>4730</v>
      </c>
      <c r="J40" s="7" t="s">
        <v>524</v>
      </c>
      <c r="L40" s="5" t="str">
        <f>IF(K40="","None",IF(COUNTIFS('DK Ledger'!$B$4:$B$42,K40,'DK Ledger'!$C$4:$C$42,"STP")&gt;0,"Stopped",IF(INDEX('DK Ledger'!$H$4:$H$42,MATCH(K40,'DK Ledger'!$B$4:$B$42,0))="","Not paid by the bank","Paid "&amp;INDEX('DK Ledger'!$H$4:$H$42,MATCH(K40,'DK Ledger'!$B$4:$B$42,0)))))</f>
        <v>None</v>
      </c>
    </row>
    <row r="41" spans="1:12" ht="30" customHeight="1" x14ac:dyDescent="0.2">
      <c r="A41" s="5" t="s">
        <v>322</v>
      </c>
      <c r="B41" s="7" t="s">
        <v>527</v>
      </c>
      <c r="C41" s="5" t="s">
        <v>450</v>
      </c>
      <c r="D41" s="5" t="s">
        <v>479</v>
      </c>
      <c r="E41" s="5">
        <f t="shared" si="0"/>
        <v>46244</v>
      </c>
      <c r="F41" s="6">
        <v>2100</v>
      </c>
      <c r="G41" s="5" t="str">
        <f>IF(C41="Charges","No, not work furnished",IF(C41="Request","No, not in the price agreed",IF(E41&gt;=INDEX(Notices!$M$4:$M$18,MATCH(A41,Notices!$A$4:$A$18,0)),"Yes","No, before the notice window")))</f>
        <v>Yes</v>
      </c>
      <c r="H41" s="5" t="str">
        <f>IF(COUNTIFS(Waivers!$A$4:$A$38,A41,Waivers!$L$4:$L$38,"Yes",Waivers!$K$4:$K$38,"Final")&gt;0,"Yes, final form",IF(OR(C41="Retention",C41="Extra",C41="Request"),"No, saved by the progress form",IF(COUNTIFS(Waivers!$A$4:$A$38,A41,Waivers!$L$4:$L$38,"Yes",Waivers!$K$4:$K$38,"Progress",Waivers!$D$4:$D$38,"&gt;="&amp;E41)&gt;0,"Yes","No")))</f>
        <v>No</v>
      </c>
      <c r="I41" s="6">
        <f t="shared" si="1"/>
        <v>2100</v>
      </c>
      <c r="J41" s="7" t="s">
        <v>524</v>
      </c>
      <c r="L41" s="5" t="str">
        <f>IF(K41="","None",IF(COUNTIFS('DK Ledger'!$B$4:$B$42,K41,'DK Ledger'!$C$4:$C$42,"STP")&gt;0,"Stopped",IF(INDEX('DK Ledger'!$H$4:$H$42,MATCH(K41,'DK Ledger'!$B$4:$B$42,0))="","Not paid by the bank","Paid "&amp;INDEX('DK Ledger'!$H$4:$H$42,MATCH(K41,'DK Ledger'!$B$4:$B$42,0)))))</f>
        <v>None</v>
      </c>
    </row>
    <row r="43" spans="1:12" x14ac:dyDescent="0.2">
      <c r="A43" s="8" t="s">
        <v>528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5"/>
  <sheetViews>
    <sheetView workbookViewId="0"/>
  </sheetViews>
  <sheetFormatPr baseColWidth="10" defaultColWidth="8.83203125" defaultRowHeight="15" x14ac:dyDescent="0.2"/>
  <cols>
    <col min="1" max="1" width="34" customWidth="1"/>
    <col min="2" max="2" width="12" customWidth="1"/>
    <col min="3" max="3" width="14" customWidth="1"/>
    <col min="4" max="4" width="18" customWidth="1"/>
    <col min="5" max="5" width="17" customWidth="1"/>
    <col min="6" max="6" width="11" customWidth="1"/>
    <col min="7" max="7" width="9" customWidth="1"/>
    <col min="8" max="8" width="12" customWidth="1"/>
    <col min="9" max="9" width="11" customWidth="1"/>
    <col min="10" max="10" width="22" customWidth="1"/>
    <col min="11" max="11" width="18" customWidth="1"/>
    <col min="12" max="12" width="15" customWidth="1"/>
    <col min="13" max="13" width="62" customWidth="1"/>
    <col min="14" max="14" width="15" customWidth="1"/>
    <col min="15" max="15" width="14" customWidth="1"/>
  </cols>
  <sheetData>
    <row r="1" spans="1:15" ht="17" customHeight="1" x14ac:dyDescent="0.2">
      <c r="A1" s="1" t="s">
        <v>529</v>
      </c>
    </row>
    <row r="3" spans="1:15" ht="30" customHeight="1" x14ac:dyDescent="0.2">
      <c r="A3" s="4" t="s">
        <v>30</v>
      </c>
      <c r="B3" s="4" t="s">
        <v>31</v>
      </c>
      <c r="C3" s="4" t="s">
        <v>375</v>
      </c>
      <c r="D3" s="4" t="s">
        <v>32</v>
      </c>
      <c r="E3" s="4" t="s">
        <v>242</v>
      </c>
      <c r="F3" s="4" t="s">
        <v>33</v>
      </c>
      <c r="G3" s="4" t="s">
        <v>34</v>
      </c>
      <c r="H3" s="4" t="s">
        <v>35</v>
      </c>
      <c r="I3" s="4" t="s">
        <v>36</v>
      </c>
      <c r="J3" s="4" t="s">
        <v>37</v>
      </c>
      <c r="K3" s="4" t="s">
        <v>38</v>
      </c>
      <c r="L3" s="4" t="s">
        <v>530</v>
      </c>
      <c r="M3" s="4" t="s">
        <v>531</v>
      </c>
      <c r="N3" s="4" t="s">
        <v>40</v>
      </c>
      <c r="O3" s="4" t="s">
        <v>532</v>
      </c>
    </row>
    <row r="4" spans="1:15" ht="30" customHeight="1" x14ac:dyDescent="0.2">
      <c r="A4" s="5" t="s">
        <v>254</v>
      </c>
      <c r="B4" s="5" t="str">
        <f>Deadlines!B4</f>
        <v>06/26/2026</v>
      </c>
      <c r="C4" s="5" t="str">
        <f>Deadlines!L4</f>
        <v>2026-0060418</v>
      </c>
      <c r="D4" s="6">
        <v>33275</v>
      </c>
      <c r="E4" s="5" t="str">
        <f>Notices!C4</f>
        <v>Other claimant</v>
      </c>
      <c r="F4" s="5" t="str">
        <f>Notices!N4</f>
        <v>Yes</v>
      </c>
      <c r="G4" s="5" t="str">
        <f>Deadlines!E4</f>
        <v>Yes</v>
      </c>
      <c r="H4" s="5" t="str">
        <f>Deadlines!G4</f>
        <v>Yes</v>
      </c>
      <c r="I4" s="5" t="str">
        <f>Deadlines!K4</f>
        <v>Yes</v>
      </c>
      <c r="J4" s="5" t="str">
        <f>IF(F4="No","No lien rights",IF(G4="No","Untimely",IF(H4="No","Not served on the owner",IF(I4="Yes","Expired",IF(SUMIFS(Amounts!$I$4:$I$41,Amounts!$A$4:$A$41,A4)=0,"Waived in full","Enforceable")))))</f>
        <v>Expired</v>
      </c>
      <c r="K4" s="6">
        <f>IF(J4="Enforceable",SUMIFS(Amounts!$I$4:$I$41,Amounts!$A$4:$A$41,A4),0)</f>
        <v>0</v>
      </c>
      <c r="L4" s="6">
        <f t="shared" ref="L4:L18" si="0">D4-K4</f>
        <v>33275</v>
      </c>
      <c r="M4" s="7" t="str">
        <f t="shared" ref="M4:M18" si="1">IF(J4="Expired","Demand a release under section 8482, then petition under sections 8480 to 8488 after 10 days",IF(J4="No lien rights","Demand a recorded release, the defect being no preliminary notice to the owner",IF(J4="Untimely","Demand a recorded release, the defect being a recording after the last day",IF(J4="Not served on the owner","Demand a recorded release, the defect being no service on the owner",IF(J4="Waived in full","Demand a recorded release, the defect being a final waiver of the whole claim",IF(I4="Not shown","Bond at 125 percent until a new index search shows no action, then demand a release",IF(O4="No","Bond at 125 percent, or pay the owner's own balance against an unconditional final release",IF(K4&lt;D4,"Bond at 125 percent of the recorded claim, or take an amended claim at the enforceable amount","Bond at 125 percent, or pay from the money held against an unconditional final release"))))))))</f>
        <v>Demand a release under section 8482, then petition under sections 8480 to 8488 after 10 days</v>
      </c>
      <c r="N4" s="6">
        <f>IF(J4="Enforceable",ROUND(D4*Parameters!$B$16/100,2),0)</f>
        <v>0</v>
      </c>
      <c r="O4" s="5" t="str">
        <f t="shared" ref="O4:O18" si="2">IF(E4="Direct contractor","No","Yes")</f>
        <v>Yes</v>
      </c>
    </row>
    <row r="5" spans="1:15" ht="30" customHeight="1" x14ac:dyDescent="0.2">
      <c r="A5" s="5" t="s">
        <v>261</v>
      </c>
      <c r="B5" s="5" t="str">
        <f>Deadlines!B5</f>
        <v>07/06/2026</v>
      </c>
      <c r="C5" s="5" t="str">
        <f>Deadlines!L5</f>
        <v>2026-0063905</v>
      </c>
      <c r="D5" s="6">
        <v>17204.84</v>
      </c>
      <c r="E5" s="5" t="str">
        <f>Notices!C5</f>
        <v>Other claimant</v>
      </c>
      <c r="F5" s="5" t="str">
        <f>Notices!N5</f>
        <v>Yes</v>
      </c>
      <c r="G5" s="5" t="str">
        <f>Deadlines!E5</f>
        <v>Yes</v>
      </c>
      <c r="H5" s="5" t="str">
        <f>Deadlines!G5</f>
        <v>Yes</v>
      </c>
      <c r="I5" s="5" t="str">
        <f>Deadlines!K5</f>
        <v>Not shown</v>
      </c>
      <c r="J5" s="5" t="str">
        <f>IF(F5="No","No lien rights",IF(G5="No","Untimely",IF(H5="No","Not served on the owner",IF(I5="Yes","Expired",IF(SUMIFS(Amounts!$I$4:$I$41,Amounts!$A$4:$A$41,A5)=0,"Waived in full","Enforceable")))))</f>
        <v>Enforceable</v>
      </c>
      <c r="K5" s="6">
        <f>IF(J5="Enforceable",SUMIFS(Amounts!$I$4:$I$41,Amounts!$A$4:$A$41,A5),0)</f>
        <v>17204.84</v>
      </c>
      <c r="L5" s="6">
        <f t="shared" si="0"/>
        <v>0</v>
      </c>
      <c r="M5" s="7" t="str">
        <f t="shared" si="1"/>
        <v>Bond at 125 percent until a new index search shows no action, then demand a release</v>
      </c>
      <c r="N5" s="6">
        <f>IF(J5="Enforceable",ROUND(D5*Parameters!$B$16/100,2),0)</f>
        <v>21506.05</v>
      </c>
      <c r="O5" s="5" t="str">
        <f t="shared" si="2"/>
        <v>Yes</v>
      </c>
    </row>
    <row r="6" spans="1:15" ht="30" customHeight="1" x14ac:dyDescent="0.2">
      <c r="A6" s="5" t="s">
        <v>266</v>
      </c>
      <c r="B6" s="5" t="str">
        <f>Deadlines!B6</f>
        <v>09/14/2026</v>
      </c>
      <c r="C6" s="5" t="str">
        <f>Deadlines!L6</f>
        <v>2026-0095207</v>
      </c>
      <c r="D6" s="6">
        <v>27640</v>
      </c>
      <c r="E6" s="5" t="str">
        <f>Notices!C6</f>
        <v>Other claimant</v>
      </c>
      <c r="F6" s="5" t="str">
        <f>Notices!N6</f>
        <v>No</v>
      </c>
      <c r="G6" s="5" t="str">
        <f>Deadlines!E6</f>
        <v>Yes</v>
      </c>
      <c r="H6" s="5" t="str">
        <f>Deadlines!G6</f>
        <v>Yes</v>
      </c>
      <c r="I6" s="5" t="str">
        <f>Deadlines!K6</f>
        <v>No</v>
      </c>
      <c r="J6" s="5" t="str">
        <f>IF(F6="No","No lien rights",IF(G6="No","Untimely",IF(H6="No","Not served on the owner",IF(I6="Yes","Expired",IF(SUMIFS(Amounts!$I$4:$I$41,Amounts!$A$4:$A$41,A6)=0,"Waived in full","Enforceable")))))</f>
        <v>No lien rights</v>
      </c>
      <c r="K6" s="6">
        <f>IF(J6="Enforceable",SUMIFS(Amounts!$I$4:$I$41,Amounts!$A$4:$A$41,A6),0)</f>
        <v>0</v>
      </c>
      <c r="L6" s="6">
        <f t="shared" si="0"/>
        <v>27640</v>
      </c>
      <c r="M6" s="7" t="str">
        <f t="shared" si="1"/>
        <v>Demand a recorded release, the defect being no preliminary notice to the owner</v>
      </c>
      <c r="N6" s="6">
        <f>IF(J6="Enforceable",ROUND(D6*Parameters!$B$16/100,2),0)</f>
        <v>0</v>
      </c>
      <c r="O6" s="5" t="str">
        <f t="shared" si="2"/>
        <v>Yes</v>
      </c>
    </row>
    <row r="7" spans="1:15" ht="30" customHeight="1" x14ac:dyDescent="0.2">
      <c r="A7" s="5" t="s">
        <v>271</v>
      </c>
      <c r="B7" s="5" t="str">
        <f>Deadlines!B7</f>
        <v>09/16/2026</v>
      </c>
      <c r="C7" s="5" t="str">
        <f>Deadlines!L7</f>
        <v>2026-0096088</v>
      </c>
      <c r="D7" s="6">
        <v>54230.81</v>
      </c>
      <c r="E7" s="5" t="str">
        <f>Notices!C7</f>
        <v>Other claimant</v>
      </c>
      <c r="F7" s="5" t="str">
        <f>Notices!N7</f>
        <v>Yes</v>
      </c>
      <c r="G7" s="5" t="str">
        <f>Deadlines!E7</f>
        <v>Yes</v>
      </c>
      <c r="H7" s="5" t="str">
        <f>Deadlines!G7</f>
        <v>Yes</v>
      </c>
      <c r="I7" s="5" t="str">
        <f>Deadlines!K7</f>
        <v>No</v>
      </c>
      <c r="J7" s="5" t="str">
        <f>IF(F7="No","No lien rights",IF(G7="No","Untimely",IF(H7="No","Not served on the owner",IF(I7="Yes","Expired",IF(SUMIFS(Amounts!$I$4:$I$41,Amounts!$A$4:$A$41,A7)=0,"Waived in full","Enforceable")))))</f>
        <v>Enforceable</v>
      </c>
      <c r="K7" s="6">
        <f>IF(J7="Enforceable",SUMIFS(Amounts!$I$4:$I$41,Amounts!$A$4:$A$41,A7),0)</f>
        <v>29091.69</v>
      </c>
      <c r="L7" s="6">
        <f t="shared" si="0"/>
        <v>25139.12</v>
      </c>
      <c r="M7" s="7" t="str">
        <f t="shared" si="1"/>
        <v>Bond at 125 percent of the recorded claim, or take an amended claim at the enforceable amount</v>
      </c>
      <c r="N7" s="6">
        <f>IF(J7="Enforceable",ROUND(D7*Parameters!$B$16/100,2),0)</f>
        <v>67788.51</v>
      </c>
      <c r="O7" s="5" t="str">
        <f t="shared" si="2"/>
        <v>Yes</v>
      </c>
    </row>
    <row r="8" spans="1:15" ht="30" customHeight="1" x14ac:dyDescent="0.2">
      <c r="A8" s="5" t="s">
        <v>276</v>
      </c>
      <c r="B8" s="5" t="str">
        <f>Deadlines!B8</f>
        <v>09/17/2026</v>
      </c>
      <c r="C8" s="5" t="str">
        <f>Deadlines!L8</f>
        <v>2026-0096531</v>
      </c>
      <c r="D8" s="6">
        <v>9345</v>
      </c>
      <c r="E8" s="5" t="str">
        <f>Notices!C8</f>
        <v>Other claimant</v>
      </c>
      <c r="F8" s="5" t="str">
        <f>Notices!N8</f>
        <v>Yes</v>
      </c>
      <c r="G8" s="5" t="str">
        <f>Deadlines!E8</f>
        <v>Yes</v>
      </c>
      <c r="H8" s="5" t="str">
        <f>Deadlines!G8</f>
        <v>No</v>
      </c>
      <c r="I8" s="5" t="str">
        <f>Deadlines!K8</f>
        <v>No</v>
      </c>
      <c r="J8" s="5" t="str">
        <f>IF(F8="No","No lien rights",IF(G8="No","Untimely",IF(H8="No","Not served on the owner",IF(I8="Yes","Expired",IF(SUMIFS(Amounts!$I$4:$I$41,Amounts!$A$4:$A$41,A8)=0,"Waived in full","Enforceable")))))</f>
        <v>Not served on the owner</v>
      </c>
      <c r="K8" s="6">
        <f>IF(J8="Enforceable",SUMIFS(Amounts!$I$4:$I$41,Amounts!$A$4:$A$41,A8),0)</f>
        <v>0</v>
      </c>
      <c r="L8" s="6">
        <f t="shared" si="0"/>
        <v>9345</v>
      </c>
      <c r="M8" s="7" t="str">
        <f t="shared" si="1"/>
        <v>Demand a recorded release, the defect being no service on the owner</v>
      </c>
      <c r="N8" s="6">
        <f>IF(J8="Enforceable",ROUND(D8*Parameters!$B$16/100,2),0)</f>
        <v>0</v>
      </c>
      <c r="O8" s="5" t="str">
        <f t="shared" si="2"/>
        <v>Yes</v>
      </c>
    </row>
    <row r="9" spans="1:15" ht="30" customHeight="1" x14ac:dyDescent="0.2">
      <c r="A9" s="5" t="s">
        <v>280</v>
      </c>
      <c r="B9" s="5" t="str">
        <f>Deadlines!B9</f>
        <v>09/21/2026</v>
      </c>
      <c r="C9" s="5" t="str">
        <f>Deadlines!L9</f>
        <v>2026-0097644</v>
      </c>
      <c r="D9" s="6">
        <v>159145</v>
      </c>
      <c r="E9" s="5" t="str">
        <f>Notices!C9</f>
        <v>Other claimant</v>
      </c>
      <c r="F9" s="5" t="str">
        <f>Notices!N9</f>
        <v>Yes</v>
      </c>
      <c r="G9" s="5" t="str">
        <f>Deadlines!E9</f>
        <v>Yes</v>
      </c>
      <c r="H9" s="5" t="str">
        <f>Deadlines!G9</f>
        <v>Yes</v>
      </c>
      <c r="I9" s="5" t="str">
        <f>Deadlines!K9</f>
        <v>No</v>
      </c>
      <c r="J9" s="5" t="str">
        <f>IF(F9="No","No lien rights",IF(G9="No","Untimely",IF(H9="No","Not served on the owner",IF(I9="Yes","Expired",IF(SUMIFS(Amounts!$I$4:$I$41,Amounts!$A$4:$A$41,A9)=0,"Waived in full","Enforceable")))))</f>
        <v>Enforceable</v>
      </c>
      <c r="K9" s="6">
        <f>IF(J9="Enforceable",SUMIFS(Amounts!$I$4:$I$41,Amounts!$A$4:$A$41,A9),0)</f>
        <v>85235</v>
      </c>
      <c r="L9" s="6">
        <f t="shared" si="0"/>
        <v>73910</v>
      </c>
      <c r="M9" s="7" t="str">
        <f t="shared" si="1"/>
        <v>Bond at 125 percent of the recorded claim, or take an amended claim at the enforceable amount</v>
      </c>
      <c r="N9" s="6">
        <f>IF(J9="Enforceable",ROUND(D9*Parameters!$B$16/100,2),0)</f>
        <v>198931.25</v>
      </c>
      <c r="O9" s="5" t="str">
        <f t="shared" si="2"/>
        <v>Yes</v>
      </c>
    </row>
    <row r="10" spans="1:15" ht="30" customHeight="1" x14ac:dyDescent="0.2">
      <c r="A10" s="5" t="s">
        <v>285</v>
      </c>
      <c r="B10" s="5" t="str">
        <f>Deadlines!B10</f>
        <v>09/22/2026</v>
      </c>
      <c r="C10" s="5" t="str">
        <f>Deadlines!L10</f>
        <v>2026-0098120</v>
      </c>
      <c r="D10" s="6">
        <v>46600</v>
      </c>
      <c r="E10" s="5" t="str">
        <f>Notices!C10</f>
        <v>Other claimant</v>
      </c>
      <c r="F10" s="5" t="str">
        <f>Notices!N10</f>
        <v>Yes</v>
      </c>
      <c r="G10" s="5" t="str">
        <f>Deadlines!E10</f>
        <v>Yes</v>
      </c>
      <c r="H10" s="5" t="str">
        <f>Deadlines!G10</f>
        <v>Yes</v>
      </c>
      <c r="I10" s="5" t="str">
        <f>Deadlines!K10</f>
        <v>No</v>
      </c>
      <c r="J10" s="5" t="str">
        <f>IF(F10="No","No lien rights",IF(G10="No","Untimely",IF(H10="No","Not served on the owner",IF(I10="Yes","Expired",IF(SUMIFS(Amounts!$I$4:$I$41,Amounts!$A$4:$A$41,A10)=0,"Waived in full","Enforceable")))))</f>
        <v>Enforceable</v>
      </c>
      <c r="K10" s="6">
        <f>IF(J10="Enforceable",SUMIFS(Amounts!$I$4:$I$41,Amounts!$A$4:$A$41,A10),0)</f>
        <v>8125</v>
      </c>
      <c r="L10" s="6">
        <f t="shared" si="0"/>
        <v>38475</v>
      </c>
      <c r="M10" s="7" t="str">
        <f t="shared" si="1"/>
        <v>Bond at 125 percent of the recorded claim, or take an amended claim at the enforceable amount</v>
      </c>
      <c r="N10" s="6">
        <f>IF(J10="Enforceable",ROUND(D10*Parameters!$B$16/100,2),0)</f>
        <v>58250</v>
      </c>
      <c r="O10" s="5" t="str">
        <f t="shared" si="2"/>
        <v>Yes</v>
      </c>
    </row>
    <row r="11" spans="1:15" ht="30" customHeight="1" x14ac:dyDescent="0.2">
      <c r="A11" s="5" t="s">
        <v>290</v>
      </c>
      <c r="B11" s="5" t="str">
        <f>Deadlines!B11</f>
        <v>09/23/2026</v>
      </c>
      <c r="C11" s="5" t="str">
        <f>Deadlines!L11</f>
        <v>2026-0098577</v>
      </c>
      <c r="D11" s="6">
        <v>14937.5</v>
      </c>
      <c r="E11" s="5" t="str">
        <f>Notices!C11</f>
        <v>Other claimant</v>
      </c>
      <c r="F11" s="5" t="str">
        <f>Notices!N11</f>
        <v>Yes</v>
      </c>
      <c r="G11" s="5" t="str">
        <f>Deadlines!E11</f>
        <v>Yes</v>
      </c>
      <c r="H11" s="5" t="str">
        <f>Deadlines!G11</f>
        <v>Yes</v>
      </c>
      <c r="I11" s="5" t="str">
        <f>Deadlines!K11</f>
        <v>No</v>
      </c>
      <c r="J11" s="5" t="str">
        <f>IF(F11="No","No lien rights",IF(G11="No","Untimely",IF(H11="No","Not served on the owner",IF(I11="Yes","Expired",IF(SUMIFS(Amounts!$I$4:$I$41,Amounts!$A$4:$A$41,A11)=0,"Waived in full","Enforceable")))))</f>
        <v>Waived in full</v>
      </c>
      <c r="K11" s="6">
        <f>IF(J11="Enforceable",SUMIFS(Amounts!$I$4:$I$41,Amounts!$A$4:$A$41,A11),0)</f>
        <v>0</v>
      </c>
      <c r="L11" s="6">
        <f t="shared" si="0"/>
        <v>14937.5</v>
      </c>
      <c r="M11" s="7" t="str">
        <f t="shared" si="1"/>
        <v>Demand a recorded release, the defect being a final waiver of the whole claim</v>
      </c>
      <c r="N11" s="6">
        <f>IF(J11="Enforceable",ROUND(D11*Parameters!$B$16/100,2),0)</f>
        <v>0</v>
      </c>
      <c r="O11" s="5" t="str">
        <f t="shared" si="2"/>
        <v>Yes</v>
      </c>
    </row>
    <row r="12" spans="1:15" ht="30" customHeight="1" x14ac:dyDescent="0.2">
      <c r="A12" s="5" t="s">
        <v>211</v>
      </c>
      <c r="B12" s="5" t="str">
        <f>Deadlines!B12</f>
        <v>09/24/2026</v>
      </c>
      <c r="C12" s="5" t="str">
        <f>Deadlines!L12</f>
        <v>2026-0098901</v>
      </c>
      <c r="D12" s="6">
        <v>16600</v>
      </c>
      <c r="E12" s="5" t="str">
        <f>Notices!C12</f>
        <v>Other claimant</v>
      </c>
      <c r="F12" s="5" t="str">
        <f>Notices!N12</f>
        <v>Yes</v>
      </c>
      <c r="G12" s="5" t="str">
        <f>Deadlines!E12</f>
        <v>Yes</v>
      </c>
      <c r="H12" s="5" t="str">
        <f>Deadlines!G12</f>
        <v>Yes</v>
      </c>
      <c r="I12" s="5" t="str">
        <f>Deadlines!K12</f>
        <v>No</v>
      </c>
      <c r="J12" s="5" t="str">
        <f>IF(F12="No","No lien rights",IF(G12="No","Untimely",IF(H12="No","Not served on the owner",IF(I12="Yes","Expired",IF(SUMIFS(Amounts!$I$4:$I$41,Amounts!$A$4:$A$41,A12)=0,"Waived in full","Enforceable")))))</f>
        <v>Enforceable</v>
      </c>
      <c r="K12" s="6">
        <f>IF(J12="Enforceable",SUMIFS(Amounts!$I$4:$I$41,Amounts!$A$4:$A$41,A12),0)</f>
        <v>7132.5</v>
      </c>
      <c r="L12" s="6">
        <f t="shared" si="0"/>
        <v>9467.5</v>
      </c>
      <c r="M12" s="7" t="str">
        <f t="shared" si="1"/>
        <v>Bond at 125 percent of the recorded claim, or take an amended claim at the enforceable amount</v>
      </c>
      <c r="N12" s="6">
        <f>IF(J12="Enforceable",ROUND(D12*Parameters!$B$16/100,2),0)</f>
        <v>20750</v>
      </c>
      <c r="O12" s="5" t="str">
        <f t="shared" si="2"/>
        <v>Yes</v>
      </c>
    </row>
    <row r="13" spans="1:15" ht="30" customHeight="1" x14ac:dyDescent="0.2">
      <c r="A13" s="5" t="s">
        <v>298</v>
      </c>
      <c r="B13" s="5" t="str">
        <f>Deadlines!B13</f>
        <v>09/24/2026</v>
      </c>
      <c r="C13" s="5" t="str">
        <f>Deadlines!L13</f>
        <v>2026-0098955</v>
      </c>
      <c r="D13" s="6">
        <v>19742.64</v>
      </c>
      <c r="E13" s="5" t="str">
        <f>Notices!C13</f>
        <v>Other claimant</v>
      </c>
      <c r="F13" s="5" t="str">
        <f>Notices!N13</f>
        <v>Yes</v>
      </c>
      <c r="G13" s="5" t="str">
        <f>Deadlines!E13</f>
        <v>Yes</v>
      </c>
      <c r="H13" s="5" t="str">
        <f>Deadlines!G13</f>
        <v>Yes</v>
      </c>
      <c r="I13" s="5" t="str">
        <f>Deadlines!K13</f>
        <v>No</v>
      </c>
      <c r="J13" s="5" t="str">
        <f>IF(F13="No","No lien rights",IF(G13="No","Untimely",IF(H13="No","Not served on the owner",IF(I13="Yes","Expired",IF(SUMIFS(Amounts!$I$4:$I$41,Amounts!$A$4:$A$41,A13)=0,"Waived in full","Enforceable")))))</f>
        <v>Enforceable</v>
      </c>
      <c r="K13" s="6">
        <f>IF(J13="Enforceable",SUMIFS(Amounts!$I$4:$I$41,Amounts!$A$4:$A$41,A13),0)</f>
        <v>15426.44</v>
      </c>
      <c r="L13" s="6">
        <f t="shared" si="0"/>
        <v>4316.2</v>
      </c>
      <c r="M13" s="7" t="str">
        <f t="shared" si="1"/>
        <v>Bond at 125 percent of the recorded claim, or take an amended claim at the enforceable amount</v>
      </c>
      <c r="N13" s="6">
        <f>IF(J13="Enforceable",ROUND(D13*Parameters!$B$16/100,2),0)</f>
        <v>24678.3</v>
      </c>
      <c r="O13" s="5" t="str">
        <f t="shared" si="2"/>
        <v>Yes</v>
      </c>
    </row>
    <row r="14" spans="1:15" ht="30" customHeight="1" x14ac:dyDescent="0.2">
      <c r="A14" s="5" t="s">
        <v>303</v>
      </c>
      <c r="B14" s="5" t="str">
        <f>Deadlines!B14</f>
        <v>09/28/2026</v>
      </c>
      <c r="C14" s="5" t="str">
        <f>Deadlines!L14</f>
        <v>2026-0100263</v>
      </c>
      <c r="D14" s="6">
        <v>61477</v>
      </c>
      <c r="E14" s="5" t="str">
        <f>Notices!C14</f>
        <v>Other claimant</v>
      </c>
      <c r="F14" s="5" t="str">
        <f>Notices!N14</f>
        <v>Yes</v>
      </c>
      <c r="G14" s="5" t="str">
        <f>Deadlines!E14</f>
        <v>Yes</v>
      </c>
      <c r="H14" s="5" t="str">
        <f>Deadlines!G14</f>
        <v>Yes</v>
      </c>
      <c r="I14" s="5" t="str">
        <f>Deadlines!K14</f>
        <v>No</v>
      </c>
      <c r="J14" s="5" t="str">
        <f>IF(F14="No","No lien rights",IF(G14="No","Untimely",IF(H14="No","Not served on the owner",IF(I14="Yes","Expired",IF(SUMIFS(Amounts!$I$4:$I$41,Amounts!$A$4:$A$41,A14)=0,"Waived in full","Enforceable")))))</f>
        <v>Enforceable</v>
      </c>
      <c r="K14" s="6">
        <f>IF(J14="Enforceable",SUMIFS(Amounts!$I$4:$I$41,Amounts!$A$4:$A$41,A14),0)</f>
        <v>61477</v>
      </c>
      <c r="L14" s="6">
        <f t="shared" si="0"/>
        <v>0</v>
      </c>
      <c r="M14" s="7" t="str">
        <f t="shared" si="1"/>
        <v>Bond at 125 percent, or pay from the money held against an unconditional final release</v>
      </c>
      <c r="N14" s="6">
        <f>IF(J14="Enforceable",ROUND(D14*Parameters!$B$16/100,2),0)</f>
        <v>76846.25</v>
      </c>
      <c r="O14" s="5" t="str">
        <f t="shared" si="2"/>
        <v>Yes</v>
      </c>
    </row>
    <row r="15" spans="1:15" ht="30" customHeight="1" x14ac:dyDescent="0.2">
      <c r="A15" s="5" t="s">
        <v>308</v>
      </c>
      <c r="B15" s="5" t="str">
        <f>Deadlines!B15</f>
        <v>09/29/2026</v>
      </c>
      <c r="C15" s="5" t="str">
        <f>Deadlines!L15</f>
        <v>2026-0100719</v>
      </c>
      <c r="D15" s="6">
        <v>38915</v>
      </c>
      <c r="E15" s="5" t="str">
        <f>Notices!C15</f>
        <v>Other claimant</v>
      </c>
      <c r="F15" s="5" t="str">
        <f>Notices!N15</f>
        <v>Yes</v>
      </c>
      <c r="G15" s="5" t="str">
        <f>Deadlines!E15</f>
        <v>Yes</v>
      </c>
      <c r="H15" s="5" t="str">
        <f>Deadlines!G15</f>
        <v>Yes</v>
      </c>
      <c r="I15" s="5" t="str">
        <f>Deadlines!K15</f>
        <v>No</v>
      </c>
      <c r="J15" s="5" t="str">
        <f>IF(F15="No","No lien rights",IF(G15="No","Untimely",IF(H15="No","Not served on the owner",IF(I15="Yes","Expired",IF(SUMIFS(Amounts!$I$4:$I$41,Amounts!$A$4:$A$41,A15)=0,"Waived in full","Enforceable")))))</f>
        <v>Enforceable</v>
      </c>
      <c r="K15" s="6">
        <f>IF(J15="Enforceable",SUMIFS(Amounts!$I$4:$I$41,Amounts!$A$4:$A$41,A15),0)</f>
        <v>38915</v>
      </c>
      <c r="L15" s="6">
        <f t="shared" si="0"/>
        <v>0</v>
      </c>
      <c r="M15" s="7" t="str">
        <f t="shared" si="1"/>
        <v>Bond at 125 percent, or pay from the money held against an unconditional final release</v>
      </c>
      <c r="N15" s="6">
        <f>IF(J15="Enforceable",ROUND(D15*Parameters!$B$16/100,2),0)</f>
        <v>48643.75</v>
      </c>
      <c r="O15" s="5" t="str">
        <f t="shared" si="2"/>
        <v>Yes</v>
      </c>
    </row>
    <row r="16" spans="1:15" ht="30" customHeight="1" x14ac:dyDescent="0.2">
      <c r="A16" s="5" t="s">
        <v>299</v>
      </c>
      <c r="B16" s="5" t="str">
        <f>Deadlines!B16</f>
        <v>09/30/2026</v>
      </c>
      <c r="C16" s="5" t="str">
        <f>Deadlines!L16</f>
        <v>2026-0101184</v>
      </c>
      <c r="D16" s="6">
        <v>13889</v>
      </c>
      <c r="E16" s="5" t="str">
        <f>Notices!C16</f>
        <v>Other claimant</v>
      </c>
      <c r="F16" s="5" t="str">
        <f>Notices!N16</f>
        <v>Yes</v>
      </c>
      <c r="G16" s="5" t="str">
        <f>Deadlines!E16</f>
        <v>No</v>
      </c>
      <c r="H16" s="5" t="str">
        <f>Deadlines!G16</f>
        <v>Yes</v>
      </c>
      <c r="I16" s="5" t="str">
        <f>Deadlines!K16</f>
        <v>No</v>
      </c>
      <c r="J16" s="5" t="str">
        <f>IF(F16="No","No lien rights",IF(G16="No","Untimely",IF(H16="No","Not served on the owner",IF(I16="Yes","Expired",IF(SUMIFS(Amounts!$I$4:$I$41,Amounts!$A$4:$A$41,A16)=0,"Waived in full","Enforceable")))))</f>
        <v>Untimely</v>
      </c>
      <c r="K16" s="6">
        <f>IF(J16="Enforceable",SUMIFS(Amounts!$I$4:$I$41,Amounts!$A$4:$A$41,A16),0)</f>
        <v>0</v>
      </c>
      <c r="L16" s="6">
        <f t="shared" si="0"/>
        <v>13889</v>
      </c>
      <c r="M16" s="7" t="str">
        <f t="shared" si="1"/>
        <v>Demand a recorded release, the defect being a recording after the last day</v>
      </c>
      <c r="N16" s="6">
        <f>IF(J16="Enforceable",ROUND(D16*Parameters!$B$16/100,2),0)</f>
        <v>0</v>
      </c>
      <c r="O16" s="5" t="str">
        <f t="shared" si="2"/>
        <v>Yes</v>
      </c>
    </row>
    <row r="17" spans="1:15" ht="30" customHeight="1" x14ac:dyDescent="0.2">
      <c r="A17" s="5" t="s">
        <v>316</v>
      </c>
      <c r="B17" s="5" t="str">
        <f>Deadlines!B17</f>
        <v>09/30/2026</v>
      </c>
      <c r="C17" s="5" t="str">
        <f>Deadlines!L17</f>
        <v>2026-0101236</v>
      </c>
      <c r="D17" s="6">
        <v>25080</v>
      </c>
      <c r="E17" s="5" t="str">
        <f>Notices!C17</f>
        <v>Direct contractor</v>
      </c>
      <c r="F17" s="5" t="str">
        <f>Notices!N17</f>
        <v>Yes</v>
      </c>
      <c r="G17" s="5" t="str">
        <f>Deadlines!E17</f>
        <v>Yes</v>
      </c>
      <c r="H17" s="5" t="str">
        <f>Deadlines!G17</f>
        <v>Yes</v>
      </c>
      <c r="I17" s="5" t="str">
        <f>Deadlines!K17</f>
        <v>No</v>
      </c>
      <c r="J17" s="5" t="str">
        <f>IF(F17="No","No lien rights",IF(G17="No","Untimely",IF(H17="No","Not served on the owner",IF(I17="Yes","Expired",IF(SUMIFS(Amounts!$I$4:$I$41,Amounts!$A$4:$A$41,A17)=0,"Waived in full","Enforceable")))))</f>
        <v>Enforceable</v>
      </c>
      <c r="K17" s="6">
        <f>IF(J17="Enforceable",SUMIFS(Amounts!$I$4:$I$41,Amounts!$A$4:$A$41,A17),0)</f>
        <v>25080</v>
      </c>
      <c r="L17" s="6">
        <f t="shared" si="0"/>
        <v>0</v>
      </c>
      <c r="M17" s="7" t="str">
        <f t="shared" si="1"/>
        <v>Bond at 125 percent, or pay the owner's own balance against an unconditional final release</v>
      </c>
      <c r="N17" s="6">
        <f>IF(J17="Enforceable",ROUND(D17*Parameters!$B$16/100,2),0)</f>
        <v>31350</v>
      </c>
      <c r="O17" s="5" t="str">
        <f t="shared" si="2"/>
        <v>No</v>
      </c>
    </row>
    <row r="18" spans="1:15" ht="30" customHeight="1" x14ac:dyDescent="0.2">
      <c r="A18" s="5" t="s">
        <v>322</v>
      </c>
      <c r="B18" s="5" t="str">
        <f>Deadlines!B18</f>
        <v>10/01/2026</v>
      </c>
      <c r="C18" s="5" t="str">
        <f>Deadlines!L18</f>
        <v>2026-0101655</v>
      </c>
      <c r="D18" s="6">
        <v>23480</v>
      </c>
      <c r="E18" s="5" t="str">
        <f>Notices!C18</f>
        <v>Other claimant</v>
      </c>
      <c r="F18" s="5" t="str">
        <f>Notices!N18</f>
        <v>Yes</v>
      </c>
      <c r="G18" s="5" t="str">
        <f>Deadlines!E18</f>
        <v>Yes</v>
      </c>
      <c r="H18" s="5" t="str">
        <f>Deadlines!G18</f>
        <v>Yes</v>
      </c>
      <c r="I18" s="5" t="str">
        <f>Deadlines!K18</f>
        <v>No</v>
      </c>
      <c r="J18" s="5" t="str">
        <f>IF(F18="No","No lien rights",IF(G18="No","Untimely",IF(H18="No","Not served on the owner",IF(I18="Yes","Expired",IF(SUMIFS(Amounts!$I$4:$I$41,Amounts!$A$4:$A$41,A18)=0,"Waived in full","Enforceable")))))</f>
        <v>Enforceable</v>
      </c>
      <c r="K18" s="6">
        <f>IF(J18="Enforceable",SUMIFS(Amounts!$I$4:$I$41,Amounts!$A$4:$A$41,A18),0)</f>
        <v>23480</v>
      </c>
      <c r="L18" s="6">
        <f t="shared" si="0"/>
        <v>0</v>
      </c>
      <c r="M18" s="7" t="str">
        <f t="shared" si="1"/>
        <v>Bond at 125 percent, or pay from the money held against an unconditional final release</v>
      </c>
      <c r="N18" s="6">
        <f>IF(J18="Enforceable",ROUND(D18*Parameters!$B$16/100,2),0)</f>
        <v>29350</v>
      </c>
      <c r="O18" s="5" t="str">
        <f t="shared" si="2"/>
        <v>Yes</v>
      </c>
    </row>
    <row r="19" spans="1:15" x14ac:dyDescent="0.2">
      <c r="A19" s="9" t="s">
        <v>22</v>
      </c>
      <c r="D19" s="10">
        <f>SUM(D4:D18)</f>
        <v>561561.79</v>
      </c>
      <c r="K19" s="10">
        <f>SUM(K4:K18)</f>
        <v>311167.47</v>
      </c>
      <c r="L19" s="10">
        <f>SUM(L4:L18)</f>
        <v>250394.32</v>
      </c>
      <c r="N19" s="10">
        <f>SUM(N4:N18)</f>
        <v>578094.11</v>
      </c>
    </row>
    <row r="20" spans="1:15" x14ac:dyDescent="0.2">
      <c r="A20" s="5" t="s">
        <v>26</v>
      </c>
      <c r="D20" s="5">
        <f>COUNTIF(J4:J18,"Enforceable")</f>
        <v>10</v>
      </c>
    </row>
    <row r="21" spans="1:15" x14ac:dyDescent="0.2">
      <c r="A21" s="5" t="s">
        <v>27</v>
      </c>
      <c r="D21" s="5">
        <f>COUNTIF(J4:J18,"&lt;&gt;Enforceable")</f>
        <v>5</v>
      </c>
    </row>
    <row r="22" spans="1:15" x14ac:dyDescent="0.2">
      <c r="A22" s="5" t="s">
        <v>28</v>
      </c>
      <c r="D22" s="6">
        <f>SUMIF(J4:J18,"&lt;&gt;Enforceable",D4:D18)</f>
        <v>99086.5</v>
      </c>
    </row>
    <row r="23" spans="1:15" x14ac:dyDescent="0.2">
      <c r="A23" s="5" t="s">
        <v>14</v>
      </c>
      <c r="D23" s="6">
        <f>SUMIFS(K4:K18,O4:O18,"Yes")</f>
        <v>286087.47</v>
      </c>
    </row>
    <row r="25" spans="1:15" x14ac:dyDescent="0.2">
      <c r="A25" s="8" t="s">
        <v>533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9"/>
  <sheetViews>
    <sheetView workbookViewId="0"/>
  </sheetViews>
  <sheetFormatPr baseColWidth="10" defaultColWidth="8.83203125" defaultRowHeight="15" x14ac:dyDescent="0.2"/>
  <cols>
    <col min="1" max="1" width="125" customWidth="1"/>
  </cols>
  <sheetData>
    <row r="1" spans="1:1" ht="17" customHeight="1" x14ac:dyDescent="0.2">
      <c r="A1" s="1" t="s">
        <v>534</v>
      </c>
    </row>
    <row r="3" spans="1:1" ht="60" customHeight="1" x14ac:dyDescent="0.2">
      <c r="A3" s="7" t="s">
        <v>535</v>
      </c>
    </row>
    <row r="4" spans="1:1" ht="90" customHeight="1" x14ac:dyDescent="0.2">
      <c r="A4" s="7" t="s">
        <v>536</v>
      </c>
    </row>
    <row r="5" spans="1:1" ht="75" customHeight="1" x14ac:dyDescent="0.2">
      <c r="A5" s="7" t="s">
        <v>537</v>
      </c>
    </row>
    <row r="6" spans="1:1" ht="45" customHeight="1" x14ac:dyDescent="0.2">
      <c r="A6" s="7" t="s">
        <v>538</v>
      </c>
    </row>
    <row r="7" spans="1:1" ht="60" customHeight="1" x14ac:dyDescent="0.2">
      <c r="A7" s="7" t="s">
        <v>539</v>
      </c>
    </row>
    <row r="8" spans="1:1" ht="90" customHeight="1" x14ac:dyDescent="0.2">
      <c r="A8" s="7" t="s">
        <v>540</v>
      </c>
    </row>
    <row r="9" spans="1:1" ht="105" customHeight="1" x14ac:dyDescent="0.2">
      <c r="A9" s="7" t="s">
        <v>541</v>
      </c>
    </row>
    <row r="10" spans="1:1" ht="45" customHeight="1" x14ac:dyDescent="0.2">
      <c r="A10" s="7" t="s">
        <v>542</v>
      </c>
    </row>
    <row r="11" spans="1:1" ht="60" customHeight="1" x14ac:dyDescent="0.2">
      <c r="A11" s="7" t="s">
        <v>543</v>
      </c>
    </row>
    <row r="12" spans="1:1" ht="45" customHeight="1" x14ac:dyDescent="0.2">
      <c r="A12" s="7" t="s">
        <v>544</v>
      </c>
    </row>
    <row r="13" spans="1:1" ht="75" customHeight="1" x14ac:dyDescent="0.2">
      <c r="A13" s="7" t="s">
        <v>545</v>
      </c>
    </row>
    <row r="14" spans="1:1" ht="120" customHeight="1" x14ac:dyDescent="0.2">
      <c r="A14" s="7" t="s">
        <v>546</v>
      </c>
    </row>
    <row r="15" spans="1:1" ht="105" customHeight="1" x14ac:dyDescent="0.2">
      <c r="A15" s="7" t="s">
        <v>547</v>
      </c>
    </row>
    <row r="16" spans="1:1" ht="60" customHeight="1" x14ac:dyDescent="0.2">
      <c r="A16" s="7" t="s">
        <v>548</v>
      </c>
    </row>
    <row r="17" spans="1:1" ht="75" customHeight="1" x14ac:dyDescent="0.2">
      <c r="A17" s="7" t="s">
        <v>549</v>
      </c>
    </row>
    <row r="18" spans="1:1" ht="45" customHeight="1" x14ac:dyDescent="0.2">
      <c r="A18" s="7" t="s">
        <v>550</v>
      </c>
    </row>
    <row r="19" spans="1:1" ht="90" customHeight="1" x14ac:dyDescent="0.2">
      <c r="A19" s="7" t="s">
        <v>551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Parameters</vt:lpstr>
      <vt:lpstr>DK Ledger</vt:lpstr>
      <vt:lpstr>Notices</vt:lpstr>
      <vt:lpstr>NOC Copies</vt:lpstr>
      <vt:lpstr>Deadlines</vt:lpstr>
      <vt:lpstr>Waivers</vt:lpstr>
      <vt:lpstr>Amounts</vt:lpstr>
      <vt:lpstr>Claims</vt:lpstr>
      <vt:lpstr>Note to Marguerite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dc:creator xmlns:dc="http://purl.org/dc/elements/1.1/">Ferraro Whitcombe LLP</dc:creator>
  <dc:title xmlns:dc="http://purl.org/dc/elements/1.1/">Lien analysis, Larkspur Crossing Building B, claims of mechanics lien against APN 480-210-037</dc:title>
  <dcterms:created xmlns:dcterms="http://purl.org/dc/terms/" xmlns:xsi="http://www.w3.org/2001/XMLSchema-instance" xsi:type="dcterms:W3CDTF">2026-10-14T10:22:05Z</dcterms:created>
  <dcterms:modified xmlns:dcterms="http://purl.org/dc/terms/" xmlns:xsi="http://www.w3.org/2001/XMLSchema-instance" xsi:type="dcterms:W3CDTF">2026-10-16T16:40:12Z</dcterms:modified>
  <cp:lastModifiedBy>Ferraro Whitcombe LLP</cp:lastModifiedBy>
</cp:coreProperties>
</file>