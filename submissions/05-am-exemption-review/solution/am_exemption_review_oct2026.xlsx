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xr:revisionPtr revIDLastSave="0" documentId="13_ncr:1_{D2F92597-7082-824F-B998-41B1E8D9B251}" xr6:coauthVersionLast="47" xr6:coauthVersionMax="47" xr10:uidLastSave="{00000000-0000-0000-0000-000000000000}"/>
  <bookViews>
    <workbookView xWindow="0" yWindow="0" windowWidth="21600" windowHeight="38400" xr2:uid="{00000000-000D-0000-FFFF-FFFF00000000}"/>
  </bookViews>
  <sheets>
    <sheet name="Summary" sheetId="1" r:id="rId1"/>
    <sheet name="Parameters" sheetId="2" r:id="rId2"/>
    <sheet name="Bonuses" sheetId="3" r:id="rId3"/>
    <sheet name="Hours" sheetId="4" r:id="rId4"/>
    <sheet name="Weekly Voight" sheetId="5" r:id="rId5"/>
    <sheet name="Weekly Dellinger" sheetId="6" r:id="rId6"/>
    <sheet name="Note to Delia"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8" i="6" l="1"/>
  <c r="C108" i="6"/>
  <c r="G108" i="6" s="1"/>
  <c r="B108" i="6"/>
  <c r="A108" i="6"/>
  <c r="F108" i="6" s="1"/>
  <c r="H108" i="6" s="1"/>
  <c r="I108" i="6" s="1"/>
  <c r="D107" i="6"/>
  <c r="C107" i="6"/>
  <c r="G107" i="6" s="1"/>
  <c r="B107" i="6"/>
  <c r="A107" i="6"/>
  <c r="F107" i="6" s="1"/>
  <c r="H107" i="6" s="1"/>
  <c r="I107" i="6" s="1"/>
  <c r="D106" i="6"/>
  <c r="C106" i="6"/>
  <c r="G106" i="6" s="1"/>
  <c r="B106" i="6"/>
  <c r="A106" i="6"/>
  <c r="F106" i="6" s="1"/>
  <c r="H106" i="6" s="1"/>
  <c r="I106" i="6" s="1"/>
  <c r="D105" i="6"/>
  <c r="C105" i="6"/>
  <c r="G105" i="6" s="1"/>
  <c r="B105" i="6"/>
  <c r="A105" i="6"/>
  <c r="F105" i="6" s="1"/>
  <c r="H105" i="6" s="1"/>
  <c r="I105" i="6" s="1"/>
  <c r="D104" i="6"/>
  <c r="C104" i="6"/>
  <c r="G104" i="6" s="1"/>
  <c r="B104" i="6"/>
  <c r="A104" i="6"/>
  <c r="F104" i="6" s="1"/>
  <c r="H104" i="6" s="1"/>
  <c r="I104" i="6" s="1"/>
  <c r="D103" i="6"/>
  <c r="C103" i="6"/>
  <c r="G103" i="6" s="1"/>
  <c r="B103" i="6"/>
  <c r="A103" i="6"/>
  <c r="F103" i="6" s="1"/>
  <c r="H103" i="6" s="1"/>
  <c r="I103" i="6" s="1"/>
  <c r="D102" i="6"/>
  <c r="C102" i="6"/>
  <c r="G102" i="6" s="1"/>
  <c r="B102" i="6"/>
  <c r="A102" i="6"/>
  <c r="F102" i="6" s="1"/>
  <c r="H102" i="6" s="1"/>
  <c r="I102" i="6" s="1"/>
  <c r="D101" i="6"/>
  <c r="C101" i="6"/>
  <c r="G101" i="6" s="1"/>
  <c r="B101" i="6"/>
  <c r="A101" i="6"/>
  <c r="F101" i="6" s="1"/>
  <c r="H101" i="6" s="1"/>
  <c r="I101" i="6" s="1"/>
  <c r="D100" i="6"/>
  <c r="C100" i="6"/>
  <c r="G100" i="6" s="1"/>
  <c r="B100" i="6"/>
  <c r="A100" i="6"/>
  <c r="F100" i="6" s="1"/>
  <c r="H100" i="6" s="1"/>
  <c r="I100" i="6" s="1"/>
  <c r="D99" i="6"/>
  <c r="C99" i="6"/>
  <c r="G99" i="6" s="1"/>
  <c r="B99" i="6"/>
  <c r="A99" i="6"/>
  <c r="F99" i="6" s="1"/>
  <c r="H99" i="6" s="1"/>
  <c r="I99" i="6" s="1"/>
  <c r="D98" i="6"/>
  <c r="C98" i="6"/>
  <c r="G98" i="6" s="1"/>
  <c r="B98" i="6"/>
  <c r="A98" i="6"/>
  <c r="F98" i="6" s="1"/>
  <c r="H98" i="6" s="1"/>
  <c r="I98" i="6" s="1"/>
  <c r="D97" i="6"/>
  <c r="C97" i="6"/>
  <c r="G97" i="6" s="1"/>
  <c r="B97" i="6"/>
  <c r="A97" i="6"/>
  <c r="F97" i="6" s="1"/>
  <c r="H97" i="6" s="1"/>
  <c r="I97" i="6" s="1"/>
  <c r="D96" i="6"/>
  <c r="C96" i="6"/>
  <c r="G96" i="6" s="1"/>
  <c r="B96" i="6"/>
  <c r="A96" i="6"/>
  <c r="F96" i="6" s="1"/>
  <c r="H96" i="6" s="1"/>
  <c r="I96" i="6" s="1"/>
  <c r="D95" i="6"/>
  <c r="C95" i="6"/>
  <c r="G95" i="6" s="1"/>
  <c r="B95" i="6"/>
  <c r="A95" i="6"/>
  <c r="F95" i="6" s="1"/>
  <c r="H95" i="6" s="1"/>
  <c r="I95" i="6" s="1"/>
  <c r="D94" i="6"/>
  <c r="C94" i="6"/>
  <c r="G94" i="6" s="1"/>
  <c r="B94" i="6"/>
  <c r="A94" i="6"/>
  <c r="F94" i="6" s="1"/>
  <c r="H94" i="6" s="1"/>
  <c r="I94" i="6" s="1"/>
  <c r="D93" i="6"/>
  <c r="C93" i="6"/>
  <c r="G93" i="6" s="1"/>
  <c r="B93" i="6"/>
  <c r="A93" i="6"/>
  <c r="F93" i="6" s="1"/>
  <c r="H93" i="6" s="1"/>
  <c r="I93" i="6" s="1"/>
  <c r="D92" i="6"/>
  <c r="C92" i="6"/>
  <c r="G92" i="6" s="1"/>
  <c r="B92" i="6"/>
  <c r="A92" i="6"/>
  <c r="F92" i="6" s="1"/>
  <c r="H92" i="6" s="1"/>
  <c r="I92" i="6" s="1"/>
  <c r="D91" i="6"/>
  <c r="C91" i="6"/>
  <c r="G91" i="6" s="1"/>
  <c r="B91" i="6"/>
  <c r="A91" i="6"/>
  <c r="F91" i="6" s="1"/>
  <c r="H91" i="6" s="1"/>
  <c r="I91" i="6" s="1"/>
  <c r="D90" i="6"/>
  <c r="C90" i="6"/>
  <c r="G90" i="6" s="1"/>
  <c r="B90" i="6"/>
  <c r="A90" i="6"/>
  <c r="F90" i="6" s="1"/>
  <c r="H90" i="6" s="1"/>
  <c r="I90" i="6" s="1"/>
  <c r="D89" i="6"/>
  <c r="C89" i="6"/>
  <c r="G89" i="6" s="1"/>
  <c r="B89" i="6"/>
  <c r="A89" i="6"/>
  <c r="F89" i="6" s="1"/>
  <c r="H89" i="6" s="1"/>
  <c r="I89" i="6" s="1"/>
  <c r="D88" i="6"/>
  <c r="C88" i="6"/>
  <c r="G88" i="6" s="1"/>
  <c r="B88" i="6"/>
  <c r="A88" i="6"/>
  <c r="F88" i="6" s="1"/>
  <c r="H88" i="6" s="1"/>
  <c r="I88" i="6" s="1"/>
  <c r="D87" i="6"/>
  <c r="C87" i="6"/>
  <c r="G87" i="6" s="1"/>
  <c r="B87" i="6"/>
  <c r="A87" i="6"/>
  <c r="F87" i="6" s="1"/>
  <c r="H87" i="6" s="1"/>
  <c r="I87" i="6" s="1"/>
  <c r="D86" i="6"/>
  <c r="C86" i="6"/>
  <c r="G86" i="6" s="1"/>
  <c r="B86" i="6"/>
  <c r="A86" i="6"/>
  <c r="F86" i="6" s="1"/>
  <c r="H86" i="6" s="1"/>
  <c r="I86" i="6" s="1"/>
  <c r="D85" i="6"/>
  <c r="C85" i="6"/>
  <c r="G85" i="6" s="1"/>
  <c r="B85" i="6"/>
  <c r="A85" i="6"/>
  <c r="F85" i="6" s="1"/>
  <c r="H85" i="6" s="1"/>
  <c r="I85" i="6" s="1"/>
  <c r="D84" i="6"/>
  <c r="C84" i="6"/>
  <c r="G84" i="6" s="1"/>
  <c r="B84" i="6"/>
  <c r="A84" i="6"/>
  <c r="F84" i="6" s="1"/>
  <c r="H84" i="6" s="1"/>
  <c r="I84" i="6" s="1"/>
  <c r="D83" i="6"/>
  <c r="C83" i="6"/>
  <c r="G83" i="6" s="1"/>
  <c r="B83" i="6"/>
  <c r="A83" i="6"/>
  <c r="F83" i="6" s="1"/>
  <c r="H83" i="6" s="1"/>
  <c r="I83" i="6" s="1"/>
  <c r="D82" i="6"/>
  <c r="C82" i="6"/>
  <c r="G82" i="6" s="1"/>
  <c r="B82" i="6"/>
  <c r="A82" i="6"/>
  <c r="F82" i="6" s="1"/>
  <c r="H82" i="6" s="1"/>
  <c r="I82" i="6" s="1"/>
  <c r="D81" i="6"/>
  <c r="C81" i="6"/>
  <c r="G81" i="6" s="1"/>
  <c r="B81" i="6"/>
  <c r="A81" i="6"/>
  <c r="F81" i="6" s="1"/>
  <c r="H81" i="6" s="1"/>
  <c r="I81" i="6" s="1"/>
  <c r="D80" i="6"/>
  <c r="C80" i="6"/>
  <c r="G80" i="6" s="1"/>
  <c r="B80" i="6"/>
  <c r="A80" i="6"/>
  <c r="F80" i="6" s="1"/>
  <c r="H80" i="6" s="1"/>
  <c r="D79" i="6"/>
  <c r="C79" i="6"/>
  <c r="G79" i="6" s="1"/>
  <c r="B79" i="6"/>
  <c r="A79" i="6"/>
  <c r="F79" i="6" s="1"/>
  <c r="H79" i="6" s="1"/>
  <c r="D78" i="6"/>
  <c r="C78" i="6"/>
  <c r="G78" i="6" s="1"/>
  <c r="B78" i="6"/>
  <c r="A78" i="6"/>
  <c r="F78" i="6" s="1"/>
  <c r="H78" i="6" s="1"/>
  <c r="D77" i="6"/>
  <c r="C77" i="6"/>
  <c r="G77" i="6" s="1"/>
  <c r="B77" i="6"/>
  <c r="A77" i="6"/>
  <c r="F77" i="6" s="1"/>
  <c r="H77" i="6" s="1"/>
  <c r="D76" i="6"/>
  <c r="C76" i="6"/>
  <c r="G76" i="6" s="1"/>
  <c r="B76" i="6"/>
  <c r="A76" i="6"/>
  <c r="F76" i="6" s="1"/>
  <c r="H76" i="6" s="1"/>
  <c r="D75" i="6"/>
  <c r="C75" i="6"/>
  <c r="G75" i="6" s="1"/>
  <c r="B75" i="6"/>
  <c r="A75" i="6"/>
  <c r="F75" i="6" s="1"/>
  <c r="H75" i="6" s="1"/>
  <c r="D74" i="6"/>
  <c r="C74" i="6"/>
  <c r="G74" i="6" s="1"/>
  <c r="B74" i="6"/>
  <c r="A74" i="6"/>
  <c r="F74" i="6" s="1"/>
  <c r="H74" i="6" s="1"/>
  <c r="D73" i="6"/>
  <c r="C73" i="6"/>
  <c r="G73" i="6" s="1"/>
  <c r="B73" i="6"/>
  <c r="A73" i="6"/>
  <c r="F73" i="6" s="1"/>
  <c r="H73" i="6" s="1"/>
  <c r="D72" i="6"/>
  <c r="C72" i="6"/>
  <c r="G72" i="6" s="1"/>
  <c r="B72" i="6"/>
  <c r="A72" i="6"/>
  <c r="F72" i="6" s="1"/>
  <c r="H72" i="6" s="1"/>
  <c r="D71" i="6"/>
  <c r="C71" i="6"/>
  <c r="G71" i="6" s="1"/>
  <c r="B71" i="6"/>
  <c r="A71" i="6"/>
  <c r="F71" i="6" s="1"/>
  <c r="H71" i="6" s="1"/>
  <c r="D70" i="6"/>
  <c r="C70" i="6"/>
  <c r="G70" i="6" s="1"/>
  <c r="B70" i="6"/>
  <c r="A70" i="6"/>
  <c r="F70" i="6" s="1"/>
  <c r="H70" i="6" s="1"/>
  <c r="D69" i="6"/>
  <c r="C69" i="6"/>
  <c r="G69" i="6" s="1"/>
  <c r="B69" i="6"/>
  <c r="A69" i="6"/>
  <c r="F69" i="6" s="1"/>
  <c r="H69" i="6" s="1"/>
  <c r="D68" i="6"/>
  <c r="C68" i="6"/>
  <c r="G68" i="6" s="1"/>
  <c r="B68" i="6"/>
  <c r="A68" i="6"/>
  <c r="F68" i="6" s="1"/>
  <c r="H68" i="6" s="1"/>
  <c r="D67" i="6"/>
  <c r="C67" i="6"/>
  <c r="G67" i="6" s="1"/>
  <c r="B67" i="6"/>
  <c r="A67" i="6"/>
  <c r="F67" i="6" s="1"/>
  <c r="H67" i="6" s="1"/>
  <c r="D66" i="6"/>
  <c r="C66" i="6"/>
  <c r="G66" i="6" s="1"/>
  <c r="B66" i="6"/>
  <c r="A66" i="6"/>
  <c r="F66" i="6" s="1"/>
  <c r="H66" i="6" s="1"/>
  <c r="D65" i="6"/>
  <c r="C65" i="6"/>
  <c r="G65" i="6" s="1"/>
  <c r="B65" i="6"/>
  <c r="A65" i="6"/>
  <c r="F65" i="6" s="1"/>
  <c r="H65" i="6" s="1"/>
  <c r="D64" i="6"/>
  <c r="C64" i="6"/>
  <c r="G64" i="6" s="1"/>
  <c r="B64" i="6"/>
  <c r="A64" i="6"/>
  <c r="F64" i="6" s="1"/>
  <c r="H64" i="6" s="1"/>
  <c r="D63" i="6"/>
  <c r="C63" i="6"/>
  <c r="G63" i="6" s="1"/>
  <c r="B63" i="6"/>
  <c r="A63" i="6"/>
  <c r="F63" i="6" s="1"/>
  <c r="H63" i="6" s="1"/>
  <c r="D62" i="6"/>
  <c r="C62" i="6"/>
  <c r="G62" i="6" s="1"/>
  <c r="B62" i="6"/>
  <c r="A62" i="6"/>
  <c r="F62" i="6" s="1"/>
  <c r="H62" i="6" s="1"/>
  <c r="D61" i="6"/>
  <c r="C61" i="6"/>
  <c r="G61" i="6" s="1"/>
  <c r="B61" i="6"/>
  <c r="A61" i="6"/>
  <c r="F61" i="6" s="1"/>
  <c r="H61" i="6" s="1"/>
  <c r="D60" i="6"/>
  <c r="C60" i="6"/>
  <c r="G60" i="6" s="1"/>
  <c r="B60" i="6"/>
  <c r="A60" i="6"/>
  <c r="F60" i="6" s="1"/>
  <c r="H60" i="6" s="1"/>
  <c r="D59" i="6"/>
  <c r="C59" i="6"/>
  <c r="G59" i="6" s="1"/>
  <c r="B59" i="6"/>
  <c r="A59" i="6"/>
  <c r="F59" i="6" s="1"/>
  <c r="H59" i="6" s="1"/>
  <c r="D58" i="6"/>
  <c r="C58" i="6"/>
  <c r="G58" i="6" s="1"/>
  <c r="B58" i="6"/>
  <c r="A58" i="6"/>
  <c r="F58" i="6" s="1"/>
  <c r="H58" i="6" s="1"/>
  <c r="D57" i="6"/>
  <c r="C57" i="6"/>
  <c r="G57" i="6" s="1"/>
  <c r="B57" i="6"/>
  <c r="A57" i="6"/>
  <c r="F57" i="6" s="1"/>
  <c r="H57" i="6" s="1"/>
  <c r="D56" i="6"/>
  <c r="C56" i="6"/>
  <c r="G56" i="6" s="1"/>
  <c r="B56" i="6"/>
  <c r="A56" i="6"/>
  <c r="F56" i="6" s="1"/>
  <c r="H56" i="6" s="1"/>
  <c r="D55" i="6"/>
  <c r="C55" i="6"/>
  <c r="G55" i="6" s="1"/>
  <c r="B55" i="6"/>
  <c r="A55" i="6"/>
  <c r="F55" i="6" s="1"/>
  <c r="H55" i="6" s="1"/>
  <c r="D54" i="6"/>
  <c r="C54" i="6"/>
  <c r="G54" i="6" s="1"/>
  <c r="B54" i="6"/>
  <c r="A54" i="6"/>
  <c r="F54" i="6" s="1"/>
  <c r="H54" i="6" s="1"/>
  <c r="D53" i="6"/>
  <c r="C53" i="6"/>
  <c r="G53" i="6" s="1"/>
  <c r="B53" i="6"/>
  <c r="A53" i="6"/>
  <c r="F53" i="6" s="1"/>
  <c r="H53" i="6" s="1"/>
  <c r="D52" i="6"/>
  <c r="C52" i="6"/>
  <c r="G52" i="6" s="1"/>
  <c r="B52" i="6"/>
  <c r="A52" i="6"/>
  <c r="F52" i="6" s="1"/>
  <c r="H52" i="6" s="1"/>
  <c r="D51" i="6"/>
  <c r="C51" i="6"/>
  <c r="G51" i="6" s="1"/>
  <c r="B51" i="6"/>
  <c r="A51" i="6"/>
  <c r="F51" i="6" s="1"/>
  <c r="H51" i="6" s="1"/>
  <c r="D50" i="6"/>
  <c r="C50" i="6"/>
  <c r="G50" i="6" s="1"/>
  <c r="B50" i="6"/>
  <c r="A50" i="6"/>
  <c r="F50" i="6" s="1"/>
  <c r="H50" i="6" s="1"/>
  <c r="D49" i="6"/>
  <c r="C49" i="6"/>
  <c r="G49" i="6" s="1"/>
  <c r="B49" i="6"/>
  <c r="A49" i="6"/>
  <c r="F49" i="6" s="1"/>
  <c r="H49" i="6" s="1"/>
  <c r="D48" i="6"/>
  <c r="C48" i="6"/>
  <c r="G48" i="6" s="1"/>
  <c r="B48" i="6"/>
  <c r="A48" i="6"/>
  <c r="F48" i="6" s="1"/>
  <c r="H48" i="6" s="1"/>
  <c r="D47" i="6"/>
  <c r="C47" i="6"/>
  <c r="G47" i="6" s="1"/>
  <c r="B47" i="6"/>
  <c r="A47" i="6"/>
  <c r="F47" i="6" s="1"/>
  <c r="H47" i="6" s="1"/>
  <c r="G46" i="6"/>
  <c r="F46" i="6"/>
  <c r="H46" i="6" s="1"/>
  <c r="D46" i="6"/>
  <c r="C46" i="6"/>
  <c r="B46" i="6"/>
  <c r="A46" i="6"/>
  <c r="D45" i="6"/>
  <c r="C45" i="6"/>
  <c r="G45" i="6" s="1"/>
  <c r="B45" i="6"/>
  <c r="A45" i="6"/>
  <c r="F45" i="6" s="1"/>
  <c r="H45" i="6" s="1"/>
  <c r="D44" i="6"/>
  <c r="C44" i="6"/>
  <c r="G44" i="6" s="1"/>
  <c r="B44" i="6"/>
  <c r="A44" i="6"/>
  <c r="F44" i="6" s="1"/>
  <c r="H44" i="6" s="1"/>
  <c r="D43" i="6"/>
  <c r="C43" i="6"/>
  <c r="G43" i="6" s="1"/>
  <c r="B43" i="6"/>
  <c r="A43" i="6"/>
  <c r="F43" i="6" s="1"/>
  <c r="H43" i="6" s="1"/>
  <c r="D42" i="6"/>
  <c r="C42" i="6"/>
  <c r="G42" i="6" s="1"/>
  <c r="B42" i="6"/>
  <c r="A42" i="6"/>
  <c r="F42" i="6" s="1"/>
  <c r="H42" i="6" s="1"/>
  <c r="D41" i="6"/>
  <c r="C41" i="6"/>
  <c r="G41" i="6" s="1"/>
  <c r="B41" i="6"/>
  <c r="A41" i="6"/>
  <c r="F41" i="6" s="1"/>
  <c r="H41" i="6" s="1"/>
  <c r="D40" i="6"/>
  <c r="C40" i="6"/>
  <c r="G40" i="6" s="1"/>
  <c r="B40" i="6"/>
  <c r="A40" i="6"/>
  <c r="F40" i="6" s="1"/>
  <c r="H40" i="6" s="1"/>
  <c r="D39" i="6"/>
  <c r="C39" i="6"/>
  <c r="G39" i="6" s="1"/>
  <c r="B39" i="6"/>
  <c r="A39" i="6"/>
  <c r="F39" i="6" s="1"/>
  <c r="H39" i="6" s="1"/>
  <c r="D38" i="6"/>
  <c r="C38" i="6"/>
  <c r="G38" i="6" s="1"/>
  <c r="B38" i="6"/>
  <c r="A38" i="6"/>
  <c r="F38" i="6" s="1"/>
  <c r="H38" i="6" s="1"/>
  <c r="D37" i="6"/>
  <c r="C37" i="6"/>
  <c r="G37" i="6" s="1"/>
  <c r="B37" i="6"/>
  <c r="A37" i="6"/>
  <c r="F37" i="6" s="1"/>
  <c r="H37" i="6" s="1"/>
  <c r="D36" i="6"/>
  <c r="C36" i="6"/>
  <c r="G36" i="6" s="1"/>
  <c r="B36" i="6"/>
  <c r="A36" i="6"/>
  <c r="F36" i="6" s="1"/>
  <c r="H36" i="6" s="1"/>
  <c r="D35" i="6"/>
  <c r="C35" i="6"/>
  <c r="G35" i="6" s="1"/>
  <c r="B35" i="6"/>
  <c r="A35" i="6"/>
  <c r="F35" i="6" s="1"/>
  <c r="H35" i="6" s="1"/>
  <c r="D34" i="6"/>
  <c r="C34" i="6"/>
  <c r="G34" i="6" s="1"/>
  <c r="B34" i="6"/>
  <c r="A34" i="6"/>
  <c r="F34" i="6" s="1"/>
  <c r="H34" i="6" s="1"/>
  <c r="D33" i="6"/>
  <c r="C33" i="6"/>
  <c r="G33" i="6" s="1"/>
  <c r="B33" i="6"/>
  <c r="A33" i="6"/>
  <c r="F33" i="6" s="1"/>
  <c r="H33" i="6" s="1"/>
  <c r="D32" i="6"/>
  <c r="C32" i="6"/>
  <c r="G32" i="6" s="1"/>
  <c r="B32" i="6"/>
  <c r="A32" i="6"/>
  <c r="F32" i="6" s="1"/>
  <c r="H32" i="6" s="1"/>
  <c r="D31" i="6"/>
  <c r="C31" i="6"/>
  <c r="G31" i="6" s="1"/>
  <c r="B31" i="6"/>
  <c r="A31" i="6"/>
  <c r="F31" i="6" s="1"/>
  <c r="H31" i="6" s="1"/>
  <c r="D30" i="6"/>
  <c r="C30" i="6"/>
  <c r="G30" i="6" s="1"/>
  <c r="B30" i="6"/>
  <c r="A30" i="6"/>
  <c r="F30" i="6" s="1"/>
  <c r="H30" i="6" s="1"/>
  <c r="D29" i="6"/>
  <c r="C29" i="6"/>
  <c r="G29" i="6" s="1"/>
  <c r="B29" i="6"/>
  <c r="A29" i="6"/>
  <c r="F29" i="6" s="1"/>
  <c r="H29" i="6" s="1"/>
  <c r="D28" i="6"/>
  <c r="C28" i="6"/>
  <c r="G28" i="6" s="1"/>
  <c r="B28" i="6"/>
  <c r="A28" i="6"/>
  <c r="F28" i="6" s="1"/>
  <c r="H28" i="6" s="1"/>
  <c r="D27" i="6"/>
  <c r="C27" i="6"/>
  <c r="G27" i="6" s="1"/>
  <c r="B27" i="6"/>
  <c r="A27" i="6"/>
  <c r="F27" i="6" s="1"/>
  <c r="H27" i="6" s="1"/>
  <c r="D26" i="6"/>
  <c r="C26" i="6"/>
  <c r="G26" i="6" s="1"/>
  <c r="B26" i="6"/>
  <c r="A26" i="6"/>
  <c r="F26" i="6" s="1"/>
  <c r="H26" i="6" s="1"/>
  <c r="D25" i="6"/>
  <c r="C25" i="6"/>
  <c r="G25" i="6" s="1"/>
  <c r="B25" i="6"/>
  <c r="A25" i="6"/>
  <c r="F25" i="6" s="1"/>
  <c r="H25" i="6" s="1"/>
  <c r="D24" i="6"/>
  <c r="C24" i="6"/>
  <c r="G24" i="6" s="1"/>
  <c r="B24" i="6"/>
  <c r="A24" i="6"/>
  <c r="F24" i="6" s="1"/>
  <c r="H24" i="6" s="1"/>
  <c r="D23" i="6"/>
  <c r="C23" i="6"/>
  <c r="G23" i="6" s="1"/>
  <c r="B23" i="6"/>
  <c r="A23" i="6"/>
  <c r="F23" i="6" s="1"/>
  <c r="H23" i="6" s="1"/>
  <c r="D22" i="6"/>
  <c r="C22" i="6"/>
  <c r="G22" i="6" s="1"/>
  <c r="B22" i="6"/>
  <c r="A22" i="6"/>
  <c r="F22" i="6" s="1"/>
  <c r="H22" i="6" s="1"/>
  <c r="D21" i="6"/>
  <c r="C21" i="6"/>
  <c r="G21" i="6" s="1"/>
  <c r="B21" i="6"/>
  <c r="A21" i="6"/>
  <c r="F21" i="6" s="1"/>
  <c r="H21" i="6" s="1"/>
  <c r="D20" i="6"/>
  <c r="C20" i="6"/>
  <c r="G20" i="6" s="1"/>
  <c r="B20" i="6"/>
  <c r="A20" i="6"/>
  <c r="F20" i="6" s="1"/>
  <c r="H20" i="6" s="1"/>
  <c r="D19" i="6"/>
  <c r="C19" i="6"/>
  <c r="G19" i="6" s="1"/>
  <c r="B19" i="6"/>
  <c r="A19" i="6"/>
  <c r="F19" i="6" s="1"/>
  <c r="H19" i="6" s="1"/>
  <c r="D18" i="6"/>
  <c r="C18" i="6"/>
  <c r="G18" i="6" s="1"/>
  <c r="B18" i="6"/>
  <c r="A18" i="6"/>
  <c r="F18" i="6" s="1"/>
  <c r="H18" i="6" s="1"/>
  <c r="D17" i="6"/>
  <c r="C17" i="6"/>
  <c r="G17" i="6" s="1"/>
  <c r="B17" i="6"/>
  <c r="A17" i="6"/>
  <c r="F17" i="6" s="1"/>
  <c r="H17" i="6" s="1"/>
  <c r="D16" i="6"/>
  <c r="C16" i="6"/>
  <c r="G16" i="6" s="1"/>
  <c r="B16" i="6"/>
  <c r="A16" i="6"/>
  <c r="F16" i="6" s="1"/>
  <c r="H16" i="6" s="1"/>
  <c r="F15" i="6"/>
  <c r="D15" i="6"/>
  <c r="C15" i="6"/>
  <c r="G15" i="6" s="1"/>
  <c r="B15" i="6"/>
  <c r="A15" i="6"/>
  <c r="D14" i="6"/>
  <c r="C14" i="6"/>
  <c r="G14" i="6" s="1"/>
  <c r="B14" i="6"/>
  <c r="A14" i="6"/>
  <c r="F14" i="6" s="1"/>
  <c r="H14" i="6" s="1"/>
  <c r="D13" i="6"/>
  <c r="C13" i="6"/>
  <c r="G13" i="6" s="1"/>
  <c r="B13" i="6"/>
  <c r="A13" i="6"/>
  <c r="F13" i="6" s="1"/>
  <c r="H13" i="6" s="1"/>
  <c r="D12" i="6"/>
  <c r="C12" i="6"/>
  <c r="G12" i="6" s="1"/>
  <c r="B12" i="6"/>
  <c r="A12" i="6"/>
  <c r="F12" i="6" s="1"/>
  <c r="H12" i="6" s="1"/>
  <c r="D11" i="6"/>
  <c r="C11" i="6"/>
  <c r="G11" i="6" s="1"/>
  <c r="B11" i="6"/>
  <c r="A11" i="6"/>
  <c r="F11" i="6" s="1"/>
  <c r="H11" i="6" s="1"/>
  <c r="D10" i="6"/>
  <c r="C10" i="6"/>
  <c r="G10" i="6" s="1"/>
  <c r="B10" i="6"/>
  <c r="A10" i="6"/>
  <c r="F10" i="6" s="1"/>
  <c r="H10" i="6" s="1"/>
  <c r="D9" i="6"/>
  <c r="C9" i="6"/>
  <c r="G9" i="6" s="1"/>
  <c r="B9" i="6"/>
  <c r="A9" i="6"/>
  <c r="F9" i="6" s="1"/>
  <c r="H9" i="6" s="1"/>
  <c r="D8" i="6"/>
  <c r="C8" i="6"/>
  <c r="G8" i="6" s="1"/>
  <c r="B8" i="6"/>
  <c r="A8" i="6"/>
  <c r="F8" i="6" s="1"/>
  <c r="H8" i="6" s="1"/>
  <c r="D7" i="6"/>
  <c r="C7" i="6"/>
  <c r="G7" i="6" s="1"/>
  <c r="B7" i="6"/>
  <c r="A7" i="6"/>
  <c r="F7" i="6" s="1"/>
  <c r="H7" i="6" s="1"/>
  <c r="D6" i="6"/>
  <c r="C6" i="6"/>
  <c r="G6" i="6" s="1"/>
  <c r="B6" i="6"/>
  <c r="A6" i="6"/>
  <c r="F6" i="6" s="1"/>
  <c r="H6" i="6" s="1"/>
  <c r="D5" i="6"/>
  <c r="C5" i="6"/>
  <c r="G5" i="6" s="1"/>
  <c r="B5" i="6"/>
  <c r="A5" i="6"/>
  <c r="F5" i="6" s="1"/>
  <c r="H5" i="6" s="1"/>
  <c r="D108" i="5"/>
  <c r="C108" i="5"/>
  <c r="G108" i="5" s="1"/>
  <c r="B108" i="5"/>
  <c r="A108" i="5"/>
  <c r="F108" i="5" s="1"/>
  <c r="H108" i="5" s="1"/>
  <c r="I108" i="5" s="1"/>
  <c r="D107" i="5"/>
  <c r="C107" i="5"/>
  <c r="G107" i="5" s="1"/>
  <c r="B107" i="5"/>
  <c r="A107" i="5"/>
  <c r="F107" i="5" s="1"/>
  <c r="H107" i="5" s="1"/>
  <c r="I107" i="5" s="1"/>
  <c r="D106" i="5"/>
  <c r="C106" i="5"/>
  <c r="G106" i="5" s="1"/>
  <c r="B106" i="5"/>
  <c r="A106" i="5"/>
  <c r="F106" i="5" s="1"/>
  <c r="H106" i="5" s="1"/>
  <c r="I106" i="5" s="1"/>
  <c r="D105" i="5"/>
  <c r="C105" i="5"/>
  <c r="G105" i="5" s="1"/>
  <c r="B105" i="5"/>
  <c r="A105" i="5"/>
  <c r="F105" i="5" s="1"/>
  <c r="H105" i="5" s="1"/>
  <c r="I105" i="5" s="1"/>
  <c r="D104" i="5"/>
  <c r="C104" i="5"/>
  <c r="G104" i="5" s="1"/>
  <c r="B104" i="5"/>
  <c r="A104" i="5"/>
  <c r="F104" i="5" s="1"/>
  <c r="H104" i="5" s="1"/>
  <c r="I104" i="5" s="1"/>
  <c r="D103" i="5"/>
  <c r="C103" i="5"/>
  <c r="G103" i="5" s="1"/>
  <c r="B103" i="5"/>
  <c r="A103" i="5"/>
  <c r="F103" i="5" s="1"/>
  <c r="H103" i="5" s="1"/>
  <c r="I103" i="5" s="1"/>
  <c r="D102" i="5"/>
  <c r="C102" i="5"/>
  <c r="G102" i="5" s="1"/>
  <c r="B102" i="5"/>
  <c r="A102" i="5"/>
  <c r="F102" i="5" s="1"/>
  <c r="H102" i="5" s="1"/>
  <c r="I102" i="5" s="1"/>
  <c r="D101" i="5"/>
  <c r="C101" i="5"/>
  <c r="G101" i="5" s="1"/>
  <c r="B101" i="5"/>
  <c r="A101" i="5"/>
  <c r="F101" i="5" s="1"/>
  <c r="H101" i="5" s="1"/>
  <c r="I101" i="5" s="1"/>
  <c r="D100" i="5"/>
  <c r="C100" i="5"/>
  <c r="G100" i="5" s="1"/>
  <c r="B100" i="5"/>
  <c r="A100" i="5"/>
  <c r="F100" i="5" s="1"/>
  <c r="H100" i="5" s="1"/>
  <c r="I100" i="5" s="1"/>
  <c r="D99" i="5"/>
  <c r="C99" i="5"/>
  <c r="G99" i="5" s="1"/>
  <c r="B99" i="5"/>
  <c r="A99" i="5"/>
  <c r="F99" i="5" s="1"/>
  <c r="H99" i="5" s="1"/>
  <c r="I99" i="5" s="1"/>
  <c r="D98" i="5"/>
  <c r="C98" i="5"/>
  <c r="G98" i="5" s="1"/>
  <c r="B98" i="5"/>
  <c r="A98" i="5"/>
  <c r="F98" i="5" s="1"/>
  <c r="H98" i="5" s="1"/>
  <c r="I98" i="5" s="1"/>
  <c r="D97" i="5"/>
  <c r="C97" i="5"/>
  <c r="G97" i="5" s="1"/>
  <c r="B97" i="5"/>
  <c r="A97" i="5"/>
  <c r="F97" i="5" s="1"/>
  <c r="H97" i="5" s="1"/>
  <c r="I97" i="5" s="1"/>
  <c r="D96" i="5"/>
  <c r="C96" i="5"/>
  <c r="G96" i="5" s="1"/>
  <c r="B96" i="5"/>
  <c r="A96" i="5"/>
  <c r="F96" i="5" s="1"/>
  <c r="H96" i="5" s="1"/>
  <c r="I96" i="5" s="1"/>
  <c r="D95" i="5"/>
  <c r="C95" i="5"/>
  <c r="G95" i="5" s="1"/>
  <c r="B95" i="5"/>
  <c r="A95" i="5"/>
  <c r="F95" i="5" s="1"/>
  <c r="H95" i="5" s="1"/>
  <c r="I95" i="5" s="1"/>
  <c r="D94" i="5"/>
  <c r="C94" i="5"/>
  <c r="G94" i="5" s="1"/>
  <c r="B94" i="5"/>
  <c r="A94" i="5"/>
  <c r="F94" i="5" s="1"/>
  <c r="H94" i="5" s="1"/>
  <c r="I94" i="5" s="1"/>
  <c r="D93" i="5"/>
  <c r="C93" i="5"/>
  <c r="G93" i="5" s="1"/>
  <c r="B93" i="5"/>
  <c r="A93" i="5"/>
  <c r="F93" i="5" s="1"/>
  <c r="H93" i="5" s="1"/>
  <c r="I93" i="5" s="1"/>
  <c r="D92" i="5"/>
  <c r="C92" i="5"/>
  <c r="G92" i="5" s="1"/>
  <c r="B92" i="5"/>
  <c r="A92" i="5"/>
  <c r="F92" i="5" s="1"/>
  <c r="H92" i="5" s="1"/>
  <c r="I92" i="5" s="1"/>
  <c r="D91" i="5"/>
  <c r="C91" i="5"/>
  <c r="G91" i="5" s="1"/>
  <c r="B91" i="5"/>
  <c r="A91" i="5"/>
  <c r="F91" i="5" s="1"/>
  <c r="H91" i="5" s="1"/>
  <c r="I91" i="5" s="1"/>
  <c r="D90" i="5"/>
  <c r="C90" i="5"/>
  <c r="G90" i="5" s="1"/>
  <c r="B90" i="5"/>
  <c r="A90" i="5"/>
  <c r="F90" i="5" s="1"/>
  <c r="H90" i="5" s="1"/>
  <c r="I90" i="5" s="1"/>
  <c r="D89" i="5"/>
  <c r="C89" i="5"/>
  <c r="G89" i="5" s="1"/>
  <c r="B89" i="5"/>
  <c r="A89" i="5"/>
  <c r="F89" i="5" s="1"/>
  <c r="H89" i="5" s="1"/>
  <c r="I89" i="5" s="1"/>
  <c r="F88" i="5"/>
  <c r="D88" i="5"/>
  <c r="C88" i="5"/>
  <c r="G88" i="5" s="1"/>
  <c r="B88" i="5"/>
  <c r="A88" i="5"/>
  <c r="D87" i="5"/>
  <c r="C87" i="5"/>
  <c r="G87" i="5" s="1"/>
  <c r="B87" i="5"/>
  <c r="A87" i="5"/>
  <c r="F87" i="5" s="1"/>
  <c r="H87" i="5" s="1"/>
  <c r="I87" i="5" s="1"/>
  <c r="D86" i="5"/>
  <c r="C86" i="5"/>
  <c r="G86" i="5" s="1"/>
  <c r="B86" i="5"/>
  <c r="A86" i="5"/>
  <c r="F86" i="5" s="1"/>
  <c r="H86" i="5" s="1"/>
  <c r="I86" i="5" s="1"/>
  <c r="D85" i="5"/>
  <c r="C85" i="5"/>
  <c r="G85" i="5" s="1"/>
  <c r="B85" i="5"/>
  <c r="A85" i="5"/>
  <c r="F85" i="5" s="1"/>
  <c r="H85" i="5" s="1"/>
  <c r="I85" i="5" s="1"/>
  <c r="D84" i="5"/>
  <c r="C84" i="5"/>
  <c r="G84" i="5" s="1"/>
  <c r="B84" i="5"/>
  <c r="A84" i="5"/>
  <c r="F84" i="5" s="1"/>
  <c r="H84" i="5" s="1"/>
  <c r="I84" i="5" s="1"/>
  <c r="D83" i="5"/>
  <c r="C83" i="5"/>
  <c r="G83" i="5" s="1"/>
  <c r="B83" i="5"/>
  <c r="A83" i="5"/>
  <c r="F83" i="5" s="1"/>
  <c r="H83" i="5" s="1"/>
  <c r="I83" i="5" s="1"/>
  <c r="D82" i="5"/>
  <c r="C82" i="5"/>
  <c r="G82" i="5" s="1"/>
  <c r="B82" i="5"/>
  <c r="A82" i="5"/>
  <c r="F82" i="5" s="1"/>
  <c r="H82" i="5" s="1"/>
  <c r="I82" i="5" s="1"/>
  <c r="D81" i="5"/>
  <c r="C81" i="5"/>
  <c r="G81" i="5" s="1"/>
  <c r="B81" i="5"/>
  <c r="A81" i="5"/>
  <c r="F81" i="5" s="1"/>
  <c r="H81" i="5" s="1"/>
  <c r="D80" i="5"/>
  <c r="C80" i="5"/>
  <c r="G80" i="5" s="1"/>
  <c r="B80" i="5"/>
  <c r="A80" i="5"/>
  <c r="F80" i="5" s="1"/>
  <c r="H80" i="5" s="1"/>
  <c r="D79" i="5"/>
  <c r="C79" i="5"/>
  <c r="G79" i="5" s="1"/>
  <c r="B79" i="5"/>
  <c r="A79" i="5"/>
  <c r="F79" i="5" s="1"/>
  <c r="H79" i="5" s="1"/>
  <c r="D78" i="5"/>
  <c r="C78" i="5"/>
  <c r="G78" i="5" s="1"/>
  <c r="B78" i="5"/>
  <c r="A78" i="5"/>
  <c r="F78" i="5" s="1"/>
  <c r="H78" i="5" s="1"/>
  <c r="D77" i="5"/>
  <c r="C77" i="5"/>
  <c r="G77" i="5" s="1"/>
  <c r="B77" i="5"/>
  <c r="A77" i="5"/>
  <c r="F77" i="5" s="1"/>
  <c r="H77" i="5" s="1"/>
  <c r="D76" i="5"/>
  <c r="C76" i="5"/>
  <c r="G76" i="5" s="1"/>
  <c r="B76" i="5"/>
  <c r="A76" i="5"/>
  <c r="F76" i="5" s="1"/>
  <c r="H76" i="5" s="1"/>
  <c r="D75" i="5"/>
  <c r="C75" i="5"/>
  <c r="G75" i="5" s="1"/>
  <c r="B75" i="5"/>
  <c r="A75" i="5"/>
  <c r="F75" i="5" s="1"/>
  <c r="H75" i="5" s="1"/>
  <c r="D74" i="5"/>
  <c r="C74" i="5"/>
  <c r="G74" i="5" s="1"/>
  <c r="B74" i="5"/>
  <c r="A74" i="5"/>
  <c r="F74" i="5" s="1"/>
  <c r="H74" i="5" s="1"/>
  <c r="D73" i="5"/>
  <c r="C73" i="5"/>
  <c r="G73" i="5" s="1"/>
  <c r="B73" i="5"/>
  <c r="A73" i="5"/>
  <c r="F73" i="5" s="1"/>
  <c r="H73" i="5" s="1"/>
  <c r="D72" i="5"/>
  <c r="C72" i="5"/>
  <c r="G72" i="5" s="1"/>
  <c r="B72" i="5"/>
  <c r="A72" i="5"/>
  <c r="F72" i="5" s="1"/>
  <c r="H72" i="5" s="1"/>
  <c r="D71" i="5"/>
  <c r="C71" i="5"/>
  <c r="G71" i="5" s="1"/>
  <c r="B71" i="5"/>
  <c r="A71" i="5"/>
  <c r="F71" i="5" s="1"/>
  <c r="H71" i="5" s="1"/>
  <c r="D70" i="5"/>
  <c r="C70" i="5"/>
  <c r="G70" i="5" s="1"/>
  <c r="B70" i="5"/>
  <c r="A70" i="5"/>
  <c r="F70" i="5" s="1"/>
  <c r="H70" i="5" s="1"/>
  <c r="D69" i="5"/>
  <c r="C69" i="5"/>
  <c r="G69" i="5" s="1"/>
  <c r="B69" i="5"/>
  <c r="A69" i="5"/>
  <c r="F69" i="5" s="1"/>
  <c r="H69" i="5" s="1"/>
  <c r="D68" i="5"/>
  <c r="C68" i="5"/>
  <c r="G68" i="5" s="1"/>
  <c r="B68" i="5"/>
  <c r="A68" i="5"/>
  <c r="F68" i="5" s="1"/>
  <c r="H68" i="5" s="1"/>
  <c r="D67" i="5"/>
  <c r="C67" i="5"/>
  <c r="G67" i="5" s="1"/>
  <c r="B67" i="5"/>
  <c r="A67" i="5"/>
  <c r="F67" i="5" s="1"/>
  <c r="H67" i="5" s="1"/>
  <c r="D66" i="5"/>
  <c r="C66" i="5"/>
  <c r="G66" i="5" s="1"/>
  <c r="B66" i="5"/>
  <c r="A66" i="5"/>
  <c r="F66" i="5" s="1"/>
  <c r="H66" i="5" s="1"/>
  <c r="D65" i="5"/>
  <c r="C65" i="5"/>
  <c r="G65" i="5" s="1"/>
  <c r="B65" i="5"/>
  <c r="A65" i="5"/>
  <c r="F65" i="5" s="1"/>
  <c r="H65" i="5" s="1"/>
  <c r="D64" i="5"/>
  <c r="C64" i="5"/>
  <c r="G64" i="5" s="1"/>
  <c r="B64" i="5"/>
  <c r="A64" i="5"/>
  <c r="F64" i="5" s="1"/>
  <c r="H64" i="5" s="1"/>
  <c r="D63" i="5"/>
  <c r="C63" i="5"/>
  <c r="G63" i="5" s="1"/>
  <c r="B63" i="5"/>
  <c r="A63" i="5"/>
  <c r="F63" i="5" s="1"/>
  <c r="H63" i="5" s="1"/>
  <c r="D62" i="5"/>
  <c r="C62" i="5"/>
  <c r="G62" i="5" s="1"/>
  <c r="B62" i="5"/>
  <c r="A62" i="5"/>
  <c r="F62" i="5" s="1"/>
  <c r="H62" i="5" s="1"/>
  <c r="D61" i="5"/>
  <c r="C61" i="5"/>
  <c r="G61" i="5" s="1"/>
  <c r="B61" i="5"/>
  <c r="A61" i="5"/>
  <c r="F61" i="5" s="1"/>
  <c r="H61" i="5" s="1"/>
  <c r="D60" i="5"/>
  <c r="C60" i="5"/>
  <c r="G60" i="5" s="1"/>
  <c r="B60" i="5"/>
  <c r="A60" i="5"/>
  <c r="F60" i="5" s="1"/>
  <c r="H60" i="5" s="1"/>
  <c r="D59" i="5"/>
  <c r="C59" i="5"/>
  <c r="G59" i="5" s="1"/>
  <c r="B59" i="5"/>
  <c r="A59" i="5"/>
  <c r="F59" i="5" s="1"/>
  <c r="H59" i="5" s="1"/>
  <c r="D58" i="5"/>
  <c r="C58" i="5"/>
  <c r="G58" i="5" s="1"/>
  <c r="B58" i="5"/>
  <c r="A58" i="5"/>
  <c r="F58" i="5" s="1"/>
  <c r="H58" i="5" s="1"/>
  <c r="D57" i="5"/>
  <c r="C57" i="5"/>
  <c r="G57" i="5" s="1"/>
  <c r="B57" i="5"/>
  <c r="A57" i="5"/>
  <c r="F57" i="5" s="1"/>
  <c r="H57" i="5" s="1"/>
  <c r="D56" i="5"/>
  <c r="C56" i="5"/>
  <c r="G56" i="5" s="1"/>
  <c r="B56" i="5"/>
  <c r="A56" i="5"/>
  <c r="F56" i="5" s="1"/>
  <c r="H56" i="5" s="1"/>
  <c r="D55" i="5"/>
  <c r="C55" i="5"/>
  <c r="G55" i="5" s="1"/>
  <c r="B55" i="5"/>
  <c r="A55" i="5"/>
  <c r="F55" i="5" s="1"/>
  <c r="H55" i="5" s="1"/>
  <c r="D54" i="5"/>
  <c r="C54" i="5"/>
  <c r="G54" i="5" s="1"/>
  <c r="B54" i="5"/>
  <c r="A54" i="5"/>
  <c r="F54" i="5" s="1"/>
  <c r="H54" i="5" s="1"/>
  <c r="D53" i="5"/>
  <c r="C53" i="5"/>
  <c r="G53" i="5" s="1"/>
  <c r="B53" i="5"/>
  <c r="A53" i="5"/>
  <c r="F53" i="5" s="1"/>
  <c r="H53" i="5" s="1"/>
  <c r="D52" i="5"/>
  <c r="C52" i="5"/>
  <c r="G52" i="5" s="1"/>
  <c r="B52" i="5"/>
  <c r="A52" i="5"/>
  <c r="F52" i="5" s="1"/>
  <c r="H52" i="5" s="1"/>
  <c r="D51" i="5"/>
  <c r="C51" i="5"/>
  <c r="G51" i="5" s="1"/>
  <c r="B51" i="5"/>
  <c r="A51" i="5"/>
  <c r="F51" i="5" s="1"/>
  <c r="H51" i="5" s="1"/>
  <c r="D50" i="5"/>
  <c r="C50" i="5"/>
  <c r="G50" i="5" s="1"/>
  <c r="B50" i="5"/>
  <c r="A50" i="5"/>
  <c r="F50" i="5" s="1"/>
  <c r="H50" i="5" s="1"/>
  <c r="D49" i="5"/>
  <c r="C49" i="5"/>
  <c r="G49" i="5" s="1"/>
  <c r="B49" i="5"/>
  <c r="A49" i="5"/>
  <c r="F49" i="5" s="1"/>
  <c r="H49" i="5" s="1"/>
  <c r="D48" i="5"/>
  <c r="C48" i="5"/>
  <c r="G48" i="5" s="1"/>
  <c r="B48" i="5"/>
  <c r="A48" i="5"/>
  <c r="F48" i="5" s="1"/>
  <c r="H48" i="5" s="1"/>
  <c r="D47" i="5"/>
  <c r="C47" i="5"/>
  <c r="G47" i="5" s="1"/>
  <c r="B47" i="5"/>
  <c r="A47" i="5"/>
  <c r="F47" i="5" s="1"/>
  <c r="H47" i="5" s="1"/>
  <c r="D46" i="5"/>
  <c r="C46" i="5"/>
  <c r="G46" i="5" s="1"/>
  <c r="B46" i="5"/>
  <c r="A46" i="5"/>
  <c r="F46" i="5" s="1"/>
  <c r="H46" i="5" s="1"/>
  <c r="D45" i="5"/>
  <c r="C45" i="5"/>
  <c r="G45" i="5" s="1"/>
  <c r="B45" i="5"/>
  <c r="A45" i="5"/>
  <c r="F45" i="5" s="1"/>
  <c r="H45" i="5" s="1"/>
  <c r="D44" i="5"/>
  <c r="C44" i="5"/>
  <c r="G44" i="5" s="1"/>
  <c r="B44" i="5"/>
  <c r="A44" i="5"/>
  <c r="F44" i="5" s="1"/>
  <c r="H44" i="5" s="1"/>
  <c r="D43" i="5"/>
  <c r="C43" i="5"/>
  <c r="G43" i="5" s="1"/>
  <c r="B43" i="5"/>
  <c r="A43" i="5"/>
  <c r="F43" i="5" s="1"/>
  <c r="H43" i="5" s="1"/>
  <c r="D42" i="5"/>
  <c r="C42" i="5"/>
  <c r="G42" i="5" s="1"/>
  <c r="B42" i="5"/>
  <c r="A42" i="5"/>
  <c r="F42" i="5" s="1"/>
  <c r="H42" i="5" s="1"/>
  <c r="D41" i="5"/>
  <c r="C41" i="5"/>
  <c r="G41" i="5" s="1"/>
  <c r="B41" i="5"/>
  <c r="A41" i="5"/>
  <c r="F41" i="5" s="1"/>
  <c r="H41" i="5" s="1"/>
  <c r="D40" i="5"/>
  <c r="C40" i="5"/>
  <c r="G40" i="5" s="1"/>
  <c r="B40" i="5"/>
  <c r="A40" i="5"/>
  <c r="F40" i="5" s="1"/>
  <c r="H40" i="5" s="1"/>
  <c r="D39" i="5"/>
  <c r="C39" i="5"/>
  <c r="G39" i="5" s="1"/>
  <c r="B39" i="5"/>
  <c r="A39" i="5"/>
  <c r="F39" i="5" s="1"/>
  <c r="H39" i="5" s="1"/>
  <c r="D38" i="5"/>
  <c r="C38" i="5"/>
  <c r="G38" i="5" s="1"/>
  <c r="B38" i="5"/>
  <c r="A38" i="5"/>
  <c r="F38" i="5" s="1"/>
  <c r="H38" i="5" s="1"/>
  <c r="D37" i="5"/>
  <c r="C37" i="5"/>
  <c r="G37" i="5" s="1"/>
  <c r="B37" i="5"/>
  <c r="A37" i="5"/>
  <c r="F37" i="5" s="1"/>
  <c r="H37" i="5" s="1"/>
  <c r="D36" i="5"/>
  <c r="C36" i="5"/>
  <c r="G36" i="5" s="1"/>
  <c r="B36" i="5"/>
  <c r="A36" i="5"/>
  <c r="F36" i="5" s="1"/>
  <c r="H36" i="5" s="1"/>
  <c r="D35" i="5"/>
  <c r="C35" i="5"/>
  <c r="G35" i="5" s="1"/>
  <c r="B35" i="5"/>
  <c r="A35" i="5"/>
  <c r="F35" i="5" s="1"/>
  <c r="H35" i="5" s="1"/>
  <c r="D34" i="5"/>
  <c r="C34" i="5"/>
  <c r="G34" i="5" s="1"/>
  <c r="B34" i="5"/>
  <c r="A34" i="5"/>
  <c r="F34" i="5" s="1"/>
  <c r="H34" i="5" s="1"/>
  <c r="D33" i="5"/>
  <c r="C33" i="5"/>
  <c r="G33" i="5" s="1"/>
  <c r="B33" i="5"/>
  <c r="A33" i="5"/>
  <c r="F33" i="5" s="1"/>
  <c r="H33" i="5" s="1"/>
  <c r="D32" i="5"/>
  <c r="C32" i="5"/>
  <c r="G32" i="5" s="1"/>
  <c r="B32" i="5"/>
  <c r="A32" i="5"/>
  <c r="F32" i="5" s="1"/>
  <c r="H32" i="5" s="1"/>
  <c r="D31" i="5"/>
  <c r="C31" i="5"/>
  <c r="G31" i="5" s="1"/>
  <c r="B31" i="5"/>
  <c r="A31" i="5"/>
  <c r="F31" i="5" s="1"/>
  <c r="H31" i="5" s="1"/>
  <c r="D30" i="5"/>
  <c r="C30" i="5"/>
  <c r="G30" i="5" s="1"/>
  <c r="B30" i="5"/>
  <c r="A30" i="5"/>
  <c r="F30" i="5" s="1"/>
  <c r="H30" i="5" s="1"/>
  <c r="D29" i="5"/>
  <c r="C29" i="5"/>
  <c r="G29" i="5" s="1"/>
  <c r="B29" i="5"/>
  <c r="A29" i="5"/>
  <c r="F29" i="5" s="1"/>
  <c r="H29" i="5" s="1"/>
  <c r="D28" i="5"/>
  <c r="C28" i="5"/>
  <c r="G28" i="5" s="1"/>
  <c r="B28" i="5"/>
  <c r="A28" i="5"/>
  <c r="F28" i="5" s="1"/>
  <c r="H28" i="5" s="1"/>
  <c r="D27" i="5"/>
  <c r="C27" i="5"/>
  <c r="G27" i="5" s="1"/>
  <c r="B27" i="5"/>
  <c r="A27" i="5"/>
  <c r="F27" i="5" s="1"/>
  <c r="H27" i="5" s="1"/>
  <c r="D26" i="5"/>
  <c r="C26" i="5"/>
  <c r="G26" i="5" s="1"/>
  <c r="B26" i="5"/>
  <c r="A26" i="5"/>
  <c r="F26" i="5" s="1"/>
  <c r="H26" i="5" s="1"/>
  <c r="G25" i="5"/>
  <c r="F25" i="5"/>
  <c r="H25" i="5" s="1"/>
  <c r="D25" i="5"/>
  <c r="C25" i="5"/>
  <c r="B25" i="5"/>
  <c r="A25" i="5"/>
  <c r="D24" i="5"/>
  <c r="C24" i="5"/>
  <c r="G24" i="5" s="1"/>
  <c r="B24" i="5"/>
  <c r="A24" i="5"/>
  <c r="F24" i="5" s="1"/>
  <c r="H24" i="5" s="1"/>
  <c r="D23" i="5"/>
  <c r="C23" i="5"/>
  <c r="G23" i="5" s="1"/>
  <c r="B23" i="5"/>
  <c r="A23" i="5"/>
  <c r="F23" i="5" s="1"/>
  <c r="H23" i="5" s="1"/>
  <c r="D22" i="5"/>
  <c r="C22" i="5"/>
  <c r="G22" i="5" s="1"/>
  <c r="B22" i="5"/>
  <c r="A22" i="5"/>
  <c r="F22" i="5" s="1"/>
  <c r="H22" i="5" s="1"/>
  <c r="D21" i="5"/>
  <c r="C21" i="5"/>
  <c r="G21" i="5" s="1"/>
  <c r="B21" i="5"/>
  <c r="A21" i="5"/>
  <c r="F21" i="5" s="1"/>
  <c r="H21" i="5" s="1"/>
  <c r="D20" i="5"/>
  <c r="C20" i="5"/>
  <c r="G20" i="5" s="1"/>
  <c r="B20" i="5"/>
  <c r="A20" i="5"/>
  <c r="F20" i="5" s="1"/>
  <c r="H20" i="5" s="1"/>
  <c r="D19" i="5"/>
  <c r="C19" i="5"/>
  <c r="G19" i="5" s="1"/>
  <c r="B19" i="5"/>
  <c r="A19" i="5"/>
  <c r="F19" i="5" s="1"/>
  <c r="H19" i="5" s="1"/>
  <c r="D18" i="5"/>
  <c r="C18" i="5"/>
  <c r="G18" i="5" s="1"/>
  <c r="B18" i="5"/>
  <c r="A18" i="5"/>
  <c r="F18" i="5" s="1"/>
  <c r="H18" i="5" s="1"/>
  <c r="D17" i="5"/>
  <c r="C17" i="5"/>
  <c r="G17" i="5" s="1"/>
  <c r="B17" i="5"/>
  <c r="A17" i="5"/>
  <c r="F17" i="5" s="1"/>
  <c r="H17" i="5" s="1"/>
  <c r="D16" i="5"/>
  <c r="C16" i="5"/>
  <c r="G16" i="5" s="1"/>
  <c r="B16" i="5"/>
  <c r="A16" i="5"/>
  <c r="F16" i="5" s="1"/>
  <c r="H16" i="5" s="1"/>
  <c r="D15" i="5"/>
  <c r="C15" i="5"/>
  <c r="G15" i="5" s="1"/>
  <c r="B15" i="5"/>
  <c r="A15" i="5"/>
  <c r="F15" i="5" s="1"/>
  <c r="H15" i="5" s="1"/>
  <c r="D14" i="5"/>
  <c r="C14" i="5"/>
  <c r="G14" i="5" s="1"/>
  <c r="B14" i="5"/>
  <c r="A14" i="5"/>
  <c r="F14" i="5" s="1"/>
  <c r="H14" i="5" s="1"/>
  <c r="D13" i="5"/>
  <c r="C13" i="5"/>
  <c r="G13" i="5" s="1"/>
  <c r="B13" i="5"/>
  <c r="A13" i="5"/>
  <c r="F13" i="5" s="1"/>
  <c r="H13" i="5" s="1"/>
  <c r="D12" i="5"/>
  <c r="C12" i="5"/>
  <c r="G12" i="5" s="1"/>
  <c r="B12" i="5"/>
  <c r="A12" i="5"/>
  <c r="F12" i="5" s="1"/>
  <c r="H12" i="5" s="1"/>
  <c r="D11" i="5"/>
  <c r="C11" i="5"/>
  <c r="G11" i="5" s="1"/>
  <c r="B11" i="5"/>
  <c r="A11" i="5"/>
  <c r="F11" i="5" s="1"/>
  <c r="H11" i="5" s="1"/>
  <c r="D10" i="5"/>
  <c r="C10" i="5"/>
  <c r="G10" i="5" s="1"/>
  <c r="B10" i="5"/>
  <c r="A10" i="5"/>
  <c r="F10" i="5" s="1"/>
  <c r="H10" i="5" s="1"/>
  <c r="D9" i="5"/>
  <c r="C9" i="5"/>
  <c r="G9" i="5" s="1"/>
  <c r="B9" i="5"/>
  <c r="A9" i="5"/>
  <c r="F9" i="5" s="1"/>
  <c r="H9" i="5" s="1"/>
  <c r="D8" i="5"/>
  <c r="C8" i="5"/>
  <c r="G8" i="5" s="1"/>
  <c r="B8" i="5"/>
  <c r="A8" i="5"/>
  <c r="F8" i="5" s="1"/>
  <c r="H8" i="5" s="1"/>
  <c r="D7" i="5"/>
  <c r="C7" i="5"/>
  <c r="G7" i="5" s="1"/>
  <c r="B7" i="5"/>
  <c r="A7" i="5"/>
  <c r="F7" i="5" s="1"/>
  <c r="H7" i="5" s="1"/>
  <c r="D6" i="5"/>
  <c r="C6" i="5"/>
  <c r="G6" i="5" s="1"/>
  <c r="B6" i="5"/>
  <c r="A6" i="5"/>
  <c r="F6" i="5" s="1"/>
  <c r="D5" i="5"/>
  <c r="C5" i="5"/>
  <c r="G5" i="5" s="1"/>
  <c r="B5" i="5"/>
  <c r="A5" i="5"/>
  <c r="F5" i="5" s="1"/>
  <c r="F111" i="4"/>
  <c r="C14" i="1" s="1"/>
  <c r="E111" i="4"/>
  <c r="C13" i="1" s="1"/>
  <c r="D111" i="4"/>
  <c r="C12" i="1" s="1"/>
  <c r="F110" i="4"/>
  <c r="B14" i="1" s="1"/>
  <c r="E110" i="4"/>
  <c r="B13" i="1" s="1"/>
  <c r="D110" i="4"/>
  <c r="B12" i="1" s="1"/>
  <c r="F109" i="4"/>
  <c r="E109" i="4"/>
  <c r="D109" i="4"/>
  <c r="I108" i="4"/>
  <c r="H108" i="4"/>
  <c r="E108" i="6" s="1"/>
  <c r="G108" i="4"/>
  <c r="E108" i="5" s="1"/>
  <c r="I107" i="4"/>
  <c r="H107" i="4"/>
  <c r="E107" i="6" s="1"/>
  <c r="G107" i="4"/>
  <c r="E107" i="5" s="1"/>
  <c r="I106" i="4"/>
  <c r="H106" i="4"/>
  <c r="E106" i="6" s="1"/>
  <c r="G106" i="4"/>
  <c r="E106" i="5" s="1"/>
  <c r="I105" i="4"/>
  <c r="H105" i="4"/>
  <c r="E105" i="6" s="1"/>
  <c r="G105" i="4"/>
  <c r="E105" i="5" s="1"/>
  <c r="I104" i="4"/>
  <c r="H104" i="4"/>
  <c r="E104" i="6" s="1"/>
  <c r="G104" i="4"/>
  <c r="E104" i="5" s="1"/>
  <c r="I103" i="4"/>
  <c r="H103" i="4"/>
  <c r="E103" i="6" s="1"/>
  <c r="G103" i="4"/>
  <c r="E103" i="5" s="1"/>
  <c r="I102" i="4"/>
  <c r="H102" i="4"/>
  <c r="E102" i="6" s="1"/>
  <c r="G102" i="4"/>
  <c r="E102" i="5" s="1"/>
  <c r="I101" i="4"/>
  <c r="H101" i="4"/>
  <c r="E101" i="6" s="1"/>
  <c r="G101" i="4"/>
  <c r="E101" i="5" s="1"/>
  <c r="I100" i="4"/>
  <c r="H100" i="4"/>
  <c r="E100" i="6" s="1"/>
  <c r="G100" i="4"/>
  <c r="E100" i="5" s="1"/>
  <c r="I99" i="4"/>
  <c r="H99" i="4"/>
  <c r="E99" i="6" s="1"/>
  <c r="G99" i="4"/>
  <c r="E99" i="5" s="1"/>
  <c r="I98" i="4"/>
  <c r="H98" i="4"/>
  <c r="E98" i="6" s="1"/>
  <c r="G98" i="4"/>
  <c r="E98" i="5" s="1"/>
  <c r="I97" i="4"/>
  <c r="H97" i="4"/>
  <c r="E97" i="6" s="1"/>
  <c r="G97" i="4"/>
  <c r="E97" i="5" s="1"/>
  <c r="I96" i="4"/>
  <c r="H96" i="4"/>
  <c r="E96" i="6" s="1"/>
  <c r="G96" i="4"/>
  <c r="E96" i="5" s="1"/>
  <c r="I95" i="4"/>
  <c r="H95" i="4"/>
  <c r="E95" i="6" s="1"/>
  <c r="G95" i="4"/>
  <c r="E95" i="5" s="1"/>
  <c r="I94" i="4"/>
  <c r="H94" i="4"/>
  <c r="E94" i="6" s="1"/>
  <c r="G94" i="4"/>
  <c r="E94" i="5" s="1"/>
  <c r="I93" i="4"/>
  <c r="H93" i="4"/>
  <c r="E93" i="6" s="1"/>
  <c r="G93" i="4"/>
  <c r="E93" i="5" s="1"/>
  <c r="I92" i="4"/>
  <c r="H92" i="4"/>
  <c r="E92" i="6" s="1"/>
  <c r="G92" i="4"/>
  <c r="E92" i="5" s="1"/>
  <c r="I91" i="4"/>
  <c r="H91" i="4"/>
  <c r="E91" i="6" s="1"/>
  <c r="G91" i="4"/>
  <c r="E91" i="5" s="1"/>
  <c r="I90" i="4"/>
  <c r="H90" i="4"/>
  <c r="E90" i="6" s="1"/>
  <c r="G90" i="4"/>
  <c r="E90" i="5" s="1"/>
  <c r="I89" i="4"/>
  <c r="H89" i="4"/>
  <c r="E89" i="6" s="1"/>
  <c r="G89" i="4"/>
  <c r="E89" i="5" s="1"/>
  <c r="I88" i="4"/>
  <c r="H88" i="4"/>
  <c r="E88" i="6" s="1"/>
  <c r="G88" i="4"/>
  <c r="E88" i="5" s="1"/>
  <c r="I87" i="4"/>
  <c r="H87" i="4"/>
  <c r="E87" i="6" s="1"/>
  <c r="G87" i="4"/>
  <c r="E87" i="5" s="1"/>
  <c r="I86" i="4"/>
  <c r="H86" i="4"/>
  <c r="E86" i="6" s="1"/>
  <c r="G86" i="4"/>
  <c r="E86" i="5" s="1"/>
  <c r="I85" i="4"/>
  <c r="H85" i="4"/>
  <c r="E85" i="6" s="1"/>
  <c r="G85" i="4"/>
  <c r="E85" i="5" s="1"/>
  <c r="I84" i="4"/>
  <c r="H84" i="4"/>
  <c r="E84" i="6" s="1"/>
  <c r="G84" i="4"/>
  <c r="E84" i="5" s="1"/>
  <c r="I83" i="4"/>
  <c r="H83" i="4"/>
  <c r="E83" i="6" s="1"/>
  <c r="G83" i="4"/>
  <c r="E83" i="5" s="1"/>
  <c r="I82" i="4"/>
  <c r="H82" i="4"/>
  <c r="E82" i="6" s="1"/>
  <c r="G82" i="4"/>
  <c r="E82" i="5" s="1"/>
  <c r="I81" i="4"/>
  <c r="H81" i="4"/>
  <c r="E81" i="6" s="1"/>
  <c r="G81" i="4"/>
  <c r="I80" i="4"/>
  <c r="I109" i="4" s="1"/>
  <c r="D14" i="1" s="1"/>
  <c r="H80" i="4"/>
  <c r="G80" i="4"/>
  <c r="E80" i="5" s="1"/>
  <c r="I79" i="4"/>
  <c r="H79" i="4"/>
  <c r="E79" i="6" s="1"/>
  <c r="G79" i="4"/>
  <c r="E79" i="5" s="1"/>
  <c r="I78" i="4"/>
  <c r="H78" i="4"/>
  <c r="E78" i="6" s="1"/>
  <c r="G78" i="4"/>
  <c r="E78" i="5" s="1"/>
  <c r="I77" i="4"/>
  <c r="H77" i="4"/>
  <c r="E77" i="6" s="1"/>
  <c r="G77" i="4"/>
  <c r="E77" i="5" s="1"/>
  <c r="I76" i="4"/>
  <c r="H76" i="4"/>
  <c r="E76" i="6" s="1"/>
  <c r="G76" i="4"/>
  <c r="E76" i="5" s="1"/>
  <c r="I75" i="4"/>
  <c r="H75" i="4"/>
  <c r="E75" i="6" s="1"/>
  <c r="G75" i="4"/>
  <c r="E75" i="5" s="1"/>
  <c r="I74" i="4"/>
  <c r="H74" i="4"/>
  <c r="E74" i="6" s="1"/>
  <c r="G74" i="4"/>
  <c r="E74" i="5" s="1"/>
  <c r="I73" i="4"/>
  <c r="H73" i="4"/>
  <c r="E73" i="6" s="1"/>
  <c r="G73" i="4"/>
  <c r="E73" i="5" s="1"/>
  <c r="I72" i="4"/>
  <c r="H72" i="4"/>
  <c r="E72" i="6" s="1"/>
  <c r="G72" i="4"/>
  <c r="E72" i="5" s="1"/>
  <c r="I71" i="4"/>
  <c r="H71" i="4"/>
  <c r="E71" i="6" s="1"/>
  <c r="G71" i="4"/>
  <c r="E71" i="5" s="1"/>
  <c r="I70" i="4"/>
  <c r="H70" i="4"/>
  <c r="E70" i="6" s="1"/>
  <c r="G70" i="4"/>
  <c r="E70" i="5" s="1"/>
  <c r="I69" i="4"/>
  <c r="H69" i="4"/>
  <c r="E69" i="6" s="1"/>
  <c r="G69" i="4"/>
  <c r="E69" i="5" s="1"/>
  <c r="I68" i="4"/>
  <c r="H68" i="4"/>
  <c r="E68" i="6" s="1"/>
  <c r="G68" i="4"/>
  <c r="E68" i="5" s="1"/>
  <c r="I67" i="4"/>
  <c r="H67" i="4"/>
  <c r="E67" i="6" s="1"/>
  <c r="G67" i="4"/>
  <c r="E67" i="5" s="1"/>
  <c r="I66" i="4"/>
  <c r="H66" i="4"/>
  <c r="E66" i="6" s="1"/>
  <c r="G66" i="4"/>
  <c r="E66" i="5" s="1"/>
  <c r="I65" i="4"/>
  <c r="H65" i="4"/>
  <c r="E65" i="6" s="1"/>
  <c r="G65" i="4"/>
  <c r="E65" i="5" s="1"/>
  <c r="I64" i="4"/>
  <c r="H64" i="4"/>
  <c r="E64" i="6" s="1"/>
  <c r="G64" i="4"/>
  <c r="E64" i="5" s="1"/>
  <c r="I63" i="4"/>
  <c r="H63" i="4"/>
  <c r="E63" i="6" s="1"/>
  <c r="G63" i="4"/>
  <c r="E63" i="5" s="1"/>
  <c r="I62" i="4"/>
  <c r="H62" i="4"/>
  <c r="E62" i="6" s="1"/>
  <c r="G62" i="4"/>
  <c r="E62" i="5" s="1"/>
  <c r="I61" i="4"/>
  <c r="H61" i="4"/>
  <c r="E61" i="6" s="1"/>
  <c r="G61" i="4"/>
  <c r="E61" i="5" s="1"/>
  <c r="I60" i="4"/>
  <c r="H60" i="4"/>
  <c r="E60" i="6" s="1"/>
  <c r="G60" i="4"/>
  <c r="E60" i="5" s="1"/>
  <c r="I59" i="4"/>
  <c r="H59" i="4"/>
  <c r="E59" i="6" s="1"/>
  <c r="G59" i="4"/>
  <c r="E59" i="5" s="1"/>
  <c r="I58" i="4"/>
  <c r="H58" i="4"/>
  <c r="E58" i="6" s="1"/>
  <c r="G58" i="4"/>
  <c r="E58" i="5" s="1"/>
  <c r="I57" i="4"/>
  <c r="H57" i="4"/>
  <c r="E57" i="6" s="1"/>
  <c r="G57" i="4"/>
  <c r="E57" i="5" s="1"/>
  <c r="I56" i="4"/>
  <c r="H56" i="4"/>
  <c r="E56" i="6" s="1"/>
  <c r="G56" i="4"/>
  <c r="E56" i="5" s="1"/>
  <c r="I55" i="4"/>
  <c r="H55" i="4"/>
  <c r="E55" i="6" s="1"/>
  <c r="G55" i="4"/>
  <c r="E55" i="5" s="1"/>
  <c r="I54" i="4"/>
  <c r="H54" i="4"/>
  <c r="E54" i="6" s="1"/>
  <c r="G54" i="4"/>
  <c r="E54" i="5" s="1"/>
  <c r="I53" i="4"/>
  <c r="H53" i="4"/>
  <c r="E53" i="6" s="1"/>
  <c r="G53" i="4"/>
  <c r="E53" i="5" s="1"/>
  <c r="I52" i="4"/>
  <c r="H52" i="4"/>
  <c r="E52" i="6" s="1"/>
  <c r="G52" i="4"/>
  <c r="E52" i="5" s="1"/>
  <c r="I51" i="4"/>
  <c r="H51" i="4"/>
  <c r="E51" i="6" s="1"/>
  <c r="G51" i="4"/>
  <c r="E51" i="5" s="1"/>
  <c r="I50" i="4"/>
  <c r="H50" i="4"/>
  <c r="E50" i="6" s="1"/>
  <c r="G50" i="4"/>
  <c r="E50" i="5" s="1"/>
  <c r="I49" i="4"/>
  <c r="H49" i="4"/>
  <c r="E49" i="6" s="1"/>
  <c r="G49" i="4"/>
  <c r="E49" i="5" s="1"/>
  <c r="I48" i="4"/>
  <c r="H48" i="4"/>
  <c r="E48" i="6" s="1"/>
  <c r="G48" i="4"/>
  <c r="E48" i="5" s="1"/>
  <c r="I47" i="4"/>
  <c r="H47" i="4"/>
  <c r="E47" i="6" s="1"/>
  <c r="G47" i="4"/>
  <c r="E47" i="5" s="1"/>
  <c r="I46" i="4"/>
  <c r="H46" i="4"/>
  <c r="E46" i="6" s="1"/>
  <c r="G46" i="4"/>
  <c r="E46" i="5" s="1"/>
  <c r="I45" i="4"/>
  <c r="H45" i="4"/>
  <c r="E45" i="6" s="1"/>
  <c r="G45" i="4"/>
  <c r="E45" i="5" s="1"/>
  <c r="I44" i="4"/>
  <c r="H44" i="4"/>
  <c r="E44" i="6" s="1"/>
  <c r="G44" i="4"/>
  <c r="E44" i="5" s="1"/>
  <c r="I43" i="4"/>
  <c r="H43" i="4"/>
  <c r="E43" i="6" s="1"/>
  <c r="G43" i="4"/>
  <c r="E43" i="5" s="1"/>
  <c r="I42" i="4"/>
  <c r="H42" i="4"/>
  <c r="E42" i="6" s="1"/>
  <c r="G42" i="4"/>
  <c r="E42" i="5" s="1"/>
  <c r="I41" i="4"/>
  <c r="H41" i="4"/>
  <c r="E41" i="6" s="1"/>
  <c r="G41" i="4"/>
  <c r="E41" i="5" s="1"/>
  <c r="I40" i="4"/>
  <c r="H40" i="4"/>
  <c r="E40" i="6" s="1"/>
  <c r="G40" i="4"/>
  <c r="E40" i="5" s="1"/>
  <c r="I39" i="4"/>
  <c r="H39" i="4"/>
  <c r="E39" i="6" s="1"/>
  <c r="G39" i="4"/>
  <c r="E39" i="5" s="1"/>
  <c r="I38" i="4"/>
  <c r="H38" i="4"/>
  <c r="E38" i="6" s="1"/>
  <c r="G38" i="4"/>
  <c r="E38" i="5" s="1"/>
  <c r="I37" i="4"/>
  <c r="H37" i="4"/>
  <c r="E37" i="6" s="1"/>
  <c r="G37" i="4"/>
  <c r="E37" i="5" s="1"/>
  <c r="I36" i="4"/>
  <c r="H36" i="4"/>
  <c r="E36" i="6" s="1"/>
  <c r="G36" i="4"/>
  <c r="E36" i="5" s="1"/>
  <c r="I35" i="4"/>
  <c r="H35" i="4"/>
  <c r="E35" i="6" s="1"/>
  <c r="G35" i="4"/>
  <c r="E35" i="5" s="1"/>
  <c r="I34" i="4"/>
  <c r="H34" i="4"/>
  <c r="E34" i="6" s="1"/>
  <c r="G34" i="4"/>
  <c r="E34" i="5" s="1"/>
  <c r="I33" i="4"/>
  <c r="H33" i="4"/>
  <c r="E33" i="6" s="1"/>
  <c r="G33" i="4"/>
  <c r="E33" i="5" s="1"/>
  <c r="I32" i="4"/>
  <c r="H32" i="4"/>
  <c r="E32" i="6" s="1"/>
  <c r="G32" i="4"/>
  <c r="E32" i="5" s="1"/>
  <c r="I31" i="4"/>
  <c r="H31" i="4"/>
  <c r="E31" i="6" s="1"/>
  <c r="G31" i="4"/>
  <c r="E31" i="5" s="1"/>
  <c r="I30" i="4"/>
  <c r="H30" i="4"/>
  <c r="E30" i="6" s="1"/>
  <c r="G30" i="4"/>
  <c r="E30" i="5" s="1"/>
  <c r="I29" i="4"/>
  <c r="H29" i="4"/>
  <c r="E29" i="6" s="1"/>
  <c r="G29" i="4"/>
  <c r="E29" i="5" s="1"/>
  <c r="I28" i="4"/>
  <c r="H28" i="4"/>
  <c r="E28" i="6" s="1"/>
  <c r="G28" i="4"/>
  <c r="E28" i="5" s="1"/>
  <c r="I27" i="4"/>
  <c r="H27" i="4"/>
  <c r="E27" i="6" s="1"/>
  <c r="G27" i="4"/>
  <c r="E27" i="5" s="1"/>
  <c r="I26" i="4"/>
  <c r="H26" i="4"/>
  <c r="E26" i="6" s="1"/>
  <c r="G26" i="4"/>
  <c r="E26" i="5" s="1"/>
  <c r="I25" i="4"/>
  <c r="H25" i="4"/>
  <c r="E25" i="6" s="1"/>
  <c r="G25" i="4"/>
  <c r="E25" i="5" s="1"/>
  <c r="I24" i="4"/>
  <c r="H24" i="4"/>
  <c r="E24" i="6" s="1"/>
  <c r="G24" i="4"/>
  <c r="E24" i="5" s="1"/>
  <c r="I23" i="4"/>
  <c r="H23" i="4"/>
  <c r="E23" i="6" s="1"/>
  <c r="G23" i="4"/>
  <c r="E23" i="5" s="1"/>
  <c r="I22" i="4"/>
  <c r="H22" i="4"/>
  <c r="E22" i="6" s="1"/>
  <c r="G22" i="4"/>
  <c r="E22" i="5" s="1"/>
  <c r="I21" i="4"/>
  <c r="H21" i="4"/>
  <c r="E21" i="6" s="1"/>
  <c r="G21" i="4"/>
  <c r="E21" i="5" s="1"/>
  <c r="I20" i="4"/>
  <c r="H20" i="4"/>
  <c r="E20" i="6" s="1"/>
  <c r="G20" i="4"/>
  <c r="E20" i="5" s="1"/>
  <c r="I19" i="4"/>
  <c r="H19" i="4"/>
  <c r="E19" i="6" s="1"/>
  <c r="G19" i="4"/>
  <c r="E19" i="5" s="1"/>
  <c r="I18" i="4"/>
  <c r="H18" i="4"/>
  <c r="E18" i="6" s="1"/>
  <c r="G18" i="4"/>
  <c r="E18" i="5" s="1"/>
  <c r="I17" i="4"/>
  <c r="H17" i="4"/>
  <c r="E17" i="6" s="1"/>
  <c r="G17" i="4"/>
  <c r="E17" i="5" s="1"/>
  <c r="I16" i="4"/>
  <c r="H16" i="4"/>
  <c r="E16" i="6" s="1"/>
  <c r="G16" i="4"/>
  <c r="E16" i="5" s="1"/>
  <c r="I15" i="4"/>
  <c r="H15" i="4"/>
  <c r="E15" i="6" s="1"/>
  <c r="G15" i="4"/>
  <c r="E15" i="5" s="1"/>
  <c r="I14" i="4"/>
  <c r="H14" i="4"/>
  <c r="E14" i="6" s="1"/>
  <c r="G14" i="4"/>
  <c r="E14" i="5" s="1"/>
  <c r="I13" i="4"/>
  <c r="H13" i="4"/>
  <c r="E13" i="6" s="1"/>
  <c r="G13" i="4"/>
  <c r="E13" i="5" s="1"/>
  <c r="I12" i="4"/>
  <c r="H12" i="4"/>
  <c r="E12" i="6" s="1"/>
  <c r="G12" i="4"/>
  <c r="E12" i="5" s="1"/>
  <c r="I11" i="4"/>
  <c r="H11" i="4"/>
  <c r="E11" i="6" s="1"/>
  <c r="G11" i="4"/>
  <c r="E11" i="5" s="1"/>
  <c r="I10" i="4"/>
  <c r="H10" i="4"/>
  <c r="E10" i="6" s="1"/>
  <c r="G10" i="4"/>
  <c r="E10" i="5" s="1"/>
  <c r="I9" i="4"/>
  <c r="H9" i="4"/>
  <c r="E9" i="6" s="1"/>
  <c r="G9" i="4"/>
  <c r="E9" i="5" s="1"/>
  <c r="I8" i="4"/>
  <c r="H8" i="4"/>
  <c r="E8" i="6" s="1"/>
  <c r="G8" i="4"/>
  <c r="E8" i="5" s="1"/>
  <c r="I7" i="4"/>
  <c r="H7" i="4"/>
  <c r="E7" i="6" s="1"/>
  <c r="G7" i="4"/>
  <c r="E7" i="5" s="1"/>
  <c r="I6" i="4"/>
  <c r="H6" i="4"/>
  <c r="E6" i="6" s="1"/>
  <c r="G6" i="4"/>
  <c r="E6" i="5" s="1"/>
  <c r="I5" i="4"/>
  <c r="H5" i="4"/>
  <c r="E5" i="6" s="1"/>
  <c r="G5" i="4"/>
  <c r="E5" i="5" s="1"/>
  <c r="D27" i="3"/>
  <c r="D26" i="3"/>
  <c r="D25" i="3"/>
  <c r="D24" i="3"/>
  <c r="D23" i="3"/>
  <c r="D22" i="3"/>
  <c r="D21" i="3"/>
  <c r="D20" i="3"/>
  <c r="D19" i="3"/>
  <c r="D18" i="3"/>
  <c r="D17" i="3"/>
  <c r="D16" i="3"/>
  <c r="D15" i="3"/>
  <c r="D14" i="3"/>
  <c r="D13" i="3"/>
  <c r="D12" i="3"/>
  <c r="D11" i="3"/>
  <c r="D10" i="3"/>
  <c r="D9" i="3"/>
  <c r="D8" i="3"/>
  <c r="D7" i="3"/>
  <c r="D6" i="3"/>
  <c r="D5" i="3"/>
  <c r="D4" i="3"/>
  <c r="B22" i="1"/>
  <c r="B21" i="1"/>
  <c r="C20" i="1"/>
  <c r="B20" i="1"/>
  <c r="B19" i="1"/>
  <c r="F8" i="1"/>
  <c r="D8" i="1"/>
  <c r="F7" i="1"/>
  <c r="D7" i="1"/>
  <c r="F6" i="1"/>
  <c r="D6" i="1"/>
  <c r="E81" i="5" l="1"/>
  <c r="G109" i="4"/>
  <c r="D12" i="1" s="1"/>
  <c r="C19" i="1" s="1"/>
  <c r="E80" i="6"/>
  <c r="H109" i="4"/>
  <c r="D13" i="1" s="1"/>
  <c r="I79" i="6"/>
  <c r="I78" i="6"/>
  <c r="I77" i="6"/>
  <c r="I76" i="6"/>
  <c r="I75" i="6"/>
  <c r="I74" i="6"/>
  <c r="I73" i="6"/>
  <c r="I72" i="6"/>
  <c r="I71" i="6"/>
  <c r="I70" i="6"/>
  <c r="I69" i="6"/>
  <c r="I68" i="6"/>
  <c r="I67" i="6"/>
  <c r="I66" i="6"/>
  <c r="I65" i="6"/>
  <c r="I64" i="6"/>
  <c r="I63" i="6"/>
  <c r="I62" i="6"/>
  <c r="I61" i="6"/>
  <c r="I60" i="6"/>
  <c r="I59" i="6"/>
  <c r="I58" i="6"/>
  <c r="I57" i="6"/>
  <c r="I56" i="6"/>
  <c r="I55" i="6"/>
  <c r="I54" i="6"/>
  <c r="I53" i="6"/>
  <c r="I52" i="6"/>
  <c r="I51" i="6"/>
  <c r="I50" i="6"/>
  <c r="I49" i="6"/>
  <c r="I48" i="6"/>
  <c r="I47" i="6"/>
  <c r="I46" i="6"/>
  <c r="I45" i="6"/>
  <c r="I44" i="6"/>
  <c r="I43" i="6"/>
  <c r="I42" i="6"/>
  <c r="I41" i="6"/>
  <c r="I40" i="6"/>
  <c r="I39" i="6"/>
  <c r="I38" i="6"/>
  <c r="I37" i="6"/>
  <c r="I36" i="6"/>
  <c r="I35" i="6"/>
  <c r="I34" i="6"/>
  <c r="I33" i="6"/>
  <c r="I32" i="6"/>
  <c r="I31" i="6"/>
  <c r="I30" i="6"/>
  <c r="I29" i="6"/>
  <c r="I28" i="6"/>
  <c r="I27" i="6"/>
  <c r="I26" i="6"/>
  <c r="I25" i="6"/>
  <c r="I24" i="6"/>
  <c r="I23" i="6"/>
  <c r="I22" i="6"/>
  <c r="I21" i="6"/>
  <c r="I20" i="6"/>
  <c r="I19" i="6"/>
  <c r="I18" i="6"/>
  <c r="I17" i="6"/>
  <c r="I16" i="6"/>
  <c r="H15" i="6"/>
  <c r="I15" i="6" s="1"/>
  <c r="I14" i="6"/>
  <c r="I13" i="6"/>
  <c r="I12" i="6"/>
  <c r="I11" i="6"/>
  <c r="I10" i="6"/>
  <c r="I9" i="6"/>
  <c r="I8" i="6"/>
  <c r="I7" i="6"/>
  <c r="I6" i="6"/>
  <c r="I5" i="6"/>
  <c r="H5" i="5"/>
  <c r="I5" i="5" s="1"/>
  <c r="H88" i="5"/>
  <c r="I88" i="5" s="1"/>
  <c r="I80" i="5"/>
  <c r="I79" i="5"/>
  <c r="I78" i="5"/>
  <c r="I77" i="5"/>
  <c r="I76" i="5"/>
  <c r="I75" i="5"/>
  <c r="I74" i="5"/>
  <c r="I73" i="5"/>
  <c r="I72" i="5"/>
  <c r="I71" i="5"/>
  <c r="I70" i="5"/>
  <c r="I69" i="5"/>
  <c r="I68" i="5"/>
  <c r="I67" i="5"/>
  <c r="I66" i="5"/>
  <c r="I65" i="5"/>
  <c r="I64" i="5"/>
  <c r="I63" i="5"/>
  <c r="I62" i="5"/>
  <c r="I61" i="5"/>
  <c r="I60" i="5"/>
  <c r="I59" i="5"/>
  <c r="I58" i="5"/>
  <c r="I57" i="5"/>
  <c r="I56" i="5"/>
  <c r="I55" i="5"/>
  <c r="I54" i="5"/>
  <c r="I53" i="5"/>
  <c r="I52" i="5"/>
  <c r="I51" i="5"/>
  <c r="I50" i="5"/>
  <c r="I49" i="5"/>
  <c r="I48" i="5"/>
  <c r="I47" i="5"/>
  <c r="I46" i="5"/>
  <c r="I45" i="5"/>
  <c r="I44" i="5"/>
  <c r="I43" i="5"/>
  <c r="I42" i="5"/>
  <c r="I41" i="5"/>
  <c r="I40" i="5"/>
  <c r="I39" i="5"/>
  <c r="I38" i="5"/>
  <c r="I37" i="5"/>
  <c r="I36" i="5"/>
  <c r="I35" i="5"/>
  <c r="I34" i="5"/>
  <c r="I33" i="5"/>
  <c r="I32" i="5"/>
  <c r="I31" i="5"/>
  <c r="I30" i="5"/>
  <c r="I29" i="5"/>
  <c r="I28" i="5"/>
  <c r="I27" i="5"/>
  <c r="I26" i="5"/>
  <c r="I25" i="5"/>
  <c r="I24" i="5"/>
  <c r="I23" i="5"/>
  <c r="I22" i="5"/>
  <c r="I21" i="5"/>
  <c r="I20" i="5"/>
  <c r="I19" i="5"/>
  <c r="I18" i="5"/>
  <c r="I17" i="5"/>
  <c r="I16" i="5"/>
  <c r="I15" i="5"/>
  <c r="I14" i="5"/>
  <c r="I13" i="5"/>
  <c r="I12" i="5"/>
  <c r="I11" i="5"/>
  <c r="I10" i="5"/>
  <c r="I9" i="5"/>
  <c r="I8" i="5"/>
  <c r="I7" i="5"/>
  <c r="H6" i="5"/>
  <c r="I6" i="5" s="1"/>
  <c r="I81" i="5" l="1"/>
  <c r="E109" i="5"/>
  <c r="E109" i="6"/>
  <c r="I80" i="6"/>
  <c r="I109" i="6" s="1"/>
  <c r="E13" i="1" s="1"/>
  <c r="I109" i="5"/>
  <c r="E12" i="1" s="1"/>
  <c r="F12" i="1" l="1"/>
  <c r="G12" i="1"/>
  <c r="E15" i="1"/>
  <c r="C21" i="1"/>
  <c r="F13" i="1"/>
  <c r="G13" i="1"/>
  <c r="G15" i="1" l="1"/>
  <c r="C22" i="1"/>
  <c r="B23" i="1" s="1"/>
  <c r="F15" i="1"/>
</calcChain>
</file>

<file path=xl/sharedStrings.xml><?xml version="1.0" encoding="utf-8"?>
<sst xmlns="http://schemas.openxmlformats.org/spreadsheetml/2006/main" count="390" uniqueCount="211">
  <si>
    <t>ASSISTANT MANAGER EXEMPTION REVIEW, OCTOBER 2026</t>
  </si>
  <si>
    <t>Voss-Kettering Supply Company, stores 14, 22 and 31. Look-back of 104 workweeks ending September 27, 2026, two years from the demand letter of October 2, 2026, worked under policies 4.6 through 4.9 and the badge record.</t>
  </si>
  <si>
    <t>CLASSIFICATION BY ASSISTANT MANAGER</t>
  </si>
  <si>
    <t>ASSISTANT MANAGER</t>
  </si>
  <si>
    <t>STORE</t>
  </si>
  <si>
    <t>WEEKLY SALARY NOW</t>
  </si>
  <si>
    <t>SALARY TEST</t>
  </si>
  <si>
    <t>FULL-TIME EQUIVALENTS DIRECTED</t>
  </si>
  <si>
    <t>DUTIES TEST</t>
  </si>
  <si>
    <t>CLASSIFICATION</t>
  </si>
  <si>
    <t>GROUND</t>
  </si>
  <si>
    <t>Kendra Voight</t>
  </si>
  <si>
    <t>Non-exempt</t>
  </si>
  <si>
    <t>Directs 1.5 full-time equivalents at store 14 against the two required; hiring runs through the district manager</t>
  </si>
  <si>
    <t>Marcus Dellinger</t>
  </si>
  <si>
    <t>Weekly salary of $675.00 is below the $684.00 salary test; directs 2.5 full-time equivalents</t>
  </si>
  <si>
    <t>Priya Natarajan</t>
  </si>
  <si>
    <t>Exempt</t>
  </si>
  <si>
    <t>Salary above the test; directs 3 full-time and 2 part-time associates and her hiring recommendations are followed</t>
  </si>
  <si>
    <t>LOOK-BACK AND BACK OVERTIME</t>
  </si>
  <si>
    <t>WORKWEEKS WORKED</t>
  </si>
  <si>
    <t>WORKWEEKS OVER 40 HOURS</t>
  </si>
  <si>
    <t>OVERTIME HOURS</t>
  </si>
  <si>
    <t>BACK OVERTIME OWED</t>
  </si>
  <si>
    <t>LIQUIDATED DAMAGES EXPOSURE</t>
  </si>
  <si>
    <t>TOTAL EXPOSURE, TWO YEARS</t>
  </si>
  <si>
    <t>Company total</t>
  </si>
  <si>
    <t>THE DEMAND LETTER AGAINST THE REVIEW, KENDRA VOIGHT</t>
  </si>
  <si>
    <t>ITEM</t>
  </si>
  <si>
    <t>DEMAND LETTER</t>
  </si>
  <si>
    <t>THIS REVIEW</t>
  </si>
  <si>
    <t>Overtime hours per week worked</t>
  </si>
  <si>
    <t>Regular rate, before bonus</t>
  </si>
  <si>
    <t>Unpaid overtime, two years</t>
  </si>
  <si>
    <t>With liquidated damages</t>
  </si>
  <si>
    <t>Difference, letter less review, with liquidated damages</t>
  </si>
  <si>
    <t>Tests, policy parameters and the demand letter's figures, with sources</t>
  </si>
  <si>
    <t>PARAMETER</t>
  </si>
  <si>
    <t>VALUE</t>
  </si>
  <si>
    <t>SOURCE</t>
  </si>
  <si>
    <t>Salary test, minimum weekly salary</t>
  </si>
  <si>
    <t>Policy 4.6</t>
  </si>
  <si>
    <t>Duties test, full-time employees directed</t>
  </si>
  <si>
    <t>Part-time associate as a share of full time</t>
  </si>
  <si>
    <t>Policy 4.6, two half-time employees count as one</t>
  </si>
  <si>
    <t>Hours in the standard workweek the salary covers</t>
  </si>
  <si>
    <t>Policy 4.7</t>
  </si>
  <si>
    <t>Overtime multiplier</t>
  </si>
  <si>
    <t>Workweeks per quarter for bonus allocation</t>
  </si>
  <si>
    <t>Policy 4.8</t>
  </si>
  <si>
    <t>Look-back, workweeks</t>
  </si>
  <si>
    <t>Wage and hour reference, two years from the claim of October 2, 2026</t>
  </si>
  <si>
    <t>Demand letter, weekly salary used</t>
  </si>
  <si>
    <t>Demand letter of October 2, 2026</t>
  </si>
  <si>
    <t>Demand letter, regular rate</t>
  </si>
  <si>
    <t>Demand letter, overtime hours per week</t>
  </si>
  <si>
    <t>Demand letter, unpaid overtime claimed</t>
  </si>
  <si>
    <t>Demand letter, total demand with liquidated damages</t>
  </si>
  <si>
    <t>Weekly salary in effect by week, from the Salary History tab of payroll_history_am.xlsx</t>
  </si>
  <si>
    <t>EMPLOYEE</t>
  </si>
  <si>
    <t>WEEKLY SALARY BEFORE THE CHANGE</t>
  </si>
  <si>
    <t>WEEKLY SALARY FROM THE CHANGE</t>
  </si>
  <si>
    <t>FIRST WEEK ENDING AT THE NEW SALARY</t>
  </si>
  <si>
    <t>WEEK INDEX OF THE CHANGE</t>
  </si>
  <si>
    <t>01/12/2025</t>
  </si>
  <si>
    <t>07/06/2025</t>
  </si>
  <si>
    <t>Quarterly store performance bonuses, from the Bonus History tab of payroll_history_am.xlsx</t>
  </si>
  <si>
    <t>QUARTER</t>
  </si>
  <si>
    <t>BONUS PAID</t>
  </si>
  <si>
    <t>WEEKLY SHARE OVER 13 WORKWEEKS</t>
  </si>
  <si>
    <t>Q4 2024</t>
  </si>
  <si>
    <t>Q1 2025</t>
  </si>
  <si>
    <t>Q2 2025</t>
  </si>
  <si>
    <t>Q3 2025</t>
  </si>
  <si>
    <t>Q4 2025</t>
  </si>
  <si>
    <t>Q1 2026</t>
  </si>
  <si>
    <t>Q2 2026</t>
  </si>
  <si>
    <t>Q3 2026</t>
  </si>
  <si>
    <t>Weekly badge hours, workweeks ending October 6, 2024 through September 27, 2026, from badge_hours_weekly_2024_2026.csv</t>
  </si>
  <si>
    <t>The three side-by-side blocks of the badge file read back in block order into one column of 104 workweeks. A week with no badge hours is paid time off and is not a workweek worked (policy 4.9).</t>
  </si>
  <si>
    <t>WEEK INDEX</t>
  </si>
  <si>
    <t>WEEK ENDING</t>
  </si>
  <si>
    <t>VOIGHT HOURS</t>
  </si>
  <si>
    <t>DELLINGER HOURS</t>
  </si>
  <si>
    <t>NATARAJAN HOURS</t>
  </si>
  <si>
    <t>VOIGHT OVERTIME HOURS</t>
  </si>
  <si>
    <t>DELLINGER OVERTIME HOURS</t>
  </si>
  <si>
    <t>NATARAJAN OVERTIME HOURS</t>
  </si>
  <si>
    <t>10/06/2024</t>
  </si>
  <si>
    <t>10/13/2024</t>
  </si>
  <si>
    <t>10/20/2024</t>
  </si>
  <si>
    <t>10/27/2024</t>
  </si>
  <si>
    <t>11/03/2024</t>
  </si>
  <si>
    <t>11/10/2024</t>
  </si>
  <si>
    <t>11/17/2024</t>
  </si>
  <si>
    <t>11/24/2024</t>
  </si>
  <si>
    <t>12/01/2024</t>
  </si>
  <si>
    <t>12/08/2024</t>
  </si>
  <si>
    <t>12/15/2024</t>
  </si>
  <si>
    <t>12/22/2024</t>
  </si>
  <si>
    <t>12/29/2024</t>
  </si>
  <si>
    <t>01/05/2025</t>
  </si>
  <si>
    <t>01/19/2025</t>
  </si>
  <si>
    <t>01/26/2025</t>
  </si>
  <si>
    <t>02/02/2025</t>
  </si>
  <si>
    <t>02/09/2025</t>
  </si>
  <si>
    <t>02/16/2025</t>
  </si>
  <si>
    <t>02/23/2025</t>
  </si>
  <si>
    <t>03/02/2025</t>
  </si>
  <si>
    <t>03/09/2025</t>
  </si>
  <si>
    <t>03/16/2025</t>
  </si>
  <si>
    <t>03/23/2025</t>
  </si>
  <si>
    <t>03/30/2025</t>
  </si>
  <si>
    <t>04/06/2025</t>
  </si>
  <si>
    <t>04/13/2025</t>
  </si>
  <si>
    <t>04/20/2025</t>
  </si>
  <si>
    <t>04/27/2025</t>
  </si>
  <si>
    <t>05/04/2025</t>
  </si>
  <si>
    <t>05/11/2025</t>
  </si>
  <si>
    <t>05/18/2025</t>
  </si>
  <si>
    <t>05/25/2025</t>
  </si>
  <si>
    <t>06/01/2025</t>
  </si>
  <si>
    <t>06/08/2025</t>
  </si>
  <si>
    <t>06/15/2025</t>
  </si>
  <si>
    <t>06/22/2025</t>
  </si>
  <si>
    <t>06/29/2025</t>
  </si>
  <si>
    <t>07/13/2025</t>
  </si>
  <si>
    <t>07/20/2025</t>
  </si>
  <si>
    <t>07/27/2025</t>
  </si>
  <si>
    <t>08/03/2025</t>
  </si>
  <si>
    <t>08/10/2025</t>
  </si>
  <si>
    <t>08/17/2025</t>
  </si>
  <si>
    <t>08/24/2025</t>
  </si>
  <si>
    <t>08/31/2025</t>
  </si>
  <si>
    <t>09/07/2025</t>
  </si>
  <si>
    <t>09/14/2025</t>
  </si>
  <si>
    <t>09/21/2025</t>
  </si>
  <si>
    <t>09/28/2025</t>
  </si>
  <si>
    <t>10/05/2025</t>
  </si>
  <si>
    <t>10/12/2025</t>
  </si>
  <si>
    <t>10/19/2025</t>
  </si>
  <si>
    <t>10/26/2025</t>
  </si>
  <si>
    <t>11/02/2025</t>
  </si>
  <si>
    <t>11/09/2025</t>
  </si>
  <si>
    <t>11/16/2025</t>
  </si>
  <si>
    <t>11/23/2025</t>
  </si>
  <si>
    <t>11/30/2025</t>
  </si>
  <si>
    <t>12/07/2025</t>
  </si>
  <si>
    <t>12/14/2025</t>
  </si>
  <si>
    <t>12/21/2025</t>
  </si>
  <si>
    <t>12/28/2025</t>
  </si>
  <si>
    <t>01/04/2026</t>
  </si>
  <si>
    <t>01/11/2026</t>
  </si>
  <si>
    <t>01/18/2026</t>
  </si>
  <si>
    <t>01/25/2026</t>
  </si>
  <si>
    <t>02/01/2026</t>
  </si>
  <si>
    <t>02/08/2026</t>
  </si>
  <si>
    <t>02/15/2026</t>
  </si>
  <si>
    <t>02/22/2026</t>
  </si>
  <si>
    <t>03/01/2026</t>
  </si>
  <si>
    <t>03/08/2026</t>
  </si>
  <si>
    <t>03/15/2026</t>
  </si>
  <si>
    <t>03/22/2026</t>
  </si>
  <si>
    <t>03/29/2026</t>
  </si>
  <si>
    <t>04/05/2026</t>
  </si>
  <si>
    <t>04/12/2026</t>
  </si>
  <si>
    <t>04/19/2026</t>
  </si>
  <si>
    <t>04/26/2026</t>
  </si>
  <si>
    <t>05/03/2026</t>
  </si>
  <si>
    <t>05/10/2026</t>
  </si>
  <si>
    <t>05/17/2026</t>
  </si>
  <si>
    <t>05/24/2026</t>
  </si>
  <si>
    <t>05/31/2026</t>
  </si>
  <si>
    <t>06/07/2026</t>
  </si>
  <si>
    <t>06/14/2026</t>
  </si>
  <si>
    <t>06/21/2026</t>
  </si>
  <si>
    <t>06/28/2026</t>
  </si>
  <si>
    <t>07/05/2026</t>
  </si>
  <si>
    <t>07/12/2026</t>
  </si>
  <si>
    <t>07/19/2026</t>
  </si>
  <si>
    <t>07/26/2026</t>
  </si>
  <si>
    <t>08/02/2026</t>
  </si>
  <si>
    <t>08/09/2026</t>
  </si>
  <si>
    <t>08/16/2026</t>
  </si>
  <si>
    <t>08/23/2026</t>
  </si>
  <si>
    <t>08/30/2026</t>
  </si>
  <si>
    <t>09/06/2026</t>
  </si>
  <si>
    <t>09/13/2026</t>
  </si>
  <si>
    <t>09/20/2026</t>
  </si>
  <si>
    <t>09/27/2026</t>
  </si>
  <si>
    <t>Totals</t>
  </si>
  <si>
    <t>Workweeks worked (badge hours above zero)</t>
  </si>
  <si>
    <t>Workweeks over 40 hours</t>
  </si>
  <si>
    <t>Kendra Voight, store 14: back overtime week by week, October 6, 2024 through September 27, 2026</t>
  </si>
  <si>
    <t>Regular rate for the week is the weekly salary in effect plus the week's equal share of the quarterly bonus, divided by 40, rounded to the cent; overtime owed is one and one-half times that rate on the badge hours over 40, rounded to the cent per week (policy 4.7 and policy 4.8). A week with no badge hours is paid time off.</t>
  </si>
  <si>
    <t>BADGE HOURS</t>
  </si>
  <si>
    <t>WEEKLY SALARY</t>
  </si>
  <si>
    <t>BONUS SHARE</t>
  </si>
  <si>
    <t>REGULAR RATE</t>
  </si>
  <si>
    <t>OVERTIME OWED</t>
  </si>
  <si>
    <t>Marcus Dellinger, store 22: back overtime week by week, October 6, 2024 through September 27, 2026</t>
  </si>
  <si>
    <t>To: Delia Okonjo, Vice President of Human Resources and General Counsel</t>
  </si>
  <si>
    <t>Date: October 14, 2026</t>
  </si>
  <si>
    <t>Re: Assistant manager exemption review and the Voight demand letter</t>
  </si>
  <si>
    <t>Two of the three assistant managers are misclassified, and the letter is right about Kendra Voight. Her salary of $800.00 a week clears the $684.00 salary test, but store 14 has carried one full-time and one part-time associate beside her for three of the four half-years in the look-back, 1.5 full-time equivalents against the two the duties test requires, and hiring at store 14 runs through the district manager. She is non-exempt on the duties test.</t>
  </si>
  <si>
    <t>Marcus Dellinger at store 22 fails the salary test outright. His weekly salary has been $650.00 and, since June 30, 2025, $675.00, both below the $684.00 the test requires, so his duties do not save the classification even though store 22 gives him 2.5 full-time equivalents to direct. Priya Natarajan at store 31 meets both tests, at $850.00 a week with three full-time and two part-time associates whose hiring follows her recommendations, and her classification holds.</t>
  </si>
  <si>
    <t>Voight is owed $32,685.45 in back overtime for the 104-week look-back, on 1,054.08 overtime hours over 101 workweeks worked, computed week by week under policy 4.7 with the quarterly bonuses allocated across their thirteen workweeks under policy 4.8. Dellinger is owed $7,224.63 on 279.08 overtime hours, with 82 of his 102 workweeks over 40 hours. The company's two-year back overtime is $39,910.08, and with liquidated damages equal to it the exposure is $79,820.16.</t>
  </si>
  <si>
    <t>The letter overstates Voight's claim on hours and understates it on the rate. It assumes twelve overtime hours every week, while the badge record averages 10.44 overtime hours over the weeks she worked, with three weeks of paid time off at no hours. Its $37,440.00 of unpaid overtime compares with $32,685.45 here, and its $74,880.00 demand with $65,370.90, a difference of $9,509.10. The letter leaves the bonuses out of the regular rate, and our own policy puts them in. The rate here is therefore above the letter's $20.00 in every quarter she earned a bonus.</t>
  </si>
  <si>
    <t>What is worse than the letter says is Dellinger. The letter covers one employee. Policy 4.6 and the wage and hour reference require the review to cover every assistant manager whose classification rests on the same facts, and Dellinger's salary has been below the test since he was hired. An answer that reclassifies Voight and leaves Dellinger as he is invites the second claim.</t>
  </si>
  <si>
    <t>The letter also says willfulness, pointing at the rewrite of the position description. The revision notes in the descriptions file say Human Resources never received the staffing confirmations for stores 14 and 22 and did not follow up, which is the fact a third-year claim would rest on. The third year is not computed here, since the badge records pulled run from October 2024. If you want it, the October 2023 to September 2024 badge record is the pull.</t>
  </si>
  <si>
    <t>Two things the records do not settle. The badge hours are the company's best evidence under policy 4.9, but they include the time between badging in and starting work, which Voight's counsel will take as worked and which the record cannot separate. The staffing figures are half-year averages from scheduling, and store 14 reached two full-time equivalents in the Oct 2025 to Mar 2026 half-year, so whether that half-year alone could have supported the exemption is a question for you rather than for the badge record.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</si>
</sst>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quot;-&quot;"/>
    <numFmt numFmtId="165" formatCode="0.0"/>
  </numFmts>
  <fonts count="4" x14ac:knownFonts="1">
    <font>
      <sz val="11"/>
      <color theme="1"/>
      <name val="Calibri"/>
      <family val="2"/>
      <scheme val="minor"/>
    </font>
    <font>
      <b/>
      <sz val="12"/>
      <name val="Arial"/>
      <family val="2"/>
    </font>
    <font>
      <b/>
      <sz val="10"/>
      <name val="Arial"/>
      <family val="2"/>
    </font>
    <font>
      <sz val="10"/>
      <name val="Arial"/>
      <family val="2"/>
    </font>
  </fonts>
  <fills count="4">
    <fill>
      <patternFill patternType="none"/>
    </fill>
    <fill>
      <patternFill patternType="gray125"/>
    </fill>
    <fill>
      <patternFill patternType="solid">
        <fgColor rgb="FFD9D9D9"/>
      </patternFill>
    </fill>
    <fill>
      <patternFill patternType="solid">
        <fgColor rgb="FFFFF2CC"/>
      </patternFill>
    </fill>
  </fills>
  <borders count="2">
    <border>
      <left/>
      <right/>
      <top/>
      <bottom/>
      <diagonal/>
    </border>
    <border>
      <left/>
      <right/>
      <top/>
      <bottom style="thin">
        <color rgb="FF808080"/>
      </bottom>
      <diagonal/>
    </border>
  </borders>
  <cellStyleXfs count="1">
    <xf numFmtId="0" fontId="0" fillId="0" borderId="0"/>
  </cellStyleXfs>
  <cellXfs count="14">
    <xf numFmtId="0" fontId="0" fillId="0" borderId="0" xfId="0"/>
    <xf numFmtId="0" fontId="1" fillId="0" borderId="0" xfId="0" applyFont="1"/>
    <xf numFmtId="0" fontId="3" fillId="0" borderId="0" xfId="0" applyFont="1"/>
    <xf numFmtId="0" fontId="2" fillId="2" borderId="0" xfId="0" applyFont="1" applyFill="1"/>
    <xf numFmtId="0" fontId="2" fillId="2" borderId="1" xfId="0" applyFont="1" applyFill="1" applyBorder="1"/>
    <xf numFmtId="164" fontId="3" fillId="0" borderId="0" xfId="0" applyNumberFormat="1" applyFont="1"/>
    <xf numFmtId="165" fontId="3" fillId="0" borderId="0" xfId="0" applyNumberFormat="1" applyFont="1"/>
    <xf numFmtId="0" fontId="2" fillId="0" borderId="0" xfId="0" applyFont="1"/>
    <xf numFmtId="0" fontId="3" fillId="0" borderId="0" xfId="0" applyFont="1" applyAlignment="1">
      <alignment vertical="top" wrapText="1"/>
    </xf>
    <xf numFmtId="2" fontId="3" fillId="0" borderId="0" xfId="0" applyNumberFormat="1" applyFont="1"/>
    <xf numFmtId="164" fontId="2" fillId="0" borderId="0" xfId="0" applyNumberFormat="1" applyFont="1"/>
    <xf numFmtId="164" fontId="2" fillId="3" borderId="0" xfId="0" applyNumberFormat="1" applyFont="1" applyFill="1"/>
    <xf numFmtId="1" fontId="3" fillId="0" borderId="0" xfId="0" applyNumberFormat="1" applyFont="1"/>
    <xf numFmtId="2"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
  <sheetViews>
    <sheetView tabSelected="1" workbookViewId="0"/>
  </sheetViews>
  <sheetFormatPr baseColWidth="10" defaultColWidth="8.83203125" defaultRowHeight="15" x14ac:dyDescent="0.2"/>
  <cols>
    <col min="1" max="1" width="30" customWidth="1"/>
    <col min="2" max="2" width="16" customWidth="1"/>
    <col min="3" max="3" width="18" customWidth="1"/>
    <col min="4" max="4" width="14" customWidth="1"/>
    <col min="5" max="5" width="22" customWidth="1"/>
    <col min="6" max="6" width="24" customWidth="1"/>
    <col min="7" max="7" width="22" customWidth="1"/>
    <col min="8" max="8" width="70" customWidth="1"/>
  </cols>
  <sheetData>
    <row r="1" spans="1:8" ht="16" x14ac:dyDescent="0.2">
      <c r="A1" s="1" t="s">
        <v>0</v>
      </c>
    </row>
    <row r="2" spans="1:8" x14ac:dyDescent="0.2">
      <c r="A2" s="2" t="s">
        <v>1</v>
      </c>
    </row>
    <row r="4" spans="1:8" x14ac:dyDescent="0.2">
      <c r="A4" s="3" t="s">
        <v>2</v>
      </c>
    </row>
    <row r="5" spans="1:8" x14ac:dyDescent="0.2">
      <c r="A5" s="4" t="s">
        <v>3</v>
      </c>
      <c r="B5" s="4" t="s">
        <v>4</v>
      </c>
      <c r="C5" s="4" t="s">
        <v>5</v>
      </c>
      <c r="D5" s="4" t="s">
        <v>6</v>
      </c>
      <c r="E5" s="4" t="s">
        <v>7</v>
      </c>
      <c r="F5" s="4" t="s">
        <v>8</v>
      </c>
      <c r="G5" s="4" t="s">
        <v>9</v>
      </c>
      <c r="H5" s="4" t="s">
        <v>10</v>
      </c>
    </row>
    <row r="6" spans="1:8" ht="28" x14ac:dyDescent="0.2">
      <c r="A6" s="2" t="s">
        <v>11</v>
      </c>
      <c r="B6" s="2">
        <v>14</v>
      </c>
      <c r="C6" s="5">
        <v>800</v>
      </c>
      <c r="D6" s="2" t="str">
        <f>IF(C6&gt;=Parameters!$B$4,"Met","Not met")</f>
        <v>Met</v>
      </c>
      <c r="E6" s="6">
        <v>1.5</v>
      </c>
      <c r="F6" s="2" t="str">
        <f>IF(E6&gt;=Parameters!$B$5,"Met","Not met")</f>
        <v>Not met</v>
      </c>
      <c r="G6" s="7" t="s">
        <v>12</v>
      </c>
      <c r="H6" s="8" t="s">
        <v>13</v>
      </c>
    </row>
    <row r="7" spans="1:8" ht="28" x14ac:dyDescent="0.2">
      <c r="A7" s="2" t="s">
        <v>14</v>
      </c>
      <c r="B7" s="2">
        <v>22</v>
      </c>
      <c r="C7" s="5">
        <v>675</v>
      </c>
      <c r="D7" s="2" t="str">
        <f>IF(C7&gt;=Parameters!$B$4,"Met","Not met")</f>
        <v>Not met</v>
      </c>
      <c r="E7" s="6">
        <v>2.5</v>
      </c>
      <c r="F7" s="2" t="str">
        <f>IF(E7&gt;=Parameters!$B$5,"Met","Not met")</f>
        <v>Met</v>
      </c>
      <c r="G7" s="7" t="s">
        <v>12</v>
      </c>
      <c r="H7" s="8" t="s">
        <v>15</v>
      </c>
    </row>
    <row r="8" spans="1:8" ht="28" x14ac:dyDescent="0.2">
      <c r="A8" s="2" t="s">
        <v>16</v>
      </c>
      <c r="B8" s="2">
        <v>31</v>
      </c>
      <c r="C8" s="5">
        <v>850</v>
      </c>
      <c r="D8" s="2" t="str">
        <f>IF(C8&gt;=Parameters!$B$4,"Met","Not met")</f>
        <v>Met</v>
      </c>
      <c r="E8" s="6">
        <v>4</v>
      </c>
      <c r="F8" s="2" t="str">
        <f>IF(E8&gt;=Parameters!$B$5,"Met","Not met")</f>
        <v>Met</v>
      </c>
      <c r="G8" s="7" t="s">
        <v>17</v>
      </c>
      <c r="H8" s="8" t="s">
        <v>18</v>
      </c>
    </row>
    <row r="10" spans="1:8" x14ac:dyDescent="0.2">
      <c r="A10" s="3" t="s">
        <v>19</v>
      </c>
    </row>
    <row r="11" spans="1:8" x14ac:dyDescent="0.2">
      <c r="A11" s="4" t="s">
        <v>3</v>
      </c>
      <c r="B11" s="4" t="s">
        <v>20</v>
      </c>
      <c r="C11" s="4" t="s">
        <v>21</v>
      </c>
      <c r="D11" s="4" t="s">
        <v>22</v>
      </c>
      <c r="E11" s="4" t="s">
        <v>23</v>
      </c>
      <c r="F11" s="4" t="s">
        <v>24</v>
      </c>
      <c r="G11" s="4" t="s">
        <v>25</v>
      </c>
    </row>
    <row r="12" spans="1:8" x14ac:dyDescent="0.2">
      <c r="A12" s="2" t="s">
        <v>11</v>
      </c>
      <c r="B12" s="2">
        <f>Hours!D110</f>
        <v>101</v>
      </c>
      <c r="C12" s="2">
        <f>Hours!D111</f>
        <v>101</v>
      </c>
      <c r="D12" s="9">
        <f>Hours!G109</f>
        <v>1054.08</v>
      </c>
      <c r="E12" s="5">
        <f>'Weekly Voight'!I109</f>
        <v>32685.45</v>
      </c>
      <c r="F12" s="5">
        <f>E12</f>
        <v>32685.45</v>
      </c>
      <c r="G12" s="5">
        <f>SUM(E12:F12)</f>
        <v>65370.9</v>
      </c>
    </row>
    <row r="13" spans="1:8" x14ac:dyDescent="0.2">
      <c r="A13" s="2" t="s">
        <v>14</v>
      </c>
      <c r="B13" s="2">
        <f>Hours!E110</f>
        <v>102</v>
      </c>
      <c r="C13" s="2">
        <f>Hours!E111</f>
        <v>82</v>
      </c>
      <c r="D13" s="9">
        <f>Hours!H109</f>
        <v>279.08</v>
      </c>
      <c r="E13" s="5">
        <f>'Weekly Dellinger'!I109</f>
        <v>7224.63</v>
      </c>
      <c r="F13" s="5">
        <f>E13</f>
        <v>7224.63</v>
      </c>
      <c r="G13" s="5">
        <f>SUM(E13:F13)</f>
        <v>14449.26</v>
      </c>
    </row>
    <row r="14" spans="1:8" x14ac:dyDescent="0.2">
      <c r="A14" s="2" t="s">
        <v>16</v>
      </c>
      <c r="B14" s="2">
        <f>Hours!F110</f>
        <v>102</v>
      </c>
      <c r="C14" s="2">
        <f>Hours!F111</f>
        <v>102</v>
      </c>
      <c r="D14" s="9">
        <f>Hours!I109</f>
        <v>674.38</v>
      </c>
      <c r="E14" s="5">
        <v>0</v>
      </c>
      <c r="F14" s="5">
        <v>0</v>
      </c>
      <c r="G14" s="5">
        <v>0</v>
      </c>
    </row>
    <row r="15" spans="1:8" x14ac:dyDescent="0.2">
      <c r="A15" s="7" t="s">
        <v>26</v>
      </c>
      <c r="E15" s="10">
        <f>SUM(E12:E14)</f>
        <v>39910.08</v>
      </c>
      <c r="F15" s="10">
        <f>SUM(F12:F14)</f>
        <v>39910.08</v>
      </c>
      <c r="G15" s="11">
        <f>SUM(G12:G14)</f>
        <v>79820.16</v>
      </c>
    </row>
    <row r="17" spans="1:7" x14ac:dyDescent="0.2">
      <c r="A17" s="3" t="s">
        <v>27</v>
      </c>
    </row>
    <row r="18" spans="1:7" x14ac:dyDescent="0.2">
      <c r="A18" s="4" t="s">
        <v>28</v>
      </c>
      <c r="B18" s="4" t="s">
        <v>29</v>
      </c>
      <c r="C18" s="4" t="s">
        <v>30</v>
      </c>
      <c r="D18" s="4"/>
      <c r="E18" s="4"/>
      <c r="F18" s="4"/>
      <c r="G18" s="4"/>
    </row>
    <row r="19" spans="1:7" x14ac:dyDescent="0.2">
      <c r="A19" s="2" t="s">
        <v>31</v>
      </c>
      <c r="B19" s="9">
        <f>Parameters!$B$13</f>
        <v>12</v>
      </c>
      <c r="C19" s="9">
        <f>ROUND(D12/B12,2)</f>
        <v>10.44</v>
      </c>
    </row>
    <row r="20" spans="1:7" x14ac:dyDescent="0.2">
      <c r="A20" s="2" t="s">
        <v>32</v>
      </c>
      <c r="B20" s="5">
        <f>Parameters!$B$12</f>
        <v>20</v>
      </c>
      <c r="C20" s="5">
        <f>ROUND(C6/Parameters!$B$7,2)</f>
        <v>20</v>
      </c>
    </row>
    <row r="21" spans="1:7" x14ac:dyDescent="0.2">
      <c r="A21" s="2" t="s">
        <v>33</v>
      </c>
      <c r="B21" s="5">
        <f>Parameters!$B$14</f>
        <v>37440</v>
      </c>
      <c r="C21" s="5">
        <f>E12</f>
        <v>32685.45</v>
      </c>
    </row>
    <row r="22" spans="1:7" x14ac:dyDescent="0.2">
      <c r="A22" s="2" t="s">
        <v>34</v>
      </c>
      <c r="B22" s="5">
        <f>Parameters!$B$15</f>
        <v>74880</v>
      </c>
      <c r="C22" s="5">
        <f>G12</f>
        <v>65370.9</v>
      </c>
    </row>
    <row r="23" spans="1:7" x14ac:dyDescent="0.2">
      <c r="A23" s="2" t="s">
        <v>35</v>
      </c>
      <c r="B23" s="5">
        <f>ROUND(B22-C22,2)</f>
        <v>9509.1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1"/>
  <sheetViews>
    <sheetView workbookViewId="0"/>
  </sheetViews>
  <sheetFormatPr baseColWidth="10" defaultColWidth="8.83203125" defaultRowHeight="15" x14ac:dyDescent="0.2"/>
  <cols>
    <col min="1" max="1" width="56" customWidth="1"/>
    <col min="2" max="3" width="22" customWidth="1"/>
    <col min="4" max="4" width="26" customWidth="1"/>
    <col min="5" max="5" width="20" customWidth="1"/>
  </cols>
  <sheetData>
    <row r="1" spans="1:3" ht="16" x14ac:dyDescent="0.2">
      <c r="A1" s="1" t="s">
        <v>36</v>
      </c>
    </row>
    <row r="3" spans="1:3" x14ac:dyDescent="0.2">
      <c r="A3" s="4" t="s">
        <v>37</v>
      </c>
      <c r="B3" s="4" t="s">
        <v>38</v>
      </c>
      <c r="C3" s="4" t="s">
        <v>39</v>
      </c>
    </row>
    <row r="4" spans="1:3" x14ac:dyDescent="0.2">
      <c r="A4" s="2" t="s">
        <v>40</v>
      </c>
      <c r="B4" s="5">
        <v>684</v>
      </c>
      <c r="C4" s="2" t="s">
        <v>41</v>
      </c>
    </row>
    <row r="5" spans="1:3" x14ac:dyDescent="0.2">
      <c r="A5" s="2" t="s">
        <v>42</v>
      </c>
      <c r="B5" s="12">
        <v>2</v>
      </c>
      <c r="C5" s="2" t="s">
        <v>41</v>
      </c>
    </row>
    <row r="6" spans="1:3" x14ac:dyDescent="0.2">
      <c r="A6" s="2" t="s">
        <v>43</v>
      </c>
      <c r="B6" s="6">
        <v>0.5</v>
      </c>
      <c r="C6" s="2" t="s">
        <v>44</v>
      </c>
    </row>
    <row r="7" spans="1:3" x14ac:dyDescent="0.2">
      <c r="A7" s="2" t="s">
        <v>45</v>
      </c>
      <c r="B7" s="12">
        <v>40</v>
      </c>
      <c r="C7" s="2" t="s">
        <v>46</v>
      </c>
    </row>
    <row r="8" spans="1:3" x14ac:dyDescent="0.2">
      <c r="A8" s="2" t="s">
        <v>47</v>
      </c>
      <c r="B8" s="6">
        <v>1.5</v>
      </c>
      <c r="C8" s="2" t="s">
        <v>46</v>
      </c>
    </row>
    <row r="9" spans="1:3" x14ac:dyDescent="0.2">
      <c r="A9" s="2" t="s">
        <v>48</v>
      </c>
      <c r="B9" s="12">
        <v>13</v>
      </c>
      <c r="C9" s="2" t="s">
        <v>49</v>
      </c>
    </row>
    <row r="10" spans="1:3" x14ac:dyDescent="0.2">
      <c r="A10" s="2" t="s">
        <v>50</v>
      </c>
      <c r="B10" s="12">
        <v>104</v>
      </c>
      <c r="C10" s="2" t="s">
        <v>51</v>
      </c>
    </row>
    <row r="11" spans="1:3" x14ac:dyDescent="0.2">
      <c r="A11" s="2" t="s">
        <v>52</v>
      </c>
      <c r="B11" s="5">
        <v>800</v>
      </c>
      <c r="C11" s="2" t="s">
        <v>53</v>
      </c>
    </row>
    <row r="12" spans="1:3" x14ac:dyDescent="0.2">
      <c r="A12" s="2" t="s">
        <v>54</v>
      </c>
      <c r="B12" s="5">
        <v>20</v>
      </c>
      <c r="C12" s="2" t="s">
        <v>53</v>
      </c>
    </row>
    <row r="13" spans="1:3" x14ac:dyDescent="0.2">
      <c r="A13" s="2" t="s">
        <v>55</v>
      </c>
      <c r="B13" s="12">
        <v>12</v>
      </c>
      <c r="C13" s="2" t="s">
        <v>53</v>
      </c>
    </row>
    <row r="14" spans="1:3" x14ac:dyDescent="0.2">
      <c r="A14" s="2" t="s">
        <v>56</v>
      </c>
      <c r="B14" s="5">
        <v>37440</v>
      </c>
      <c r="C14" s="2" t="s">
        <v>53</v>
      </c>
    </row>
    <row r="15" spans="1:3" x14ac:dyDescent="0.2">
      <c r="A15" s="2" t="s">
        <v>57</v>
      </c>
      <c r="B15" s="5">
        <v>74880</v>
      </c>
      <c r="C15" s="2" t="s">
        <v>53</v>
      </c>
    </row>
    <row r="17" spans="1:5" x14ac:dyDescent="0.2">
      <c r="A17" s="7" t="s">
        <v>58</v>
      </c>
    </row>
    <row r="18" spans="1:5" x14ac:dyDescent="0.2">
      <c r="A18" s="4" t="s">
        <v>59</v>
      </c>
      <c r="B18" s="4" t="s">
        <v>60</v>
      </c>
      <c r="C18" s="4" t="s">
        <v>61</v>
      </c>
      <c r="D18" s="4" t="s">
        <v>62</v>
      </c>
      <c r="E18" s="4" t="s">
        <v>63</v>
      </c>
    </row>
    <row r="19" spans="1:5" x14ac:dyDescent="0.2">
      <c r="A19" s="2" t="s">
        <v>11</v>
      </c>
      <c r="B19" s="5">
        <v>760</v>
      </c>
      <c r="C19" s="5">
        <v>800</v>
      </c>
      <c r="D19" s="2" t="s">
        <v>64</v>
      </c>
      <c r="E19" s="2">
        <v>15</v>
      </c>
    </row>
    <row r="20" spans="1:5" x14ac:dyDescent="0.2">
      <c r="A20" s="2" t="s">
        <v>14</v>
      </c>
      <c r="B20" s="5">
        <v>650</v>
      </c>
      <c r="C20" s="5">
        <v>675</v>
      </c>
      <c r="D20" s="2" t="s">
        <v>65</v>
      </c>
      <c r="E20" s="2">
        <v>40</v>
      </c>
    </row>
    <row r="21" spans="1:5" x14ac:dyDescent="0.2">
      <c r="A21" s="2" t="s">
        <v>16</v>
      </c>
      <c r="B21" s="5">
        <v>820</v>
      </c>
      <c r="C21" s="5">
        <v>850</v>
      </c>
      <c r="D21" s="2" t="s">
        <v>64</v>
      </c>
      <c r="E21" s="2">
        <v>15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7"/>
  <sheetViews>
    <sheetView workbookViewId="0"/>
  </sheetViews>
  <sheetFormatPr baseColWidth="10" defaultColWidth="8.83203125" defaultRowHeight="15" x14ac:dyDescent="0.2"/>
  <cols>
    <col min="1" max="1" width="20" customWidth="1"/>
    <col min="2" max="2" width="10" customWidth="1"/>
    <col min="3" max="3" width="12" customWidth="1"/>
    <col min="4" max="4" width="30" customWidth="1"/>
  </cols>
  <sheetData>
    <row r="1" spans="1:4" ht="16" x14ac:dyDescent="0.2">
      <c r="A1" s="1" t="s">
        <v>66</v>
      </c>
    </row>
    <row r="3" spans="1:4" x14ac:dyDescent="0.2">
      <c r="A3" s="4" t="s">
        <v>59</v>
      </c>
      <c r="B3" s="4" t="s">
        <v>67</v>
      </c>
      <c r="C3" s="4" t="s">
        <v>68</v>
      </c>
      <c r="D3" s="4" t="s">
        <v>69</v>
      </c>
    </row>
    <row r="4" spans="1:4" x14ac:dyDescent="0.2">
      <c r="A4" s="2" t="s">
        <v>11</v>
      </c>
      <c r="B4" s="2" t="s">
        <v>70</v>
      </c>
      <c r="C4" s="5">
        <v>612.5</v>
      </c>
      <c r="D4" s="5">
        <f>ROUND(C4/Parameters!$B$9,2)</f>
        <v>47.12</v>
      </c>
    </row>
    <row r="5" spans="1:4" x14ac:dyDescent="0.2">
      <c r="A5" s="2" t="s">
        <v>11</v>
      </c>
      <c r="B5" s="2" t="s">
        <v>71</v>
      </c>
      <c r="C5" s="5">
        <v>0</v>
      </c>
      <c r="D5" s="5">
        <f>ROUND(C5/Parameters!$B$9,2)</f>
        <v>0</v>
      </c>
    </row>
    <row r="6" spans="1:4" x14ac:dyDescent="0.2">
      <c r="A6" s="2" t="s">
        <v>11</v>
      </c>
      <c r="B6" s="2" t="s">
        <v>72</v>
      </c>
      <c r="C6" s="5">
        <v>540</v>
      </c>
      <c r="D6" s="5">
        <f>ROUND(C6/Parameters!$B$9,2)</f>
        <v>41.54</v>
      </c>
    </row>
    <row r="7" spans="1:4" x14ac:dyDescent="0.2">
      <c r="A7" s="2" t="s">
        <v>11</v>
      </c>
      <c r="B7" s="2" t="s">
        <v>73</v>
      </c>
      <c r="C7" s="5">
        <v>487.5</v>
      </c>
      <c r="D7" s="5">
        <f>ROUND(C7/Parameters!$B$9,2)</f>
        <v>37.5</v>
      </c>
    </row>
    <row r="8" spans="1:4" x14ac:dyDescent="0.2">
      <c r="A8" s="2" t="s">
        <v>11</v>
      </c>
      <c r="B8" s="2" t="s">
        <v>74</v>
      </c>
      <c r="C8" s="5">
        <v>655</v>
      </c>
      <c r="D8" s="5">
        <f>ROUND(C8/Parameters!$B$9,2)</f>
        <v>50.38</v>
      </c>
    </row>
    <row r="9" spans="1:4" x14ac:dyDescent="0.2">
      <c r="A9" s="2" t="s">
        <v>11</v>
      </c>
      <c r="B9" s="2" t="s">
        <v>75</v>
      </c>
      <c r="C9" s="5">
        <v>0</v>
      </c>
      <c r="D9" s="5">
        <f>ROUND(C9/Parameters!$B$9,2)</f>
        <v>0</v>
      </c>
    </row>
    <row r="10" spans="1:4" x14ac:dyDescent="0.2">
      <c r="A10" s="2" t="s">
        <v>11</v>
      </c>
      <c r="B10" s="2" t="s">
        <v>76</v>
      </c>
      <c r="C10" s="5">
        <v>590</v>
      </c>
      <c r="D10" s="5">
        <f>ROUND(C10/Parameters!$B$9,2)</f>
        <v>45.38</v>
      </c>
    </row>
    <row r="11" spans="1:4" x14ac:dyDescent="0.2">
      <c r="A11" s="2" t="s">
        <v>11</v>
      </c>
      <c r="B11" s="2" t="s">
        <v>77</v>
      </c>
      <c r="C11" s="5">
        <v>522.5</v>
      </c>
      <c r="D11" s="5">
        <f>ROUND(C11/Parameters!$B$9,2)</f>
        <v>40.19</v>
      </c>
    </row>
    <row r="12" spans="1:4" x14ac:dyDescent="0.2">
      <c r="A12" s="2" t="s">
        <v>14</v>
      </c>
      <c r="B12" s="2" t="s">
        <v>70</v>
      </c>
      <c r="C12" s="5">
        <v>380</v>
      </c>
      <c r="D12" s="5">
        <f>ROUND(C12/Parameters!$B$9,2)</f>
        <v>29.23</v>
      </c>
    </row>
    <row r="13" spans="1:4" x14ac:dyDescent="0.2">
      <c r="A13" s="2" t="s">
        <v>14</v>
      </c>
      <c r="B13" s="2" t="s">
        <v>71</v>
      </c>
      <c r="C13" s="5">
        <v>415</v>
      </c>
      <c r="D13" s="5">
        <f>ROUND(C13/Parameters!$B$9,2)</f>
        <v>31.92</v>
      </c>
    </row>
    <row r="14" spans="1:4" x14ac:dyDescent="0.2">
      <c r="A14" s="2" t="s">
        <v>14</v>
      </c>
      <c r="B14" s="2" t="s">
        <v>72</v>
      </c>
      <c r="C14" s="5">
        <v>0</v>
      </c>
      <c r="D14" s="5">
        <f>ROUND(C14/Parameters!$B$9,2)</f>
        <v>0</v>
      </c>
    </row>
    <row r="15" spans="1:4" x14ac:dyDescent="0.2">
      <c r="A15" s="2" t="s">
        <v>14</v>
      </c>
      <c r="B15" s="2" t="s">
        <v>73</v>
      </c>
      <c r="C15" s="5">
        <v>442.5</v>
      </c>
      <c r="D15" s="5">
        <f>ROUND(C15/Parameters!$B$9,2)</f>
        <v>34.04</v>
      </c>
    </row>
    <row r="16" spans="1:4" x14ac:dyDescent="0.2">
      <c r="A16" s="2" t="s">
        <v>14</v>
      </c>
      <c r="B16" s="2" t="s">
        <v>74</v>
      </c>
      <c r="C16" s="5">
        <v>395</v>
      </c>
      <c r="D16" s="5">
        <f>ROUND(C16/Parameters!$B$9,2)</f>
        <v>30.38</v>
      </c>
    </row>
    <row r="17" spans="1:4" x14ac:dyDescent="0.2">
      <c r="A17" s="2" t="s">
        <v>14</v>
      </c>
      <c r="B17" s="2" t="s">
        <v>75</v>
      </c>
      <c r="C17" s="5">
        <v>410</v>
      </c>
      <c r="D17" s="5">
        <f>ROUND(C17/Parameters!$B$9,2)</f>
        <v>31.54</v>
      </c>
    </row>
    <row r="18" spans="1:4" x14ac:dyDescent="0.2">
      <c r="A18" s="2" t="s">
        <v>14</v>
      </c>
      <c r="B18" s="2" t="s">
        <v>76</v>
      </c>
      <c r="C18" s="5">
        <v>0</v>
      </c>
      <c r="D18" s="5">
        <f>ROUND(C18/Parameters!$B$9,2)</f>
        <v>0</v>
      </c>
    </row>
    <row r="19" spans="1:4" x14ac:dyDescent="0.2">
      <c r="A19" s="2" t="s">
        <v>14</v>
      </c>
      <c r="B19" s="2" t="s">
        <v>77</v>
      </c>
      <c r="C19" s="5">
        <v>452.5</v>
      </c>
      <c r="D19" s="5">
        <f>ROUND(C19/Parameters!$B$9,2)</f>
        <v>34.81</v>
      </c>
    </row>
    <row r="20" spans="1:4" x14ac:dyDescent="0.2">
      <c r="A20" s="2" t="s">
        <v>16</v>
      </c>
      <c r="B20" s="2" t="s">
        <v>70</v>
      </c>
      <c r="C20" s="5">
        <v>725</v>
      </c>
      <c r="D20" s="5">
        <f>ROUND(C20/Parameters!$B$9,2)</f>
        <v>55.77</v>
      </c>
    </row>
    <row r="21" spans="1:4" x14ac:dyDescent="0.2">
      <c r="A21" s="2" t="s">
        <v>16</v>
      </c>
      <c r="B21" s="2" t="s">
        <v>71</v>
      </c>
      <c r="C21" s="5">
        <v>690</v>
      </c>
      <c r="D21" s="5">
        <f>ROUND(C21/Parameters!$B$9,2)</f>
        <v>53.08</v>
      </c>
    </row>
    <row r="22" spans="1:4" x14ac:dyDescent="0.2">
      <c r="A22" s="2" t="s">
        <v>16</v>
      </c>
      <c r="B22" s="2" t="s">
        <v>72</v>
      </c>
      <c r="C22" s="5">
        <v>760</v>
      </c>
      <c r="D22" s="5">
        <f>ROUND(C22/Parameters!$B$9,2)</f>
        <v>58.46</v>
      </c>
    </row>
    <row r="23" spans="1:4" x14ac:dyDescent="0.2">
      <c r="A23" s="2" t="s">
        <v>16</v>
      </c>
      <c r="B23" s="2" t="s">
        <v>73</v>
      </c>
      <c r="C23" s="5">
        <v>0</v>
      </c>
      <c r="D23" s="5">
        <f>ROUND(C23/Parameters!$B$9,2)</f>
        <v>0</v>
      </c>
    </row>
    <row r="24" spans="1:4" x14ac:dyDescent="0.2">
      <c r="A24" s="2" t="s">
        <v>16</v>
      </c>
      <c r="B24" s="2" t="s">
        <v>74</v>
      </c>
      <c r="C24" s="5">
        <v>815</v>
      </c>
      <c r="D24" s="5">
        <f>ROUND(C24/Parameters!$B$9,2)</f>
        <v>62.69</v>
      </c>
    </row>
    <row r="25" spans="1:4" x14ac:dyDescent="0.2">
      <c r="A25" s="2" t="s">
        <v>16</v>
      </c>
      <c r="B25" s="2" t="s">
        <v>75</v>
      </c>
      <c r="C25" s="5">
        <v>772.5</v>
      </c>
      <c r="D25" s="5">
        <f>ROUND(C25/Parameters!$B$9,2)</f>
        <v>59.42</v>
      </c>
    </row>
    <row r="26" spans="1:4" x14ac:dyDescent="0.2">
      <c r="A26" s="2" t="s">
        <v>16</v>
      </c>
      <c r="B26" s="2" t="s">
        <v>76</v>
      </c>
      <c r="C26" s="5">
        <v>745</v>
      </c>
      <c r="D26" s="5">
        <f>ROUND(C26/Parameters!$B$9,2)</f>
        <v>57.31</v>
      </c>
    </row>
    <row r="27" spans="1:4" x14ac:dyDescent="0.2">
      <c r="A27" s="2" t="s">
        <v>16</v>
      </c>
      <c r="B27" s="2" t="s">
        <v>77</v>
      </c>
      <c r="C27" s="5">
        <v>798</v>
      </c>
      <c r="D27" s="5">
        <f>ROUND(C27/Parameters!$B$9,2)</f>
        <v>61.38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11"/>
  <sheetViews>
    <sheetView workbookViewId="0">
      <pane xSplit="3" ySplit="4" topLeftCell="D5" activePane="bottomRight" state="frozen"/>
      <selection pane="topRight"/>
      <selection pane="bottomLeft"/>
      <selection pane="bottomRight"/>
    </sheetView>
  </sheetViews>
  <sheetFormatPr baseColWidth="10" defaultColWidth="8.83203125" defaultRowHeight="15" x14ac:dyDescent="0.2"/>
  <cols>
    <col min="1" max="1" width="10" customWidth="1"/>
    <col min="2" max="2" width="12" customWidth="1"/>
    <col min="3" max="3" width="9" customWidth="1"/>
    <col min="4" max="4" width="12" customWidth="1"/>
    <col min="5" max="7" width="14" customWidth="1"/>
    <col min="8" max="9" width="16" customWidth="1"/>
  </cols>
  <sheetData>
    <row r="1" spans="1:9" ht="16" x14ac:dyDescent="0.2">
      <c r="A1" s="1" t="s">
        <v>78</v>
      </c>
    </row>
    <row r="2" spans="1:9" x14ac:dyDescent="0.2">
      <c r="A2" s="2" t="s">
        <v>79</v>
      </c>
    </row>
    <row r="4" spans="1:9" x14ac:dyDescent="0.2">
      <c r="A4" s="4" t="s">
        <v>80</v>
      </c>
      <c r="B4" s="4" t="s">
        <v>81</v>
      </c>
      <c r="C4" s="4" t="s">
        <v>67</v>
      </c>
      <c r="D4" s="4" t="s">
        <v>82</v>
      </c>
      <c r="E4" s="4" t="s">
        <v>83</v>
      </c>
      <c r="F4" s="4" t="s">
        <v>84</v>
      </c>
      <c r="G4" s="4" t="s">
        <v>85</v>
      </c>
      <c r="H4" s="4" t="s">
        <v>86</v>
      </c>
      <c r="I4" s="4" t="s">
        <v>87</v>
      </c>
    </row>
    <row r="5" spans="1:9" x14ac:dyDescent="0.2">
      <c r="A5" s="2">
        <v>1</v>
      </c>
      <c r="B5" s="2" t="s">
        <v>88</v>
      </c>
      <c r="C5" s="2" t="s">
        <v>70</v>
      </c>
      <c r="D5" s="9">
        <v>45.65</v>
      </c>
      <c r="E5" s="9">
        <v>45.1</v>
      </c>
      <c r="F5" s="9">
        <v>43.66</v>
      </c>
      <c r="G5" s="9">
        <f>MAX(D5-Parameters!$B$7,0)</f>
        <v>5.65</v>
      </c>
      <c r="H5" s="9">
        <f>MAX(E5-Parameters!$B$7,0)</f>
        <v>5.1</v>
      </c>
      <c r="I5" s="9">
        <f>MAX(F5-Parameters!$B$7,0)</f>
        <v>3.66</v>
      </c>
    </row>
    <row r="6" spans="1:9" x14ac:dyDescent="0.2">
      <c r="A6" s="2">
        <v>2</v>
      </c>
      <c r="B6" s="2" t="s">
        <v>89</v>
      </c>
      <c r="C6" s="2" t="s">
        <v>70</v>
      </c>
      <c r="D6" s="9">
        <v>51.72</v>
      </c>
      <c r="E6" s="9">
        <v>40.14</v>
      </c>
      <c r="F6" s="9">
        <v>48.55</v>
      </c>
      <c r="G6" s="9">
        <f>MAX(D6-Parameters!$B$7,0)</f>
        <v>11.72</v>
      </c>
      <c r="H6" s="9">
        <f>MAX(E6-Parameters!$B$7,0)</f>
        <v>0.14</v>
      </c>
      <c r="I6" s="9">
        <f>MAX(F6-Parameters!$B$7,0)</f>
        <v>8.55</v>
      </c>
    </row>
    <row r="7" spans="1:9" x14ac:dyDescent="0.2">
      <c r="A7" s="2">
        <v>3</v>
      </c>
      <c r="B7" s="2" t="s">
        <v>90</v>
      </c>
      <c r="C7" s="2" t="s">
        <v>70</v>
      </c>
      <c r="D7" s="9">
        <v>51.09</v>
      </c>
      <c r="E7" s="9">
        <v>38.04</v>
      </c>
      <c r="F7" s="9">
        <v>50.11</v>
      </c>
      <c r="G7" s="9">
        <f>MAX(D7-Parameters!$B$7,0)</f>
        <v>11.09</v>
      </c>
      <c r="H7" s="9">
        <f>MAX(E7-Parameters!$B$7,0)</f>
        <v>0</v>
      </c>
      <c r="I7" s="9">
        <f>MAX(F7-Parameters!$B$7,0)</f>
        <v>10.11</v>
      </c>
    </row>
    <row r="8" spans="1:9" x14ac:dyDescent="0.2">
      <c r="A8" s="2">
        <v>4</v>
      </c>
      <c r="B8" s="2" t="s">
        <v>91</v>
      </c>
      <c r="C8" s="2" t="s">
        <v>70</v>
      </c>
      <c r="D8" s="9">
        <v>53.27</v>
      </c>
      <c r="E8" s="9">
        <v>41.14</v>
      </c>
      <c r="F8" s="9">
        <v>46.09</v>
      </c>
      <c r="G8" s="9">
        <f>MAX(D8-Parameters!$B$7,0)</f>
        <v>13.27</v>
      </c>
      <c r="H8" s="9">
        <f>MAX(E8-Parameters!$B$7,0)</f>
        <v>1.14</v>
      </c>
      <c r="I8" s="9">
        <f>MAX(F8-Parameters!$B$7,0)</f>
        <v>6.09</v>
      </c>
    </row>
    <row r="9" spans="1:9" x14ac:dyDescent="0.2">
      <c r="A9" s="2">
        <v>5</v>
      </c>
      <c r="B9" s="2" t="s">
        <v>92</v>
      </c>
      <c r="C9" s="2" t="s">
        <v>70</v>
      </c>
      <c r="D9" s="9">
        <v>54.94</v>
      </c>
      <c r="E9" s="9">
        <v>46.02</v>
      </c>
      <c r="F9" s="9">
        <v>51.99</v>
      </c>
      <c r="G9" s="9">
        <f>MAX(D9-Parameters!$B$7,0)</f>
        <v>14.94</v>
      </c>
      <c r="H9" s="9">
        <f>MAX(E9-Parameters!$B$7,0)</f>
        <v>6.02</v>
      </c>
      <c r="I9" s="9">
        <f>MAX(F9-Parameters!$B$7,0)</f>
        <v>11.99</v>
      </c>
    </row>
    <row r="10" spans="1:9" x14ac:dyDescent="0.2">
      <c r="A10" s="2">
        <v>6</v>
      </c>
      <c r="B10" s="2" t="s">
        <v>93</v>
      </c>
      <c r="C10" s="2" t="s">
        <v>70</v>
      </c>
      <c r="D10" s="9">
        <v>57.65</v>
      </c>
      <c r="E10" s="9">
        <v>47.69</v>
      </c>
      <c r="F10" s="9">
        <v>46.37</v>
      </c>
      <c r="G10" s="9">
        <f>MAX(D10-Parameters!$B$7,0)</f>
        <v>17.65</v>
      </c>
      <c r="H10" s="9">
        <f>MAX(E10-Parameters!$B$7,0)</f>
        <v>7.69</v>
      </c>
      <c r="I10" s="9">
        <f>MAX(F10-Parameters!$B$7,0)</f>
        <v>6.37</v>
      </c>
    </row>
    <row r="11" spans="1:9" x14ac:dyDescent="0.2">
      <c r="A11" s="2">
        <v>7</v>
      </c>
      <c r="B11" s="2" t="s">
        <v>94</v>
      </c>
      <c r="C11" s="2" t="s">
        <v>70</v>
      </c>
      <c r="D11" s="9">
        <v>47.22</v>
      </c>
      <c r="E11" s="9">
        <v>41.82</v>
      </c>
      <c r="F11" s="9">
        <v>46.02</v>
      </c>
      <c r="G11" s="9">
        <f>MAX(D11-Parameters!$B$7,0)</f>
        <v>7.22</v>
      </c>
      <c r="H11" s="9">
        <f>MAX(E11-Parameters!$B$7,0)</f>
        <v>1.82</v>
      </c>
      <c r="I11" s="9">
        <f>MAX(F11-Parameters!$B$7,0)</f>
        <v>6.02</v>
      </c>
    </row>
    <row r="12" spans="1:9" x14ac:dyDescent="0.2">
      <c r="A12" s="2">
        <v>8</v>
      </c>
      <c r="B12" s="2" t="s">
        <v>95</v>
      </c>
      <c r="C12" s="2" t="s">
        <v>70</v>
      </c>
      <c r="D12" s="9">
        <v>55.39</v>
      </c>
      <c r="E12" s="9">
        <v>46.24</v>
      </c>
      <c r="F12" s="9">
        <v>53.28</v>
      </c>
      <c r="G12" s="9">
        <f>MAX(D12-Parameters!$B$7,0)</f>
        <v>15.39</v>
      </c>
      <c r="H12" s="9">
        <f>MAX(E12-Parameters!$B$7,0)</f>
        <v>6.24</v>
      </c>
      <c r="I12" s="9">
        <f>MAX(F12-Parameters!$B$7,0)</f>
        <v>13.28</v>
      </c>
    </row>
    <row r="13" spans="1:9" x14ac:dyDescent="0.2">
      <c r="A13" s="2">
        <v>9</v>
      </c>
      <c r="B13" s="2" t="s">
        <v>96</v>
      </c>
      <c r="C13" s="2" t="s">
        <v>70</v>
      </c>
      <c r="D13" s="9">
        <v>56.43</v>
      </c>
      <c r="E13" s="9">
        <v>46.29</v>
      </c>
      <c r="F13" s="9">
        <v>53.42</v>
      </c>
      <c r="G13" s="9">
        <f>MAX(D13-Parameters!$B$7,0)</f>
        <v>16.43</v>
      </c>
      <c r="H13" s="9">
        <f>MAX(E13-Parameters!$B$7,0)</f>
        <v>6.29</v>
      </c>
      <c r="I13" s="9">
        <f>MAX(F13-Parameters!$B$7,0)</f>
        <v>13.42</v>
      </c>
    </row>
    <row r="14" spans="1:9" x14ac:dyDescent="0.2">
      <c r="A14" s="2">
        <v>10</v>
      </c>
      <c r="B14" s="2" t="s">
        <v>97</v>
      </c>
      <c r="C14" s="2" t="s">
        <v>70</v>
      </c>
      <c r="D14" s="9">
        <v>55.16</v>
      </c>
      <c r="E14" s="9">
        <v>42.74</v>
      </c>
      <c r="F14" s="9">
        <v>51.56</v>
      </c>
      <c r="G14" s="9">
        <f>MAX(D14-Parameters!$B$7,0)</f>
        <v>15.16</v>
      </c>
      <c r="H14" s="9">
        <f>MAX(E14-Parameters!$B$7,0)</f>
        <v>2.74</v>
      </c>
      <c r="I14" s="9">
        <f>MAX(F14-Parameters!$B$7,0)</f>
        <v>11.56</v>
      </c>
    </row>
    <row r="15" spans="1:9" x14ac:dyDescent="0.2">
      <c r="A15" s="2">
        <v>11</v>
      </c>
      <c r="B15" s="2" t="s">
        <v>98</v>
      </c>
      <c r="C15" s="2" t="s">
        <v>70</v>
      </c>
      <c r="D15" s="9">
        <v>56.05</v>
      </c>
      <c r="E15" s="9">
        <v>42.11</v>
      </c>
      <c r="F15" s="9">
        <v>46.34</v>
      </c>
      <c r="G15" s="9">
        <f>MAX(D15-Parameters!$B$7,0)</f>
        <v>16.05</v>
      </c>
      <c r="H15" s="9">
        <f>MAX(E15-Parameters!$B$7,0)</f>
        <v>2.11</v>
      </c>
      <c r="I15" s="9">
        <f>MAX(F15-Parameters!$B$7,0)</f>
        <v>6.34</v>
      </c>
    </row>
    <row r="16" spans="1:9" x14ac:dyDescent="0.2">
      <c r="A16" s="2">
        <v>12</v>
      </c>
      <c r="B16" s="2" t="s">
        <v>99</v>
      </c>
      <c r="C16" s="2" t="s">
        <v>70</v>
      </c>
      <c r="D16" s="9">
        <v>49.04</v>
      </c>
      <c r="E16" s="9">
        <v>39.95</v>
      </c>
      <c r="F16" s="9">
        <v>50.94</v>
      </c>
      <c r="G16" s="9">
        <f>MAX(D16-Parameters!$B$7,0)</f>
        <v>9.04</v>
      </c>
      <c r="H16" s="9">
        <f>MAX(E16-Parameters!$B$7,0)</f>
        <v>0</v>
      </c>
      <c r="I16" s="9">
        <f>MAX(F16-Parameters!$B$7,0)</f>
        <v>10.94</v>
      </c>
    </row>
    <row r="17" spans="1:9" x14ac:dyDescent="0.2">
      <c r="A17" s="2">
        <v>13</v>
      </c>
      <c r="B17" s="2" t="s">
        <v>100</v>
      </c>
      <c r="C17" s="2" t="s">
        <v>70</v>
      </c>
      <c r="D17" s="9">
        <v>0</v>
      </c>
      <c r="E17" s="9">
        <v>46.54</v>
      </c>
      <c r="F17" s="9">
        <v>49.52</v>
      </c>
      <c r="G17" s="9">
        <f>MAX(D17-Parameters!$B$7,0)</f>
        <v>0</v>
      </c>
      <c r="H17" s="9">
        <f>MAX(E17-Parameters!$B$7,0)</f>
        <v>6.54</v>
      </c>
      <c r="I17" s="9">
        <f>MAX(F17-Parameters!$B$7,0)</f>
        <v>9.52</v>
      </c>
    </row>
    <row r="18" spans="1:9" x14ac:dyDescent="0.2">
      <c r="A18" s="2">
        <v>14</v>
      </c>
      <c r="B18" s="2" t="s">
        <v>101</v>
      </c>
      <c r="C18" s="2" t="s">
        <v>71</v>
      </c>
      <c r="D18" s="9">
        <v>54</v>
      </c>
      <c r="E18" s="9">
        <v>41.12</v>
      </c>
      <c r="F18" s="9">
        <v>44.54</v>
      </c>
      <c r="G18" s="9">
        <f>MAX(D18-Parameters!$B$7,0)</f>
        <v>14</v>
      </c>
      <c r="H18" s="9">
        <f>MAX(E18-Parameters!$B$7,0)</f>
        <v>1.12</v>
      </c>
      <c r="I18" s="9">
        <f>MAX(F18-Parameters!$B$7,0)</f>
        <v>4.54</v>
      </c>
    </row>
    <row r="19" spans="1:9" x14ac:dyDescent="0.2">
      <c r="A19" s="2">
        <v>15</v>
      </c>
      <c r="B19" s="2" t="s">
        <v>64</v>
      </c>
      <c r="C19" s="2" t="s">
        <v>71</v>
      </c>
      <c r="D19" s="9">
        <v>44.09</v>
      </c>
      <c r="E19" s="9">
        <v>39.04</v>
      </c>
      <c r="F19" s="9">
        <v>47.44</v>
      </c>
      <c r="G19" s="9">
        <f>MAX(D19-Parameters!$B$7,0)</f>
        <v>4.09</v>
      </c>
      <c r="H19" s="9">
        <f>MAX(E19-Parameters!$B$7,0)</f>
        <v>0</v>
      </c>
      <c r="I19" s="9">
        <f>MAX(F19-Parameters!$B$7,0)</f>
        <v>7.44</v>
      </c>
    </row>
    <row r="20" spans="1:9" x14ac:dyDescent="0.2">
      <c r="A20" s="2">
        <v>16</v>
      </c>
      <c r="B20" s="2" t="s">
        <v>102</v>
      </c>
      <c r="C20" s="2" t="s">
        <v>71</v>
      </c>
      <c r="D20" s="9">
        <v>48.61</v>
      </c>
      <c r="E20" s="9">
        <v>46.22</v>
      </c>
      <c r="F20" s="9">
        <v>41.1</v>
      </c>
      <c r="G20" s="9">
        <f>MAX(D20-Parameters!$B$7,0)</f>
        <v>8.61</v>
      </c>
      <c r="H20" s="9">
        <f>MAX(E20-Parameters!$B$7,0)</f>
        <v>6.22</v>
      </c>
      <c r="I20" s="9">
        <f>MAX(F20-Parameters!$B$7,0)</f>
        <v>1.1</v>
      </c>
    </row>
    <row r="21" spans="1:9" x14ac:dyDescent="0.2">
      <c r="A21" s="2">
        <v>17</v>
      </c>
      <c r="B21" s="2" t="s">
        <v>103</v>
      </c>
      <c r="C21" s="2" t="s">
        <v>71</v>
      </c>
      <c r="D21" s="9">
        <v>53.56</v>
      </c>
      <c r="E21" s="9">
        <v>44.82</v>
      </c>
      <c r="F21" s="9">
        <v>46.93</v>
      </c>
      <c r="G21" s="9">
        <f>MAX(D21-Parameters!$B$7,0)</f>
        <v>13.56</v>
      </c>
      <c r="H21" s="9">
        <f>MAX(E21-Parameters!$B$7,0)</f>
        <v>4.82</v>
      </c>
      <c r="I21" s="9">
        <f>MAX(F21-Parameters!$B$7,0)</f>
        <v>6.93</v>
      </c>
    </row>
    <row r="22" spans="1:9" x14ac:dyDescent="0.2">
      <c r="A22" s="2">
        <v>18</v>
      </c>
      <c r="B22" s="2" t="s">
        <v>104</v>
      </c>
      <c r="C22" s="2" t="s">
        <v>71</v>
      </c>
      <c r="D22" s="9">
        <v>50.82</v>
      </c>
      <c r="E22" s="9">
        <v>43.26</v>
      </c>
      <c r="F22" s="9">
        <v>41.65</v>
      </c>
      <c r="G22" s="9">
        <f>MAX(D22-Parameters!$B$7,0)</f>
        <v>10.82</v>
      </c>
      <c r="H22" s="9">
        <f>MAX(E22-Parameters!$B$7,0)</f>
        <v>3.26</v>
      </c>
      <c r="I22" s="9">
        <f>MAX(F22-Parameters!$B$7,0)</f>
        <v>1.65</v>
      </c>
    </row>
    <row r="23" spans="1:9" x14ac:dyDescent="0.2">
      <c r="A23" s="2">
        <v>19</v>
      </c>
      <c r="B23" s="2" t="s">
        <v>105</v>
      </c>
      <c r="C23" s="2" t="s">
        <v>71</v>
      </c>
      <c r="D23" s="9">
        <v>48.32</v>
      </c>
      <c r="E23" s="9">
        <v>46.15</v>
      </c>
      <c r="F23" s="9">
        <v>45.8</v>
      </c>
      <c r="G23" s="9">
        <f>MAX(D23-Parameters!$B$7,0)</f>
        <v>8.32</v>
      </c>
      <c r="H23" s="9">
        <f>MAX(E23-Parameters!$B$7,0)</f>
        <v>6.15</v>
      </c>
      <c r="I23" s="9">
        <f>MAX(F23-Parameters!$B$7,0)</f>
        <v>5.8</v>
      </c>
    </row>
    <row r="24" spans="1:9" x14ac:dyDescent="0.2">
      <c r="A24" s="2">
        <v>20</v>
      </c>
      <c r="B24" s="2" t="s">
        <v>106</v>
      </c>
      <c r="C24" s="2" t="s">
        <v>71</v>
      </c>
      <c r="D24" s="9">
        <v>45.24</v>
      </c>
      <c r="E24" s="9">
        <v>41.53</v>
      </c>
      <c r="F24" s="9">
        <v>41.78</v>
      </c>
      <c r="G24" s="9">
        <f>MAX(D24-Parameters!$B$7,0)</f>
        <v>5.24</v>
      </c>
      <c r="H24" s="9">
        <f>MAX(E24-Parameters!$B$7,0)</f>
        <v>1.53</v>
      </c>
      <c r="I24" s="9">
        <f>MAX(F24-Parameters!$B$7,0)</f>
        <v>1.78</v>
      </c>
    </row>
    <row r="25" spans="1:9" x14ac:dyDescent="0.2">
      <c r="A25" s="2">
        <v>21</v>
      </c>
      <c r="B25" s="2" t="s">
        <v>107</v>
      </c>
      <c r="C25" s="2" t="s">
        <v>71</v>
      </c>
      <c r="D25" s="9">
        <v>51.44</v>
      </c>
      <c r="E25" s="9">
        <v>40.55</v>
      </c>
      <c r="F25" s="9">
        <v>0</v>
      </c>
      <c r="G25" s="9">
        <f>MAX(D25-Parameters!$B$7,0)</f>
        <v>11.44</v>
      </c>
      <c r="H25" s="9">
        <f>MAX(E25-Parameters!$B$7,0)</f>
        <v>0.55</v>
      </c>
      <c r="I25" s="9">
        <f>MAX(F25-Parameters!$B$7,0)</f>
        <v>0</v>
      </c>
    </row>
    <row r="26" spans="1:9" x14ac:dyDescent="0.2">
      <c r="A26" s="2">
        <v>22</v>
      </c>
      <c r="B26" s="2" t="s">
        <v>108</v>
      </c>
      <c r="C26" s="2" t="s">
        <v>71</v>
      </c>
      <c r="D26" s="9">
        <v>55.25</v>
      </c>
      <c r="E26" s="9">
        <v>43.09</v>
      </c>
      <c r="F26" s="9">
        <v>43.33</v>
      </c>
      <c r="G26" s="9">
        <f>MAX(D26-Parameters!$B$7,0)</f>
        <v>15.25</v>
      </c>
      <c r="H26" s="9">
        <f>MAX(E26-Parameters!$B$7,0)</f>
        <v>3.09</v>
      </c>
      <c r="I26" s="9">
        <f>MAX(F26-Parameters!$B$7,0)</f>
        <v>3.33</v>
      </c>
    </row>
    <row r="27" spans="1:9" x14ac:dyDescent="0.2">
      <c r="A27" s="2">
        <v>23</v>
      </c>
      <c r="B27" s="2" t="s">
        <v>109</v>
      </c>
      <c r="C27" s="2" t="s">
        <v>71</v>
      </c>
      <c r="D27" s="9">
        <v>50.48</v>
      </c>
      <c r="E27" s="9">
        <v>45.11</v>
      </c>
      <c r="F27" s="9">
        <v>43.13</v>
      </c>
      <c r="G27" s="9">
        <f>MAX(D27-Parameters!$B$7,0)</f>
        <v>10.48</v>
      </c>
      <c r="H27" s="9">
        <f>MAX(E27-Parameters!$B$7,0)</f>
        <v>5.11</v>
      </c>
      <c r="I27" s="9">
        <f>MAX(F27-Parameters!$B$7,0)</f>
        <v>3.13</v>
      </c>
    </row>
    <row r="28" spans="1:9" x14ac:dyDescent="0.2">
      <c r="A28" s="2">
        <v>24</v>
      </c>
      <c r="B28" s="2" t="s">
        <v>110</v>
      </c>
      <c r="C28" s="2" t="s">
        <v>71</v>
      </c>
      <c r="D28" s="9">
        <v>47.88</v>
      </c>
      <c r="E28" s="9">
        <v>41.54</v>
      </c>
      <c r="F28" s="9">
        <v>49.66</v>
      </c>
      <c r="G28" s="9">
        <f>MAX(D28-Parameters!$B$7,0)</f>
        <v>7.88</v>
      </c>
      <c r="H28" s="9">
        <f>MAX(E28-Parameters!$B$7,0)</f>
        <v>1.54</v>
      </c>
      <c r="I28" s="9">
        <f>MAX(F28-Parameters!$B$7,0)</f>
        <v>9.66</v>
      </c>
    </row>
    <row r="29" spans="1:9" x14ac:dyDescent="0.2">
      <c r="A29" s="2">
        <v>25</v>
      </c>
      <c r="B29" s="2" t="s">
        <v>111</v>
      </c>
      <c r="C29" s="2" t="s">
        <v>71</v>
      </c>
      <c r="D29" s="9">
        <v>46.99</v>
      </c>
      <c r="E29" s="9">
        <v>40.62</v>
      </c>
      <c r="F29" s="9">
        <v>49.98</v>
      </c>
      <c r="G29" s="9">
        <f>MAX(D29-Parameters!$B$7,0)</f>
        <v>6.99</v>
      </c>
      <c r="H29" s="9">
        <f>MAX(E29-Parameters!$B$7,0)</f>
        <v>0.62</v>
      </c>
      <c r="I29" s="9">
        <f>MAX(F29-Parameters!$B$7,0)</f>
        <v>9.98</v>
      </c>
    </row>
    <row r="30" spans="1:9" x14ac:dyDescent="0.2">
      <c r="A30" s="2">
        <v>26</v>
      </c>
      <c r="B30" s="2" t="s">
        <v>112</v>
      </c>
      <c r="C30" s="2" t="s">
        <v>71</v>
      </c>
      <c r="D30" s="9">
        <v>48.04</v>
      </c>
      <c r="E30" s="9">
        <v>44.61</v>
      </c>
      <c r="F30" s="9">
        <v>42.68</v>
      </c>
      <c r="G30" s="9">
        <f>MAX(D30-Parameters!$B$7,0)</f>
        <v>8.04</v>
      </c>
      <c r="H30" s="9">
        <f>MAX(E30-Parameters!$B$7,0)</f>
        <v>4.61</v>
      </c>
      <c r="I30" s="9">
        <f>MAX(F30-Parameters!$B$7,0)</f>
        <v>2.68</v>
      </c>
    </row>
    <row r="31" spans="1:9" x14ac:dyDescent="0.2">
      <c r="A31" s="2">
        <v>27</v>
      </c>
      <c r="B31" s="2" t="s">
        <v>113</v>
      </c>
      <c r="C31" s="2" t="s">
        <v>72</v>
      </c>
      <c r="D31" s="9">
        <v>50.35</v>
      </c>
      <c r="E31" s="9">
        <v>39.19</v>
      </c>
      <c r="F31" s="9">
        <v>47.18</v>
      </c>
      <c r="G31" s="9">
        <f>MAX(D31-Parameters!$B$7,0)</f>
        <v>10.35</v>
      </c>
      <c r="H31" s="9">
        <f>MAX(E31-Parameters!$B$7,0)</f>
        <v>0</v>
      </c>
      <c r="I31" s="9">
        <f>MAX(F31-Parameters!$B$7,0)</f>
        <v>7.18</v>
      </c>
    </row>
    <row r="32" spans="1:9" x14ac:dyDescent="0.2">
      <c r="A32" s="2">
        <v>28</v>
      </c>
      <c r="B32" s="2" t="s">
        <v>114</v>
      </c>
      <c r="C32" s="2" t="s">
        <v>72</v>
      </c>
      <c r="D32" s="9">
        <v>46.92</v>
      </c>
      <c r="E32" s="9">
        <v>39.11</v>
      </c>
      <c r="F32" s="9">
        <v>50.69</v>
      </c>
      <c r="G32" s="9">
        <f>MAX(D32-Parameters!$B$7,0)</f>
        <v>6.92</v>
      </c>
      <c r="H32" s="9">
        <f>MAX(E32-Parameters!$B$7,0)</f>
        <v>0</v>
      </c>
      <c r="I32" s="9">
        <f>MAX(F32-Parameters!$B$7,0)</f>
        <v>10.69</v>
      </c>
    </row>
    <row r="33" spans="1:9" x14ac:dyDescent="0.2">
      <c r="A33" s="2">
        <v>29</v>
      </c>
      <c r="B33" s="2" t="s">
        <v>115</v>
      </c>
      <c r="C33" s="2" t="s">
        <v>72</v>
      </c>
      <c r="D33" s="9">
        <v>52.96</v>
      </c>
      <c r="E33" s="9">
        <v>42.75</v>
      </c>
      <c r="F33" s="9">
        <v>42.53</v>
      </c>
      <c r="G33" s="9">
        <f>MAX(D33-Parameters!$B$7,0)</f>
        <v>12.96</v>
      </c>
      <c r="H33" s="9">
        <f>MAX(E33-Parameters!$B$7,0)</f>
        <v>2.75</v>
      </c>
      <c r="I33" s="9">
        <f>MAX(F33-Parameters!$B$7,0)</f>
        <v>2.53</v>
      </c>
    </row>
    <row r="34" spans="1:9" x14ac:dyDescent="0.2">
      <c r="A34" s="2">
        <v>30</v>
      </c>
      <c r="B34" s="2" t="s">
        <v>116</v>
      </c>
      <c r="C34" s="2" t="s">
        <v>72</v>
      </c>
      <c r="D34" s="9">
        <v>50.3</v>
      </c>
      <c r="E34" s="9">
        <v>38.1</v>
      </c>
      <c r="F34" s="9">
        <v>49.78</v>
      </c>
      <c r="G34" s="9">
        <f>MAX(D34-Parameters!$B$7,0)</f>
        <v>10.3</v>
      </c>
      <c r="H34" s="9">
        <f>MAX(E34-Parameters!$B$7,0)</f>
        <v>0</v>
      </c>
      <c r="I34" s="9">
        <f>MAX(F34-Parameters!$B$7,0)</f>
        <v>9.78</v>
      </c>
    </row>
    <row r="35" spans="1:9" x14ac:dyDescent="0.2">
      <c r="A35" s="2">
        <v>31</v>
      </c>
      <c r="B35" s="2" t="s">
        <v>117</v>
      </c>
      <c r="C35" s="2" t="s">
        <v>72</v>
      </c>
      <c r="D35" s="9">
        <v>50.49</v>
      </c>
      <c r="E35" s="9">
        <v>0</v>
      </c>
      <c r="F35" s="9">
        <v>46.21</v>
      </c>
      <c r="G35" s="9">
        <f>MAX(D35-Parameters!$B$7,0)</f>
        <v>10.49</v>
      </c>
      <c r="H35" s="9">
        <f>MAX(E35-Parameters!$B$7,0)</f>
        <v>0</v>
      </c>
      <c r="I35" s="9">
        <f>MAX(F35-Parameters!$B$7,0)</f>
        <v>6.21</v>
      </c>
    </row>
    <row r="36" spans="1:9" x14ac:dyDescent="0.2">
      <c r="A36" s="2">
        <v>32</v>
      </c>
      <c r="B36" s="2" t="s">
        <v>118</v>
      </c>
      <c r="C36" s="2" t="s">
        <v>72</v>
      </c>
      <c r="D36" s="9">
        <v>54.28</v>
      </c>
      <c r="E36" s="9">
        <v>46.42</v>
      </c>
      <c r="F36" s="9">
        <v>46.79</v>
      </c>
      <c r="G36" s="9">
        <f>MAX(D36-Parameters!$B$7,0)</f>
        <v>14.28</v>
      </c>
      <c r="H36" s="9">
        <f>MAX(E36-Parameters!$B$7,0)</f>
        <v>6.42</v>
      </c>
      <c r="I36" s="9">
        <f>MAX(F36-Parameters!$B$7,0)</f>
        <v>6.79</v>
      </c>
    </row>
    <row r="37" spans="1:9" x14ac:dyDescent="0.2">
      <c r="A37" s="2">
        <v>33</v>
      </c>
      <c r="B37" s="2" t="s">
        <v>119</v>
      </c>
      <c r="C37" s="2" t="s">
        <v>72</v>
      </c>
      <c r="D37" s="9">
        <v>52.05</v>
      </c>
      <c r="E37" s="9">
        <v>41.48</v>
      </c>
      <c r="F37" s="9">
        <v>48.98</v>
      </c>
      <c r="G37" s="9">
        <f>MAX(D37-Parameters!$B$7,0)</f>
        <v>12.05</v>
      </c>
      <c r="H37" s="9">
        <f>MAX(E37-Parameters!$B$7,0)</f>
        <v>1.48</v>
      </c>
      <c r="I37" s="9">
        <f>MAX(F37-Parameters!$B$7,0)</f>
        <v>8.98</v>
      </c>
    </row>
    <row r="38" spans="1:9" x14ac:dyDescent="0.2">
      <c r="A38" s="2">
        <v>34</v>
      </c>
      <c r="B38" s="2" t="s">
        <v>120</v>
      </c>
      <c r="C38" s="2" t="s">
        <v>72</v>
      </c>
      <c r="D38" s="9">
        <v>49.84</v>
      </c>
      <c r="E38" s="9">
        <v>46.23</v>
      </c>
      <c r="F38" s="9">
        <v>47.96</v>
      </c>
      <c r="G38" s="9">
        <f>MAX(D38-Parameters!$B$7,0)</f>
        <v>9.84</v>
      </c>
      <c r="H38" s="9">
        <f>MAX(E38-Parameters!$B$7,0)</f>
        <v>6.23</v>
      </c>
      <c r="I38" s="9">
        <f>MAX(F38-Parameters!$B$7,0)</f>
        <v>7.96</v>
      </c>
    </row>
    <row r="39" spans="1:9" x14ac:dyDescent="0.2">
      <c r="A39" s="2">
        <v>35</v>
      </c>
      <c r="B39" s="2" t="s">
        <v>121</v>
      </c>
      <c r="C39" s="2" t="s">
        <v>72</v>
      </c>
      <c r="D39" s="9">
        <v>45.44</v>
      </c>
      <c r="E39" s="9">
        <v>40.99</v>
      </c>
      <c r="F39" s="9">
        <v>49.2</v>
      </c>
      <c r="G39" s="9">
        <f>MAX(D39-Parameters!$B$7,0)</f>
        <v>5.44</v>
      </c>
      <c r="H39" s="9">
        <f>MAX(E39-Parameters!$B$7,0)</f>
        <v>0.99</v>
      </c>
      <c r="I39" s="9">
        <f>MAX(F39-Parameters!$B$7,0)</f>
        <v>9.2</v>
      </c>
    </row>
    <row r="40" spans="1:9" x14ac:dyDescent="0.2">
      <c r="A40" s="2">
        <v>36</v>
      </c>
      <c r="B40" s="2" t="s">
        <v>122</v>
      </c>
      <c r="C40" s="2" t="s">
        <v>72</v>
      </c>
      <c r="D40" s="9">
        <v>45.62</v>
      </c>
      <c r="E40" s="9">
        <v>42.85</v>
      </c>
      <c r="F40" s="9">
        <v>47.24</v>
      </c>
      <c r="G40" s="9">
        <f>MAX(D40-Parameters!$B$7,0)</f>
        <v>5.62</v>
      </c>
      <c r="H40" s="9">
        <f>MAX(E40-Parameters!$B$7,0)</f>
        <v>2.85</v>
      </c>
      <c r="I40" s="9">
        <f>MAX(F40-Parameters!$B$7,0)</f>
        <v>7.24</v>
      </c>
    </row>
    <row r="41" spans="1:9" x14ac:dyDescent="0.2">
      <c r="A41" s="2">
        <v>37</v>
      </c>
      <c r="B41" s="2" t="s">
        <v>123</v>
      </c>
      <c r="C41" s="2" t="s">
        <v>72</v>
      </c>
      <c r="D41" s="9">
        <v>45.98</v>
      </c>
      <c r="E41" s="9">
        <v>41.08</v>
      </c>
      <c r="F41" s="9">
        <v>42.71</v>
      </c>
      <c r="G41" s="9">
        <f>MAX(D41-Parameters!$B$7,0)</f>
        <v>5.98</v>
      </c>
      <c r="H41" s="9">
        <f>MAX(E41-Parameters!$B$7,0)</f>
        <v>1.08</v>
      </c>
      <c r="I41" s="9">
        <f>MAX(F41-Parameters!$B$7,0)</f>
        <v>2.71</v>
      </c>
    </row>
    <row r="42" spans="1:9" x14ac:dyDescent="0.2">
      <c r="A42" s="2">
        <v>38</v>
      </c>
      <c r="B42" s="2" t="s">
        <v>124</v>
      </c>
      <c r="C42" s="2" t="s">
        <v>72</v>
      </c>
      <c r="D42" s="9">
        <v>44.47</v>
      </c>
      <c r="E42" s="9">
        <v>41.67</v>
      </c>
      <c r="F42" s="9">
        <v>41.1</v>
      </c>
      <c r="G42" s="9">
        <f>MAX(D42-Parameters!$B$7,0)</f>
        <v>4.47</v>
      </c>
      <c r="H42" s="9">
        <f>MAX(E42-Parameters!$B$7,0)</f>
        <v>1.67</v>
      </c>
      <c r="I42" s="9">
        <f>MAX(F42-Parameters!$B$7,0)</f>
        <v>1.1</v>
      </c>
    </row>
    <row r="43" spans="1:9" x14ac:dyDescent="0.2">
      <c r="A43" s="2">
        <v>39</v>
      </c>
      <c r="B43" s="2" t="s">
        <v>125</v>
      </c>
      <c r="C43" s="2" t="s">
        <v>72</v>
      </c>
      <c r="D43" s="9">
        <v>45.78</v>
      </c>
      <c r="E43" s="9">
        <v>42.13</v>
      </c>
      <c r="F43" s="9">
        <v>45.98</v>
      </c>
      <c r="G43" s="9">
        <f>MAX(D43-Parameters!$B$7,0)</f>
        <v>5.78</v>
      </c>
      <c r="H43" s="9">
        <f>MAX(E43-Parameters!$B$7,0)</f>
        <v>2.13</v>
      </c>
      <c r="I43" s="9">
        <f>MAX(F43-Parameters!$B$7,0)</f>
        <v>5.98</v>
      </c>
    </row>
    <row r="44" spans="1:9" x14ac:dyDescent="0.2">
      <c r="A44" s="2">
        <v>40</v>
      </c>
      <c r="B44" s="2" t="s">
        <v>65</v>
      </c>
      <c r="C44" s="2" t="s">
        <v>73</v>
      </c>
      <c r="D44" s="9">
        <v>47.42</v>
      </c>
      <c r="E44" s="9">
        <v>40.05</v>
      </c>
      <c r="F44" s="9">
        <v>44.83</v>
      </c>
      <c r="G44" s="9">
        <f>MAX(D44-Parameters!$B$7,0)</f>
        <v>7.42</v>
      </c>
      <c r="H44" s="9">
        <f>MAX(E44-Parameters!$B$7,0)</f>
        <v>0.05</v>
      </c>
      <c r="I44" s="9">
        <f>MAX(F44-Parameters!$B$7,0)</f>
        <v>4.83</v>
      </c>
    </row>
    <row r="45" spans="1:9" x14ac:dyDescent="0.2">
      <c r="A45" s="2">
        <v>41</v>
      </c>
      <c r="B45" s="2" t="s">
        <v>126</v>
      </c>
      <c r="C45" s="2" t="s">
        <v>73</v>
      </c>
      <c r="D45" s="9">
        <v>54.18</v>
      </c>
      <c r="E45" s="9">
        <v>46.38</v>
      </c>
      <c r="F45" s="9">
        <v>41.96</v>
      </c>
      <c r="G45" s="9">
        <f>MAX(D45-Parameters!$B$7,0)</f>
        <v>14.18</v>
      </c>
      <c r="H45" s="9">
        <f>MAX(E45-Parameters!$B$7,0)</f>
        <v>6.38</v>
      </c>
      <c r="I45" s="9">
        <f>MAX(F45-Parameters!$B$7,0)</f>
        <v>1.96</v>
      </c>
    </row>
    <row r="46" spans="1:9" x14ac:dyDescent="0.2">
      <c r="A46" s="2">
        <v>42</v>
      </c>
      <c r="B46" s="2" t="s">
        <v>127</v>
      </c>
      <c r="C46" s="2" t="s">
        <v>73</v>
      </c>
      <c r="D46" s="9">
        <v>51.71</v>
      </c>
      <c r="E46" s="9">
        <v>45.79</v>
      </c>
      <c r="F46" s="9">
        <v>49.12</v>
      </c>
      <c r="G46" s="9">
        <f>MAX(D46-Parameters!$B$7,0)</f>
        <v>11.71</v>
      </c>
      <c r="H46" s="9">
        <f>MAX(E46-Parameters!$B$7,0)</f>
        <v>5.79</v>
      </c>
      <c r="I46" s="9">
        <f>MAX(F46-Parameters!$B$7,0)</f>
        <v>9.12</v>
      </c>
    </row>
    <row r="47" spans="1:9" x14ac:dyDescent="0.2">
      <c r="A47" s="2">
        <v>43</v>
      </c>
      <c r="B47" s="2" t="s">
        <v>128</v>
      </c>
      <c r="C47" s="2" t="s">
        <v>73</v>
      </c>
      <c r="D47" s="9">
        <v>52.12</v>
      </c>
      <c r="E47" s="9">
        <v>44.42</v>
      </c>
      <c r="F47" s="9">
        <v>44.14</v>
      </c>
      <c r="G47" s="9">
        <f>MAX(D47-Parameters!$B$7,0)</f>
        <v>12.12</v>
      </c>
      <c r="H47" s="9">
        <f>MAX(E47-Parameters!$B$7,0)</f>
        <v>4.42</v>
      </c>
      <c r="I47" s="9">
        <f>MAX(F47-Parameters!$B$7,0)</f>
        <v>4.14</v>
      </c>
    </row>
    <row r="48" spans="1:9" x14ac:dyDescent="0.2">
      <c r="A48" s="2">
        <v>44</v>
      </c>
      <c r="B48" s="2" t="s">
        <v>129</v>
      </c>
      <c r="C48" s="2" t="s">
        <v>73</v>
      </c>
      <c r="D48" s="9">
        <v>47.34</v>
      </c>
      <c r="E48" s="9">
        <v>38.42</v>
      </c>
      <c r="F48" s="9">
        <v>44.81</v>
      </c>
      <c r="G48" s="9">
        <f>MAX(D48-Parameters!$B$7,0)</f>
        <v>7.34</v>
      </c>
      <c r="H48" s="9">
        <f>MAX(E48-Parameters!$B$7,0)</f>
        <v>0</v>
      </c>
      <c r="I48" s="9">
        <f>MAX(F48-Parameters!$B$7,0)</f>
        <v>4.81</v>
      </c>
    </row>
    <row r="49" spans="1:9" x14ac:dyDescent="0.2">
      <c r="A49" s="2">
        <v>45</v>
      </c>
      <c r="B49" s="2" t="s">
        <v>130</v>
      </c>
      <c r="C49" s="2" t="s">
        <v>73</v>
      </c>
      <c r="D49" s="9">
        <v>54.88</v>
      </c>
      <c r="E49" s="9">
        <v>45.43</v>
      </c>
      <c r="F49" s="9">
        <v>41.29</v>
      </c>
      <c r="G49" s="9">
        <f>MAX(D49-Parameters!$B$7,0)</f>
        <v>14.88</v>
      </c>
      <c r="H49" s="9">
        <f>MAX(E49-Parameters!$B$7,0)</f>
        <v>5.43</v>
      </c>
      <c r="I49" s="9">
        <f>MAX(F49-Parameters!$B$7,0)</f>
        <v>1.29</v>
      </c>
    </row>
    <row r="50" spans="1:9" x14ac:dyDescent="0.2">
      <c r="A50" s="2">
        <v>46</v>
      </c>
      <c r="B50" s="2" t="s">
        <v>131</v>
      </c>
      <c r="C50" s="2" t="s">
        <v>73</v>
      </c>
      <c r="D50" s="9">
        <v>46.66</v>
      </c>
      <c r="E50" s="9">
        <v>38.31</v>
      </c>
      <c r="F50" s="9">
        <v>46.12</v>
      </c>
      <c r="G50" s="9">
        <f>MAX(D50-Parameters!$B$7,0)</f>
        <v>6.66</v>
      </c>
      <c r="H50" s="9">
        <f>MAX(E50-Parameters!$B$7,0)</f>
        <v>0</v>
      </c>
      <c r="I50" s="9">
        <f>MAX(F50-Parameters!$B$7,0)</f>
        <v>6.12</v>
      </c>
    </row>
    <row r="51" spans="1:9" x14ac:dyDescent="0.2">
      <c r="A51" s="2">
        <v>47</v>
      </c>
      <c r="B51" s="2" t="s">
        <v>132</v>
      </c>
      <c r="C51" s="2" t="s">
        <v>73</v>
      </c>
      <c r="D51" s="9">
        <v>46.08</v>
      </c>
      <c r="E51" s="9">
        <v>39.57</v>
      </c>
      <c r="F51" s="9">
        <v>50.34</v>
      </c>
      <c r="G51" s="9">
        <f>MAX(D51-Parameters!$B$7,0)</f>
        <v>6.08</v>
      </c>
      <c r="H51" s="9">
        <f>MAX(E51-Parameters!$B$7,0)</f>
        <v>0</v>
      </c>
      <c r="I51" s="9">
        <f>MAX(F51-Parameters!$B$7,0)</f>
        <v>10.34</v>
      </c>
    </row>
    <row r="52" spans="1:9" x14ac:dyDescent="0.2">
      <c r="A52" s="2">
        <v>48</v>
      </c>
      <c r="B52" s="2" t="s">
        <v>133</v>
      </c>
      <c r="C52" s="2" t="s">
        <v>73</v>
      </c>
      <c r="D52" s="9">
        <v>46.7</v>
      </c>
      <c r="E52" s="9">
        <v>40.39</v>
      </c>
      <c r="F52" s="9">
        <v>49.46</v>
      </c>
      <c r="G52" s="9">
        <f>MAX(D52-Parameters!$B$7,0)</f>
        <v>6.7</v>
      </c>
      <c r="H52" s="9">
        <f>MAX(E52-Parameters!$B$7,0)</f>
        <v>0.39</v>
      </c>
      <c r="I52" s="9">
        <f>MAX(F52-Parameters!$B$7,0)</f>
        <v>9.46</v>
      </c>
    </row>
    <row r="53" spans="1:9" x14ac:dyDescent="0.2">
      <c r="A53" s="2">
        <v>49</v>
      </c>
      <c r="B53" s="2" t="s">
        <v>134</v>
      </c>
      <c r="C53" s="2" t="s">
        <v>73</v>
      </c>
      <c r="D53" s="9">
        <v>51.68</v>
      </c>
      <c r="E53" s="9">
        <v>38.51</v>
      </c>
      <c r="F53" s="9">
        <v>46.42</v>
      </c>
      <c r="G53" s="9">
        <f>MAX(D53-Parameters!$B$7,0)</f>
        <v>11.68</v>
      </c>
      <c r="H53" s="9">
        <f>MAX(E53-Parameters!$B$7,0)</f>
        <v>0</v>
      </c>
      <c r="I53" s="9">
        <f>MAX(F53-Parameters!$B$7,0)</f>
        <v>6.42</v>
      </c>
    </row>
    <row r="54" spans="1:9" x14ac:dyDescent="0.2">
      <c r="A54" s="2">
        <v>50</v>
      </c>
      <c r="B54" s="2" t="s">
        <v>135</v>
      </c>
      <c r="C54" s="2" t="s">
        <v>73</v>
      </c>
      <c r="D54" s="9">
        <v>54.07</v>
      </c>
      <c r="E54" s="9">
        <v>42.12</v>
      </c>
      <c r="F54" s="9">
        <v>43.43</v>
      </c>
      <c r="G54" s="9">
        <f>MAX(D54-Parameters!$B$7,0)</f>
        <v>14.07</v>
      </c>
      <c r="H54" s="9">
        <f>MAX(E54-Parameters!$B$7,0)</f>
        <v>2.12</v>
      </c>
      <c r="I54" s="9">
        <f>MAX(F54-Parameters!$B$7,0)</f>
        <v>3.43</v>
      </c>
    </row>
    <row r="55" spans="1:9" x14ac:dyDescent="0.2">
      <c r="A55" s="2">
        <v>51</v>
      </c>
      <c r="B55" s="2" t="s">
        <v>136</v>
      </c>
      <c r="C55" s="2" t="s">
        <v>73</v>
      </c>
      <c r="D55" s="9">
        <v>50.6</v>
      </c>
      <c r="E55" s="9">
        <v>45.27</v>
      </c>
      <c r="F55" s="9">
        <v>41.66</v>
      </c>
      <c r="G55" s="9">
        <f>MAX(D55-Parameters!$B$7,0)</f>
        <v>10.6</v>
      </c>
      <c r="H55" s="9">
        <f>MAX(E55-Parameters!$B$7,0)</f>
        <v>5.27</v>
      </c>
      <c r="I55" s="9">
        <f>MAX(F55-Parameters!$B$7,0)</f>
        <v>1.66</v>
      </c>
    </row>
    <row r="56" spans="1:9" x14ac:dyDescent="0.2">
      <c r="A56" s="2">
        <v>52</v>
      </c>
      <c r="B56" s="2" t="s">
        <v>137</v>
      </c>
      <c r="C56" s="2" t="s">
        <v>73</v>
      </c>
      <c r="D56" s="9">
        <v>44.12</v>
      </c>
      <c r="E56" s="9">
        <v>44.28</v>
      </c>
      <c r="F56" s="9">
        <v>46.2</v>
      </c>
      <c r="G56" s="9">
        <f>MAX(D56-Parameters!$B$7,0)</f>
        <v>4.12</v>
      </c>
      <c r="H56" s="9">
        <f>MAX(E56-Parameters!$B$7,0)</f>
        <v>4.28</v>
      </c>
      <c r="I56" s="9">
        <f>MAX(F56-Parameters!$B$7,0)</f>
        <v>6.2</v>
      </c>
    </row>
    <row r="57" spans="1:9" x14ac:dyDescent="0.2">
      <c r="A57" s="2">
        <v>53</v>
      </c>
      <c r="B57" s="2" t="s">
        <v>138</v>
      </c>
      <c r="C57" s="2" t="s">
        <v>74</v>
      </c>
      <c r="D57" s="9">
        <v>49.39</v>
      </c>
      <c r="E57" s="9">
        <v>38.8</v>
      </c>
      <c r="F57" s="9">
        <v>48.83</v>
      </c>
      <c r="G57" s="9">
        <f>MAX(D57-Parameters!$B$7,0)</f>
        <v>9.39</v>
      </c>
      <c r="H57" s="9">
        <f>MAX(E57-Parameters!$B$7,0)</f>
        <v>0</v>
      </c>
      <c r="I57" s="9">
        <f>MAX(F57-Parameters!$B$7,0)</f>
        <v>8.83</v>
      </c>
    </row>
    <row r="58" spans="1:9" x14ac:dyDescent="0.2">
      <c r="A58" s="2">
        <v>54</v>
      </c>
      <c r="B58" s="2" t="s">
        <v>139</v>
      </c>
      <c r="C58" s="2" t="s">
        <v>74</v>
      </c>
      <c r="D58" s="9">
        <v>49.5</v>
      </c>
      <c r="E58" s="9">
        <v>43.97</v>
      </c>
      <c r="F58" s="9">
        <v>44.05</v>
      </c>
      <c r="G58" s="9">
        <f>MAX(D58-Parameters!$B$7,0)</f>
        <v>9.5</v>
      </c>
      <c r="H58" s="9">
        <f>MAX(E58-Parameters!$B$7,0)</f>
        <v>3.97</v>
      </c>
      <c r="I58" s="9">
        <f>MAX(F58-Parameters!$B$7,0)</f>
        <v>4.05</v>
      </c>
    </row>
    <row r="59" spans="1:9" x14ac:dyDescent="0.2">
      <c r="A59" s="2">
        <v>55</v>
      </c>
      <c r="B59" s="2" t="s">
        <v>140</v>
      </c>
      <c r="C59" s="2" t="s">
        <v>74</v>
      </c>
      <c r="D59" s="9">
        <v>46.77</v>
      </c>
      <c r="E59" s="9">
        <v>43.68</v>
      </c>
      <c r="F59" s="9">
        <v>41.59</v>
      </c>
      <c r="G59" s="9">
        <f>MAX(D59-Parameters!$B$7,0)</f>
        <v>6.77</v>
      </c>
      <c r="H59" s="9">
        <f>MAX(E59-Parameters!$B$7,0)</f>
        <v>3.68</v>
      </c>
      <c r="I59" s="9">
        <f>MAX(F59-Parameters!$B$7,0)</f>
        <v>1.59</v>
      </c>
    </row>
    <row r="60" spans="1:9" x14ac:dyDescent="0.2">
      <c r="A60" s="2">
        <v>56</v>
      </c>
      <c r="B60" s="2" t="s">
        <v>141</v>
      </c>
      <c r="C60" s="2" t="s">
        <v>74</v>
      </c>
      <c r="D60" s="9">
        <v>53.36</v>
      </c>
      <c r="E60" s="9">
        <v>39.84</v>
      </c>
      <c r="F60" s="9">
        <v>44.09</v>
      </c>
      <c r="G60" s="9">
        <f>MAX(D60-Parameters!$B$7,0)</f>
        <v>13.36</v>
      </c>
      <c r="H60" s="9">
        <f>MAX(E60-Parameters!$B$7,0)</f>
        <v>0</v>
      </c>
      <c r="I60" s="9">
        <f>MAX(F60-Parameters!$B$7,0)</f>
        <v>4.09</v>
      </c>
    </row>
    <row r="61" spans="1:9" x14ac:dyDescent="0.2">
      <c r="A61" s="2">
        <v>57</v>
      </c>
      <c r="B61" s="2" t="s">
        <v>142</v>
      </c>
      <c r="C61" s="2" t="s">
        <v>74</v>
      </c>
      <c r="D61" s="9">
        <v>57.84</v>
      </c>
      <c r="E61" s="9">
        <v>46.64</v>
      </c>
      <c r="F61" s="9">
        <v>52.09</v>
      </c>
      <c r="G61" s="9">
        <f>MAX(D61-Parameters!$B$7,0)</f>
        <v>17.84</v>
      </c>
      <c r="H61" s="9">
        <f>MAX(E61-Parameters!$B$7,0)</f>
        <v>6.64</v>
      </c>
      <c r="I61" s="9">
        <f>MAX(F61-Parameters!$B$7,0)</f>
        <v>12.09</v>
      </c>
    </row>
    <row r="62" spans="1:9" x14ac:dyDescent="0.2">
      <c r="A62" s="2">
        <v>58</v>
      </c>
      <c r="B62" s="2" t="s">
        <v>143</v>
      </c>
      <c r="C62" s="2" t="s">
        <v>74</v>
      </c>
      <c r="D62" s="9">
        <v>52.45</v>
      </c>
      <c r="E62" s="9">
        <v>43.22</v>
      </c>
      <c r="F62" s="9">
        <v>51.18</v>
      </c>
      <c r="G62" s="9">
        <f>MAX(D62-Parameters!$B$7,0)</f>
        <v>12.45</v>
      </c>
      <c r="H62" s="9">
        <f>MAX(E62-Parameters!$B$7,0)</f>
        <v>3.22</v>
      </c>
      <c r="I62" s="9">
        <f>MAX(F62-Parameters!$B$7,0)</f>
        <v>11.18</v>
      </c>
    </row>
    <row r="63" spans="1:9" x14ac:dyDescent="0.2">
      <c r="A63" s="2">
        <v>59</v>
      </c>
      <c r="B63" s="2" t="s">
        <v>144</v>
      </c>
      <c r="C63" s="2" t="s">
        <v>74</v>
      </c>
      <c r="D63" s="9">
        <v>49.84</v>
      </c>
      <c r="E63" s="9">
        <v>42.06</v>
      </c>
      <c r="F63" s="9">
        <v>53.39</v>
      </c>
      <c r="G63" s="9">
        <f>MAX(D63-Parameters!$B$7,0)</f>
        <v>9.84</v>
      </c>
      <c r="H63" s="9">
        <f>MAX(E63-Parameters!$B$7,0)</f>
        <v>2.06</v>
      </c>
      <c r="I63" s="9">
        <f>MAX(F63-Parameters!$B$7,0)</f>
        <v>13.39</v>
      </c>
    </row>
    <row r="64" spans="1:9" x14ac:dyDescent="0.2">
      <c r="A64" s="2">
        <v>60</v>
      </c>
      <c r="B64" s="2" t="s">
        <v>145</v>
      </c>
      <c r="C64" s="2" t="s">
        <v>74</v>
      </c>
      <c r="D64" s="9">
        <v>57.54</v>
      </c>
      <c r="E64" s="9">
        <v>47.55</v>
      </c>
      <c r="F64" s="9">
        <v>50.42</v>
      </c>
      <c r="G64" s="9">
        <f>MAX(D64-Parameters!$B$7,0)</f>
        <v>17.54</v>
      </c>
      <c r="H64" s="9">
        <f>MAX(E64-Parameters!$B$7,0)</f>
        <v>7.55</v>
      </c>
      <c r="I64" s="9">
        <f>MAX(F64-Parameters!$B$7,0)</f>
        <v>10.42</v>
      </c>
    </row>
    <row r="65" spans="1:9" x14ac:dyDescent="0.2">
      <c r="A65" s="2">
        <v>61</v>
      </c>
      <c r="B65" s="2" t="s">
        <v>146</v>
      </c>
      <c r="C65" s="2" t="s">
        <v>74</v>
      </c>
      <c r="D65" s="9">
        <v>56.08</v>
      </c>
      <c r="E65" s="9">
        <v>46.83</v>
      </c>
      <c r="F65" s="9">
        <v>47.52</v>
      </c>
      <c r="G65" s="9">
        <f>MAX(D65-Parameters!$B$7,0)</f>
        <v>16.08</v>
      </c>
      <c r="H65" s="9">
        <f>MAX(E65-Parameters!$B$7,0)</f>
        <v>6.83</v>
      </c>
      <c r="I65" s="9">
        <f>MAX(F65-Parameters!$B$7,0)</f>
        <v>7.52</v>
      </c>
    </row>
    <row r="66" spans="1:9" x14ac:dyDescent="0.2">
      <c r="A66" s="2">
        <v>62</v>
      </c>
      <c r="B66" s="2" t="s">
        <v>147</v>
      </c>
      <c r="C66" s="2" t="s">
        <v>74</v>
      </c>
      <c r="D66" s="9">
        <v>0</v>
      </c>
      <c r="E66" s="9">
        <v>41.4</v>
      </c>
      <c r="F66" s="9">
        <v>49.84</v>
      </c>
      <c r="G66" s="9">
        <f>MAX(D66-Parameters!$B$7,0)</f>
        <v>0</v>
      </c>
      <c r="H66" s="9">
        <f>MAX(E66-Parameters!$B$7,0)</f>
        <v>1.4</v>
      </c>
      <c r="I66" s="9">
        <f>MAX(F66-Parameters!$B$7,0)</f>
        <v>9.84</v>
      </c>
    </row>
    <row r="67" spans="1:9" x14ac:dyDescent="0.2">
      <c r="A67" s="2">
        <v>63</v>
      </c>
      <c r="B67" s="2" t="s">
        <v>148</v>
      </c>
      <c r="C67" s="2" t="s">
        <v>74</v>
      </c>
      <c r="D67" s="9">
        <v>52.49</v>
      </c>
      <c r="E67" s="9">
        <v>40.63</v>
      </c>
      <c r="F67" s="9">
        <v>50.85</v>
      </c>
      <c r="G67" s="9">
        <f>MAX(D67-Parameters!$B$7,0)</f>
        <v>12.49</v>
      </c>
      <c r="H67" s="9">
        <f>MAX(E67-Parameters!$B$7,0)</f>
        <v>0.63</v>
      </c>
      <c r="I67" s="9">
        <f>MAX(F67-Parameters!$B$7,0)</f>
        <v>10.85</v>
      </c>
    </row>
    <row r="68" spans="1:9" x14ac:dyDescent="0.2">
      <c r="A68" s="2">
        <v>64</v>
      </c>
      <c r="B68" s="2" t="s">
        <v>149</v>
      </c>
      <c r="C68" s="2" t="s">
        <v>74</v>
      </c>
      <c r="D68" s="9">
        <v>55.93</v>
      </c>
      <c r="E68" s="9">
        <v>40.86</v>
      </c>
      <c r="F68" s="9">
        <v>46.87</v>
      </c>
      <c r="G68" s="9">
        <f>MAX(D68-Parameters!$B$7,0)</f>
        <v>15.93</v>
      </c>
      <c r="H68" s="9">
        <f>MAX(E68-Parameters!$B$7,0)</f>
        <v>0.86</v>
      </c>
      <c r="I68" s="9">
        <f>MAX(F68-Parameters!$B$7,0)</f>
        <v>6.87</v>
      </c>
    </row>
    <row r="69" spans="1:9" x14ac:dyDescent="0.2">
      <c r="A69" s="2">
        <v>65</v>
      </c>
      <c r="B69" s="2" t="s">
        <v>150</v>
      </c>
      <c r="C69" s="2" t="s">
        <v>74</v>
      </c>
      <c r="D69" s="9">
        <v>54</v>
      </c>
      <c r="E69" s="9">
        <v>41.42</v>
      </c>
      <c r="F69" s="9">
        <v>52.32</v>
      </c>
      <c r="G69" s="9">
        <f>MAX(D69-Parameters!$B$7,0)</f>
        <v>14</v>
      </c>
      <c r="H69" s="9">
        <f>MAX(E69-Parameters!$B$7,0)</f>
        <v>1.42</v>
      </c>
      <c r="I69" s="9">
        <f>MAX(F69-Parameters!$B$7,0)</f>
        <v>12.32</v>
      </c>
    </row>
    <row r="70" spans="1:9" x14ac:dyDescent="0.2">
      <c r="A70" s="2">
        <v>66</v>
      </c>
      <c r="B70" s="2" t="s">
        <v>151</v>
      </c>
      <c r="C70" s="2" t="s">
        <v>75</v>
      </c>
      <c r="D70" s="9">
        <v>49.32</v>
      </c>
      <c r="E70" s="9">
        <v>44.27</v>
      </c>
      <c r="F70" s="9">
        <v>47</v>
      </c>
      <c r="G70" s="9">
        <f>MAX(D70-Parameters!$B$7,0)</f>
        <v>9.32</v>
      </c>
      <c r="H70" s="9">
        <f>MAX(E70-Parameters!$B$7,0)</f>
        <v>4.27</v>
      </c>
      <c r="I70" s="9">
        <f>MAX(F70-Parameters!$B$7,0)</f>
        <v>7</v>
      </c>
    </row>
    <row r="71" spans="1:9" x14ac:dyDescent="0.2">
      <c r="A71" s="2">
        <v>67</v>
      </c>
      <c r="B71" s="2" t="s">
        <v>152</v>
      </c>
      <c r="C71" s="2" t="s">
        <v>75</v>
      </c>
      <c r="D71" s="9">
        <v>49.23</v>
      </c>
      <c r="E71" s="9">
        <v>40.44</v>
      </c>
      <c r="F71" s="9">
        <v>44.49</v>
      </c>
      <c r="G71" s="9">
        <f>MAX(D71-Parameters!$B$7,0)</f>
        <v>9.23</v>
      </c>
      <c r="H71" s="9">
        <f>MAX(E71-Parameters!$B$7,0)</f>
        <v>0.44</v>
      </c>
      <c r="I71" s="9">
        <f>MAX(F71-Parameters!$B$7,0)</f>
        <v>4.49</v>
      </c>
    </row>
    <row r="72" spans="1:9" x14ac:dyDescent="0.2">
      <c r="A72" s="2">
        <v>68</v>
      </c>
      <c r="B72" s="2" t="s">
        <v>153</v>
      </c>
      <c r="C72" s="2" t="s">
        <v>75</v>
      </c>
      <c r="D72" s="9">
        <v>53.93</v>
      </c>
      <c r="E72" s="9">
        <v>44.55</v>
      </c>
      <c r="F72" s="9">
        <v>42.03</v>
      </c>
      <c r="G72" s="9">
        <f>MAX(D72-Parameters!$B$7,0)</f>
        <v>13.93</v>
      </c>
      <c r="H72" s="9">
        <f>MAX(E72-Parameters!$B$7,0)</f>
        <v>4.55</v>
      </c>
      <c r="I72" s="9">
        <f>MAX(F72-Parameters!$B$7,0)</f>
        <v>2.03</v>
      </c>
    </row>
    <row r="73" spans="1:9" x14ac:dyDescent="0.2">
      <c r="A73" s="2">
        <v>69</v>
      </c>
      <c r="B73" s="2" t="s">
        <v>154</v>
      </c>
      <c r="C73" s="2" t="s">
        <v>75</v>
      </c>
      <c r="D73" s="9">
        <v>50.79</v>
      </c>
      <c r="E73" s="9">
        <v>38.28</v>
      </c>
      <c r="F73" s="9">
        <v>45.38</v>
      </c>
      <c r="G73" s="9">
        <f>MAX(D73-Parameters!$B$7,0)</f>
        <v>10.79</v>
      </c>
      <c r="H73" s="9">
        <f>MAX(E73-Parameters!$B$7,0)</f>
        <v>0</v>
      </c>
      <c r="I73" s="9">
        <f>MAX(F73-Parameters!$B$7,0)</f>
        <v>5.38</v>
      </c>
    </row>
    <row r="74" spans="1:9" x14ac:dyDescent="0.2">
      <c r="A74" s="2">
        <v>70</v>
      </c>
      <c r="B74" s="2" t="s">
        <v>155</v>
      </c>
      <c r="C74" s="2" t="s">
        <v>75</v>
      </c>
      <c r="D74" s="9">
        <v>50.61</v>
      </c>
      <c r="E74" s="9">
        <v>42.34</v>
      </c>
      <c r="F74" s="9">
        <v>42.91</v>
      </c>
      <c r="G74" s="9">
        <f>MAX(D74-Parameters!$B$7,0)</f>
        <v>10.61</v>
      </c>
      <c r="H74" s="9">
        <f>MAX(E74-Parameters!$B$7,0)</f>
        <v>2.34</v>
      </c>
      <c r="I74" s="9">
        <f>MAX(F74-Parameters!$B$7,0)</f>
        <v>2.91</v>
      </c>
    </row>
    <row r="75" spans="1:9" x14ac:dyDescent="0.2">
      <c r="A75" s="2">
        <v>71</v>
      </c>
      <c r="B75" s="2" t="s">
        <v>156</v>
      </c>
      <c r="C75" s="2" t="s">
        <v>75</v>
      </c>
      <c r="D75" s="9">
        <v>48.12</v>
      </c>
      <c r="E75" s="9">
        <v>41.12</v>
      </c>
      <c r="F75" s="9">
        <v>43.63</v>
      </c>
      <c r="G75" s="9">
        <f>MAX(D75-Parameters!$B$7,0)</f>
        <v>8.12</v>
      </c>
      <c r="H75" s="9">
        <f>MAX(E75-Parameters!$B$7,0)</f>
        <v>1.12</v>
      </c>
      <c r="I75" s="9">
        <f>MAX(F75-Parameters!$B$7,0)</f>
        <v>3.63</v>
      </c>
    </row>
    <row r="76" spans="1:9" x14ac:dyDescent="0.2">
      <c r="A76" s="2">
        <v>72</v>
      </c>
      <c r="B76" s="2" t="s">
        <v>157</v>
      </c>
      <c r="C76" s="2" t="s">
        <v>75</v>
      </c>
      <c r="D76" s="9">
        <v>53.56</v>
      </c>
      <c r="E76" s="9">
        <v>44.36</v>
      </c>
      <c r="F76" s="9">
        <v>46.16</v>
      </c>
      <c r="G76" s="9">
        <f>MAX(D76-Parameters!$B$7,0)</f>
        <v>13.56</v>
      </c>
      <c r="H76" s="9">
        <f>MAX(E76-Parameters!$B$7,0)</f>
        <v>4.36</v>
      </c>
      <c r="I76" s="9">
        <f>MAX(F76-Parameters!$B$7,0)</f>
        <v>6.16</v>
      </c>
    </row>
    <row r="77" spans="1:9" x14ac:dyDescent="0.2">
      <c r="A77" s="2">
        <v>73</v>
      </c>
      <c r="B77" s="2" t="s">
        <v>158</v>
      </c>
      <c r="C77" s="2" t="s">
        <v>75</v>
      </c>
      <c r="D77" s="9">
        <v>44.04</v>
      </c>
      <c r="E77" s="9">
        <v>46.47</v>
      </c>
      <c r="F77" s="9">
        <v>0</v>
      </c>
      <c r="G77" s="9">
        <f>MAX(D77-Parameters!$B$7,0)</f>
        <v>4.04</v>
      </c>
      <c r="H77" s="9">
        <f>MAX(E77-Parameters!$B$7,0)</f>
        <v>6.47</v>
      </c>
      <c r="I77" s="9">
        <f>MAX(F77-Parameters!$B$7,0)</f>
        <v>0</v>
      </c>
    </row>
    <row r="78" spans="1:9" x14ac:dyDescent="0.2">
      <c r="A78" s="2">
        <v>74</v>
      </c>
      <c r="B78" s="2" t="s">
        <v>159</v>
      </c>
      <c r="C78" s="2" t="s">
        <v>75</v>
      </c>
      <c r="D78" s="9">
        <v>49.1</v>
      </c>
      <c r="E78" s="9">
        <v>44.07</v>
      </c>
      <c r="F78" s="9">
        <v>48.44</v>
      </c>
      <c r="G78" s="9">
        <f>MAX(D78-Parameters!$B$7,0)</f>
        <v>9.1</v>
      </c>
      <c r="H78" s="9">
        <f>MAX(E78-Parameters!$B$7,0)</f>
        <v>4.07</v>
      </c>
      <c r="I78" s="9">
        <f>MAX(F78-Parameters!$B$7,0)</f>
        <v>8.44</v>
      </c>
    </row>
    <row r="79" spans="1:9" x14ac:dyDescent="0.2">
      <c r="A79" s="2">
        <v>75</v>
      </c>
      <c r="B79" s="2" t="s">
        <v>160</v>
      </c>
      <c r="C79" s="2" t="s">
        <v>75</v>
      </c>
      <c r="D79" s="9">
        <v>47.32</v>
      </c>
      <c r="E79" s="9">
        <v>39.18</v>
      </c>
      <c r="F79" s="9">
        <v>45.53</v>
      </c>
      <c r="G79" s="9">
        <f>MAX(D79-Parameters!$B$7,0)</f>
        <v>7.32</v>
      </c>
      <c r="H79" s="9">
        <f>MAX(E79-Parameters!$B$7,0)</f>
        <v>0</v>
      </c>
      <c r="I79" s="9">
        <f>MAX(F79-Parameters!$B$7,0)</f>
        <v>5.53</v>
      </c>
    </row>
    <row r="80" spans="1:9" x14ac:dyDescent="0.2">
      <c r="A80" s="2">
        <v>76</v>
      </c>
      <c r="B80" s="2" t="s">
        <v>161</v>
      </c>
      <c r="C80" s="2" t="s">
        <v>75</v>
      </c>
      <c r="D80" s="9">
        <v>55.53</v>
      </c>
      <c r="E80" s="9">
        <v>38.65</v>
      </c>
      <c r="F80" s="9">
        <v>46.4</v>
      </c>
      <c r="G80" s="9">
        <f>MAX(D80-Parameters!$B$7,0)</f>
        <v>15.53</v>
      </c>
      <c r="H80" s="9">
        <f>MAX(E80-Parameters!$B$7,0)</f>
        <v>0</v>
      </c>
      <c r="I80" s="9">
        <f>MAX(F80-Parameters!$B$7,0)</f>
        <v>6.4</v>
      </c>
    </row>
    <row r="81" spans="1:9" x14ac:dyDescent="0.2">
      <c r="A81" s="2">
        <v>77</v>
      </c>
      <c r="B81" s="2" t="s">
        <v>162</v>
      </c>
      <c r="C81" s="2" t="s">
        <v>75</v>
      </c>
      <c r="D81" s="9">
        <v>52.98</v>
      </c>
      <c r="E81" s="9">
        <v>42.3</v>
      </c>
      <c r="F81" s="9">
        <v>44.77</v>
      </c>
      <c r="G81" s="9">
        <f>MAX(D81-Parameters!$B$7,0)</f>
        <v>12.98</v>
      </c>
      <c r="H81" s="9">
        <f>MAX(E81-Parameters!$B$7,0)</f>
        <v>2.3</v>
      </c>
      <c r="I81" s="9">
        <f>MAX(F81-Parameters!$B$7,0)</f>
        <v>4.77</v>
      </c>
    </row>
    <row r="82" spans="1:9" x14ac:dyDescent="0.2">
      <c r="A82" s="2">
        <v>78</v>
      </c>
      <c r="B82" s="2" t="s">
        <v>163</v>
      </c>
      <c r="C82" s="2" t="s">
        <v>75</v>
      </c>
      <c r="D82" s="9">
        <v>51.98</v>
      </c>
      <c r="E82" s="9">
        <v>43.09</v>
      </c>
      <c r="F82" s="9">
        <v>49.15</v>
      </c>
      <c r="G82" s="9">
        <f>MAX(D82-Parameters!$B$7,0)</f>
        <v>11.98</v>
      </c>
      <c r="H82" s="9">
        <f>MAX(E82-Parameters!$B$7,0)</f>
        <v>3.09</v>
      </c>
      <c r="I82" s="9">
        <f>MAX(F82-Parameters!$B$7,0)</f>
        <v>9.15</v>
      </c>
    </row>
    <row r="83" spans="1:9" x14ac:dyDescent="0.2">
      <c r="A83" s="2">
        <v>79</v>
      </c>
      <c r="B83" s="2" t="s">
        <v>164</v>
      </c>
      <c r="C83" s="2" t="s">
        <v>76</v>
      </c>
      <c r="D83" s="9">
        <v>52.11</v>
      </c>
      <c r="E83" s="9">
        <v>0</v>
      </c>
      <c r="F83" s="9">
        <v>49.07</v>
      </c>
      <c r="G83" s="9">
        <f>MAX(D83-Parameters!$B$7,0)</f>
        <v>12.11</v>
      </c>
      <c r="H83" s="9">
        <f>MAX(E83-Parameters!$B$7,0)</f>
        <v>0</v>
      </c>
      <c r="I83" s="9">
        <f>MAX(F83-Parameters!$B$7,0)</f>
        <v>9.07</v>
      </c>
    </row>
    <row r="84" spans="1:9" x14ac:dyDescent="0.2">
      <c r="A84" s="2">
        <v>80</v>
      </c>
      <c r="B84" s="2" t="s">
        <v>165</v>
      </c>
      <c r="C84" s="2" t="s">
        <v>76</v>
      </c>
      <c r="D84" s="9">
        <v>54.2</v>
      </c>
      <c r="E84" s="9">
        <v>40.39</v>
      </c>
      <c r="F84" s="9">
        <v>45.3</v>
      </c>
      <c r="G84" s="9">
        <f>MAX(D84-Parameters!$B$7,0)</f>
        <v>14.2</v>
      </c>
      <c r="H84" s="9">
        <f>MAX(E84-Parameters!$B$7,0)</f>
        <v>0.39</v>
      </c>
      <c r="I84" s="9">
        <f>MAX(F84-Parameters!$B$7,0)</f>
        <v>5.3</v>
      </c>
    </row>
    <row r="85" spans="1:9" x14ac:dyDescent="0.2">
      <c r="A85" s="2">
        <v>81</v>
      </c>
      <c r="B85" s="2" t="s">
        <v>166</v>
      </c>
      <c r="C85" s="2" t="s">
        <v>76</v>
      </c>
      <c r="D85" s="9">
        <v>50.07</v>
      </c>
      <c r="E85" s="9">
        <v>42.18</v>
      </c>
      <c r="F85" s="9">
        <v>48.29</v>
      </c>
      <c r="G85" s="9">
        <f>MAX(D85-Parameters!$B$7,0)</f>
        <v>10.07</v>
      </c>
      <c r="H85" s="9">
        <f>MAX(E85-Parameters!$B$7,0)</f>
        <v>2.18</v>
      </c>
      <c r="I85" s="9">
        <f>MAX(F85-Parameters!$B$7,0)</f>
        <v>8.29</v>
      </c>
    </row>
    <row r="86" spans="1:9" x14ac:dyDescent="0.2">
      <c r="A86" s="2">
        <v>82</v>
      </c>
      <c r="B86" s="2" t="s">
        <v>167</v>
      </c>
      <c r="C86" s="2" t="s">
        <v>76</v>
      </c>
      <c r="D86" s="9">
        <v>46.41</v>
      </c>
      <c r="E86" s="9">
        <v>45.39</v>
      </c>
      <c r="F86" s="9">
        <v>51.26</v>
      </c>
      <c r="G86" s="9">
        <f>MAX(D86-Parameters!$B$7,0)</f>
        <v>6.41</v>
      </c>
      <c r="H86" s="9">
        <f>MAX(E86-Parameters!$B$7,0)</f>
        <v>5.39</v>
      </c>
      <c r="I86" s="9">
        <f>MAX(F86-Parameters!$B$7,0)</f>
        <v>11.26</v>
      </c>
    </row>
    <row r="87" spans="1:9" x14ac:dyDescent="0.2">
      <c r="A87" s="2">
        <v>83</v>
      </c>
      <c r="B87" s="2" t="s">
        <v>168</v>
      </c>
      <c r="C87" s="2" t="s">
        <v>76</v>
      </c>
      <c r="D87" s="9">
        <v>46.02</v>
      </c>
      <c r="E87" s="9">
        <v>42.1</v>
      </c>
      <c r="F87" s="9">
        <v>47.92</v>
      </c>
      <c r="G87" s="9">
        <f>MAX(D87-Parameters!$B$7,0)</f>
        <v>6.02</v>
      </c>
      <c r="H87" s="9">
        <f>MAX(E87-Parameters!$B$7,0)</f>
        <v>2.1</v>
      </c>
      <c r="I87" s="9">
        <f>MAX(F87-Parameters!$B$7,0)</f>
        <v>7.92</v>
      </c>
    </row>
    <row r="88" spans="1:9" x14ac:dyDescent="0.2">
      <c r="A88" s="2">
        <v>84</v>
      </c>
      <c r="B88" s="2" t="s">
        <v>169</v>
      </c>
      <c r="C88" s="2" t="s">
        <v>76</v>
      </c>
      <c r="D88" s="9">
        <v>50.27</v>
      </c>
      <c r="E88" s="9">
        <v>45.76</v>
      </c>
      <c r="F88" s="9">
        <v>42.99</v>
      </c>
      <c r="G88" s="9">
        <f>MAX(D88-Parameters!$B$7,0)</f>
        <v>10.27</v>
      </c>
      <c r="H88" s="9">
        <f>MAX(E88-Parameters!$B$7,0)</f>
        <v>5.76</v>
      </c>
      <c r="I88" s="9">
        <f>MAX(F88-Parameters!$B$7,0)</f>
        <v>2.99</v>
      </c>
    </row>
    <row r="89" spans="1:9" x14ac:dyDescent="0.2">
      <c r="A89" s="2">
        <v>85</v>
      </c>
      <c r="B89" s="2" t="s">
        <v>170</v>
      </c>
      <c r="C89" s="2" t="s">
        <v>76</v>
      </c>
      <c r="D89" s="9">
        <v>52.09</v>
      </c>
      <c r="E89" s="9">
        <v>41.09</v>
      </c>
      <c r="F89" s="9">
        <v>45.93</v>
      </c>
      <c r="G89" s="9">
        <f>MAX(D89-Parameters!$B$7,0)</f>
        <v>12.09</v>
      </c>
      <c r="H89" s="9">
        <f>MAX(E89-Parameters!$B$7,0)</f>
        <v>1.09</v>
      </c>
      <c r="I89" s="9">
        <f>MAX(F89-Parameters!$B$7,0)</f>
        <v>5.93</v>
      </c>
    </row>
    <row r="90" spans="1:9" x14ac:dyDescent="0.2">
      <c r="A90" s="2">
        <v>86</v>
      </c>
      <c r="B90" s="2" t="s">
        <v>171</v>
      </c>
      <c r="C90" s="2" t="s">
        <v>76</v>
      </c>
      <c r="D90" s="9">
        <v>51.51</v>
      </c>
      <c r="E90" s="9">
        <v>44.65</v>
      </c>
      <c r="F90" s="9">
        <v>48.4</v>
      </c>
      <c r="G90" s="9">
        <f>MAX(D90-Parameters!$B$7,0)</f>
        <v>11.51</v>
      </c>
      <c r="H90" s="9">
        <f>MAX(E90-Parameters!$B$7,0)</f>
        <v>4.65</v>
      </c>
      <c r="I90" s="9">
        <f>MAX(F90-Parameters!$B$7,0)</f>
        <v>8.4</v>
      </c>
    </row>
    <row r="91" spans="1:9" x14ac:dyDescent="0.2">
      <c r="A91" s="2">
        <v>87</v>
      </c>
      <c r="B91" s="2" t="s">
        <v>172</v>
      </c>
      <c r="C91" s="2" t="s">
        <v>76</v>
      </c>
      <c r="D91" s="9">
        <v>48.99</v>
      </c>
      <c r="E91" s="9">
        <v>40.93</v>
      </c>
      <c r="F91" s="9">
        <v>42.31</v>
      </c>
      <c r="G91" s="9">
        <f>MAX(D91-Parameters!$B$7,0)</f>
        <v>8.99</v>
      </c>
      <c r="H91" s="9">
        <f>MAX(E91-Parameters!$B$7,0)</f>
        <v>0.93</v>
      </c>
      <c r="I91" s="9">
        <f>MAX(F91-Parameters!$B$7,0)</f>
        <v>2.31</v>
      </c>
    </row>
    <row r="92" spans="1:9" x14ac:dyDescent="0.2">
      <c r="A92" s="2">
        <v>88</v>
      </c>
      <c r="B92" s="2" t="s">
        <v>173</v>
      </c>
      <c r="C92" s="2" t="s">
        <v>76</v>
      </c>
      <c r="D92" s="9">
        <v>50.15</v>
      </c>
      <c r="E92" s="9">
        <v>39.51</v>
      </c>
      <c r="F92" s="9">
        <v>45.64</v>
      </c>
      <c r="G92" s="9">
        <f>MAX(D92-Parameters!$B$7,0)</f>
        <v>10.15</v>
      </c>
      <c r="H92" s="9">
        <f>MAX(E92-Parameters!$B$7,0)</f>
        <v>0</v>
      </c>
      <c r="I92" s="9">
        <f>MAX(F92-Parameters!$B$7,0)</f>
        <v>5.64</v>
      </c>
    </row>
    <row r="93" spans="1:9" x14ac:dyDescent="0.2">
      <c r="A93" s="2">
        <v>89</v>
      </c>
      <c r="B93" s="2" t="s">
        <v>174</v>
      </c>
      <c r="C93" s="2" t="s">
        <v>76</v>
      </c>
      <c r="D93" s="9">
        <v>54.35</v>
      </c>
      <c r="E93" s="9">
        <v>40.6</v>
      </c>
      <c r="F93" s="9">
        <v>41.2</v>
      </c>
      <c r="G93" s="9">
        <f>MAX(D93-Parameters!$B$7,0)</f>
        <v>14.35</v>
      </c>
      <c r="H93" s="9">
        <f>MAX(E93-Parameters!$B$7,0)</f>
        <v>0.6</v>
      </c>
      <c r="I93" s="9">
        <f>MAX(F93-Parameters!$B$7,0)</f>
        <v>1.2</v>
      </c>
    </row>
    <row r="94" spans="1:9" x14ac:dyDescent="0.2">
      <c r="A94" s="2">
        <v>90</v>
      </c>
      <c r="B94" s="2" t="s">
        <v>175</v>
      </c>
      <c r="C94" s="2" t="s">
        <v>76</v>
      </c>
      <c r="D94" s="9">
        <v>51.6</v>
      </c>
      <c r="E94" s="9">
        <v>44.03</v>
      </c>
      <c r="F94" s="9">
        <v>48.64</v>
      </c>
      <c r="G94" s="9">
        <f>MAX(D94-Parameters!$B$7,0)</f>
        <v>11.6</v>
      </c>
      <c r="H94" s="9">
        <f>MAX(E94-Parameters!$B$7,0)</f>
        <v>4.03</v>
      </c>
      <c r="I94" s="9">
        <f>MAX(F94-Parameters!$B$7,0)</f>
        <v>8.64</v>
      </c>
    </row>
    <row r="95" spans="1:9" x14ac:dyDescent="0.2">
      <c r="A95" s="2">
        <v>91</v>
      </c>
      <c r="B95" s="2" t="s">
        <v>176</v>
      </c>
      <c r="C95" s="2" t="s">
        <v>76</v>
      </c>
      <c r="D95" s="9">
        <v>54.52</v>
      </c>
      <c r="E95" s="9">
        <v>45.41</v>
      </c>
      <c r="F95" s="9">
        <v>42.39</v>
      </c>
      <c r="G95" s="9">
        <f>MAX(D95-Parameters!$B$7,0)</f>
        <v>14.52</v>
      </c>
      <c r="H95" s="9">
        <f>MAX(E95-Parameters!$B$7,0)</f>
        <v>5.41</v>
      </c>
      <c r="I95" s="9">
        <f>MAX(F95-Parameters!$B$7,0)</f>
        <v>2.39</v>
      </c>
    </row>
    <row r="96" spans="1:9" x14ac:dyDescent="0.2">
      <c r="A96" s="2">
        <v>92</v>
      </c>
      <c r="B96" s="2" t="s">
        <v>177</v>
      </c>
      <c r="C96" s="2" t="s">
        <v>77</v>
      </c>
      <c r="D96" s="9">
        <v>44.81</v>
      </c>
      <c r="E96" s="9">
        <v>40</v>
      </c>
      <c r="F96" s="9">
        <v>43.75</v>
      </c>
      <c r="G96" s="9">
        <f>MAX(D96-Parameters!$B$7,0)</f>
        <v>4.81</v>
      </c>
      <c r="H96" s="9">
        <f>MAX(E96-Parameters!$B$7,0)</f>
        <v>0</v>
      </c>
      <c r="I96" s="9">
        <f>MAX(F96-Parameters!$B$7,0)</f>
        <v>3.75</v>
      </c>
    </row>
    <row r="97" spans="1:9" x14ac:dyDescent="0.2">
      <c r="A97" s="2">
        <v>93</v>
      </c>
      <c r="B97" s="2" t="s">
        <v>178</v>
      </c>
      <c r="C97" s="2" t="s">
        <v>77</v>
      </c>
      <c r="D97" s="9">
        <v>53.03</v>
      </c>
      <c r="E97" s="9">
        <v>43.03</v>
      </c>
      <c r="F97" s="9">
        <v>49.56</v>
      </c>
      <c r="G97" s="9">
        <f>MAX(D97-Parameters!$B$7,0)</f>
        <v>13.03</v>
      </c>
      <c r="H97" s="9">
        <f>MAX(E97-Parameters!$B$7,0)</f>
        <v>3.03</v>
      </c>
      <c r="I97" s="9">
        <f>MAX(F97-Parameters!$B$7,0)</f>
        <v>9.56</v>
      </c>
    </row>
    <row r="98" spans="1:9" x14ac:dyDescent="0.2">
      <c r="A98" s="2">
        <v>94</v>
      </c>
      <c r="B98" s="2" t="s">
        <v>179</v>
      </c>
      <c r="C98" s="2" t="s">
        <v>77</v>
      </c>
      <c r="D98" s="9">
        <v>0</v>
      </c>
      <c r="E98" s="9">
        <v>46.09</v>
      </c>
      <c r="F98" s="9">
        <v>47.25</v>
      </c>
      <c r="G98" s="9">
        <f>MAX(D98-Parameters!$B$7,0)</f>
        <v>0</v>
      </c>
      <c r="H98" s="9">
        <f>MAX(E98-Parameters!$B$7,0)</f>
        <v>6.09</v>
      </c>
      <c r="I98" s="9">
        <f>MAX(F98-Parameters!$B$7,0)</f>
        <v>7.25</v>
      </c>
    </row>
    <row r="99" spans="1:9" x14ac:dyDescent="0.2">
      <c r="A99" s="2">
        <v>95</v>
      </c>
      <c r="B99" s="2" t="s">
        <v>180</v>
      </c>
      <c r="C99" s="2" t="s">
        <v>77</v>
      </c>
      <c r="D99" s="9">
        <v>49.44</v>
      </c>
      <c r="E99" s="9">
        <v>39.18</v>
      </c>
      <c r="F99" s="9">
        <v>46.62</v>
      </c>
      <c r="G99" s="9">
        <f>MAX(D99-Parameters!$B$7,0)</f>
        <v>9.44</v>
      </c>
      <c r="H99" s="9">
        <f>MAX(E99-Parameters!$B$7,0)</f>
        <v>0</v>
      </c>
      <c r="I99" s="9">
        <f>MAX(F99-Parameters!$B$7,0)</f>
        <v>6.62</v>
      </c>
    </row>
    <row r="100" spans="1:9" x14ac:dyDescent="0.2">
      <c r="A100" s="2">
        <v>96</v>
      </c>
      <c r="B100" s="2" t="s">
        <v>181</v>
      </c>
      <c r="C100" s="2" t="s">
        <v>77</v>
      </c>
      <c r="D100" s="9">
        <v>51.12</v>
      </c>
      <c r="E100" s="9">
        <v>43.49</v>
      </c>
      <c r="F100" s="9">
        <v>47.81</v>
      </c>
      <c r="G100" s="9">
        <f>MAX(D100-Parameters!$B$7,0)</f>
        <v>11.12</v>
      </c>
      <c r="H100" s="9">
        <f>MAX(E100-Parameters!$B$7,0)</f>
        <v>3.49</v>
      </c>
      <c r="I100" s="9">
        <f>MAX(F100-Parameters!$B$7,0)</f>
        <v>7.81</v>
      </c>
    </row>
    <row r="101" spans="1:9" x14ac:dyDescent="0.2">
      <c r="A101" s="2">
        <v>97</v>
      </c>
      <c r="B101" s="2" t="s">
        <v>182</v>
      </c>
      <c r="C101" s="2" t="s">
        <v>77</v>
      </c>
      <c r="D101" s="9">
        <v>46.8</v>
      </c>
      <c r="E101" s="9">
        <v>42.67</v>
      </c>
      <c r="F101" s="9">
        <v>49.6</v>
      </c>
      <c r="G101" s="9">
        <f>MAX(D101-Parameters!$B$7,0)</f>
        <v>6.8</v>
      </c>
      <c r="H101" s="9">
        <f>MAX(E101-Parameters!$B$7,0)</f>
        <v>2.67</v>
      </c>
      <c r="I101" s="9">
        <f>MAX(F101-Parameters!$B$7,0)</f>
        <v>9.6</v>
      </c>
    </row>
    <row r="102" spans="1:9" x14ac:dyDescent="0.2">
      <c r="A102" s="2">
        <v>98</v>
      </c>
      <c r="B102" s="2" t="s">
        <v>183</v>
      </c>
      <c r="C102" s="2" t="s">
        <v>77</v>
      </c>
      <c r="D102" s="9">
        <v>44.2</v>
      </c>
      <c r="E102" s="9">
        <v>41.62</v>
      </c>
      <c r="F102" s="9">
        <v>44.15</v>
      </c>
      <c r="G102" s="9">
        <f>MAX(D102-Parameters!$B$7,0)</f>
        <v>4.2</v>
      </c>
      <c r="H102" s="9">
        <f>MAX(E102-Parameters!$B$7,0)</f>
        <v>1.62</v>
      </c>
      <c r="I102" s="9">
        <f>MAX(F102-Parameters!$B$7,0)</f>
        <v>4.15</v>
      </c>
    </row>
    <row r="103" spans="1:9" x14ac:dyDescent="0.2">
      <c r="A103" s="2">
        <v>99</v>
      </c>
      <c r="B103" s="2" t="s">
        <v>184</v>
      </c>
      <c r="C103" s="2" t="s">
        <v>77</v>
      </c>
      <c r="D103" s="9">
        <v>44.19</v>
      </c>
      <c r="E103" s="9">
        <v>45.33</v>
      </c>
      <c r="F103" s="9">
        <v>45.33</v>
      </c>
      <c r="G103" s="9">
        <f>MAX(D103-Parameters!$B$7,0)</f>
        <v>4.19</v>
      </c>
      <c r="H103" s="9">
        <f>MAX(E103-Parameters!$B$7,0)</f>
        <v>5.33</v>
      </c>
      <c r="I103" s="9">
        <f>MAX(F103-Parameters!$B$7,0)</f>
        <v>5.33</v>
      </c>
    </row>
    <row r="104" spans="1:9" x14ac:dyDescent="0.2">
      <c r="A104" s="2">
        <v>100</v>
      </c>
      <c r="B104" s="2" t="s">
        <v>185</v>
      </c>
      <c r="C104" s="2" t="s">
        <v>77</v>
      </c>
      <c r="D104" s="9">
        <v>52.12</v>
      </c>
      <c r="E104" s="9">
        <v>39.34</v>
      </c>
      <c r="F104" s="9">
        <v>44.86</v>
      </c>
      <c r="G104" s="9">
        <f>MAX(D104-Parameters!$B$7,0)</f>
        <v>12.12</v>
      </c>
      <c r="H104" s="9">
        <f>MAX(E104-Parameters!$B$7,0)</f>
        <v>0</v>
      </c>
      <c r="I104" s="9">
        <f>MAX(F104-Parameters!$B$7,0)</f>
        <v>4.86</v>
      </c>
    </row>
    <row r="105" spans="1:9" x14ac:dyDescent="0.2">
      <c r="A105" s="2">
        <v>101</v>
      </c>
      <c r="B105" s="2" t="s">
        <v>186</v>
      </c>
      <c r="C105" s="2" t="s">
        <v>77</v>
      </c>
      <c r="D105" s="9">
        <v>51.59</v>
      </c>
      <c r="E105" s="9">
        <v>43.06</v>
      </c>
      <c r="F105" s="9">
        <v>42.64</v>
      </c>
      <c r="G105" s="9">
        <f>MAX(D105-Parameters!$B$7,0)</f>
        <v>11.59</v>
      </c>
      <c r="H105" s="9">
        <f>MAX(E105-Parameters!$B$7,0)</f>
        <v>3.06</v>
      </c>
      <c r="I105" s="9">
        <f>MAX(F105-Parameters!$B$7,0)</f>
        <v>2.64</v>
      </c>
    </row>
    <row r="106" spans="1:9" x14ac:dyDescent="0.2">
      <c r="A106" s="2">
        <v>102</v>
      </c>
      <c r="B106" s="2" t="s">
        <v>187</v>
      </c>
      <c r="C106" s="2" t="s">
        <v>77</v>
      </c>
      <c r="D106" s="9">
        <v>47.68</v>
      </c>
      <c r="E106" s="9">
        <v>42.32</v>
      </c>
      <c r="F106" s="9">
        <v>49.89</v>
      </c>
      <c r="G106" s="9">
        <f>MAX(D106-Parameters!$B$7,0)</f>
        <v>7.68</v>
      </c>
      <c r="H106" s="9">
        <f>MAX(E106-Parameters!$B$7,0)</f>
        <v>2.32</v>
      </c>
      <c r="I106" s="9">
        <f>MAX(F106-Parameters!$B$7,0)</f>
        <v>9.89</v>
      </c>
    </row>
    <row r="107" spans="1:9" x14ac:dyDescent="0.2">
      <c r="A107" s="2">
        <v>103</v>
      </c>
      <c r="B107" s="2" t="s">
        <v>188</v>
      </c>
      <c r="C107" s="2" t="s">
        <v>77</v>
      </c>
      <c r="D107" s="9">
        <v>44.93</v>
      </c>
      <c r="E107" s="9">
        <v>39.62</v>
      </c>
      <c r="F107" s="9">
        <v>48.81</v>
      </c>
      <c r="G107" s="9">
        <f>MAX(D107-Parameters!$B$7,0)</f>
        <v>4.93</v>
      </c>
      <c r="H107" s="9">
        <f>MAX(E107-Parameters!$B$7,0)</f>
        <v>0</v>
      </c>
      <c r="I107" s="9">
        <f>MAX(F107-Parameters!$B$7,0)</f>
        <v>8.81</v>
      </c>
    </row>
    <row r="108" spans="1:9" x14ac:dyDescent="0.2">
      <c r="A108" s="2">
        <v>104</v>
      </c>
      <c r="B108" s="2" t="s">
        <v>189</v>
      </c>
      <c r="C108" s="2" t="s">
        <v>77</v>
      </c>
      <c r="D108" s="9">
        <v>49.81</v>
      </c>
      <c r="E108" s="9">
        <v>43.49</v>
      </c>
      <c r="F108" s="9">
        <v>43.84</v>
      </c>
      <c r="G108" s="9">
        <f>MAX(D108-Parameters!$B$7,0)</f>
        <v>9.81</v>
      </c>
      <c r="H108" s="9">
        <f>MAX(E108-Parameters!$B$7,0)</f>
        <v>3.49</v>
      </c>
      <c r="I108" s="9">
        <f>MAX(F108-Parameters!$B$7,0)</f>
        <v>3.84</v>
      </c>
    </row>
    <row r="109" spans="1:9" x14ac:dyDescent="0.2">
      <c r="A109" s="7" t="s">
        <v>190</v>
      </c>
      <c r="D109" s="13">
        <f t="shared" ref="D109:I109" si="0">SUM(D5:D108)</f>
        <v>5094.08</v>
      </c>
      <c r="E109" s="13">
        <f t="shared" si="0"/>
        <v>4339.72</v>
      </c>
      <c r="F109" s="13">
        <f t="shared" si="0"/>
        <v>4754.38</v>
      </c>
      <c r="G109" s="13">
        <f t="shared" si="0"/>
        <v>1054.08</v>
      </c>
      <c r="H109" s="13">
        <f t="shared" si="0"/>
        <v>279.08</v>
      </c>
      <c r="I109" s="13">
        <f t="shared" si="0"/>
        <v>674.38</v>
      </c>
    </row>
    <row r="110" spans="1:9" x14ac:dyDescent="0.2">
      <c r="A110" s="7" t="s">
        <v>191</v>
      </c>
      <c r="D110" s="7">
        <f>COUNTIF(D5:D108,"&gt;0")</f>
        <v>101</v>
      </c>
      <c r="E110" s="7">
        <f>COUNTIF(E5:E108,"&gt;0")</f>
        <v>102</v>
      </c>
      <c r="F110" s="7">
        <f>COUNTIF(F5:F108,"&gt;0")</f>
        <v>102</v>
      </c>
    </row>
    <row r="111" spans="1:9" x14ac:dyDescent="0.2">
      <c r="A111" s="7" t="s">
        <v>192</v>
      </c>
      <c r="D111" s="7">
        <f>COUNTIF(D5:D108,"&gt;40")</f>
        <v>101</v>
      </c>
      <c r="E111" s="7">
        <f>COUNTIF(E5:E108,"&gt;40")</f>
        <v>82</v>
      </c>
      <c r="F111" s="7">
        <f>COUNTIF(F5:F108,"&gt;40")</f>
        <v>102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9"/>
  <sheetViews>
    <sheetView workbookViewId="0">
      <pane xSplit="3" ySplit="4" topLeftCell="D5" activePane="bottomRight" state="frozen"/>
      <selection pane="topRight"/>
      <selection pane="bottomLeft"/>
      <selection pane="bottomRight"/>
    </sheetView>
  </sheetViews>
  <sheetFormatPr baseColWidth="10" defaultColWidth="8.83203125" defaultRowHeight="15" x14ac:dyDescent="0.2"/>
  <cols>
    <col min="1" max="1" width="10" customWidth="1"/>
    <col min="2" max="2" width="12" customWidth="1"/>
    <col min="3" max="3" width="9" customWidth="1"/>
    <col min="4" max="4" width="12" customWidth="1"/>
    <col min="5" max="6" width="14" customWidth="1"/>
    <col min="7" max="8" width="12" customWidth="1"/>
    <col min="9" max="9" width="14" customWidth="1"/>
  </cols>
  <sheetData>
    <row r="1" spans="1:9" ht="16" x14ac:dyDescent="0.2">
      <c r="A1" s="1" t="s">
        <v>193</v>
      </c>
    </row>
    <row r="2" spans="1:9" x14ac:dyDescent="0.2">
      <c r="A2" s="2" t="s">
        <v>194</v>
      </c>
    </row>
    <row r="4" spans="1:9" x14ac:dyDescent="0.2">
      <c r="A4" s="4" t="s">
        <v>80</v>
      </c>
      <c r="B4" s="4" t="s">
        <v>81</v>
      </c>
      <c r="C4" s="4" t="s">
        <v>67</v>
      </c>
      <c r="D4" s="4" t="s">
        <v>195</v>
      </c>
      <c r="E4" s="4" t="s">
        <v>22</v>
      </c>
      <c r="F4" s="4" t="s">
        <v>196</v>
      </c>
      <c r="G4" s="4" t="s">
        <v>197</v>
      </c>
      <c r="H4" s="4" t="s">
        <v>198</v>
      </c>
      <c r="I4" s="4" t="s">
        <v>199</v>
      </c>
    </row>
    <row r="5" spans="1:9" x14ac:dyDescent="0.2">
      <c r="A5" s="2">
        <f>Hours!A5</f>
        <v>1</v>
      </c>
      <c r="B5" s="2" t="str">
        <f>Hours!B5</f>
        <v>10/06/2024</v>
      </c>
      <c r="C5" s="2" t="str">
        <f>Hours!C5</f>
        <v>Q4 2024</v>
      </c>
      <c r="D5" s="9">
        <f>Hours!D5</f>
        <v>45.65</v>
      </c>
      <c r="E5" s="9">
        <f>Hours!G5</f>
        <v>5.65</v>
      </c>
      <c r="F5" s="5">
        <f>IF(A5&gt;=Parameters!$E$19,Parameters!$C$19,Parameters!$B$19)</f>
        <v>760</v>
      </c>
      <c r="G5" s="5">
        <f>SUMIFS(Bonuses!$D$4:$D$27,Bonuses!$A$4:$A$27,"Kendra Voight",Bonuses!$B$4:$B$27,C5)</f>
        <v>47.12</v>
      </c>
      <c r="H5" s="5">
        <f>ROUND((F5+G5)/Parameters!$B$7,2)</f>
        <v>20.18</v>
      </c>
      <c r="I5" s="5">
        <f>ROUND(Parameters!$B$8*H5*E5,2)</f>
        <v>171.03</v>
      </c>
    </row>
    <row r="6" spans="1:9" x14ac:dyDescent="0.2">
      <c r="A6" s="2">
        <f>Hours!A6</f>
        <v>2</v>
      </c>
      <c r="B6" s="2" t="str">
        <f>Hours!B6</f>
        <v>10/13/2024</v>
      </c>
      <c r="C6" s="2" t="str">
        <f>Hours!C6</f>
        <v>Q4 2024</v>
      </c>
      <c r="D6" s="9">
        <f>Hours!D6</f>
        <v>51.72</v>
      </c>
      <c r="E6" s="9">
        <f>Hours!G6</f>
        <v>11.72</v>
      </c>
      <c r="F6" s="5">
        <f>IF(A6&gt;=Parameters!$E$19,Parameters!$C$19,Parameters!$B$19)</f>
        <v>760</v>
      </c>
      <c r="G6" s="5">
        <f>SUMIFS(Bonuses!$D$4:$D$27,Bonuses!$A$4:$A$27,"Kendra Voight",Bonuses!$B$4:$B$27,C6)</f>
        <v>47.12</v>
      </c>
      <c r="H6" s="5">
        <f>ROUND((F6+G6)/Parameters!$B$7,2)</f>
        <v>20.18</v>
      </c>
      <c r="I6" s="5">
        <f>ROUND(Parameters!$B$8*H6*E6,2)</f>
        <v>354.76</v>
      </c>
    </row>
    <row r="7" spans="1:9" x14ac:dyDescent="0.2">
      <c r="A7" s="2">
        <f>Hours!A7</f>
        <v>3</v>
      </c>
      <c r="B7" s="2" t="str">
        <f>Hours!B7</f>
        <v>10/20/2024</v>
      </c>
      <c r="C7" s="2" t="str">
        <f>Hours!C7</f>
        <v>Q4 2024</v>
      </c>
      <c r="D7" s="9">
        <f>Hours!D7</f>
        <v>51.09</v>
      </c>
      <c r="E7" s="9">
        <f>Hours!G7</f>
        <v>11.09</v>
      </c>
      <c r="F7" s="5">
        <f>IF(A7&gt;=Parameters!$E$19,Parameters!$C$19,Parameters!$B$19)</f>
        <v>760</v>
      </c>
      <c r="G7" s="5">
        <f>SUMIFS(Bonuses!$D$4:$D$27,Bonuses!$A$4:$A$27,"Kendra Voight",Bonuses!$B$4:$B$27,C7)</f>
        <v>47.12</v>
      </c>
      <c r="H7" s="5">
        <f>ROUND((F7+G7)/Parameters!$B$7,2)</f>
        <v>20.18</v>
      </c>
      <c r="I7" s="5">
        <f>ROUND(Parameters!$B$8*H7*E7,2)</f>
        <v>335.69</v>
      </c>
    </row>
    <row r="8" spans="1:9" x14ac:dyDescent="0.2">
      <c r="A8" s="2">
        <f>Hours!A8</f>
        <v>4</v>
      </c>
      <c r="B8" s="2" t="str">
        <f>Hours!B8</f>
        <v>10/27/2024</v>
      </c>
      <c r="C8" s="2" t="str">
        <f>Hours!C8</f>
        <v>Q4 2024</v>
      </c>
      <c r="D8" s="9">
        <f>Hours!D8</f>
        <v>53.27</v>
      </c>
      <c r="E8" s="9">
        <f>Hours!G8</f>
        <v>13.27</v>
      </c>
      <c r="F8" s="5">
        <f>IF(A8&gt;=Parameters!$E$19,Parameters!$C$19,Parameters!$B$19)</f>
        <v>760</v>
      </c>
      <c r="G8" s="5">
        <f>SUMIFS(Bonuses!$D$4:$D$27,Bonuses!$A$4:$A$27,"Kendra Voight",Bonuses!$B$4:$B$27,C8)</f>
        <v>47.12</v>
      </c>
      <c r="H8" s="5">
        <f>ROUND((F8+G8)/Parameters!$B$7,2)</f>
        <v>20.18</v>
      </c>
      <c r="I8" s="5">
        <f>ROUND(Parameters!$B$8*H8*E8,2)</f>
        <v>401.68</v>
      </c>
    </row>
    <row r="9" spans="1:9" x14ac:dyDescent="0.2">
      <c r="A9" s="2">
        <f>Hours!A9</f>
        <v>5</v>
      </c>
      <c r="B9" s="2" t="str">
        <f>Hours!B9</f>
        <v>11/03/2024</v>
      </c>
      <c r="C9" s="2" t="str">
        <f>Hours!C9</f>
        <v>Q4 2024</v>
      </c>
      <c r="D9" s="9">
        <f>Hours!D9</f>
        <v>54.94</v>
      </c>
      <c r="E9" s="9">
        <f>Hours!G9</f>
        <v>14.94</v>
      </c>
      <c r="F9" s="5">
        <f>IF(A9&gt;=Parameters!$E$19,Parameters!$C$19,Parameters!$B$19)</f>
        <v>760</v>
      </c>
      <c r="G9" s="5">
        <f>SUMIFS(Bonuses!$D$4:$D$27,Bonuses!$A$4:$A$27,"Kendra Voight",Bonuses!$B$4:$B$27,C9)</f>
        <v>47.12</v>
      </c>
      <c r="H9" s="5">
        <f>ROUND((F9+G9)/Parameters!$B$7,2)</f>
        <v>20.18</v>
      </c>
      <c r="I9" s="5">
        <f>ROUND(Parameters!$B$8*H9*E9,2)</f>
        <v>452.23</v>
      </c>
    </row>
    <row r="10" spans="1:9" x14ac:dyDescent="0.2">
      <c r="A10" s="2">
        <f>Hours!A10</f>
        <v>6</v>
      </c>
      <c r="B10" s="2" t="str">
        <f>Hours!B10</f>
        <v>11/10/2024</v>
      </c>
      <c r="C10" s="2" t="str">
        <f>Hours!C10</f>
        <v>Q4 2024</v>
      </c>
      <c r="D10" s="9">
        <f>Hours!D10</f>
        <v>57.65</v>
      </c>
      <c r="E10" s="9">
        <f>Hours!G10</f>
        <v>17.65</v>
      </c>
      <c r="F10" s="5">
        <f>IF(A10&gt;=Parameters!$E$19,Parameters!$C$19,Parameters!$B$19)</f>
        <v>760</v>
      </c>
      <c r="G10" s="5">
        <f>SUMIFS(Bonuses!$D$4:$D$27,Bonuses!$A$4:$A$27,"Kendra Voight",Bonuses!$B$4:$B$27,C10)</f>
        <v>47.12</v>
      </c>
      <c r="H10" s="5">
        <f>ROUND((F10+G10)/Parameters!$B$7,2)</f>
        <v>20.18</v>
      </c>
      <c r="I10" s="5">
        <f>ROUND(Parameters!$B$8*H10*E10,2)</f>
        <v>534.27</v>
      </c>
    </row>
    <row r="11" spans="1:9" x14ac:dyDescent="0.2">
      <c r="A11" s="2">
        <f>Hours!A11</f>
        <v>7</v>
      </c>
      <c r="B11" s="2" t="str">
        <f>Hours!B11</f>
        <v>11/17/2024</v>
      </c>
      <c r="C11" s="2" t="str">
        <f>Hours!C11</f>
        <v>Q4 2024</v>
      </c>
      <c r="D11" s="9">
        <f>Hours!D11</f>
        <v>47.22</v>
      </c>
      <c r="E11" s="9">
        <f>Hours!G11</f>
        <v>7.22</v>
      </c>
      <c r="F11" s="5">
        <f>IF(A11&gt;=Parameters!$E$19,Parameters!$C$19,Parameters!$B$19)</f>
        <v>760</v>
      </c>
      <c r="G11" s="5">
        <f>SUMIFS(Bonuses!$D$4:$D$27,Bonuses!$A$4:$A$27,"Kendra Voight",Bonuses!$B$4:$B$27,C11)</f>
        <v>47.12</v>
      </c>
      <c r="H11" s="5">
        <f>ROUND((F11+G11)/Parameters!$B$7,2)</f>
        <v>20.18</v>
      </c>
      <c r="I11" s="5">
        <f>ROUND(Parameters!$B$8*H11*E11,2)</f>
        <v>218.55</v>
      </c>
    </row>
    <row r="12" spans="1:9" x14ac:dyDescent="0.2">
      <c r="A12" s="2">
        <f>Hours!A12</f>
        <v>8</v>
      </c>
      <c r="B12" s="2" t="str">
        <f>Hours!B12</f>
        <v>11/24/2024</v>
      </c>
      <c r="C12" s="2" t="str">
        <f>Hours!C12</f>
        <v>Q4 2024</v>
      </c>
      <c r="D12" s="9">
        <f>Hours!D12</f>
        <v>55.39</v>
      </c>
      <c r="E12" s="9">
        <f>Hours!G12</f>
        <v>15.39</v>
      </c>
      <c r="F12" s="5">
        <f>IF(A12&gt;=Parameters!$E$19,Parameters!$C$19,Parameters!$B$19)</f>
        <v>760</v>
      </c>
      <c r="G12" s="5">
        <f>SUMIFS(Bonuses!$D$4:$D$27,Bonuses!$A$4:$A$27,"Kendra Voight",Bonuses!$B$4:$B$27,C12)</f>
        <v>47.12</v>
      </c>
      <c r="H12" s="5">
        <f>ROUND((F12+G12)/Parameters!$B$7,2)</f>
        <v>20.18</v>
      </c>
      <c r="I12" s="5">
        <f>ROUND(Parameters!$B$8*H12*E12,2)</f>
        <v>465.86</v>
      </c>
    </row>
    <row r="13" spans="1:9" x14ac:dyDescent="0.2">
      <c r="A13" s="2">
        <f>Hours!A13</f>
        <v>9</v>
      </c>
      <c r="B13" s="2" t="str">
        <f>Hours!B13</f>
        <v>12/01/2024</v>
      </c>
      <c r="C13" s="2" t="str">
        <f>Hours!C13</f>
        <v>Q4 2024</v>
      </c>
      <c r="D13" s="9">
        <f>Hours!D13</f>
        <v>56.43</v>
      </c>
      <c r="E13" s="9">
        <f>Hours!G13</f>
        <v>16.43</v>
      </c>
      <c r="F13" s="5">
        <f>IF(A13&gt;=Parameters!$E$19,Parameters!$C$19,Parameters!$B$19)</f>
        <v>760</v>
      </c>
      <c r="G13" s="5">
        <f>SUMIFS(Bonuses!$D$4:$D$27,Bonuses!$A$4:$A$27,"Kendra Voight",Bonuses!$B$4:$B$27,C13)</f>
        <v>47.12</v>
      </c>
      <c r="H13" s="5">
        <f>ROUND((F13+G13)/Parameters!$B$7,2)</f>
        <v>20.18</v>
      </c>
      <c r="I13" s="5">
        <f>ROUND(Parameters!$B$8*H13*E13,2)</f>
        <v>497.34</v>
      </c>
    </row>
    <row r="14" spans="1:9" x14ac:dyDescent="0.2">
      <c r="A14" s="2">
        <f>Hours!A14</f>
        <v>10</v>
      </c>
      <c r="B14" s="2" t="str">
        <f>Hours!B14</f>
        <v>12/08/2024</v>
      </c>
      <c r="C14" s="2" t="str">
        <f>Hours!C14</f>
        <v>Q4 2024</v>
      </c>
      <c r="D14" s="9">
        <f>Hours!D14</f>
        <v>55.16</v>
      </c>
      <c r="E14" s="9">
        <f>Hours!G14</f>
        <v>15.16</v>
      </c>
      <c r="F14" s="5">
        <f>IF(A14&gt;=Parameters!$E$19,Parameters!$C$19,Parameters!$B$19)</f>
        <v>760</v>
      </c>
      <c r="G14" s="5">
        <f>SUMIFS(Bonuses!$D$4:$D$27,Bonuses!$A$4:$A$27,"Kendra Voight",Bonuses!$B$4:$B$27,C14)</f>
        <v>47.12</v>
      </c>
      <c r="H14" s="5">
        <f>ROUND((F14+G14)/Parameters!$B$7,2)</f>
        <v>20.18</v>
      </c>
      <c r="I14" s="5">
        <f>ROUND(Parameters!$B$8*H14*E14,2)</f>
        <v>458.89</v>
      </c>
    </row>
    <row r="15" spans="1:9" x14ac:dyDescent="0.2">
      <c r="A15" s="2">
        <f>Hours!A15</f>
        <v>11</v>
      </c>
      <c r="B15" s="2" t="str">
        <f>Hours!B15</f>
        <v>12/15/2024</v>
      </c>
      <c r="C15" s="2" t="str">
        <f>Hours!C15</f>
        <v>Q4 2024</v>
      </c>
      <c r="D15" s="9">
        <f>Hours!D15</f>
        <v>56.05</v>
      </c>
      <c r="E15" s="9">
        <f>Hours!G15</f>
        <v>16.05</v>
      </c>
      <c r="F15" s="5">
        <f>IF(A15&gt;=Parameters!$E$19,Parameters!$C$19,Parameters!$B$19)</f>
        <v>760</v>
      </c>
      <c r="G15" s="5">
        <f>SUMIFS(Bonuses!$D$4:$D$27,Bonuses!$A$4:$A$27,"Kendra Voight",Bonuses!$B$4:$B$27,C15)</f>
        <v>47.12</v>
      </c>
      <c r="H15" s="5">
        <f>ROUND((F15+G15)/Parameters!$B$7,2)</f>
        <v>20.18</v>
      </c>
      <c r="I15" s="5">
        <f>ROUND(Parameters!$B$8*H15*E15,2)</f>
        <v>485.83</v>
      </c>
    </row>
    <row r="16" spans="1:9" x14ac:dyDescent="0.2">
      <c r="A16" s="2">
        <f>Hours!A16</f>
        <v>12</v>
      </c>
      <c r="B16" s="2" t="str">
        <f>Hours!B16</f>
        <v>12/22/2024</v>
      </c>
      <c r="C16" s="2" t="str">
        <f>Hours!C16</f>
        <v>Q4 2024</v>
      </c>
      <c r="D16" s="9">
        <f>Hours!D16</f>
        <v>49.04</v>
      </c>
      <c r="E16" s="9">
        <f>Hours!G16</f>
        <v>9.04</v>
      </c>
      <c r="F16" s="5">
        <f>IF(A16&gt;=Parameters!$E$19,Parameters!$C$19,Parameters!$B$19)</f>
        <v>760</v>
      </c>
      <c r="G16" s="5">
        <f>SUMIFS(Bonuses!$D$4:$D$27,Bonuses!$A$4:$A$27,"Kendra Voight",Bonuses!$B$4:$B$27,C16)</f>
        <v>47.12</v>
      </c>
      <c r="H16" s="5">
        <f>ROUND((F16+G16)/Parameters!$B$7,2)</f>
        <v>20.18</v>
      </c>
      <c r="I16" s="5">
        <f>ROUND(Parameters!$B$8*H16*E16,2)</f>
        <v>273.64</v>
      </c>
    </row>
    <row r="17" spans="1:9" x14ac:dyDescent="0.2">
      <c r="A17" s="2">
        <f>Hours!A17</f>
        <v>13</v>
      </c>
      <c r="B17" s="2" t="str">
        <f>Hours!B17</f>
        <v>12/29/2024</v>
      </c>
      <c r="C17" s="2" t="str">
        <f>Hours!C17</f>
        <v>Q4 2024</v>
      </c>
      <c r="D17" s="9">
        <f>Hours!D17</f>
        <v>0</v>
      </c>
      <c r="E17" s="9">
        <f>Hours!G17</f>
        <v>0</v>
      </c>
      <c r="F17" s="5">
        <f>IF(A17&gt;=Parameters!$E$19,Parameters!$C$19,Parameters!$B$19)</f>
        <v>760</v>
      </c>
      <c r="G17" s="5">
        <f>SUMIFS(Bonuses!$D$4:$D$27,Bonuses!$A$4:$A$27,"Kendra Voight",Bonuses!$B$4:$B$27,C17)</f>
        <v>47.12</v>
      </c>
      <c r="H17" s="5">
        <f>ROUND((F17+G17)/Parameters!$B$7,2)</f>
        <v>20.18</v>
      </c>
      <c r="I17" s="5">
        <f>ROUND(Parameters!$B$8*H17*E17,2)</f>
        <v>0</v>
      </c>
    </row>
    <row r="18" spans="1:9" x14ac:dyDescent="0.2">
      <c r="A18" s="2">
        <f>Hours!A18</f>
        <v>14</v>
      </c>
      <c r="B18" s="2" t="str">
        <f>Hours!B18</f>
        <v>01/05/2025</v>
      </c>
      <c r="C18" s="2" t="str">
        <f>Hours!C18</f>
        <v>Q1 2025</v>
      </c>
      <c r="D18" s="9">
        <f>Hours!D18</f>
        <v>54</v>
      </c>
      <c r="E18" s="9">
        <f>Hours!G18</f>
        <v>14</v>
      </c>
      <c r="F18" s="5">
        <f>IF(A18&gt;=Parameters!$E$19,Parameters!$C$19,Parameters!$B$19)</f>
        <v>760</v>
      </c>
      <c r="G18" s="5">
        <f>SUMIFS(Bonuses!$D$4:$D$27,Bonuses!$A$4:$A$27,"Kendra Voight",Bonuses!$B$4:$B$27,C18)</f>
        <v>0</v>
      </c>
      <c r="H18" s="5">
        <f>ROUND((F18+G18)/Parameters!$B$7,2)</f>
        <v>19</v>
      </c>
      <c r="I18" s="5">
        <f>ROUND(Parameters!$B$8*H18*E18,2)</f>
        <v>399</v>
      </c>
    </row>
    <row r="19" spans="1:9" x14ac:dyDescent="0.2">
      <c r="A19" s="2">
        <f>Hours!A19</f>
        <v>15</v>
      </c>
      <c r="B19" s="2" t="str">
        <f>Hours!B19</f>
        <v>01/12/2025</v>
      </c>
      <c r="C19" s="2" t="str">
        <f>Hours!C19</f>
        <v>Q1 2025</v>
      </c>
      <c r="D19" s="9">
        <f>Hours!D19</f>
        <v>44.09</v>
      </c>
      <c r="E19" s="9">
        <f>Hours!G19</f>
        <v>4.09</v>
      </c>
      <c r="F19" s="5">
        <f>IF(A19&gt;=Parameters!$E$19,Parameters!$C$19,Parameters!$B$19)</f>
        <v>800</v>
      </c>
      <c r="G19" s="5">
        <f>SUMIFS(Bonuses!$D$4:$D$27,Bonuses!$A$4:$A$27,"Kendra Voight",Bonuses!$B$4:$B$27,C19)</f>
        <v>0</v>
      </c>
      <c r="H19" s="5">
        <f>ROUND((F19+G19)/Parameters!$B$7,2)</f>
        <v>20</v>
      </c>
      <c r="I19" s="5">
        <f>ROUND(Parameters!$B$8*H19*E19,2)</f>
        <v>122.7</v>
      </c>
    </row>
    <row r="20" spans="1:9" x14ac:dyDescent="0.2">
      <c r="A20" s="2">
        <f>Hours!A20</f>
        <v>16</v>
      </c>
      <c r="B20" s="2" t="str">
        <f>Hours!B20</f>
        <v>01/19/2025</v>
      </c>
      <c r="C20" s="2" t="str">
        <f>Hours!C20</f>
        <v>Q1 2025</v>
      </c>
      <c r="D20" s="9">
        <f>Hours!D20</f>
        <v>48.61</v>
      </c>
      <c r="E20" s="9">
        <f>Hours!G20</f>
        <v>8.61</v>
      </c>
      <c r="F20" s="5">
        <f>IF(A20&gt;=Parameters!$E$19,Parameters!$C$19,Parameters!$B$19)</f>
        <v>800</v>
      </c>
      <c r="G20" s="5">
        <f>SUMIFS(Bonuses!$D$4:$D$27,Bonuses!$A$4:$A$27,"Kendra Voight",Bonuses!$B$4:$B$27,C20)</f>
        <v>0</v>
      </c>
      <c r="H20" s="5">
        <f>ROUND((F20+G20)/Parameters!$B$7,2)</f>
        <v>20</v>
      </c>
      <c r="I20" s="5">
        <f>ROUND(Parameters!$B$8*H20*E20,2)</f>
        <v>258.3</v>
      </c>
    </row>
    <row r="21" spans="1:9" x14ac:dyDescent="0.2">
      <c r="A21" s="2">
        <f>Hours!A21</f>
        <v>17</v>
      </c>
      <c r="B21" s="2" t="str">
        <f>Hours!B21</f>
        <v>01/26/2025</v>
      </c>
      <c r="C21" s="2" t="str">
        <f>Hours!C21</f>
        <v>Q1 2025</v>
      </c>
      <c r="D21" s="9">
        <f>Hours!D21</f>
        <v>53.56</v>
      </c>
      <c r="E21" s="9">
        <f>Hours!G21</f>
        <v>13.56</v>
      </c>
      <c r="F21" s="5">
        <f>IF(A21&gt;=Parameters!$E$19,Parameters!$C$19,Parameters!$B$19)</f>
        <v>800</v>
      </c>
      <c r="G21" s="5">
        <f>SUMIFS(Bonuses!$D$4:$D$27,Bonuses!$A$4:$A$27,"Kendra Voight",Bonuses!$B$4:$B$27,C21)</f>
        <v>0</v>
      </c>
      <c r="H21" s="5">
        <f>ROUND((F21+G21)/Parameters!$B$7,2)</f>
        <v>20</v>
      </c>
      <c r="I21" s="5">
        <f>ROUND(Parameters!$B$8*H21*E21,2)</f>
        <v>406.8</v>
      </c>
    </row>
    <row r="22" spans="1:9" x14ac:dyDescent="0.2">
      <c r="A22" s="2">
        <f>Hours!A22</f>
        <v>18</v>
      </c>
      <c r="B22" s="2" t="str">
        <f>Hours!B22</f>
        <v>02/02/2025</v>
      </c>
      <c r="C22" s="2" t="str">
        <f>Hours!C22</f>
        <v>Q1 2025</v>
      </c>
      <c r="D22" s="9">
        <f>Hours!D22</f>
        <v>50.82</v>
      </c>
      <c r="E22" s="9">
        <f>Hours!G22</f>
        <v>10.82</v>
      </c>
      <c r="F22" s="5">
        <f>IF(A22&gt;=Parameters!$E$19,Parameters!$C$19,Parameters!$B$19)</f>
        <v>800</v>
      </c>
      <c r="G22" s="5">
        <f>SUMIFS(Bonuses!$D$4:$D$27,Bonuses!$A$4:$A$27,"Kendra Voight",Bonuses!$B$4:$B$27,C22)</f>
        <v>0</v>
      </c>
      <c r="H22" s="5">
        <f>ROUND((F22+G22)/Parameters!$B$7,2)</f>
        <v>20</v>
      </c>
      <c r="I22" s="5">
        <f>ROUND(Parameters!$B$8*H22*E22,2)</f>
        <v>324.6</v>
      </c>
    </row>
    <row r="23" spans="1:9" x14ac:dyDescent="0.2">
      <c r="A23" s="2">
        <f>Hours!A23</f>
        <v>19</v>
      </c>
      <c r="B23" s="2" t="str">
        <f>Hours!B23</f>
        <v>02/09/2025</v>
      </c>
      <c r="C23" s="2" t="str">
        <f>Hours!C23</f>
        <v>Q1 2025</v>
      </c>
      <c r="D23" s="9">
        <f>Hours!D23</f>
        <v>48.32</v>
      </c>
      <c r="E23" s="9">
        <f>Hours!G23</f>
        <v>8.32</v>
      </c>
      <c r="F23" s="5">
        <f>IF(A23&gt;=Parameters!$E$19,Parameters!$C$19,Parameters!$B$19)</f>
        <v>800</v>
      </c>
      <c r="G23" s="5">
        <f>SUMIFS(Bonuses!$D$4:$D$27,Bonuses!$A$4:$A$27,"Kendra Voight",Bonuses!$B$4:$B$27,C23)</f>
        <v>0</v>
      </c>
      <c r="H23" s="5">
        <f>ROUND((F23+G23)/Parameters!$B$7,2)</f>
        <v>20</v>
      </c>
      <c r="I23" s="5">
        <f>ROUND(Parameters!$B$8*H23*E23,2)</f>
        <v>249.6</v>
      </c>
    </row>
    <row r="24" spans="1:9" x14ac:dyDescent="0.2">
      <c r="A24" s="2">
        <f>Hours!A24</f>
        <v>20</v>
      </c>
      <c r="B24" s="2" t="str">
        <f>Hours!B24</f>
        <v>02/16/2025</v>
      </c>
      <c r="C24" s="2" t="str">
        <f>Hours!C24</f>
        <v>Q1 2025</v>
      </c>
      <c r="D24" s="9">
        <f>Hours!D24</f>
        <v>45.24</v>
      </c>
      <c r="E24" s="9">
        <f>Hours!G24</f>
        <v>5.24</v>
      </c>
      <c r="F24" s="5">
        <f>IF(A24&gt;=Parameters!$E$19,Parameters!$C$19,Parameters!$B$19)</f>
        <v>800</v>
      </c>
      <c r="G24" s="5">
        <f>SUMIFS(Bonuses!$D$4:$D$27,Bonuses!$A$4:$A$27,"Kendra Voight",Bonuses!$B$4:$B$27,C24)</f>
        <v>0</v>
      </c>
      <c r="H24" s="5">
        <f>ROUND((F24+G24)/Parameters!$B$7,2)</f>
        <v>20</v>
      </c>
      <c r="I24" s="5">
        <f>ROUND(Parameters!$B$8*H24*E24,2)</f>
        <v>157.2</v>
      </c>
    </row>
    <row r="25" spans="1:9" x14ac:dyDescent="0.2">
      <c r="A25" s="2">
        <f>Hours!A25</f>
        <v>21</v>
      </c>
      <c r="B25" s="2" t="str">
        <f>Hours!B25</f>
        <v>02/23/2025</v>
      </c>
      <c r="C25" s="2" t="str">
        <f>Hours!C25</f>
        <v>Q1 2025</v>
      </c>
      <c r="D25" s="9">
        <f>Hours!D25</f>
        <v>51.44</v>
      </c>
      <c r="E25" s="9">
        <f>Hours!G25</f>
        <v>11.44</v>
      </c>
      <c r="F25" s="5">
        <f>IF(A25&gt;=Parameters!$E$19,Parameters!$C$19,Parameters!$B$19)</f>
        <v>800</v>
      </c>
      <c r="G25" s="5">
        <f>SUMIFS(Bonuses!$D$4:$D$27,Bonuses!$A$4:$A$27,"Kendra Voight",Bonuses!$B$4:$B$27,C25)</f>
        <v>0</v>
      </c>
      <c r="H25" s="5">
        <f>ROUND((F25+G25)/Parameters!$B$7,2)</f>
        <v>20</v>
      </c>
      <c r="I25" s="5">
        <f>ROUND(Parameters!$B$8*H25*E25,2)</f>
        <v>343.2</v>
      </c>
    </row>
    <row r="26" spans="1:9" x14ac:dyDescent="0.2">
      <c r="A26" s="2">
        <f>Hours!A26</f>
        <v>22</v>
      </c>
      <c r="B26" s="2" t="str">
        <f>Hours!B26</f>
        <v>03/02/2025</v>
      </c>
      <c r="C26" s="2" t="str">
        <f>Hours!C26</f>
        <v>Q1 2025</v>
      </c>
      <c r="D26" s="9">
        <f>Hours!D26</f>
        <v>55.25</v>
      </c>
      <c r="E26" s="9">
        <f>Hours!G26</f>
        <v>15.25</v>
      </c>
      <c r="F26" s="5">
        <f>IF(A26&gt;=Parameters!$E$19,Parameters!$C$19,Parameters!$B$19)</f>
        <v>800</v>
      </c>
      <c r="G26" s="5">
        <f>SUMIFS(Bonuses!$D$4:$D$27,Bonuses!$A$4:$A$27,"Kendra Voight",Bonuses!$B$4:$B$27,C26)</f>
        <v>0</v>
      </c>
      <c r="H26" s="5">
        <f>ROUND((F26+G26)/Parameters!$B$7,2)</f>
        <v>20</v>
      </c>
      <c r="I26" s="5">
        <f>ROUND(Parameters!$B$8*H26*E26,2)</f>
        <v>457.5</v>
      </c>
    </row>
    <row r="27" spans="1:9" x14ac:dyDescent="0.2">
      <c r="A27" s="2">
        <f>Hours!A27</f>
        <v>23</v>
      </c>
      <c r="B27" s="2" t="str">
        <f>Hours!B27</f>
        <v>03/09/2025</v>
      </c>
      <c r="C27" s="2" t="str">
        <f>Hours!C27</f>
        <v>Q1 2025</v>
      </c>
      <c r="D27" s="9">
        <f>Hours!D27</f>
        <v>50.48</v>
      </c>
      <c r="E27" s="9">
        <f>Hours!G27</f>
        <v>10.48</v>
      </c>
      <c r="F27" s="5">
        <f>IF(A27&gt;=Parameters!$E$19,Parameters!$C$19,Parameters!$B$19)</f>
        <v>800</v>
      </c>
      <c r="G27" s="5">
        <f>SUMIFS(Bonuses!$D$4:$D$27,Bonuses!$A$4:$A$27,"Kendra Voight",Bonuses!$B$4:$B$27,C27)</f>
        <v>0</v>
      </c>
      <c r="H27" s="5">
        <f>ROUND((F27+G27)/Parameters!$B$7,2)</f>
        <v>20</v>
      </c>
      <c r="I27" s="5">
        <f>ROUND(Parameters!$B$8*H27*E27,2)</f>
        <v>314.4</v>
      </c>
    </row>
    <row r="28" spans="1:9" x14ac:dyDescent="0.2">
      <c r="A28" s="2">
        <f>Hours!A28</f>
        <v>24</v>
      </c>
      <c r="B28" s="2" t="str">
        <f>Hours!B28</f>
        <v>03/16/2025</v>
      </c>
      <c r="C28" s="2" t="str">
        <f>Hours!C28</f>
        <v>Q1 2025</v>
      </c>
      <c r="D28" s="9">
        <f>Hours!D28</f>
        <v>47.88</v>
      </c>
      <c r="E28" s="9">
        <f>Hours!G28</f>
        <v>7.88</v>
      </c>
      <c r="F28" s="5">
        <f>IF(A28&gt;=Parameters!$E$19,Parameters!$C$19,Parameters!$B$19)</f>
        <v>800</v>
      </c>
      <c r="G28" s="5">
        <f>SUMIFS(Bonuses!$D$4:$D$27,Bonuses!$A$4:$A$27,"Kendra Voight",Bonuses!$B$4:$B$27,C28)</f>
        <v>0</v>
      </c>
      <c r="H28" s="5">
        <f>ROUND((F28+G28)/Parameters!$B$7,2)</f>
        <v>20</v>
      </c>
      <c r="I28" s="5">
        <f>ROUND(Parameters!$B$8*H28*E28,2)</f>
        <v>236.4</v>
      </c>
    </row>
    <row r="29" spans="1:9" x14ac:dyDescent="0.2">
      <c r="A29" s="2">
        <f>Hours!A29</f>
        <v>25</v>
      </c>
      <c r="B29" s="2" t="str">
        <f>Hours!B29</f>
        <v>03/23/2025</v>
      </c>
      <c r="C29" s="2" t="str">
        <f>Hours!C29</f>
        <v>Q1 2025</v>
      </c>
      <c r="D29" s="9">
        <f>Hours!D29</f>
        <v>46.99</v>
      </c>
      <c r="E29" s="9">
        <f>Hours!G29</f>
        <v>6.99</v>
      </c>
      <c r="F29" s="5">
        <f>IF(A29&gt;=Parameters!$E$19,Parameters!$C$19,Parameters!$B$19)</f>
        <v>800</v>
      </c>
      <c r="G29" s="5">
        <f>SUMIFS(Bonuses!$D$4:$D$27,Bonuses!$A$4:$A$27,"Kendra Voight",Bonuses!$B$4:$B$27,C29)</f>
        <v>0</v>
      </c>
      <c r="H29" s="5">
        <f>ROUND((F29+G29)/Parameters!$B$7,2)</f>
        <v>20</v>
      </c>
      <c r="I29" s="5">
        <f>ROUND(Parameters!$B$8*H29*E29,2)</f>
        <v>209.7</v>
      </c>
    </row>
    <row r="30" spans="1:9" x14ac:dyDescent="0.2">
      <c r="A30" s="2">
        <f>Hours!A30</f>
        <v>26</v>
      </c>
      <c r="B30" s="2" t="str">
        <f>Hours!B30</f>
        <v>03/30/2025</v>
      </c>
      <c r="C30" s="2" t="str">
        <f>Hours!C30</f>
        <v>Q1 2025</v>
      </c>
      <c r="D30" s="9">
        <f>Hours!D30</f>
        <v>48.04</v>
      </c>
      <c r="E30" s="9">
        <f>Hours!G30</f>
        <v>8.04</v>
      </c>
      <c r="F30" s="5">
        <f>IF(A30&gt;=Parameters!$E$19,Parameters!$C$19,Parameters!$B$19)</f>
        <v>800</v>
      </c>
      <c r="G30" s="5">
        <f>SUMIFS(Bonuses!$D$4:$D$27,Bonuses!$A$4:$A$27,"Kendra Voight",Bonuses!$B$4:$B$27,C30)</f>
        <v>0</v>
      </c>
      <c r="H30" s="5">
        <f>ROUND((F30+G30)/Parameters!$B$7,2)</f>
        <v>20</v>
      </c>
      <c r="I30" s="5">
        <f>ROUND(Parameters!$B$8*H30*E30,2)</f>
        <v>241.2</v>
      </c>
    </row>
    <row r="31" spans="1:9" x14ac:dyDescent="0.2">
      <c r="A31" s="2">
        <f>Hours!A31</f>
        <v>27</v>
      </c>
      <c r="B31" s="2" t="str">
        <f>Hours!B31</f>
        <v>04/06/2025</v>
      </c>
      <c r="C31" s="2" t="str">
        <f>Hours!C31</f>
        <v>Q2 2025</v>
      </c>
      <c r="D31" s="9">
        <f>Hours!D31</f>
        <v>50.35</v>
      </c>
      <c r="E31" s="9">
        <f>Hours!G31</f>
        <v>10.35</v>
      </c>
      <c r="F31" s="5">
        <f>IF(A31&gt;=Parameters!$E$19,Parameters!$C$19,Parameters!$B$19)</f>
        <v>800</v>
      </c>
      <c r="G31" s="5">
        <f>SUMIFS(Bonuses!$D$4:$D$27,Bonuses!$A$4:$A$27,"Kendra Voight",Bonuses!$B$4:$B$27,C31)</f>
        <v>41.54</v>
      </c>
      <c r="H31" s="5">
        <f>ROUND((F31+G31)/Parameters!$B$7,2)</f>
        <v>21.04</v>
      </c>
      <c r="I31" s="5">
        <f>ROUND(Parameters!$B$8*H31*E31,2)</f>
        <v>326.65</v>
      </c>
    </row>
    <row r="32" spans="1:9" x14ac:dyDescent="0.2">
      <c r="A32" s="2">
        <f>Hours!A32</f>
        <v>28</v>
      </c>
      <c r="B32" s="2" t="str">
        <f>Hours!B32</f>
        <v>04/13/2025</v>
      </c>
      <c r="C32" s="2" t="str">
        <f>Hours!C32</f>
        <v>Q2 2025</v>
      </c>
      <c r="D32" s="9">
        <f>Hours!D32</f>
        <v>46.92</v>
      </c>
      <c r="E32" s="9">
        <f>Hours!G32</f>
        <v>6.92</v>
      </c>
      <c r="F32" s="5">
        <f>IF(A32&gt;=Parameters!$E$19,Parameters!$C$19,Parameters!$B$19)</f>
        <v>800</v>
      </c>
      <c r="G32" s="5">
        <f>SUMIFS(Bonuses!$D$4:$D$27,Bonuses!$A$4:$A$27,"Kendra Voight",Bonuses!$B$4:$B$27,C32)</f>
        <v>41.54</v>
      </c>
      <c r="H32" s="5">
        <f>ROUND((F32+G32)/Parameters!$B$7,2)</f>
        <v>21.04</v>
      </c>
      <c r="I32" s="5">
        <f>ROUND(Parameters!$B$8*H32*E32,2)</f>
        <v>218.4</v>
      </c>
    </row>
    <row r="33" spans="1:9" x14ac:dyDescent="0.2">
      <c r="A33" s="2">
        <f>Hours!A33</f>
        <v>29</v>
      </c>
      <c r="B33" s="2" t="str">
        <f>Hours!B33</f>
        <v>04/20/2025</v>
      </c>
      <c r="C33" s="2" t="str">
        <f>Hours!C33</f>
        <v>Q2 2025</v>
      </c>
      <c r="D33" s="9">
        <f>Hours!D33</f>
        <v>52.96</v>
      </c>
      <c r="E33" s="9">
        <f>Hours!G33</f>
        <v>12.96</v>
      </c>
      <c r="F33" s="5">
        <f>IF(A33&gt;=Parameters!$E$19,Parameters!$C$19,Parameters!$B$19)</f>
        <v>800</v>
      </c>
      <c r="G33" s="5">
        <f>SUMIFS(Bonuses!$D$4:$D$27,Bonuses!$A$4:$A$27,"Kendra Voight",Bonuses!$B$4:$B$27,C33)</f>
        <v>41.54</v>
      </c>
      <c r="H33" s="5">
        <f>ROUND((F33+G33)/Parameters!$B$7,2)</f>
        <v>21.04</v>
      </c>
      <c r="I33" s="5">
        <f>ROUND(Parameters!$B$8*H33*E33,2)</f>
        <v>409.02</v>
      </c>
    </row>
    <row r="34" spans="1:9" x14ac:dyDescent="0.2">
      <c r="A34" s="2">
        <f>Hours!A34</f>
        <v>30</v>
      </c>
      <c r="B34" s="2" t="str">
        <f>Hours!B34</f>
        <v>04/27/2025</v>
      </c>
      <c r="C34" s="2" t="str">
        <f>Hours!C34</f>
        <v>Q2 2025</v>
      </c>
      <c r="D34" s="9">
        <f>Hours!D34</f>
        <v>50.3</v>
      </c>
      <c r="E34" s="9">
        <f>Hours!G34</f>
        <v>10.3</v>
      </c>
      <c r="F34" s="5">
        <f>IF(A34&gt;=Parameters!$E$19,Parameters!$C$19,Parameters!$B$19)</f>
        <v>800</v>
      </c>
      <c r="G34" s="5">
        <f>SUMIFS(Bonuses!$D$4:$D$27,Bonuses!$A$4:$A$27,"Kendra Voight",Bonuses!$B$4:$B$27,C34)</f>
        <v>41.54</v>
      </c>
      <c r="H34" s="5">
        <f>ROUND((F34+G34)/Parameters!$B$7,2)</f>
        <v>21.04</v>
      </c>
      <c r="I34" s="5">
        <f>ROUND(Parameters!$B$8*H34*E34,2)</f>
        <v>325.07</v>
      </c>
    </row>
    <row r="35" spans="1:9" x14ac:dyDescent="0.2">
      <c r="A35" s="2">
        <f>Hours!A35</f>
        <v>31</v>
      </c>
      <c r="B35" s="2" t="str">
        <f>Hours!B35</f>
        <v>05/04/2025</v>
      </c>
      <c r="C35" s="2" t="str">
        <f>Hours!C35</f>
        <v>Q2 2025</v>
      </c>
      <c r="D35" s="9">
        <f>Hours!D35</f>
        <v>50.49</v>
      </c>
      <c r="E35" s="9">
        <f>Hours!G35</f>
        <v>10.49</v>
      </c>
      <c r="F35" s="5">
        <f>IF(A35&gt;=Parameters!$E$19,Parameters!$C$19,Parameters!$B$19)</f>
        <v>800</v>
      </c>
      <c r="G35" s="5">
        <f>SUMIFS(Bonuses!$D$4:$D$27,Bonuses!$A$4:$A$27,"Kendra Voight",Bonuses!$B$4:$B$27,C35)</f>
        <v>41.54</v>
      </c>
      <c r="H35" s="5">
        <f>ROUND((F35+G35)/Parameters!$B$7,2)</f>
        <v>21.04</v>
      </c>
      <c r="I35" s="5">
        <f>ROUND(Parameters!$B$8*H35*E35,2)</f>
        <v>331.06</v>
      </c>
    </row>
    <row r="36" spans="1:9" x14ac:dyDescent="0.2">
      <c r="A36" s="2">
        <f>Hours!A36</f>
        <v>32</v>
      </c>
      <c r="B36" s="2" t="str">
        <f>Hours!B36</f>
        <v>05/11/2025</v>
      </c>
      <c r="C36" s="2" t="str">
        <f>Hours!C36</f>
        <v>Q2 2025</v>
      </c>
      <c r="D36" s="9">
        <f>Hours!D36</f>
        <v>54.28</v>
      </c>
      <c r="E36" s="9">
        <f>Hours!G36</f>
        <v>14.28</v>
      </c>
      <c r="F36" s="5">
        <f>IF(A36&gt;=Parameters!$E$19,Parameters!$C$19,Parameters!$B$19)</f>
        <v>800</v>
      </c>
      <c r="G36" s="5">
        <f>SUMIFS(Bonuses!$D$4:$D$27,Bonuses!$A$4:$A$27,"Kendra Voight",Bonuses!$B$4:$B$27,C36)</f>
        <v>41.54</v>
      </c>
      <c r="H36" s="5">
        <f>ROUND((F36+G36)/Parameters!$B$7,2)</f>
        <v>21.04</v>
      </c>
      <c r="I36" s="5">
        <f>ROUND(Parameters!$B$8*H36*E36,2)</f>
        <v>450.68</v>
      </c>
    </row>
    <row r="37" spans="1:9" x14ac:dyDescent="0.2">
      <c r="A37" s="2">
        <f>Hours!A37</f>
        <v>33</v>
      </c>
      <c r="B37" s="2" t="str">
        <f>Hours!B37</f>
        <v>05/18/2025</v>
      </c>
      <c r="C37" s="2" t="str">
        <f>Hours!C37</f>
        <v>Q2 2025</v>
      </c>
      <c r="D37" s="9">
        <f>Hours!D37</f>
        <v>52.05</v>
      </c>
      <c r="E37" s="9">
        <f>Hours!G37</f>
        <v>12.05</v>
      </c>
      <c r="F37" s="5">
        <f>IF(A37&gt;=Parameters!$E$19,Parameters!$C$19,Parameters!$B$19)</f>
        <v>800</v>
      </c>
      <c r="G37" s="5">
        <f>SUMIFS(Bonuses!$D$4:$D$27,Bonuses!$A$4:$A$27,"Kendra Voight",Bonuses!$B$4:$B$27,C37)</f>
        <v>41.54</v>
      </c>
      <c r="H37" s="5">
        <f>ROUND((F37+G37)/Parameters!$B$7,2)</f>
        <v>21.04</v>
      </c>
      <c r="I37" s="5">
        <f>ROUND(Parameters!$B$8*H37*E37,2)</f>
        <v>380.3</v>
      </c>
    </row>
    <row r="38" spans="1:9" x14ac:dyDescent="0.2">
      <c r="A38" s="2">
        <f>Hours!A38</f>
        <v>34</v>
      </c>
      <c r="B38" s="2" t="str">
        <f>Hours!B38</f>
        <v>05/25/2025</v>
      </c>
      <c r="C38" s="2" t="str">
        <f>Hours!C38</f>
        <v>Q2 2025</v>
      </c>
      <c r="D38" s="9">
        <f>Hours!D38</f>
        <v>49.84</v>
      </c>
      <c r="E38" s="9">
        <f>Hours!G38</f>
        <v>9.84</v>
      </c>
      <c r="F38" s="5">
        <f>IF(A38&gt;=Parameters!$E$19,Parameters!$C$19,Parameters!$B$19)</f>
        <v>800</v>
      </c>
      <c r="G38" s="5">
        <f>SUMIFS(Bonuses!$D$4:$D$27,Bonuses!$A$4:$A$27,"Kendra Voight",Bonuses!$B$4:$B$27,C38)</f>
        <v>41.54</v>
      </c>
      <c r="H38" s="5">
        <f>ROUND((F38+G38)/Parameters!$B$7,2)</f>
        <v>21.04</v>
      </c>
      <c r="I38" s="5">
        <f>ROUND(Parameters!$B$8*H38*E38,2)</f>
        <v>310.55</v>
      </c>
    </row>
    <row r="39" spans="1:9" x14ac:dyDescent="0.2">
      <c r="A39" s="2">
        <f>Hours!A39</f>
        <v>35</v>
      </c>
      <c r="B39" s="2" t="str">
        <f>Hours!B39</f>
        <v>06/01/2025</v>
      </c>
      <c r="C39" s="2" t="str">
        <f>Hours!C39</f>
        <v>Q2 2025</v>
      </c>
      <c r="D39" s="9">
        <f>Hours!D39</f>
        <v>45.44</v>
      </c>
      <c r="E39" s="9">
        <f>Hours!G39</f>
        <v>5.44</v>
      </c>
      <c r="F39" s="5">
        <f>IF(A39&gt;=Parameters!$E$19,Parameters!$C$19,Parameters!$B$19)</f>
        <v>800</v>
      </c>
      <c r="G39" s="5">
        <f>SUMIFS(Bonuses!$D$4:$D$27,Bonuses!$A$4:$A$27,"Kendra Voight",Bonuses!$B$4:$B$27,C39)</f>
        <v>41.54</v>
      </c>
      <c r="H39" s="5">
        <f>ROUND((F39+G39)/Parameters!$B$7,2)</f>
        <v>21.04</v>
      </c>
      <c r="I39" s="5">
        <f>ROUND(Parameters!$B$8*H39*E39,2)</f>
        <v>171.69</v>
      </c>
    </row>
    <row r="40" spans="1:9" x14ac:dyDescent="0.2">
      <c r="A40" s="2">
        <f>Hours!A40</f>
        <v>36</v>
      </c>
      <c r="B40" s="2" t="str">
        <f>Hours!B40</f>
        <v>06/08/2025</v>
      </c>
      <c r="C40" s="2" t="str">
        <f>Hours!C40</f>
        <v>Q2 2025</v>
      </c>
      <c r="D40" s="9">
        <f>Hours!D40</f>
        <v>45.62</v>
      </c>
      <c r="E40" s="9">
        <f>Hours!G40</f>
        <v>5.62</v>
      </c>
      <c r="F40" s="5">
        <f>IF(A40&gt;=Parameters!$E$19,Parameters!$C$19,Parameters!$B$19)</f>
        <v>800</v>
      </c>
      <c r="G40" s="5">
        <f>SUMIFS(Bonuses!$D$4:$D$27,Bonuses!$A$4:$A$27,"Kendra Voight",Bonuses!$B$4:$B$27,C40)</f>
        <v>41.54</v>
      </c>
      <c r="H40" s="5">
        <f>ROUND((F40+G40)/Parameters!$B$7,2)</f>
        <v>21.04</v>
      </c>
      <c r="I40" s="5">
        <f>ROUND(Parameters!$B$8*H40*E40,2)</f>
        <v>177.37</v>
      </c>
    </row>
    <row r="41" spans="1:9" x14ac:dyDescent="0.2">
      <c r="A41" s="2">
        <f>Hours!A41</f>
        <v>37</v>
      </c>
      <c r="B41" s="2" t="str">
        <f>Hours!B41</f>
        <v>06/15/2025</v>
      </c>
      <c r="C41" s="2" t="str">
        <f>Hours!C41</f>
        <v>Q2 2025</v>
      </c>
      <c r="D41" s="9">
        <f>Hours!D41</f>
        <v>45.98</v>
      </c>
      <c r="E41" s="9">
        <f>Hours!G41</f>
        <v>5.98</v>
      </c>
      <c r="F41" s="5">
        <f>IF(A41&gt;=Parameters!$E$19,Parameters!$C$19,Parameters!$B$19)</f>
        <v>800</v>
      </c>
      <c r="G41" s="5">
        <f>SUMIFS(Bonuses!$D$4:$D$27,Bonuses!$A$4:$A$27,"Kendra Voight",Bonuses!$B$4:$B$27,C41)</f>
        <v>41.54</v>
      </c>
      <c r="H41" s="5">
        <f>ROUND((F41+G41)/Parameters!$B$7,2)</f>
        <v>21.04</v>
      </c>
      <c r="I41" s="5">
        <f>ROUND(Parameters!$B$8*H41*E41,2)</f>
        <v>188.73</v>
      </c>
    </row>
    <row r="42" spans="1:9" x14ac:dyDescent="0.2">
      <c r="A42" s="2">
        <f>Hours!A42</f>
        <v>38</v>
      </c>
      <c r="B42" s="2" t="str">
        <f>Hours!B42</f>
        <v>06/22/2025</v>
      </c>
      <c r="C42" s="2" t="str">
        <f>Hours!C42</f>
        <v>Q2 2025</v>
      </c>
      <c r="D42" s="9">
        <f>Hours!D42</f>
        <v>44.47</v>
      </c>
      <c r="E42" s="9">
        <f>Hours!G42</f>
        <v>4.47</v>
      </c>
      <c r="F42" s="5">
        <f>IF(A42&gt;=Parameters!$E$19,Parameters!$C$19,Parameters!$B$19)</f>
        <v>800</v>
      </c>
      <c r="G42" s="5">
        <f>SUMIFS(Bonuses!$D$4:$D$27,Bonuses!$A$4:$A$27,"Kendra Voight",Bonuses!$B$4:$B$27,C42)</f>
        <v>41.54</v>
      </c>
      <c r="H42" s="5">
        <f>ROUND((F42+G42)/Parameters!$B$7,2)</f>
        <v>21.04</v>
      </c>
      <c r="I42" s="5">
        <f>ROUND(Parameters!$B$8*H42*E42,2)</f>
        <v>141.07</v>
      </c>
    </row>
    <row r="43" spans="1:9" x14ac:dyDescent="0.2">
      <c r="A43" s="2">
        <f>Hours!A43</f>
        <v>39</v>
      </c>
      <c r="B43" s="2" t="str">
        <f>Hours!B43</f>
        <v>06/29/2025</v>
      </c>
      <c r="C43" s="2" t="str">
        <f>Hours!C43</f>
        <v>Q2 2025</v>
      </c>
      <c r="D43" s="9">
        <f>Hours!D43</f>
        <v>45.78</v>
      </c>
      <c r="E43" s="9">
        <f>Hours!G43</f>
        <v>5.78</v>
      </c>
      <c r="F43" s="5">
        <f>IF(A43&gt;=Parameters!$E$19,Parameters!$C$19,Parameters!$B$19)</f>
        <v>800</v>
      </c>
      <c r="G43" s="5">
        <f>SUMIFS(Bonuses!$D$4:$D$27,Bonuses!$A$4:$A$27,"Kendra Voight",Bonuses!$B$4:$B$27,C43)</f>
        <v>41.54</v>
      </c>
      <c r="H43" s="5">
        <f>ROUND((F43+G43)/Parameters!$B$7,2)</f>
        <v>21.04</v>
      </c>
      <c r="I43" s="5">
        <f>ROUND(Parameters!$B$8*H43*E43,2)</f>
        <v>182.42</v>
      </c>
    </row>
    <row r="44" spans="1:9" x14ac:dyDescent="0.2">
      <c r="A44" s="2">
        <f>Hours!A44</f>
        <v>40</v>
      </c>
      <c r="B44" s="2" t="str">
        <f>Hours!B44</f>
        <v>07/06/2025</v>
      </c>
      <c r="C44" s="2" t="str">
        <f>Hours!C44</f>
        <v>Q3 2025</v>
      </c>
      <c r="D44" s="9">
        <f>Hours!D44</f>
        <v>47.42</v>
      </c>
      <c r="E44" s="9">
        <f>Hours!G44</f>
        <v>7.42</v>
      </c>
      <c r="F44" s="5">
        <f>IF(A44&gt;=Parameters!$E$19,Parameters!$C$19,Parameters!$B$19)</f>
        <v>800</v>
      </c>
      <c r="G44" s="5">
        <f>SUMIFS(Bonuses!$D$4:$D$27,Bonuses!$A$4:$A$27,"Kendra Voight",Bonuses!$B$4:$B$27,C44)</f>
        <v>37.5</v>
      </c>
      <c r="H44" s="5">
        <f>ROUND((F44+G44)/Parameters!$B$7,2)</f>
        <v>20.94</v>
      </c>
      <c r="I44" s="5">
        <f>ROUND(Parameters!$B$8*H44*E44,2)</f>
        <v>233.06</v>
      </c>
    </row>
    <row r="45" spans="1:9" x14ac:dyDescent="0.2">
      <c r="A45" s="2">
        <f>Hours!A45</f>
        <v>41</v>
      </c>
      <c r="B45" s="2" t="str">
        <f>Hours!B45</f>
        <v>07/13/2025</v>
      </c>
      <c r="C45" s="2" t="str">
        <f>Hours!C45</f>
        <v>Q3 2025</v>
      </c>
      <c r="D45" s="9">
        <f>Hours!D45</f>
        <v>54.18</v>
      </c>
      <c r="E45" s="9">
        <f>Hours!G45</f>
        <v>14.18</v>
      </c>
      <c r="F45" s="5">
        <f>IF(A45&gt;=Parameters!$E$19,Parameters!$C$19,Parameters!$B$19)</f>
        <v>800</v>
      </c>
      <c r="G45" s="5">
        <f>SUMIFS(Bonuses!$D$4:$D$27,Bonuses!$A$4:$A$27,"Kendra Voight",Bonuses!$B$4:$B$27,C45)</f>
        <v>37.5</v>
      </c>
      <c r="H45" s="5">
        <f>ROUND((F45+G45)/Parameters!$B$7,2)</f>
        <v>20.94</v>
      </c>
      <c r="I45" s="5">
        <f>ROUND(Parameters!$B$8*H45*E45,2)</f>
        <v>445.39</v>
      </c>
    </row>
    <row r="46" spans="1:9" x14ac:dyDescent="0.2">
      <c r="A46" s="2">
        <f>Hours!A46</f>
        <v>42</v>
      </c>
      <c r="B46" s="2" t="str">
        <f>Hours!B46</f>
        <v>07/20/2025</v>
      </c>
      <c r="C46" s="2" t="str">
        <f>Hours!C46</f>
        <v>Q3 2025</v>
      </c>
      <c r="D46" s="9">
        <f>Hours!D46</f>
        <v>51.71</v>
      </c>
      <c r="E46" s="9">
        <f>Hours!G46</f>
        <v>11.71</v>
      </c>
      <c r="F46" s="5">
        <f>IF(A46&gt;=Parameters!$E$19,Parameters!$C$19,Parameters!$B$19)</f>
        <v>800</v>
      </c>
      <c r="G46" s="5">
        <f>SUMIFS(Bonuses!$D$4:$D$27,Bonuses!$A$4:$A$27,"Kendra Voight",Bonuses!$B$4:$B$27,C46)</f>
        <v>37.5</v>
      </c>
      <c r="H46" s="5">
        <f>ROUND((F46+G46)/Parameters!$B$7,2)</f>
        <v>20.94</v>
      </c>
      <c r="I46" s="5">
        <f>ROUND(Parameters!$B$8*H46*E46,2)</f>
        <v>367.81</v>
      </c>
    </row>
    <row r="47" spans="1:9" x14ac:dyDescent="0.2">
      <c r="A47" s="2">
        <f>Hours!A47</f>
        <v>43</v>
      </c>
      <c r="B47" s="2" t="str">
        <f>Hours!B47</f>
        <v>07/27/2025</v>
      </c>
      <c r="C47" s="2" t="str">
        <f>Hours!C47</f>
        <v>Q3 2025</v>
      </c>
      <c r="D47" s="9">
        <f>Hours!D47</f>
        <v>52.12</v>
      </c>
      <c r="E47" s="9">
        <f>Hours!G47</f>
        <v>12.12</v>
      </c>
      <c r="F47" s="5">
        <f>IF(A47&gt;=Parameters!$E$19,Parameters!$C$19,Parameters!$B$19)</f>
        <v>800</v>
      </c>
      <c r="G47" s="5">
        <f>SUMIFS(Bonuses!$D$4:$D$27,Bonuses!$A$4:$A$27,"Kendra Voight",Bonuses!$B$4:$B$27,C47)</f>
        <v>37.5</v>
      </c>
      <c r="H47" s="5">
        <f>ROUND((F47+G47)/Parameters!$B$7,2)</f>
        <v>20.94</v>
      </c>
      <c r="I47" s="5">
        <f>ROUND(Parameters!$B$8*H47*E47,2)</f>
        <v>380.69</v>
      </c>
    </row>
    <row r="48" spans="1:9" x14ac:dyDescent="0.2">
      <c r="A48" s="2">
        <f>Hours!A48</f>
        <v>44</v>
      </c>
      <c r="B48" s="2" t="str">
        <f>Hours!B48</f>
        <v>08/03/2025</v>
      </c>
      <c r="C48" s="2" t="str">
        <f>Hours!C48</f>
        <v>Q3 2025</v>
      </c>
      <c r="D48" s="9">
        <f>Hours!D48</f>
        <v>47.34</v>
      </c>
      <c r="E48" s="9">
        <f>Hours!G48</f>
        <v>7.34</v>
      </c>
      <c r="F48" s="5">
        <f>IF(A48&gt;=Parameters!$E$19,Parameters!$C$19,Parameters!$B$19)</f>
        <v>800</v>
      </c>
      <c r="G48" s="5">
        <f>SUMIFS(Bonuses!$D$4:$D$27,Bonuses!$A$4:$A$27,"Kendra Voight",Bonuses!$B$4:$B$27,C48)</f>
        <v>37.5</v>
      </c>
      <c r="H48" s="5">
        <f>ROUND((F48+G48)/Parameters!$B$7,2)</f>
        <v>20.94</v>
      </c>
      <c r="I48" s="5">
        <f>ROUND(Parameters!$B$8*H48*E48,2)</f>
        <v>230.55</v>
      </c>
    </row>
    <row r="49" spans="1:9" x14ac:dyDescent="0.2">
      <c r="A49" s="2">
        <f>Hours!A49</f>
        <v>45</v>
      </c>
      <c r="B49" s="2" t="str">
        <f>Hours!B49</f>
        <v>08/10/2025</v>
      </c>
      <c r="C49" s="2" t="str">
        <f>Hours!C49</f>
        <v>Q3 2025</v>
      </c>
      <c r="D49" s="9">
        <f>Hours!D49</f>
        <v>54.88</v>
      </c>
      <c r="E49" s="9">
        <f>Hours!G49</f>
        <v>14.88</v>
      </c>
      <c r="F49" s="5">
        <f>IF(A49&gt;=Parameters!$E$19,Parameters!$C$19,Parameters!$B$19)</f>
        <v>800</v>
      </c>
      <c r="G49" s="5">
        <f>SUMIFS(Bonuses!$D$4:$D$27,Bonuses!$A$4:$A$27,"Kendra Voight",Bonuses!$B$4:$B$27,C49)</f>
        <v>37.5</v>
      </c>
      <c r="H49" s="5">
        <f>ROUND((F49+G49)/Parameters!$B$7,2)</f>
        <v>20.94</v>
      </c>
      <c r="I49" s="5">
        <f>ROUND(Parameters!$B$8*H49*E49,2)</f>
        <v>467.38</v>
      </c>
    </row>
    <row r="50" spans="1:9" x14ac:dyDescent="0.2">
      <c r="A50" s="2">
        <f>Hours!A50</f>
        <v>46</v>
      </c>
      <c r="B50" s="2" t="str">
        <f>Hours!B50</f>
        <v>08/17/2025</v>
      </c>
      <c r="C50" s="2" t="str">
        <f>Hours!C50</f>
        <v>Q3 2025</v>
      </c>
      <c r="D50" s="9">
        <f>Hours!D50</f>
        <v>46.66</v>
      </c>
      <c r="E50" s="9">
        <f>Hours!G50</f>
        <v>6.66</v>
      </c>
      <c r="F50" s="5">
        <f>IF(A50&gt;=Parameters!$E$19,Parameters!$C$19,Parameters!$B$19)</f>
        <v>800</v>
      </c>
      <c r="G50" s="5">
        <f>SUMIFS(Bonuses!$D$4:$D$27,Bonuses!$A$4:$A$27,"Kendra Voight",Bonuses!$B$4:$B$27,C50)</f>
        <v>37.5</v>
      </c>
      <c r="H50" s="5">
        <f>ROUND((F50+G50)/Parameters!$B$7,2)</f>
        <v>20.94</v>
      </c>
      <c r="I50" s="5">
        <f>ROUND(Parameters!$B$8*H50*E50,2)</f>
        <v>209.19</v>
      </c>
    </row>
    <row r="51" spans="1:9" x14ac:dyDescent="0.2">
      <c r="A51" s="2">
        <f>Hours!A51</f>
        <v>47</v>
      </c>
      <c r="B51" s="2" t="str">
        <f>Hours!B51</f>
        <v>08/24/2025</v>
      </c>
      <c r="C51" s="2" t="str">
        <f>Hours!C51</f>
        <v>Q3 2025</v>
      </c>
      <c r="D51" s="9">
        <f>Hours!D51</f>
        <v>46.08</v>
      </c>
      <c r="E51" s="9">
        <f>Hours!G51</f>
        <v>6.08</v>
      </c>
      <c r="F51" s="5">
        <f>IF(A51&gt;=Parameters!$E$19,Parameters!$C$19,Parameters!$B$19)</f>
        <v>800</v>
      </c>
      <c r="G51" s="5">
        <f>SUMIFS(Bonuses!$D$4:$D$27,Bonuses!$A$4:$A$27,"Kendra Voight",Bonuses!$B$4:$B$27,C51)</f>
        <v>37.5</v>
      </c>
      <c r="H51" s="5">
        <f>ROUND((F51+G51)/Parameters!$B$7,2)</f>
        <v>20.94</v>
      </c>
      <c r="I51" s="5">
        <f>ROUND(Parameters!$B$8*H51*E51,2)</f>
        <v>190.97</v>
      </c>
    </row>
    <row r="52" spans="1:9" x14ac:dyDescent="0.2">
      <c r="A52" s="2">
        <f>Hours!A52</f>
        <v>48</v>
      </c>
      <c r="B52" s="2" t="str">
        <f>Hours!B52</f>
        <v>08/31/2025</v>
      </c>
      <c r="C52" s="2" t="str">
        <f>Hours!C52</f>
        <v>Q3 2025</v>
      </c>
      <c r="D52" s="9">
        <f>Hours!D52</f>
        <v>46.7</v>
      </c>
      <c r="E52" s="9">
        <f>Hours!G52</f>
        <v>6.7</v>
      </c>
      <c r="F52" s="5">
        <f>IF(A52&gt;=Parameters!$E$19,Parameters!$C$19,Parameters!$B$19)</f>
        <v>800</v>
      </c>
      <c r="G52" s="5">
        <f>SUMIFS(Bonuses!$D$4:$D$27,Bonuses!$A$4:$A$27,"Kendra Voight",Bonuses!$B$4:$B$27,C52)</f>
        <v>37.5</v>
      </c>
      <c r="H52" s="5">
        <f>ROUND((F52+G52)/Parameters!$B$7,2)</f>
        <v>20.94</v>
      </c>
      <c r="I52" s="5">
        <f>ROUND(Parameters!$B$8*H52*E52,2)</f>
        <v>210.45</v>
      </c>
    </row>
    <row r="53" spans="1:9" x14ac:dyDescent="0.2">
      <c r="A53" s="2">
        <f>Hours!A53</f>
        <v>49</v>
      </c>
      <c r="B53" s="2" t="str">
        <f>Hours!B53</f>
        <v>09/07/2025</v>
      </c>
      <c r="C53" s="2" t="str">
        <f>Hours!C53</f>
        <v>Q3 2025</v>
      </c>
      <c r="D53" s="9">
        <f>Hours!D53</f>
        <v>51.68</v>
      </c>
      <c r="E53" s="9">
        <f>Hours!G53</f>
        <v>11.68</v>
      </c>
      <c r="F53" s="5">
        <f>IF(A53&gt;=Parameters!$E$19,Parameters!$C$19,Parameters!$B$19)</f>
        <v>800</v>
      </c>
      <c r="G53" s="5">
        <f>SUMIFS(Bonuses!$D$4:$D$27,Bonuses!$A$4:$A$27,"Kendra Voight",Bonuses!$B$4:$B$27,C53)</f>
        <v>37.5</v>
      </c>
      <c r="H53" s="5">
        <f>ROUND((F53+G53)/Parameters!$B$7,2)</f>
        <v>20.94</v>
      </c>
      <c r="I53" s="5">
        <f>ROUND(Parameters!$B$8*H53*E53,2)</f>
        <v>366.87</v>
      </c>
    </row>
    <row r="54" spans="1:9" x14ac:dyDescent="0.2">
      <c r="A54" s="2">
        <f>Hours!A54</f>
        <v>50</v>
      </c>
      <c r="B54" s="2" t="str">
        <f>Hours!B54</f>
        <v>09/14/2025</v>
      </c>
      <c r="C54" s="2" t="str">
        <f>Hours!C54</f>
        <v>Q3 2025</v>
      </c>
      <c r="D54" s="9">
        <f>Hours!D54</f>
        <v>54.07</v>
      </c>
      <c r="E54" s="9">
        <f>Hours!G54</f>
        <v>14.07</v>
      </c>
      <c r="F54" s="5">
        <f>IF(A54&gt;=Parameters!$E$19,Parameters!$C$19,Parameters!$B$19)</f>
        <v>800</v>
      </c>
      <c r="G54" s="5">
        <f>SUMIFS(Bonuses!$D$4:$D$27,Bonuses!$A$4:$A$27,"Kendra Voight",Bonuses!$B$4:$B$27,C54)</f>
        <v>37.5</v>
      </c>
      <c r="H54" s="5">
        <f>ROUND((F54+G54)/Parameters!$B$7,2)</f>
        <v>20.94</v>
      </c>
      <c r="I54" s="5">
        <f>ROUND(Parameters!$B$8*H54*E54,2)</f>
        <v>441.94</v>
      </c>
    </row>
    <row r="55" spans="1:9" x14ac:dyDescent="0.2">
      <c r="A55" s="2">
        <f>Hours!A55</f>
        <v>51</v>
      </c>
      <c r="B55" s="2" t="str">
        <f>Hours!B55</f>
        <v>09/21/2025</v>
      </c>
      <c r="C55" s="2" t="str">
        <f>Hours!C55</f>
        <v>Q3 2025</v>
      </c>
      <c r="D55" s="9">
        <f>Hours!D55</f>
        <v>50.6</v>
      </c>
      <c r="E55" s="9">
        <f>Hours!G55</f>
        <v>10.6</v>
      </c>
      <c r="F55" s="5">
        <f>IF(A55&gt;=Parameters!$E$19,Parameters!$C$19,Parameters!$B$19)</f>
        <v>800</v>
      </c>
      <c r="G55" s="5">
        <f>SUMIFS(Bonuses!$D$4:$D$27,Bonuses!$A$4:$A$27,"Kendra Voight",Bonuses!$B$4:$B$27,C55)</f>
        <v>37.5</v>
      </c>
      <c r="H55" s="5">
        <f>ROUND((F55+G55)/Parameters!$B$7,2)</f>
        <v>20.94</v>
      </c>
      <c r="I55" s="5">
        <f>ROUND(Parameters!$B$8*H55*E55,2)</f>
        <v>332.95</v>
      </c>
    </row>
    <row r="56" spans="1:9" x14ac:dyDescent="0.2">
      <c r="A56" s="2">
        <f>Hours!A56</f>
        <v>52</v>
      </c>
      <c r="B56" s="2" t="str">
        <f>Hours!B56</f>
        <v>09/28/2025</v>
      </c>
      <c r="C56" s="2" t="str">
        <f>Hours!C56</f>
        <v>Q3 2025</v>
      </c>
      <c r="D56" s="9">
        <f>Hours!D56</f>
        <v>44.12</v>
      </c>
      <c r="E56" s="9">
        <f>Hours!G56</f>
        <v>4.12</v>
      </c>
      <c r="F56" s="5">
        <f>IF(A56&gt;=Parameters!$E$19,Parameters!$C$19,Parameters!$B$19)</f>
        <v>800</v>
      </c>
      <c r="G56" s="5">
        <f>SUMIFS(Bonuses!$D$4:$D$27,Bonuses!$A$4:$A$27,"Kendra Voight",Bonuses!$B$4:$B$27,C56)</f>
        <v>37.5</v>
      </c>
      <c r="H56" s="5">
        <f>ROUND((F56+G56)/Parameters!$B$7,2)</f>
        <v>20.94</v>
      </c>
      <c r="I56" s="5">
        <f>ROUND(Parameters!$B$8*H56*E56,2)</f>
        <v>129.41</v>
      </c>
    </row>
    <row r="57" spans="1:9" x14ac:dyDescent="0.2">
      <c r="A57" s="2">
        <f>Hours!A57</f>
        <v>53</v>
      </c>
      <c r="B57" s="2" t="str">
        <f>Hours!B57</f>
        <v>10/05/2025</v>
      </c>
      <c r="C57" s="2" t="str">
        <f>Hours!C57</f>
        <v>Q4 2025</v>
      </c>
      <c r="D57" s="9">
        <f>Hours!D57</f>
        <v>49.39</v>
      </c>
      <c r="E57" s="9">
        <f>Hours!G57</f>
        <v>9.39</v>
      </c>
      <c r="F57" s="5">
        <f>IF(A57&gt;=Parameters!$E$19,Parameters!$C$19,Parameters!$B$19)</f>
        <v>800</v>
      </c>
      <c r="G57" s="5">
        <f>SUMIFS(Bonuses!$D$4:$D$27,Bonuses!$A$4:$A$27,"Kendra Voight",Bonuses!$B$4:$B$27,C57)</f>
        <v>50.38</v>
      </c>
      <c r="H57" s="5">
        <f>ROUND((F57+G57)/Parameters!$B$7,2)</f>
        <v>21.26</v>
      </c>
      <c r="I57" s="5">
        <f>ROUND(Parameters!$B$8*H57*E57,2)</f>
        <v>299.45</v>
      </c>
    </row>
    <row r="58" spans="1:9" x14ac:dyDescent="0.2">
      <c r="A58" s="2">
        <f>Hours!A58</f>
        <v>54</v>
      </c>
      <c r="B58" s="2" t="str">
        <f>Hours!B58</f>
        <v>10/12/2025</v>
      </c>
      <c r="C58" s="2" t="str">
        <f>Hours!C58</f>
        <v>Q4 2025</v>
      </c>
      <c r="D58" s="9">
        <f>Hours!D58</f>
        <v>49.5</v>
      </c>
      <c r="E58" s="9">
        <f>Hours!G58</f>
        <v>9.5</v>
      </c>
      <c r="F58" s="5">
        <f>IF(A58&gt;=Parameters!$E$19,Parameters!$C$19,Parameters!$B$19)</f>
        <v>800</v>
      </c>
      <c r="G58" s="5">
        <f>SUMIFS(Bonuses!$D$4:$D$27,Bonuses!$A$4:$A$27,"Kendra Voight",Bonuses!$B$4:$B$27,C58)</f>
        <v>50.38</v>
      </c>
      <c r="H58" s="5">
        <f>ROUND((F58+G58)/Parameters!$B$7,2)</f>
        <v>21.26</v>
      </c>
      <c r="I58" s="5">
        <f>ROUND(Parameters!$B$8*H58*E58,2)</f>
        <v>302.96</v>
      </c>
    </row>
    <row r="59" spans="1:9" x14ac:dyDescent="0.2">
      <c r="A59" s="2">
        <f>Hours!A59</f>
        <v>55</v>
      </c>
      <c r="B59" s="2" t="str">
        <f>Hours!B59</f>
        <v>10/19/2025</v>
      </c>
      <c r="C59" s="2" t="str">
        <f>Hours!C59</f>
        <v>Q4 2025</v>
      </c>
      <c r="D59" s="9">
        <f>Hours!D59</f>
        <v>46.77</v>
      </c>
      <c r="E59" s="9">
        <f>Hours!G59</f>
        <v>6.77</v>
      </c>
      <c r="F59" s="5">
        <f>IF(A59&gt;=Parameters!$E$19,Parameters!$C$19,Parameters!$B$19)</f>
        <v>800</v>
      </c>
      <c r="G59" s="5">
        <f>SUMIFS(Bonuses!$D$4:$D$27,Bonuses!$A$4:$A$27,"Kendra Voight",Bonuses!$B$4:$B$27,C59)</f>
        <v>50.38</v>
      </c>
      <c r="H59" s="5">
        <f>ROUND((F59+G59)/Parameters!$B$7,2)</f>
        <v>21.26</v>
      </c>
      <c r="I59" s="5">
        <f>ROUND(Parameters!$B$8*H59*E59,2)</f>
        <v>215.9</v>
      </c>
    </row>
    <row r="60" spans="1:9" x14ac:dyDescent="0.2">
      <c r="A60" s="2">
        <f>Hours!A60</f>
        <v>56</v>
      </c>
      <c r="B60" s="2" t="str">
        <f>Hours!B60</f>
        <v>10/26/2025</v>
      </c>
      <c r="C60" s="2" t="str">
        <f>Hours!C60</f>
        <v>Q4 2025</v>
      </c>
      <c r="D60" s="9">
        <f>Hours!D60</f>
        <v>53.36</v>
      </c>
      <c r="E60" s="9">
        <f>Hours!G60</f>
        <v>13.36</v>
      </c>
      <c r="F60" s="5">
        <f>IF(A60&gt;=Parameters!$E$19,Parameters!$C$19,Parameters!$B$19)</f>
        <v>800</v>
      </c>
      <c r="G60" s="5">
        <f>SUMIFS(Bonuses!$D$4:$D$27,Bonuses!$A$4:$A$27,"Kendra Voight",Bonuses!$B$4:$B$27,C60)</f>
        <v>50.38</v>
      </c>
      <c r="H60" s="5">
        <f>ROUND((F60+G60)/Parameters!$B$7,2)</f>
        <v>21.26</v>
      </c>
      <c r="I60" s="5">
        <f>ROUND(Parameters!$B$8*H60*E60,2)</f>
        <v>426.05</v>
      </c>
    </row>
    <row r="61" spans="1:9" x14ac:dyDescent="0.2">
      <c r="A61" s="2">
        <f>Hours!A61</f>
        <v>57</v>
      </c>
      <c r="B61" s="2" t="str">
        <f>Hours!B61</f>
        <v>11/02/2025</v>
      </c>
      <c r="C61" s="2" t="str">
        <f>Hours!C61</f>
        <v>Q4 2025</v>
      </c>
      <c r="D61" s="9">
        <f>Hours!D61</f>
        <v>57.84</v>
      </c>
      <c r="E61" s="9">
        <f>Hours!G61</f>
        <v>17.84</v>
      </c>
      <c r="F61" s="5">
        <f>IF(A61&gt;=Parameters!$E$19,Parameters!$C$19,Parameters!$B$19)</f>
        <v>800</v>
      </c>
      <c r="G61" s="5">
        <f>SUMIFS(Bonuses!$D$4:$D$27,Bonuses!$A$4:$A$27,"Kendra Voight",Bonuses!$B$4:$B$27,C61)</f>
        <v>50.38</v>
      </c>
      <c r="H61" s="5">
        <f>ROUND((F61+G61)/Parameters!$B$7,2)</f>
        <v>21.26</v>
      </c>
      <c r="I61" s="5">
        <f>ROUND(Parameters!$B$8*H61*E61,2)</f>
        <v>568.92</v>
      </c>
    </row>
    <row r="62" spans="1:9" x14ac:dyDescent="0.2">
      <c r="A62" s="2">
        <f>Hours!A62</f>
        <v>58</v>
      </c>
      <c r="B62" s="2" t="str">
        <f>Hours!B62</f>
        <v>11/09/2025</v>
      </c>
      <c r="C62" s="2" t="str">
        <f>Hours!C62</f>
        <v>Q4 2025</v>
      </c>
      <c r="D62" s="9">
        <f>Hours!D62</f>
        <v>52.45</v>
      </c>
      <c r="E62" s="9">
        <f>Hours!G62</f>
        <v>12.45</v>
      </c>
      <c r="F62" s="5">
        <f>IF(A62&gt;=Parameters!$E$19,Parameters!$C$19,Parameters!$B$19)</f>
        <v>800</v>
      </c>
      <c r="G62" s="5">
        <f>SUMIFS(Bonuses!$D$4:$D$27,Bonuses!$A$4:$A$27,"Kendra Voight",Bonuses!$B$4:$B$27,C62)</f>
        <v>50.38</v>
      </c>
      <c r="H62" s="5">
        <f>ROUND((F62+G62)/Parameters!$B$7,2)</f>
        <v>21.26</v>
      </c>
      <c r="I62" s="5">
        <f>ROUND(Parameters!$B$8*H62*E62,2)</f>
        <v>397.03</v>
      </c>
    </row>
    <row r="63" spans="1:9" x14ac:dyDescent="0.2">
      <c r="A63" s="2">
        <f>Hours!A63</f>
        <v>59</v>
      </c>
      <c r="B63" s="2" t="str">
        <f>Hours!B63</f>
        <v>11/16/2025</v>
      </c>
      <c r="C63" s="2" t="str">
        <f>Hours!C63</f>
        <v>Q4 2025</v>
      </c>
      <c r="D63" s="9">
        <f>Hours!D63</f>
        <v>49.84</v>
      </c>
      <c r="E63" s="9">
        <f>Hours!G63</f>
        <v>9.84</v>
      </c>
      <c r="F63" s="5">
        <f>IF(A63&gt;=Parameters!$E$19,Parameters!$C$19,Parameters!$B$19)</f>
        <v>800</v>
      </c>
      <c r="G63" s="5">
        <f>SUMIFS(Bonuses!$D$4:$D$27,Bonuses!$A$4:$A$27,"Kendra Voight",Bonuses!$B$4:$B$27,C63)</f>
        <v>50.38</v>
      </c>
      <c r="H63" s="5">
        <f>ROUND((F63+G63)/Parameters!$B$7,2)</f>
        <v>21.26</v>
      </c>
      <c r="I63" s="5">
        <f>ROUND(Parameters!$B$8*H63*E63,2)</f>
        <v>313.8</v>
      </c>
    </row>
    <row r="64" spans="1:9" x14ac:dyDescent="0.2">
      <c r="A64" s="2">
        <f>Hours!A64</f>
        <v>60</v>
      </c>
      <c r="B64" s="2" t="str">
        <f>Hours!B64</f>
        <v>11/23/2025</v>
      </c>
      <c r="C64" s="2" t="str">
        <f>Hours!C64</f>
        <v>Q4 2025</v>
      </c>
      <c r="D64" s="9">
        <f>Hours!D64</f>
        <v>57.54</v>
      </c>
      <c r="E64" s="9">
        <f>Hours!G64</f>
        <v>17.54</v>
      </c>
      <c r="F64" s="5">
        <f>IF(A64&gt;=Parameters!$E$19,Parameters!$C$19,Parameters!$B$19)</f>
        <v>800</v>
      </c>
      <c r="G64" s="5">
        <f>SUMIFS(Bonuses!$D$4:$D$27,Bonuses!$A$4:$A$27,"Kendra Voight",Bonuses!$B$4:$B$27,C64)</f>
        <v>50.38</v>
      </c>
      <c r="H64" s="5">
        <f>ROUND((F64+G64)/Parameters!$B$7,2)</f>
        <v>21.26</v>
      </c>
      <c r="I64" s="5">
        <f>ROUND(Parameters!$B$8*H64*E64,2)</f>
        <v>559.35</v>
      </c>
    </row>
    <row r="65" spans="1:9" x14ac:dyDescent="0.2">
      <c r="A65" s="2">
        <f>Hours!A65</f>
        <v>61</v>
      </c>
      <c r="B65" s="2" t="str">
        <f>Hours!B65</f>
        <v>11/30/2025</v>
      </c>
      <c r="C65" s="2" t="str">
        <f>Hours!C65</f>
        <v>Q4 2025</v>
      </c>
      <c r="D65" s="9">
        <f>Hours!D65</f>
        <v>56.08</v>
      </c>
      <c r="E65" s="9">
        <f>Hours!G65</f>
        <v>16.08</v>
      </c>
      <c r="F65" s="5">
        <f>IF(A65&gt;=Parameters!$E$19,Parameters!$C$19,Parameters!$B$19)</f>
        <v>800</v>
      </c>
      <c r="G65" s="5">
        <f>SUMIFS(Bonuses!$D$4:$D$27,Bonuses!$A$4:$A$27,"Kendra Voight",Bonuses!$B$4:$B$27,C65)</f>
        <v>50.38</v>
      </c>
      <c r="H65" s="5">
        <f>ROUND((F65+G65)/Parameters!$B$7,2)</f>
        <v>21.26</v>
      </c>
      <c r="I65" s="5">
        <f>ROUND(Parameters!$B$8*H65*E65,2)</f>
        <v>512.79</v>
      </c>
    </row>
    <row r="66" spans="1:9" x14ac:dyDescent="0.2">
      <c r="A66" s="2">
        <f>Hours!A66</f>
        <v>62</v>
      </c>
      <c r="B66" s="2" t="str">
        <f>Hours!B66</f>
        <v>12/07/2025</v>
      </c>
      <c r="C66" s="2" t="str">
        <f>Hours!C66</f>
        <v>Q4 2025</v>
      </c>
      <c r="D66" s="9">
        <f>Hours!D66</f>
        <v>0</v>
      </c>
      <c r="E66" s="9">
        <f>Hours!G66</f>
        <v>0</v>
      </c>
      <c r="F66" s="5">
        <f>IF(A66&gt;=Parameters!$E$19,Parameters!$C$19,Parameters!$B$19)</f>
        <v>800</v>
      </c>
      <c r="G66" s="5">
        <f>SUMIFS(Bonuses!$D$4:$D$27,Bonuses!$A$4:$A$27,"Kendra Voight",Bonuses!$B$4:$B$27,C66)</f>
        <v>50.38</v>
      </c>
      <c r="H66" s="5">
        <f>ROUND((F66+G66)/Parameters!$B$7,2)</f>
        <v>21.26</v>
      </c>
      <c r="I66" s="5">
        <f>ROUND(Parameters!$B$8*H66*E66,2)</f>
        <v>0</v>
      </c>
    </row>
    <row r="67" spans="1:9" x14ac:dyDescent="0.2">
      <c r="A67" s="2">
        <f>Hours!A67</f>
        <v>63</v>
      </c>
      <c r="B67" s="2" t="str">
        <f>Hours!B67</f>
        <v>12/14/2025</v>
      </c>
      <c r="C67" s="2" t="str">
        <f>Hours!C67</f>
        <v>Q4 2025</v>
      </c>
      <c r="D67" s="9">
        <f>Hours!D67</f>
        <v>52.49</v>
      </c>
      <c r="E67" s="9">
        <f>Hours!G67</f>
        <v>12.49</v>
      </c>
      <c r="F67" s="5">
        <f>IF(A67&gt;=Parameters!$E$19,Parameters!$C$19,Parameters!$B$19)</f>
        <v>800</v>
      </c>
      <c r="G67" s="5">
        <f>SUMIFS(Bonuses!$D$4:$D$27,Bonuses!$A$4:$A$27,"Kendra Voight",Bonuses!$B$4:$B$27,C67)</f>
        <v>50.38</v>
      </c>
      <c r="H67" s="5">
        <f>ROUND((F67+G67)/Parameters!$B$7,2)</f>
        <v>21.26</v>
      </c>
      <c r="I67" s="5">
        <f>ROUND(Parameters!$B$8*H67*E67,2)</f>
        <v>398.31</v>
      </c>
    </row>
    <row r="68" spans="1:9" x14ac:dyDescent="0.2">
      <c r="A68" s="2">
        <f>Hours!A68</f>
        <v>64</v>
      </c>
      <c r="B68" s="2" t="str">
        <f>Hours!B68</f>
        <v>12/21/2025</v>
      </c>
      <c r="C68" s="2" t="str">
        <f>Hours!C68</f>
        <v>Q4 2025</v>
      </c>
      <c r="D68" s="9">
        <f>Hours!D68</f>
        <v>55.93</v>
      </c>
      <c r="E68" s="9">
        <f>Hours!G68</f>
        <v>15.93</v>
      </c>
      <c r="F68" s="5">
        <f>IF(A68&gt;=Parameters!$E$19,Parameters!$C$19,Parameters!$B$19)</f>
        <v>800</v>
      </c>
      <c r="G68" s="5">
        <f>SUMIFS(Bonuses!$D$4:$D$27,Bonuses!$A$4:$A$27,"Kendra Voight",Bonuses!$B$4:$B$27,C68)</f>
        <v>50.38</v>
      </c>
      <c r="H68" s="5">
        <f>ROUND((F68+G68)/Parameters!$B$7,2)</f>
        <v>21.26</v>
      </c>
      <c r="I68" s="5">
        <f>ROUND(Parameters!$B$8*H68*E68,2)</f>
        <v>508.01</v>
      </c>
    </row>
    <row r="69" spans="1:9" x14ac:dyDescent="0.2">
      <c r="A69" s="2">
        <f>Hours!A69</f>
        <v>65</v>
      </c>
      <c r="B69" s="2" t="str">
        <f>Hours!B69</f>
        <v>12/28/2025</v>
      </c>
      <c r="C69" s="2" t="str">
        <f>Hours!C69</f>
        <v>Q4 2025</v>
      </c>
      <c r="D69" s="9">
        <f>Hours!D69</f>
        <v>54</v>
      </c>
      <c r="E69" s="9">
        <f>Hours!G69</f>
        <v>14</v>
      </c>
      <c r="F69" s="5">
        <f>IF(A69&gt;=Parameters!$E$19,Parameters!$C$19,Parameters!$B$19)</f>
        <v>800</v>
      </c>
      <c r="G69" s="5">
        <f>SUMIFS(Bonuses!$D$4:$D$27,Bonuses!$A$4:$A$27,"Kendra Voight",Bonuses!$B$4:$B$27,C69)</f>
        <v>50.38</v>
      </c>
      <c r="H69" s="5">
        <f>ROUND((F69+G69)/Parameters!$B$7,2)</f>
        <v>21.26</v>
      </c>
      <c r="I69" s="5">
        <f>ROUND(Parameters!$B$8*H69*E69,2)</f>
        <v>446.46</v>
      </c>
    </row>
    <row r="70" spans="1:9" x14ac:dyDescent="0.2">
      <c r="A70" s="2">
        <f>Hours!A70</f>
        <v>66</v>
      </c>
      <c r="B70" s="2" t="str">
        <f>Hours!B70</f>
        <v>01/04/2026</v>
      </c>
      <c r="C70" s="2" t="str">
        <f>Hours!C70</f>
        <v>Q1 2026</v>
      </c>
      <c r="D70" s="9">
        <f>Hours!D70</f>
        <v>49.32</v>
      </c>
      <c r="E70" s="9">
        <f>Hours!G70</f>
        <v>9.32</v>
      </c>
      <c r="F70" s="5">
        <f>IF(A70&gt;=Parameters!$E$19,Parameters!$C$19,Parameters!$B$19)</f>
        <v>800</v>
      </c>
      <c r="G70" s="5">
        <f>SUMIFS(Bonuses!$D$4:$D$27,Bonuses!$A$4:$A$27,"Kendra Voight",Bonuses!$B$4:$B$27,C70)</f>
        <v>0</v>
      </c>
      <c r="H70" s="5">
        <f>ROUND((F70+G70)/Parameters!$B$7,2)</f>
        <v>20</v>
      </c>
      <c r="I70" s="5">
        <f>ROUND(Parameters!$B$8*H70*E70,2)</f>
        <v>279.6</v>
      </c>
    </row>
    <row r="71" spans="1:9" x14ac:dyDescent="0.2">
      <c r="A71" s="2">
        <f>Hours!A71</f>
        <v>67</v>
      </c>
      <c r="B71" s="2" t="str">
        <f>Hours!B71</f>
        <v>01/11/2026</v>
      </c>
      <c r="C71" s="2" t="str">
        <f>Hours!C71</f>
        <v>Q1 2026</v>
      </c>
      <c r="D71" s="9">
        <f>Hours!D71</f>
        <v>49.23</v>
      </c>
      <c r="E71" s="9">
        <f>Hours!G71</f>
        <v>9.23</v>
      </c>
      <c r="F71" s="5">
        <f>IF(A71&gt;=Parameters!$E$19,Parameters!$C$19,Parameters!$B$19)</f>
        <v>800</v>
      </c>
      <c r="G71" s="5">
        <f>SUMIFS(Bonuses!$D$4:$D$27,Bonuses!$A$4:$A$27,"Kendra Voight",Bonuses!$B$4:$B$27,C71)</f>
        <v>0</v>
      </c>
      <c r="H71" s="5">
        <f>ROUND((F71+G71)/Parameters!$B$7,2)</f>
        <v>20</v>
      </c>
      <c r="I71" s="5">
        <f>ROUND(Parameters!$B$8*H71*E71,2)</f>
        <v>276.9</v>
      </c>
    </row>
    <row r="72" spans="1:9" x14ac:dyDescent="0.2">
      <c r="A72" s="2">
        <f>Hours!A72</f>
        <v>68</v>
      </c>
      <c r="B72" s="2" t="str">
        <f>Hours!B72</f>
        <v>01/18/2026</v>
      </c>
      <c r="C72" s="2" t="str">
        <f>Hours!C72</f>
        <v>Q1 2026</v>
      </c>
      <c r="D72" s="9">
        <f>Hours!D72</f>
        <v>53.93</v>
      </c>
      <c r="E72" s="9">
        <f>Hours!G72</f>
        <v>13.93</v>
      </c>
      <c r="F72" s="5">
        <f>IF(A72&gt;=Parameters!$E$19,Parameters!$C$19,Parameters!$B$19)</f>
        <v>800</v>
      </c>
      <c r="G72" s="5">
        <f>SUMIFS(Bonuses!$D$4:$D$27,Bonuses!$A$4:$A$27,"Kendra Voight",Bonuses!$B$4:$B$27,C72)</f>
        <v>0</v>
      </c>
      <c r="H72" s="5">
        <f>ROUND((F72+G72)/Parameters!$B$7,2)</f>
        <v>20</v>
      </c>
      <c r="I72" s="5">
        <f>ROUND(Parameters!$B$8*H72*E72,2)</f>
        <v>417.9</v>
      </c>
    </row>
    <row r="73" spans="1:9" x14ac:dyDescent="0.2">
      <c r="A73" s="2">
        <f>Hours!A73</f>
        <v>69</v>
      </c>
      <c r="B73" s="2" t="str">
        <f>Hours!B73</f>
        <v>01/25/2026</v>
      </c>
      <c r="C73" s="2" t="str">
        <f>Hours!C73</f>
        <v>Q1 2026</v>
      </c>
      <c r="D73" s="9">
        <f>Hours!D73</f>
        <v>50.79</v>
      </c>
      <c r="E73" s="9">
        <f>Hours!G73</f>
        <v>10.79</v>
      </c>
      <c r="F73" s="5">
        <f>IF(A73&gt;=Parameters!$E$19,Parameters!$C$19,Parameters!$B$19)</f>
        <v>800</v>
      </c>
      <c r="G73" s="5">
        <f>SUMIFS(Bonuses!$D$4:$D$27,Bonuses!$A$4:$A$27,"Kendra Voight",Bonuses!$B$4:$B$27,C73)</f>
        <v>0</v>
      </c>
      <c r="H73" s="5">
        <f>ROUND((F73+G73)/Parameters!$B$7,2)</f>
        <v>20</v>
      </c>
      <c r="I73" s="5">
        <f>ROUND(Parameters!$B$8*H73*E73,2)</f>
        <v>323.7</v>
      </c>
    </row>
    <row r="74" spans="1:9" x14ac:dyDescent="0.2">
      <c r="A74" s="2">
        <f>Hours!A74</f>
        <v>70</v>
      </c>
      <c r="B74" s="2" t="str">
        <f>Hours!B74</f>
        <v>02/01/2026</v>
      </c>
      <c r="C74" s="2" t="str">
        <f>Hours!C74</f>
        <v>Q1 2026</v>
      </c>
      <c r="D74" s="9">
        <f>Hours!D74</f>
        <v>50.61</v>
      </c>
      <c r="E74" s="9">
        <f>Hours!G74</f>
        <v>10.61</v>
      </c>
      <c r="F74" s="5">
        <f>IF(A74&gt;=Parameters!$E$19,Parameters!$C$19,Parameters!$B$19)</f>
        <v>800</v>
      </c>
      <c r="G74" s="5">
        <f>SUMIFS(Bonuses!$D$4:$D$27,Bonuses!$A$4:$A$27,"Kendra Voight",Bonuses!$B$4:$B$27,C74)</f>
        <v>0</v>
      </c>
      <c r="H74" s="5">
        <f>ROUND((F74+G74)/Parameters!$B$7,2)</f>
        <v>20</v>
      </c>
      <c r="I74" s="5">
        <f>ROUND(Parameters!$B$8*H74*E74,2)</f>
        <v>318.3</v>
      </c>
    </row>
    <row r="75" spans="1:9" x14ac:dyDescent="0.2">
      <c r="A75" s="2">
        <f>Hours!A75</f>
        <v>71</v>
      </c>
      <c r="B75" s="2" t="str">
        <f>Hours!B75</f>
        <v>02/08/2026</v>
      </c>
      <c r="C75" s="2" t="str">
        <f>Hours!C75</f>
        <v>Q1 2026</v>
      </c>
      <c r="D75" s="9">
        <f>Hours!D75</f>
        <v>48.12</v>
      </c>
      <c r="E75" s="9">
        <f>Hours!G75</f>
        <v>8.12</v>
      </c>
      <c r="F75" s="5">
        <f>IF(A75&gt;=Parameters!$E$19,Parameters!$C$19,Parameters!$B$19)</f>
        <v>800</v>
      </c>
      <c r="G75" s="5">
        <f>SUMIFS(Bonuses!$D$4:$D$27,Bonuses!$A$4:$A$27,"Kendra Voight",Bonuses!$B$4:$B$27,C75)</f>
        <v>0</v>
      </c>
      <c r="H75" s="5">
        <f>ROUND((F75+G75)/Parameters!$B$7,2)</f>
        <v>20</v>
      </c>
      <c r="I75" s="5">
        <f>ROUND(Parameters!$B$8*H75*E75,2)</f>
        <v>243.6</v>
      </c>
    </row>
    <row r="76" spans="1:9" x14ac:dyDescent="0.2">
      <c r="A76" s="2">
        <f>Hours!A76</f>
        <v>72</v>
      </c>
      <c r="B76" s="2" t="str">
        <f>Hours!B76</f>
        <v>02/15/2026</v>
      </c>
      <c r="C76" s="2" t="str">
        <f>Hours!C76</f>
        <v>Q1 2026</v>
      </c>
      <c r="D76" s="9">
        <f>Hours!D76</f>
        <v>53.56</v>
      </c>
      <c r="E76" s="9">
        <f>Hours!G76</f>
        <v>13.56</v>
      </c>
      <c r="F76" s="5">
        <f>IF(A76&gt;=Parameters!$E$19,Parameters!$C$19,Parameters!$B$19)</f>
        <v>800</v>
      </c>
      <c r="G76" s="5">
        <f>SUMIFS(Bonuses!$D$4:$D$27,Bonuses!$A$4:$A$27,"Kendra Voight",Bonuses!$B$4:$B$27,C76)</f>
        <v>0</v>
      </c>
      <c r="H76" s="5">
        <f>ROUND((F76+G76)/Parameters!$B$7,2)</f>
        <v>20</v>
      </c>
      <c r="I76" s="5">
        <f>ROUND(Parameters!$B$8*H76*E76,2)</f>
        <v>406.8</v>
      </c>
    </row>
    <row r="77" spans="1:9" x14ac:dyDescent="0.2">
      <c r="A77" s="2">
        <f>Hours!A77</f>
        <v>73</v>
      </c>
      <c r="B77" s="2" t="str">
        <f>Hours!B77</f>
        <v>02/22/2026</v>
      </c>
      <c r="C77" s="2" t="str">
        <f>Hours!C77</f>
        <v>Q1 2026</v>
      </c>
      <c r="D77" s="9">
        <f>Hours!D77</f>
        <v>44.04</v>
      </c>
      <c r="E77" s="9">
        <f>Hours!G77</f>
        <v>4.04</v>
      </c>
      <c r="F77" s="5">
        <f>IF(A77&gt;=Parameters!$E$19,Parameters!$C$19,Parameters!$B$19)</f>
        <v>800</v>
      </c>
      <c r="G77" s="5">
        <f>SUMIFS(Bonuses!$D$4:$D$27,Bonuses!$A$4:$A$27,"Kendra Voight",Bonuses!$B$4:$B$27,C77)</f>
        <v>0</v>
      </c>
      <c r="H77" s="5">
        <f>ROUND((F77+G77)/Parameters!$B$7,2)</f>
        <v>20</v>
      </c>
      <c r="I77" s="5">
        <f>ROUND(Parameters!$B$8*H77*E77,2)</f>
        <v>121.2</v>
      </c>
    </row>
    <row r="78" spans="1:9" x14ac:dyDescent="0.2">
      <c r="A78" s="2">
        <f>Hours!A78</f>
        <v>74</v>
      </c>
      <c r="B78" s="2" t="str">
        <f>Hours!B78</f>
        <v>03/01/2026</v>
      </c>
      <c r="C78" s="2" t="str">
        <f>Hours!C78</f>
        <v>Q1 2026</v>
      </c>
      <c r="D78" s="9">
        <f>Hours!D78</f>
        <v>49.1</v>
      </c>
      <c r="E78" s="9">
        <f>Hours!G78</f>
        <v>9.1</v>
      </c>
      <c r="F78" s="5">
        <f>IF(A78&gt;=Parameters!$E$19,Parameters!$C$19,Parameters!$B$19)</f>
        <v>800</v>
      </c>
      <c r="G78" s="5">
        <f>SUMIFS(Bonuses!$D$4:$D$27,Bonuses!$A$4:$A$27,"Kendra Voight",Bonuses!$B$4:$B$27,C78)</f>
        <v>0</v>
      </c>
      <c r="H78" s="5">
        <f>ROUND((F78+G78)/Parameters!$B$7,2)</f>
        <v>20</v>
      </c>
      <c r="I78" s="5">
        <f>ROUND(Parameters!$B$8*H78*E78,2)</f>
        <v>273</v>
      </c>
    </row>
    <row r="79" spans="1:9" x14ac:dyDescent="0.2">
      <c r="A79" s="2">
        <f>Hours!A79</f>
        <v>75</v>
      </c>
      <c r="B79" s="2" t="str">
        <f>Hours!B79</f>
        <v>03/08/2026</v>
      </c>
      <c r="C79" s="2" t="str">
        <f>Hours!C79</f>
        <v>Q1 2026</v>
      </c>
      <c r="D79" s="9">
        <f>Hours!D79</f>
        <v>47.32</v>
      </c>
      <c r="E79" s="9">
        <f>Hours!G79</f>
        <v>7.32</v>
      </c>
      <c r="F79" s="5">
        <f>IF(A79&gt;=Parameters!$E$19,Parameters!$C$19,Parameters!$B$19)</f>
        <v>800</v>
      </c>
      <c r="G79" s="5">
        <f>SUMIFS(Bonuses!$D$4:$D$27,Bonuses!$A$4:$A$27,"Kendra Voight",Bonuses!$B$4:$B$27,C79)</f>
        <v>0</v>
      </c>
      <c r="H79" s="5">
        <f>ROUND((F79+G79)/Parameters!$B$7,2)</f>
        <v>20</v>
      </c>
      <c r="I79" s="5">
        <f>ROUND(Parameters!$B$8*H79*E79,2)</f>
        <v>219.6</v>
      </c>
    </row>
    <row r="80" spans="1:9" x14ac:dyDescent="0.2">
      <c r="A80" s="2">
        <f>Hours!A80</f>
        <v>76</v>
      </c>
      <c r="B80" s="2" t="str">
        <f>Hours!B80</f>
        <v>03/15/2026</v>
      </c>
      <c r="C80" s="2" t="str">
        <f>Hours!C80</f>
        <v>Q1 2026</v>
      </c>
      <c r="D80" s="9">
        <f>Hours!D80</f>
        <v>55.53</v>
      </c>
      <c r="E80" s="9">
        <f>Hours!G80</f>
        <v>15.53</v>
      </c>
      <c r="F80" s="5">
        <f>IF(A80&gt;=Parameters!$E$19,Parameters!$C$19,Parameters!$B$19)</f>
        <v>800</v>
      </c>
      <c r="G80" s="5">
        <f>SUMIFS(Bonuses!$D$4:$D$27,Bonuses!$A$4:$A$27,"Kendra Voight",Bonuses!$B$4:$B$27,C80)</f>
        <v>0</v>
      </c>
      <c r="H80" s="5">
        <f>ROUND((F80+G80)/Parameters!$B$7,2)</f>
        <v>20</v>
      </c>
      <c r="I80" s="5">
        <f>ROUND(Parameters!$B$8*H80*E80,2)</f>
        <v>465.9</v>
      </c>
    </row>
    <row r="81" spans="1:9" x14ac:dyDescent="0.2">
      <c r="A81" s="2">
        <f>Hours!A81</f>
        <v>77</v>
      </c>
      <c r="B81" s="2" t="str">
        <f>Hours!B81</f>
        <v>03/22/2026</v>
      </c>
      <c r="C81" s="2" t="str">
        <f>Hours!C81</f>
        <v>Q1 2026</v>
      </c>
      <c r="D81" s="9">
        <f>Hours!D81</f>
        <v>52.98</v>
      </c>
      <c r="E81" s="9">
        <f>Hours!G81</f>
        <v>12.98</v>
      </c>
      <c r="F81" s="5">
        <f>IF(A81&gt;=Parameters!$E$19,Parameters!$C$19,Parameters!$B$19)</f>
        <v>800</v>
      </c>
      <c r="G81" s="5">
        <f>SUMIFS(Bonuses!$D$4:$D$27,Bonuses!$A$4:$A$27,"Kendra Voight",Bonuses!$B$4:$B$27,C81)</f>
        <v>0</v>
      </c>
      <c r="H81" s="5">
        <f>ROUND((F81+G81)/Parameters!$B$7,2)</f>
        <v>20</v>
      </c>
      <c r="I81" s="5">
        <f>ROUND(Parameters!$B$8*H81*E81,2)</f>
        <v>389.4</v>
      </c>
    </row>
    <row r="82" spans="1:9" x14ac:dyDescent="0.2">
      <c r="A82" s="2">
        <f>Hours!A82</f>
        <v>78</v>
      </c>
      <c r="B82" s="2" t="str">
        <f>Hours!B82</f>
        <v>03/29/2026</v>
      </c>
      <c r="C82" s="2" t="str">
        <f>Hours!C82</f>
        <v>Q1 2026</v>
      </c>
      <c r="D82" s="9">
        <f>Hours!D82</f>
        <v>51.98</v>
      </c>
      <c r="E82" s="9">
        <f>Hours!G82</f>
        <v>11.98</v>
      </c>
      <c r="F82" s="5">
        <f>IF(A82&gt;=Parameters!$E$19,Parameters!$C$19,Parameters!$B$19)</f>
        <v>800</v>
      </c>
      <c r="G82" s="5">
        <f>SUMIFS(Bonuses!$D$4:$D$27,Bonuses!$A$4:$A$27,"Kendra Voight",Bonuses!$B$4:$B$27,C82)</f>
        <v>0</v>
      </c>
      <c r="H82" s="5">
        <f>ROUND((F82+G82)/Parameters!$B$7,2)</f>
        <v>20</v>
      </c>
      <c r="I82" s="5">
        <f>ROUND(Parameters!$B$8*H82*E82,2)</f>
        <v>359.4</v>
      </c>
    </row>
    <row r="83" spans="1:9" x14ac:dyDescent="0.2">
      <c r="A83" s="2">
        <f>Hours!A83</f>
        <v>79</v>
      </c>
      <c r="B83" s="2" t="str">
        <f>Hours!B83</f>
        <v>04/05/2026</v>
      </c>
      <c r="C83" s="2" t="str">
        <f>Hours!C83</f>
        <v>Q2 2026</v>
      </c>
      <c r="D83" s="9">
        <f>Hours!D83</f>
        <v>52.11</v>
      </c>
      <c r="E83" s="9">
        <f>Hours!G83</f>
        <v>12.11</v>
      </c>
      <c r="F83" s="5">
        <f>IF(A83&gt;=Parameters!$E$19,Parameters!$C$19,Parameters!$B$19)</f>
        <v>800</v>
      </c>
      <c r="G83" s="5">
        <f>SUMIFS(Bonuses!$D$4:$D$27,Bonuses!$A$4:$A$27,"Kendra Voight",Bonuses!$B$4:$B$27,C83)</f>
        <v>45.38</v>
      </c>
      <c r="H83" s="5">
        <f>ROUND((F83+G83)/Parameters!$B$7,2)</f>
        <v>21.13</v>
      </c>
      <c r="I83" s="5">
        <f>ROUND(Parameters!$B$8*H83*E83,2)</f>
        <v>383.83</v>
      </c>
    </row>
    <row r="84" spans="1:9" x14ac:dyDescent="0.2">
      <c r="A84" s="2">
        <f>Hours!A84</f>
        <v>80</v>
      </c>
      <c r="B84" s="2" t="str">
        <f>Hours!B84</f>
        <v>04/12/2026</v>
      </c>
      <c r="C84" s="2" t="str">
        <f>Hours!C84</f>
        <v>Q2 2026</v>
      </c>
      <c r="D84" s="9">
        <f>Hours!D84</f>
        <v>54.2</v>
      </c>
      <c r="E84" s="9">
        <f>Hours!G84</f>
        <v>14.2</v>
      </c>
      <c r="F84" s="5">
        <f>IF(A84&gt;=Parameters!$E$19,Parameters!$C$19,Parameters!$B$19)</f>
        <v>800</v>
      </c>
      <c r="G84" s="5">
        <f>SUMIFS(Bonuses!$D$4:$D$27,Bonuses!$A$4:$A$27,"Kendra Voight",Bonuses!$B$4:$B$27,C84)</f>
        <v>45.38</v>
      </c>
      <c r="H84" s="5">
        <f>ROUND((F84+G84)/Parameters!$B$7,2)</f>
        <v>21.13</v>
      </c>
      <c r="I84" s="5">
        <f>ROUND(Parameters!$B$8*H84*E84,2)</f>
        <v>450.07</v>
      </c>
    </row>
    <row r="85" spans="1:9" x14ac:dyDescent="0.2">
      <c r="A85" s="2">
        <f>Hours!A85</f>
        <v>81</v>
      </c>
      <c r="B85" s="2" t="str">
        <f>Hours!B85</f>
        <v>04/19/2026</v>
      </c>
      <c r="C85" s="2" t="str">
        <f>Hours!C85</f>
        <v>Q2 2026</v>
      </c>
      <c r="D85" s="9">
        <f>Hours!D85</f>
        <v>50.07</v>
      </c>
      <c r="E85" s="9">
        <f>Hours!G85</f>
        <v>10.07</v>
      </c>
      <c r="F85" s="5">
        <f>IF(A85&gt;=Parameters!$E$19,Parameters!$C$19,Parameters!$B$19)</f>
        <v>800</v>
      </c>
      <c r="G85" s="5">
        <f>SUMIFS(Bonuses!$D$4:$D$27,Bonuses!$A$4:$A$27,"Kendra Voight",Bonuses!$B$4:$B$27,C85)</f>
        <v>45.38</v>
      </c>
      <c r="H85" s="5">
        <f>ROUND((F85+G85)/Parameters!$B$7,2)</f>
        <v>21.13</v>
      </c>
      <c r="I85" s="5">
        <f>ROUND(Parameters!$B$8*H85*E85,2)</f>
        <v>319.17</v>
      </c>
    </row>
    <row r="86" spans="1:9" x14ac:dyDescent="0.2">
      <c r="A86" s="2">
        <f>Hours!A86</f>
        <v>82</v>
      </c>
      <c r="B86" s="2" t="str">
        <f>Hours!B86</f>
        <v>04/26/2026</v>
      </c>
      <c r="C86" s="2" t="str">
        <f>Hours!C86</f>
        <v>Q2 2026</v>
      </c>
      <c r="D86" s="9">
        <f>Hours!D86</f>
        <v>46.41</v>
      </c>
      <c r="E86" s="9">
        <f>Hours!G86</f>
        <v>6.41</v>
      </c>
      <c r="F86" s="5">
        <f>IF(A86&gt;=Parameters!$E$19,Parameters!$C$19,Parameters!$B$19)</f>
        <v>800</v>
      </c>
      <c r="G86" s="5">
        <f>SUMIFS(Bonuses!$D$4:$D$27,Bonuses!$A$4:$A$27,"Kendra Voight",Bonuses!$B$4:$B$27,C86)</f>
        <v>45.38</v>
      </c>
      <c r="H86" s="5">
        <f>ROUND((F86+G86)/Parameters!$B$7,2)</f>
        <v>21.13</v>
      </c>
      <c r="I86" s="5">
        <f>ROUND(Parameters!$B$8*H86*E86,2)</f>
        <v>203.16</v>
      </c>
    </row>
    <row r="87" spans="1:9" x14ac:dyDescent="0.2">
      <c r="A87" s="2">
        <f>Hours!A87</f>
        <v>83</v>
      </c>
      <c r="B87" s="2" t="str">
        <f>Hours!B87</f>
        <v>05/03/2026</v>
      </c>
      <c r="C87" s="2" t="str">
        <f>Hours!C87</f>
        <v>Q2 2026</v>
      </c>
      <c r="D87" s="9">
        <f>Hours!D87</f>
        <v>46.02</v>
      </c>
      <c r="E87" s="9">
        <f>Hours!G87</f>
        <v>6.02</v>
      </c>
      <c r="F87" s="5">
        <f>IF(A87&gt;=Parameters!$E$19,Parameters!$C$19,Parameters!$B$19)</f>
        <v>800</v>
      </c>
      <c r="G87" s="5">
        <f>SUMIFS(Bonuses!$D$4:$D$27,Bonuses!$A$4:$A$27,"Kendra Voight",Bonuses!$B$4:$B$27,C87)</f>
        <v>45.38</v>
      </c>
      <c r="H87" s="5">
        <f>ROUND((F87+G87)/Parameters!$B$7,2)</f>
        <v>21.13</v>
      </c>
      <c r="I87" s="5">
        <f>ROUND(Parameters!$B$8*H87*E87,2)</f>
        <v>190.8</v>
      </c>
    </row>
    <row r="88" spans="1:9" x14ac:dyDescent="0.2">
      <c r="A88" s="2">
        <f>Hours!A88</f>
        <v>84</v>
      </c>
      <c r="B88" s="2" t="str">
        <f>Hours!B88</f>
        <v>05/10/2026</v>
      </c>
      <c r="C88" s="2" t="str">
        <f>Hours!C88</f>
        <v>Q2 2026</v>
      </c>
      <c r="D88" s="9">
        <f>Hours!D88</f>
        <v>50.27</v>
      </c>
      <c r="E88" s="9">
        <f>Hours!G88</f>
        <v>10.27</v>
      </c>
      <c r="F88" s="5">
        <f>IF(A88&gt;=Parameters!$E$19,Parameters!$C$19,Parameters!$B$19)</f>
        <v>800</v>
      </c>
      <c r="G88" s="5">
        <f>SUMIFS(Bonuses!$D$4:$D$27,Bonuses!$A$4:$A$27,"Kendra Voight",Bonuses!$B$4:$B$27,C88)</f>
        <v>45.38</v>
      </c>
      <c r="H88" s="5">
        <f>ROUND((F88+G88)/Parameters!$B$7,2)</f>
        <v>21.13</v>
      </c>
      <c r="I88" s="5">
        <f>ROUND(Parameters!$B$8*H88*E88,2)</f>
        <v>325.51</v>
      </c>
    </row>
    <row r="89" spans="1:9" x14ac:dyDescent="0.2">
      <c r="A89" s="2">
        <f>Hours!A89</f>
        <v>85</v>
      </c>
      <c r="B89" s="2" t="str">
        <f>Hours!B89</f>
        <v>05/17/2026</v>
      </c>
      <c r="C89" s="2" t="str">
        <f>Hours!C89</f>
        <v>Q2 2026</v>
      </c>
      <c r="D89" s="9">
        <f>Hours!D89</f>
        <v>52.09</v>
      </c>
      <c r="E89" s="9">
        <f>Hours!G89</f>
        <v>12.09</v>
      </c>
      <c r="F89" s="5">
        <f>IF(A89&gt;=Parameters!$E$19,Parameters!$C$19,Parameters!$B$19)</f>
        <v>800</v>
      </c>
      <c r="G89" s="5">
        <f>SUMIFS(Bonuses!$D$4:$D$27,Bonuses!$A$4:$A$27,"Kendra Voight",Bonuses!$B$4:$B$27,C89)</f>
        <v>45.38</v>
      </c>
      <c r="H89" s="5">
        <f>ROUND((F89+G89)/Parameters!$B$7,2)</f>
        <v>21.13</v>
      </c>
      <c r="I89" s="5">
        <f>ROUND(Parameters!$B$8*H89*E89,2)</f>
        <v>383.19</v>
      </c>
    </row>
    <row r="90" spans="1:9" x14ac:dyDescent="0.2">
      <c r="A90" s="2">
        <f>Hours!A90</f>
        <v>86</v>
      </c>
      <c r="B90" s="2" t="str">
        <f>Hours!B90</f>
        <v>05/24/2026</v>
      </c>
      <c r="C90" s="2" t="str">
        <f>Hours!C90</f>
        <v>Q2 2026</v>
      </c>
      <c r="D90" s="9">
        <f>Hours!D90</f>
        <v>51.51</v>
      </c>
      <c r="E90" s="9">
        <f>Hours!G90</f>
        <v>11.51</v>
      </c>
      <c r="F90" s="5">
        <f>IF(A90&gt;=Parameters!$E$19,Parameters!$C$19,Parameters!$B$19)</f>
        <v>800</v>
      </c>
      <c r="G90" s="5">
        <f>SUMIFS(Bonuses!$D$4:$D$27,Bonuses!$A$4:$A$27,"Kendra Voight",Bonuses!$B$4:$B$27,C90)</f>
        <v>45.38</v>
      </c>
      <c r="H90" s="5">
        <f>ROUND((F90+G90)/Parameters!$B$7,2)</f>
        <v>21.13</v>
      </c>
      <c r="I90" s="5">
        <f>ROUND(Parameters!$B$8*H90*E90,2)</f>
        <v>364.81</v>
      </c>
    </row>
    <row r="91" spans="1:9" x14ac:dyDescent="0.2">
      <c r="A91" s="2">
        <f>Hours!A91</f>
        <v>87</v>
      </c>
      <c r="B91" s="2" t="str">
        <f>Hours!B91</f>
        <v>05/31/2026</v>
      </c>
      <c r="C91" s="2" t="str">
        <f>Hours!C91</f>
        <v>Q2 2026</v>
      </c>
      <c r="D91" s="9">
        <f>Hours!D91</f>
        <v>48.99</v>
      </c>
      <c r="E91" s="9">
        <f>Hours!G91</f>
        <v>8.99</v>
      </c>
      <c r="F91" s="5">
        <f>IF(A91&gt;=Parameters!$E$19,Parameters!$C$19,Parameters!$B$19)</f>
        <v>800</v>
      </c>
      <c r="G91" s="5">
        <f>SUMIFS(Bonuses!$D$4:$D$27,Bonuses!$A$4:$A$27,"Kendra Voight",Bonuses!$B$4:$B$27,C91)</f>
        <v>45.38</v>
      </c>
      <c r="H91" s="5">
        <f>ROUND((F91+G91)/Parameters!$B$7,2)</f>
        <v>21.13</v>
      </c>
      <c r="I91" s="5">
        <f>ROUND(Parameters!$B$8*H91*E91,2)</f>
        <v>284.94</v>
      </c>
    </row>
    <row r="92" spans="1:9" x14ac:dyDescent="0.2">
      <c r="A92" s="2">
        <f>Hours!A92</f>
        <v>88</v>
      </c>
      <c r="B92" s="2" t="str">
        <f>Hours!B92</f>
        <v>06/07/2026</v>
      </c>
      <c r="C92" s="2" t="str">
        <f>Hours!C92</f>
        <v>Q2 2026</v>
      </c>
      <c r="D92" s="9">
        <f>Hours!D92</f>
        <v>50.15</v>
      </c>
      <c r="E92" s="9">
        <f>Hours!G92</f>
        <v>10.15</v>
      </c>
      <c r="F92" s="5">
        <f>IF(A92&gt;=Parameters!$E$19,Parameters!$C$19,Parameters!$B$19)</f>
        <v>800</v>
      </c>
      <c r="G92" s="5">
        <f>SUMIFS(Bonuses!$D$4:$D$27,Bonuses!$A$4:$A$27,"Kendra Voight",Bonuses!$B$4:$B$27,C92)</f>
        <v>45.38</v>
      </c>
      <c r="H92" s="5">
        <f>ROUND((F92+G92)/Parameters!$B$7,2)</f>
        <v>21.13</v>
      </c>
      <c r="I92" s="5">
        <f>ROUND(Parameters!$B$8*H92*E92,2)</f>
        <v>321.7</v>
      </c>
    </row>
    <row r="93" spans="1:9" x14ac:dyDescent="0.2">
      <c r="A93" s="2">
        <f>Hours!A93</f>
        <v>89</v>
      </c>
      <c r="B93" s="2" t="str">
        <f>Hours!B93</f>
        <v>06/14/2026</v>
      </c>
      <c r="C93" s="2" t="str">
        <f>Hours!C93</f>
        <v>Q2 2026</v>
      </c>
      <c r="D93" s="9">
        <f>Hours!D93</f>
        <v>54.35</v>
      </c>
      <c r="E93" s="9">
        <f>Hours!G93</f>
        <v>14.35</v>
      </c>
      <c r="F93" s="5">
        <f>IF(A93&gt;=Parameters!$E$19,Parameters!$C$19,Parameters!$B$19)</f>
        <v>800</v>
      </c>
      <c r="G93" s="5">
        <f>SUMIFS(Bonuses!$D$4:$D$27,Bonuses!$A$4:$A$27,"Kendra Voight",Bonuses!$B$4:$B$27,C93)</f>
        <v>45.38</v>
      </c>
      <c r="H93" s="5">
        <f>ROUND((F93+G93)/Parameters!$B$7,2)</f>
        <v>21.13</v>
      </c>
      <c r="I93" s="5">
        <f>ROUND(Parameters!$B$8*H93*E93,2)</f>
        <v>454.82</v>
      </c>
    </row>
    <row r="94" spans="1:9" x14ac:dyDescent="0.2">
      <c r="A94" s="2">
        <f>Hours!A94</f>
        <v>90</v>
      </c>
      <c r="B94" s="2" t="str">
        <f>Hours!B94</f>
        <v>06/21/2026</v>
      </c>
      <c r="C94" s="2" t="str">
        <f>Hours!C94</f>
        <v>Q2 2026</v>
      </c>
      <c r="D94" s="9">
        <f>Hours!D94</f>
        <v>51.6</v>
      </c>
      <c r="E94" s="9">
        <f>Hours!G94</f>
        <v>11.6</v>
      </c>
      <c r="F94" s="5">
        <f>IF(A94&gt;=Parameters!$E$19,Parameters!$C$19,Parameters!$B$19)</f>
        <v>800</v>
      </c>
      <c r="G94" s="5">
        <f>SUMIFS(Bonuses!$D$4:$D$27,Bonuses!$A$4:$A$27,"Kendra Voight",Bonuses!$B$4:$B$27,C94)</f>
        <v>45.38</v>
      </c>
      <c r="H94" s="5">
        <f>ROUND((F94+G94)/Parameters!$B$7,2)</f>
        <v>21.13</v>
      </c>
      <c r="I94" s="5">
        <f>ROUND(Parameters!$B$8*H94*E94,2)</f>
        <v>367.66</v>
      </c>
    </row>
    <row r="95" spans="1:9" x14ac:dyDescent="0.2">
      <c r="A95" s="2">
        <f>Hours!A95</f>
        <v>91</v>
      </c>
      <c r="B95" s="2" t="str">
        <f>Hours!B95</f>
        <v>06/28/2026</v>
      </c>
      <c r="C95" s="2" t="str">
        <f>Hours!C95</f>
        <v>Q2 2026</v>
      </c>
      <c r="D95" s="9">
        <f>Hours!D95</f>
        <v>54.52</v>
      </c>
      <c r="E95" s="9">
        <f>Hours!G95</f>
        <v>14.52</v>
      </c>
      <c r="F95" s="5">
        <f>IF(A95&gt;=Parameters!$E$19,Parameters!$C$19,Parameters!$B$19)</f>
        <v>800</v>
      </c>
      <c r="G95" s="5">
        <f>SUMIFS(Bonuses!$D$4:$D$27,Bonuses!$A$4:$A$27,"Kendra Voight",Bonuses!$B$4:$B$27,C95)</f>
        <v>45.38</v>
      </c>
      <c r="H95" s="5">
        <f>ROUND((F95+G95)/Parameters!$B$7,2)</f>
        <v>21.13</v>
      </c>
      <c r="I95" s="5">
        <f>ROUND(Parameters!$B$8*H95*E95,2)</f>
        <v>460.21</v>
      </c>
    </row>
    <row r="96" spans="1:9" x14ac:dyDescent="0.2">
      <c r="A96" s="2">
        <f>Hours!A96</f>
        <v>92</v>
      </c>
      <c r="B96" s="2" t="str">
        <f>Hours!B96</f>
        <v>07/05/2026</v>
      </c>
      <c r="C96" s="2" t="str">
        <f>Hours!C96</f>
        <v>Q3 2026</v>
      </c>
      <c r="D96" s="9">
        <f>Hours!D96</f>
        <v>44.81</v>
      </c>
      <c r="E96" s="9">
        <f>Hours!G96</f>
        <v>4.81</v>
      </c>
      <c r="F96" s="5">
        <f>IF(A96&gt;=Parameters!$E$19,Parameters!$C$19,Parameters!$B$19)</f>
        <v>800</v>
      </c>
      <c r="G96" s="5">
        <f>SUMIFS(Bonuses!$D$4:$D$27,Bonuses!$A$4:$A$27,"Kendra Voight",Bonuses!$B$4:$B$27,C96)</f>
        <v>40.19</v>
      </c>
      <c r="H96" s="5">
        <f>ROUND((F96+G96)/Parameters!$B$7,2)</f>
        <v>21</v>
      </c>
      <c r="I96" s="5">
        <f>ROUND(Parameters!$B$8*H96*E96,2)</f>
        <v>151.52</v>
      </c>
    </row>
    <row r="97" spans="1:9" x14ac:dyDescent="0.2">
      <c r="A97" s="2">
        <f>Hours!A97</f>
        <v>93</v>
      </c>
      <c r="B97" s="2" t="str">
        <f>Hours!B97</f>
        <v>07/12/2026</v>
      </c>
      <c r="C97" s="2" t="str">
        <f>Hours!C97</f>
        <v>Q3 2026</v>
      </c>
      <c r="D97" s="9">
        <f>Hours!D97</f>
        <v>53.03</v>
      </c>
      <c r="E97" s="9">
        <f>Hours!G97</f>
        <v>13.03</v>
      </c>
      <c r="F97" s="5">
        <f>IF(A97&gt;=Parameters!$E$19,Parameters!$C$19,Parameters!$B$19)</f>
        <v>800</v>
      </c>
      <c r="G97" s="5">
        <f>SUMIFS(Bonuses!$D$4:$D$27,Bonuses!$A$4:$A$27,"Kendra Voight",Bonuses!$B$4:$B$27,C97)</f>
        <v>40.19</v>
      </c>
      <c r="H97" s="5">
        <f>ROUND((F97+G97)/Parameters!$B$7,2)</f>
        <v>21</v>
      </c>
      <c r="I97" s="5">
        <f>ROUND(Parameters!$B$8*H97*E97,2)</f>
        <v>410.45</v>
      </c>
    </row>
    <row r="98" spans="1:9" x14ac:dyDescent="0.2">
      <c r="A98" s="2">
        <f>Hours!A98</f>
        <v>94</v>
      </c>
      <c r="B98" s="2" t="str">
        <f>Hours!B98</f>
        <v>07/19/2026</v>
      </c>
      <c r="C98" s="2" t="str">
        <f>Hours!C98</f>
        <v>Q3 2026</v>
      </c>
      <c r="D98" s="9">
        <f>Hours!D98</f>
        <v>0</v>
      </c>
      <c r="E98" s="9">
        <f>Hours!G98</f>
        <v>0</v>
      </c>
      <c r="F98" s="5">
        <f>IF(A98&gt;=Parameters!$E$19,Parameters!$C$19,Parameters!$B$19)</f>
        <v>800</v>
      </c>
      <c r="G98" s="5">
        <f>SUMIFS(Bonuses!$D$4:$D$27,Bonuses!$A$4:$A$27,"Kendra Voight",Bonuses!$B$4:$B$27,C98)</f>
        <v>40.19</v>
      </c>
      <c r="H98" s="5">
        <f>ROUND((F98+G98)/Parameters!$B$7,2)</f>
        <v>21</v>
      </c>
      <c r="I98" s="5">
        <f>ROUND(Parameters!$B$8*H98*E98,2)</f>
        <v>0</v>
      </c>
    </row>
    <row r="99" spans="1:9" x14ac:dyDescent="0.2">
      <c r="A99" s="2">
        <f>Hours!A99</f>
        <v>95</v>
      </c>
      <c r="B99" s="2" t="str">
        <f>Hours!B99</f>
        <v>07/26/2026</v>
      </c>
      <c r="C99" s="2" t="str">
        <f>Hours!C99</f>
        <v>Q3 2026</v>
      </c>
      <c r="D99" s="9">
        <f>Hours!D99</f>
        <v>49.44</v>
      </c>
      <c r="E99" s="9">
        <f>Hours!G99</f>
        <v>9.44</v>
      </c>
      <c r="F99" s="5">
        <f>IF(A99&gt;=Parameters!$E$19,Parameters!$C$19,Parameters!$B$19)</f>
        <v>800</v>
      </c>
      <c r="G99" s="5">
        <f>SUMIFS(Bonuses!$D$4:$D$27,Bonuses!$A$4:$A$27,"Kendra Voight",Bonuses!$B$4:$B$27,C99)</f>
        <v>40.19</v>
      </c>
      <c r="H99" s="5">
        <f>ROUND((F99+G99)/Parameters!$B$7,2)</f>
        <v>21</v>
      </c>
      <c r="I99" s="5">
        <f>ROUND(Parameters!$B$8*H99*E99,2)</f>
        <v>297.36</v>
      </c>
    </row>
    <row r="100" spans="1:9" x14ac:dyDescent="0.2">
      <c r="A100" s="2">
        <f>Hours!A100</f>
        <v>96</v>
      </c>
      <c r="B100" s="2" t="str">
        <f>Hours!B100</f>
        <v>08/02/2026</v>
      </c>
      <c r="C100" s="2" t="str">
        <f>Hours!C100</f>
        <v>Q3 2026</v>
      </c>
      <c r="D100" s="9">
        <f>Hours!D100</f>
        <v>51.12</v>
      </c>
      <c r="E100" s="9">
        <f>Hours!G100</f>
        <v>11.12</v>
      </c>
      <c r="F100" s="5">
        <f>IF(A100&gt;=Parameters!$E$19,Parameters!$C$19,Parameters!$B$19)</f>
        <v>800</v>
      </c>
      <c r="G100" s="5">
        <f>SUMIFS(Bonuses!$D$4:$D$27,Bonuses!$A$4:$A$27,"Kendra Voight",Bonuses!$B$4:$B$27,C100)</f>
        <v>40.19</v>
      </c>
      <c r="H100" s="5">
        <f>ROUND((F100+G100)/Parameters!$B$7,2)</f>
        <v>21</v>
      </c>
      <c r="I100" s="5">
        <f>ROUND(Parameters!$B$8*H100*E100,2)</f>
        <v>350.28</v>
      </c>
    </row>
    <row r="101" spans="1:9" x14ac:dyDescent="0.2">
      <c r="A101" s="2">
        <f>Hours!A101</f>
        <v>97</v>
      </c>
      <c r="B101" s="2" t="str">
        <f>Hours!B101</f>
        <v>08/09/2026</v>
      </c>
      <c r="C101" s="2" t="str">
        <f>Hours!C101</f>
        <v>Q3 2026</v>
      </c>
      <c r="D101" s="9">
        <f>Hours!D101</f>
        <v>46.8</v>
      </c>
      <c r="E101" s="9">
        <f>Hours!G101</f>
        <v>6.8</v>
      </c>
      <c r="F101" s="5">
        <f>IF(A101&gt;=Parameters!$E$19,Parameters!$C$19,Parameters!$B$19)</f>
        <v>800</v>
      </c>
      <c r="G101" s="5">
        <f>SUMIFS(Bonuses!$D$4:$D$27,Bonuses!$A$4:$A$27,"Kendra Voight",Bonuses!$B$4:$B$27,C101)</f>
        <v>40.19</v>
      </c>
      <c r="H101" s="5">
        <f>ROUND((F101+G101)/Parameters!$B$7,2)</f>
        <v>21</v>
      </c>
      <c r="I101" s="5">
        <f>ROUND(Parameters!$B$8*H101*E101,2)</f>
        <v>214.2</v>
      </c>
    </row>
    <row r="102" spans="1:9" x14ac:dyDescent="0.2">
      <c r="A102" s="2">
        <f>Hours!A102</f>
        <v>98</v>
      </c>
      <c r="B102" s="2" t="str">
        <f>Hours!B102</f>
        <v>08/16/2026</v>
      </c>
      <c r="C102" s="2" t="str">
        <f>Hours!C102</f>
        <v>Q3 2026</v>
      </c>
      <c r="D102" s="9">
        <f>Hours!D102</f>
        <v>44.2</v>
      </c>
      <c r="E102" s="9">
        <f>Hours!G102</f>
        <v>4.2</v>
      </c>
      <c r="F102" s="5">
        <f>IF(A102&gt;=Parameters!$E$19,Parameters!$C$19,Parameters!$B$19)</f>
        <v>800</v>
      </c>
      <c r="G102" s="5">
        <f>SUMIFS(Bonuses!$D$4:$D$27,Bonuses!$A$4:$A$27,"Kendra Voight",Bonuses!$B$4:$B$27,C102)</f>
        <v>40.19</v>
      </c>
      <c r="H102" s="5">
        <f>ROUND((F102+G102)/Parameters!$B$7,2)</f>
        <v>21</v>
      </c>
      <c r="I102" s="5">
        <f>ROUND(Parameters!$B$8*H102*E102,2)</f>
        <v>132.3</v>
      </c>
    </row>
    <row r="103" spans="1:9" x14ac:dyDescent="0.2">
      <c r="A103" s="2">
        <f>Hours!A103</f>
        <v>99</v>
      </c>
      <c r="B103" s="2" t="str">
        <f>Hours!B103</f>
        <v>08/23/2026</v>
      </c>
      <c r="C103" s="2" t="str">
        <f>Hours!C103</f>
        <v>Q3 2026</v>
      </c>
      <c r="D103" s="9">
        <f>Hours!D103</f>
        <v>44.19</v>
      </c>
      <c r="E103" s="9">
        <f>Hours!G103</f>
        <v>4.19</v>
      </c>
      <c r="F103" s="5">
        <f>IF(A103&gt;=Parameters!$E$19,Parameters!$C$19,Parameters!$B$19)</f>
        <v>800</v>
      </c>
      <c r="G103" s="5">
        <f>SUMIFS(Bonuses!$D$4:$D$27,Bonuses!$A$4:$A$27,"Kendra Voight",Bonuses!$B$4:$B$27,C103)</f>
        <v>40.19</v>
      </c>
      <c r="H103" s="5">
        <f>ROUND((F103+G103)/Parameters!$B$7,2)</f>
        <v>21</v>
      </c>
      <c r="I103" s="5">
        <f>ROUND(Parameters!$B$8*H103*E103,2)</f>
        <v>131.99</v>
      </c>
    </row>
    <row r="104" spans="1:9" x14ac:dyDescent="0.2">
      <c r="A104" s="2">
        <f>Hours!A104</f>
        <v>100</v>
      </c>
      <c r="B104" s="2" t="str">
        <f>Hours!B104</f>
        <v>08/30/2026</v>
      </c>
      <c r="C104" s="2" t="str">
        <f>Hours!C104</f>
        <v>Q3 2026</v>
      </c>
      <c r="D104" s="9">
        <f>Hours!D104</f>
        <v>52.12</v>
      </c>
      <c r="E104" s="9">
        <f>Hours!G104</f>
        <v>12.12</v>
      </c>
      <c r="F104" s="5">
        <f>IF(A104&gt;=Parameters!$E$19,Parameters!$C$19,Parameters!$B$19)</f>
        <v>800</v>
      </c>
      <c r="G104" s="5">
        <f>SUMIFS(Bonuses!$D$4:$D$27,Bonuses!$A$4:$A$27,"Kendra Voight",Bonuses!$B$4:$B$27,C104)</f>
        <v>40.19</v>
      </c>
      <c r="H104" s="5">
        <f>ROUND((F104+G104)/Parameters!$B$7,2)</f>
        <v>21</v>
      </c>
      <c r="I104" s="5">
        <f>ROUND(Parameters!$B$8*H104*E104,2)</f>
        <v>381.78</v>
      </c>
    </row>
    <row r="105" spans="1:9" x14ac:dyDescent="0.2">
      <c r="A105" s="2">
        <f>Hours!A105</f>
        <v>101</v>
      </c>
      <c r="B105" s="2" t="str">
        <f>Hours!B105</f>
        <v>09/06/2026</v>
      </c>
      <c r="C105" s="2" t="str">
        <f>Hours!C105</f>
        <v>Q3 2026</v>
      </c>
      <c r="D105" s="9">
        <f>Hours!D105</f>
        <v>51.59</v>
      </c>
      <c r="E105" s="9">
        <f>Hours!G105</f>
        <v>11.59</v>
      </c>
      <c r="F105" s="5">
        <f>IF(A105&gt;=Parameters!$E$19,Parameters!$C$19,Parameters!$B$19)</f>
        <v>800</v>
      </c>
      <c r="G105" s="5">
        <f>SUMIFS(Bonuses!$D$4:$D$27,Bonuses!$A$4:$A$27,"Kendra Voight",Bonuses!$B$4:$B$27,C105)</f>
        <v>40.19</v>
      </c>
      <c r="H105" s="5">
        <f>ROUND((F105+G105)/Parameters!$B$7,2)</f>
        <v>21</v>
      </c>
      <c r="I105" s="5">
        <f>ROUND(Parameters!$B$8*H105*E105,2)</f>
        <v>365.09</v>
      </c>
    </row>
    <row r="106" spans="1:9" x14ac:dyDescent="0.2">
      <c r="A106" s="2">
        <f>Hours!A106</f>
        <v>102</v>
      </c>
      <c r="B106" s="2" t="str">
        <f>Hours!B106</f>
        <v>09/13/2026</v>
      </c>
      <c r="C106" s="2" t="str">
        <f>Hours!C106</f>
        <v>Q3 2026</v>
      </c>
      <c r="D106" s="9">
        <f>Hours!D106</f>
        <v>47.68</v>
      </c>
      <c r="E106" s="9">
        <f>Hours!G106</f>
        <v>7.68</v>
      </c>
      <c r="F106" s="5">
        <f>IF(A106&gt;=Parameters!$E$19,Parameters!$C$19,Parameters!$B$19)</f>
        <v>800</v>
      </c>
      <c r="G106" s="5">
        <f>SUMIFS(Bonuses!$D$4:$D$27,Bonuses!$A$4:$A$27,"Kendra Voight",Bonuses!$B$4:$B$27,C106)</f>
        <v>40.19</v>
      </c>
      <c r="H106" s="5">
        <f>ROUND((F106+G106)/Parameters!$B$7,2)</f>
        <v>21</v>
      </c>
      <c r="I106" s="5">
        <f>ROUND(Parameters!$B$8*H106*E106,2)</f>
        <v>241.92</v>
      </c>
    </row>
    <row r="107" spans="1:9" x14ac:dyDescent="0.2">
      <c r="A107" s="2">
        <f>Hours!A107</f>
        <v>103</v>
      </c>
      <c r="B107" s="2" t="str">
        <f>Hours!B107</f>
        <v>09/20/2026</v>
      </c>
      <c r="C107" s="2" t="str">
        <f>Hours!C107</f>
        <v>Q3 2026</v>
      </c>
      <c r="D107" s="9">
        <f>Hours!D107</f>
        <v>44.93</v>
      </c>
      <c r="E107" s="9">
        <f>Hours!G107</f>
        <v>4.93</v>
      </c>
      <c r="F107" s="5">
        <f>IF(A107&gt;=Parameters!$E$19,Parameters!$C$19,Parameters!$B$19)</f>
        <v>800</v>
      </c>
      <c r="G107" s="5">
        <f>SUMIFS(Bonuses!$D$4:$D$27,Bonuses!$A$4:$A$27,"Kendra Voight",Bonuses!$B$4:$B$27,C107)</f>
        <v>40.19</v>
      </c>
      <c r="H107" s="5">
        <f>ROUND((F107+G107)/Parameters!$B$7,2)</f>
        <v>21</v>
      </c>
      <c r="I107" s="5">
        <f>ROUND(Parameters!$B$8*H107*E107,2)</f>
        <v>155.3</v>
      </c>
    </row>
    <row r="108" spans="1:9" x14ac:dyDescent="0.2">
      <c r="A108" s="2">
        <f>Hours!A108</f>
        <v>104</v>
      </c>
      <c r="B108" s="2" t="str">
        <f>Hours!B108</f>
        <v>09/27/2026</v>
      </c>
      <c r="C108" s="2" t="str">
        <f>Hours!C108</f>
        <v>Q3 2026</v>
      </c>
      <c r="D108" s="9">
        <f>Hours!D108</f>
        <v>49.81</v>
      </c>
      <c r="E108" s="9">
        <f>Hours!G108</f>
        <v>9.81</v>
      </c>
      <c r="F108" s="5">
        <f>IF(A108&gt;=Parameters!$E$19,Parameters!$C$19,Parameters!$B$19)</f>
        <v>800</v>
      </c>
      <c r="G108" s="5">
        <f>SUMIFS(Bonuses!$D$4:$D$27,Bonuses!$A$4:$A$27,"Kendra Voight",Bonuses!$B$4:$B$27,C108)</f>
        <v>40.19</v>
      </c>
      <c r="H108" s="5">
        <f>ROUND((F108+G108)/Parameters!$B$7,2)</f>
        <v>21</v>
      </c>
      <c r="I108" s="5">
        <f>ROUND(Parameters!$B$8*H108*E108,2)</f>
        <v>309.02</v>
      </c>
    </row>
    <row r="109" spans="1:9" x14ac:dyDescent="0.2">
      <c r="A109" s="7" t="s">
        <v>190</v>
      </c>
      <c r="E109" s="13">
        <f>SUM(E5:E108)</f>
        <v>1054.08</v>
      </c>
      <c r="I109" s="11">
        <f>SUM(I5:I108)</f>
        <v>32685.45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09"/>
  <sheetViews>
    <sheetView workbookViewId="0">
      <pane xSplit="3" ySplit="4" topLeftCell="D5" activePane="bottomRight" state="frozen"/>
      <selection pane="topRight"/>
      <selection pane="bottomLeft"/>
      <selection pane="bottomRight"/>
    </sheetView>
  </sheetViews>
  <sheetFormatPr baseColWidth="10" defaultColWidth="8.83203125" defaultRowHeight="15" x14ac:dyDescent="0.2"/>
  <cols>
    <col min="1" max="1" width="10" customWidth="1"/>
    <col min="2" max="2" width="12" customWidth="1"/>
    <col min="3" max="3" width="9" customWidth="1"/>
    <col min="4" max="4" width="12" customWidth="1"/>
    <col min="5" max="6" width="14" customWidth="1"/>
    <col min="7" max="8" width="12" customWidth="1"/>
    <col min="9" max="9" width="14" customWidth="1"/>
  </cols>
  <sheetData>
    <row r="1" spans="1:9" ht="16" x14ac:dyDescent="0.2">
      <c r="A1" s="1" t="s">
        <v>200</v>
      </c>
    </row>
    <row r="2" spans="1:9" x14ac:dyDescent="0.2">
      <c r="A2" s="2" t="s">
        <v>194</v>
      </c>
    </row>
    <row r="4" spans="1:9" x14ac:dyDescent="0.2">
      <c r="A4" s="4" t="s">
        <v>80</v>
      </c>
      <c r="B4" s="4" t="s">
        <v>81</v>
      </c>
      <c r="C4" s="4" t="s">
        <v>67</v>
      </c>
      <c r="D4" s="4" t="s">
        <v>195</v>
      </c>
      <c r="E4" s="4" t="s">
        <v>22</v>
      </c>
      <c r="F4" s="4" t="s">
        <v>196</v>
      </c>
      <c r="G4" s="4" t="s">
        <v>197</v>
      </c>
      <c r="H4" s="4" t="s">
        <v>198</v>
      </c>
      <c r="I4" s="4" t="s">
        <v>199</v>
      </c>
    </row>
    <row r="5" spans="1:9" x14ac:dyDescent="0.2">
      <c r="A5" s="2">
        <f>Hours!A5</f>
        <v>1</v>
      </c>
      <c r="B5" s="2" t="str">
        <f>Hours!B5</f>
        <v>10/06/2024</v>
      </c>
      <c r="C5" s="2" t="str">
        <f>Hours!C5</f>
        <v>Q4 2024</v>
      </c>
      <c r="D5" s="9">
        <f>Hours!E5</f>
        <v>45.1</v>
      </c>
      <c r="E5" s="9">
        <f>Hours!H5</f>
        <v>5.1</v>
      </c>
      <c r="F5" s="5">
        <f>IF(A5&gt;=Parameters!$E$20,Parameters!$C$20,Parameters!$B$20)</f>
        <v>650</v>
      </c>
      <c r="G5" s="5">
        <f>SUMIFS(Bonuses!$D$4:$D$27,Bonuses!$A$4:$A$27,"Marcus Dellinger",Bonuses!$B$4:$B$27,C5)</f>
        <v>29.23</v>
      </c>
      <c r="H5" s="5">
        <f>ROUND((F5+G5)/Parameters!$B$7,2)</f>
        <v>16.98</v>
      </c>
      <c r="I5" s="5">
        <f>ROUND(Parameters!$B$8*H5*E5,2)</f>
        <v>129.9</v>
      </c>
    </row>
    <row r="6" spans="1:9" x14ac:dyDescent="0.2">
      <c r="A6" s="2">
        <f>Hours!A6</f>
        <v>2</v>
      </c>
      <c r="B6" s="2" t="str">
        <f>Hours!B6</f>
        <v>10/13/2024</v>
      </c>
      <c r="C6" s="2" t="str">
        <f>Hours!C6</f>
        <v>Q4 2024</v>
      </c>
      <c r="D6" s="9">
        <f>Hours!E6</f>
        <v>40.14</v>
      </c>
      <c r="E6" s="9">
        <f>Hours!H6</f>
        <v>0.14</v>
      </c>
      <c r="F6" s="5">
        <f>IF(A6&gt;=Parameters!$E$20,Parameters!$C$20,Parameters!$B$20)</f>
        <v>650</v>
      </c>
      <c r="G6" s="5">
        <f>SUMIFS(Bonuses!$D$4:$D$27,Bonuses!$A$4:$A$27,"Marcus Dellinger",Bonuses!$B$4:$B$27,C6)</f>
        <v>29.23</v>
      </c>
      <c r="H6" s="5">
        <f>ROUND((F6+G6)/Parameters!$B$7,2)</f>
        <v>16.98</v>
      </c>
      <c r="I6" s="5">
        <f>ROUND(Parameters!$B$8*H6*E6,2)</f>
        <v>3.57</v>
      </c>
    </row>
    <row r="7" spans="1:9" x14ac:dyDescent="0.2">
      <c r="A7" s="2">
        <f>Hours!A7</f>
        <v>3</v>
      </c>
      <c r="B7" s="2" t="str">
        <f>Hours!B7</f>
        <v>10/20/2024</v>
      </c>
      <c r="C7" s="2" t="str">
        <f>Hours!C7</f>
        <v>Q4 2024</v>
      </c>
      <c r="D7" s="9">
        <f>Hours!E7</f>
        <v>38.04</v>
      </c>
      <c r="E7" s="9">
        <f>Hours!H7</f>
        <v>0</v>
      </c>
      <c r="F7" s="5">
        <f>IF(A7&gt;=Parameters!$E$20,Parameters!$C$20,Parameters!$B$20)</f>
        <v>650</v>
      </c>
      <c r="G7" s="5">
        <f>SUMIFS(Bonuses!$D$4:$D$27,Bonuses!$A$4:$A$27,"Marcus Dellinger",Bonuses!$B$4:$B$27,C7)</f>
        <v>29.23</v>
      </c>
      <c r="H7" s="5">
        <f>ROUND((F7+G7)/Parameters!$B$7,2)</f>
        <v>16.98</v>
      </c>
      <c r="I7" s="5">
        <f>ROUND(Parameters!$B$8*H7*E7,2)</f>
        <v>0</v>
      </c>
    </row>
    <row r="8" spans="1:9" x14ac:dyDescent="0.2">
      <c r="A8" s="2">
        <f>Hours!A8</f>
        <v>4</v>
      </c>
      <c r="B8" s="2" t="str">
        <f>Hours!B8</f>
        <v>10/27/2024</v>
      </c>
      <c r="C8" s="2" t="str">
        <f>Hours!C8</f>
        <v>Q4 2024</v>
      </c>
      <c r="D8" s="9">
        <f>Hours!E8</f>
        <v>41.14</v>
      </c>
      <c r="E8" s="9">
        <f>Hours!H8</f>
        <v>1.14</v>
      </c>
      <c r="F8" s="5">
        <f>IF(A8&gt;=Parameters!$E$20,Parameters!$C$20,Parameters!$B$20)</f>
        <v>650</v>
      </c>
      <c r="G8" s="5">
        <f>SUMIFS(Bonuses!$D$4:$D$27,Bonuses!$A$4:$A$27,"Marcus Dellinger",Bonuses!$B$4:$B$27,C8)</f>
        <v>29.23</v>
      </c>
      <c r="H8" s="5">
        <f>ROUND((F8+G8)/Parameters!$B$7,2)</f>
        <v>16.98</v>
      </c>
      <c r="I8" s="5">
        <f>ROUND(Parameters!$B$8*H8*E8,2)</f>
        <v>29.04</v>
      </c>
    </row>
    <row r="9" spans="1:9" x14ac:dyDescent="0.2">
      <c r="A9" s="2">
        <f>Hours!A9</f>
        <v>5</v>
      </c>
      <c r="B9" s="2" t="str">
        <f>Hours!B9</f>
        <v>11/03/2024</v>
      </c>
      <c r="C9" s="2" t="str">
        <f>Hours!C9</f>
        <v>Q4 2024</v>
      </c>
      <c r="D9" s="9">
        <f>Hours!E9</f>
        <v>46.02</v>
      </c>
      <c r="E9" s="9">
        <f>Hours!H9</f>
        <v>6.02</v>
      </c>
      <c r="F9" s="5">
        <f>IF(A9&gt;=Parameters!$E$20,Parameters!$C$20,Parameters!$B$20)</f>
        <v>650</v>
      </c>
      <c r="G9" s="5">
        <f>SUMIFS(Bonuses!$D$4:$D$27,Bonuses!$A$4:$A$27,"Marcus Dellinger",Bonuses!$B$4:$B$27,C9)</f>
        <v>29.23</v>
      </c>
      <c r="H9" s="5">
        <f>ROUND((F9+G9)/Parameters!$B$7,2)</f>
        <v>16.98</v>
      </c>
      <c r="I9" s="5">
        <f>ROUND(Parameters!$B$8*H9*E9,2)</f>
        <v>153.33</v>
      </c>
    </row>
    <row r="10" spans="1:9" x14ac:dyDescent="0.2">
      <c r="A10" s="2">
        <f>Hours!A10</f>
        <v>6</v>
      </c>
      <c r="B10" s="2" t="str">
        <f>Hours!B10</f>
        <v>11/10/2024</v>
      </c>
      <c r="C10" s="2" t="str">
        <f>Hours!C10</f>
        <v>Q4 2024</v>
      </c>
      <c r="D10" s="9">
        <f>Hours!E10</f>
        <v>47.69</v>
      </c>
      <c r="E10" s="9">
        <f>Hours!H10</f>
        <v>7.69</v>
      </c>
      <c r="F10" s="5">
        <f>IF(A10&gt;=Parameters!$E$20,Parameters!$C$20,Parameters!$B$20)</f>
        <v>650</v>
      </c>
      <c r="G10" s="5">
        <f>SUMIFS(Bonuses!$D$4:$D$27,Bonuses!$A$4:$A$27,"Marcus Dellinger",Bonuses!$B$4:$B$27,C10)</f>
        <v>29.23</v>
      </c>
      <c r="H10" s="5">
        <f>ROUND((F10+G10)/Parameters!$B$7,2)</f>
        <v>16.98</v>
      </c>
      <c r="I10" s="5">
        <f>ROUND(Parameters!$B$8*H10*E10,2)</f>
        <v>195.86</v>
      </c>
    </row>
    <row r="11" spans="1:9" x14ac:dyDescent="0.2">
      <c r="A11" s="2">
        <f>Hours!A11</f>
        <v>7</v>
      </c>
      <c r="B11" s="2" t="str">
        <f>Hours!B11</f>
        <v>11/17/2024</v>
      </c>
      <c r="C11" s="2" t="str">
        <f>Hours!C11</f>
        <v>Q4 2024</v>
      </c>
      <c r="D11" s="9">
        <f>Hours!E11</f>
        <v>41.82</v>
      </c>
      <c r="E11" s="9">
        <f>Hours!H11</f>
        <v>1.82</v>
      </c>
      <c r="F11" s="5">
        <f>IF(A11&gt;=Parameters!$E$20,Parameters!$C$20,Parameters!$B$20)</f>
        <v>650</v>
      </c>
      <c r="G11" s="5">
        <f>SUMIFS(Bonuses!$D$4:$D$27,Bonuses!$A$4:$A$27,"Marcus Dellinger",Bonuses!$B$4:$B$27,C11)</f>
        <v>29.23</v>
      </c>
      <c r="H11" s="5">
        <f>ROUND((F11+G11)/Parameters!$B$7,2)</f>
        <v>16.98</v>
      </c>
      <c r="I11" s="5">
        <f>ROUND(Parameters!$B$8*H11*E11,2)</f>
        <v>46.36</v>
      </c>
    </row>
    <row r="12" spans="1:9" x14ac:dyDescent="0.2">
      <c r="A12" s="2">
        <f>Hours!A12</f>
        <v>8</v>
      </c>
      <c r="B12" s="2" t="str">
        <f>Hours!B12</f>
        <v>11/24/2024</v>
      </c>
      <c r="C12" s="2" t="str">
        <f>Hours!C12</f>
        <v>Q4 2024</v>
      </c>
      <c r="D12" s="9">
        <f>Hours!E12</f>
        <v>46.24</v>
      </c>
      <c r="E12" s="9">
        <f>Hours!H12</f>
        <v>6.24</v>
      </c>
      <c r="F12" s="5">
        <f>IF(A12&gt;=Parameters!$E$20,Parameters!$C$20,Parameters!$B$20)</f>
        <v>650</v>
      </c>
      <c r="G12" s="5">
        <f>SUMIFS(Bonuses!$D$4:$D$27,Bonuses!$A$4:$A$27,"Marcus Dellinger",Bonuses!$B$4:$B$27,C12)</f>
        <v>29.23</v>
      </c>
      <c r="H12" s="5">
        <f>ROUND((F12+G12)/Parameters!$B$7,2)</f>
        <v>16.98</v>
      </c>
      <c r="I12" s="5">
        <f>ROUND(Parameters!$B$8*H12*E12,2)</f>
        <v>158.93</v>
      </c>
    </row>
    <row r="13" spans="1:9" x14ac:dyDescent="0.2">
      <c r="A13" s="2">
        <f>Hours!A13</f>
        <v>9</v>
      </c>
      <c r="B13" s="2" t="str">
        <f>Hours!B13</f>
        <v>12/01/2024</v>
      </c>
      <c r="C13" s="2" t="str">
        <f>Hours!C13</f>
        <v>Q4 2024</v>
      </c>
      <c r="D13" s="9">
        <f>Hours!E13</f>
        <v>46.29</v>
      </c>
      <c r="E13" s="9">
        <f>Hours!H13</f>
        <v>6.29</v>
      </c>
      <c r="F13" s="5">
        <f>IF(A13&gt;=Parameters!$E$20,Parameters!$C$20,Parameters!$B$20)</f>
        <v>650</v>
      </c>
      <c r="G13" s="5">
        <f>SUMIFS(Bonuses!$D$4:$D$27,Bonuses!$A$4:$A$27,"Marcus Dellinger",Bonuses!$B$4:$B$27,C13)</f>
        <v>29.23</v>
      </c>
      <c r="H13" s="5">
        <f>ROUND((F13+G13)/Parameters!$B$7,2)</f>
        <v>16.98</v>
      </c>
      <c r="I13" s="5">
        <f>ROUND(Parameters!$B$8*H13*E13,2)</f>
        <v>160.21</v>
      </c>
    </row>
    <row r="14" spans="1:9" x14ac:dyDescent="0.2">
      <c r="A14" s="2">
        <f>Hours!A14</f>
        <v>10</v>
      </c>
      <c r="B14" s="2" t="str">
        <f>Hours!B14</f>
        <v>12/08/2024</v>
      </c>
      <c r="C14" s="2" t="str">
        <f>Hours!C14</f>
        <v>Q4 2024</v>
      </c>
      <c r="D14" s="9">
        <f>Hours!E14</f>
        <v>42.74</v>
      </c>
      <c r="E14" s="9">
        <f>Hours!H14</f>
        <v>2.74</v>
      </c>
      <c r="F14" s="5">
        <f>IF(A14&gt;=Parameters!$E$20,Parameters!$C$20,Parameters!$B$20)</f>
        <v>650</v>
      </c>
      <c r="G14" s="5">
        <f>SUMIFS(Bonuses!$D$4:$D$27,Bonuses!$A$4:$A$27,"Marcus Dellinger",Bonuses!$B$4:$B$27,C14)</f>
        <v>29.23</v>
      </c>
      <c r="H14" s="5">
        <f>ROUND((F14+G14)/Parameters!$B$7,2)</f>
        <v>16.98</v>
      </c>
      <c r="I14" s="5">
        <f>ROUND(Parameters!$B$8*H14*E14,2)</f>
        <v>69.79</v>
      </c>
    </row>
    <row r="15" spans="1:9" x14ac:dyDescent="0.2">
      <c r="A15" s="2">
        <f>Hours!A15</f>
        <v>11</v>
      </c>
      <c r="B15" s="2" t="str">
        <f>Hours!B15</f>
        <v>12/15/2024</v>
      </c>
      <c r="C15" s="2" t="str">
        <f>Hours!C15</f>
        <v>Q4 2024</v>
      </c>
      <c r="D15" s="9">
        <f>Hours!E15</f>
        <v>42.11</v>
      </c>
      <c r="E15" s="9">
        <f>Hours!H15</f>
        <v>2.11</v>
      </c>
      <c r="F15" s="5">
        <f>IF(A15&gt;=Parameters!$E$20,Parameters!$C$20,Parameters!$B$20)</f>
        <v>650</v>
      </c>
      <c r="G15" s="5">
        <f>SUMIFS(Bonuses!$D$4:$D$27,Bonuses!$A$4:$A$27,"Marcus Dellinger",Bonuses!$B$4:$B$27,C15)</f>
        <v>29.23</v>
      </c>
      <c r="H15" s="5">
        <f>ROUND((F15+G15)/Parameters!$B$7,2)</f>
        <v>16.98</v>
      </c>
      <c r="I15" s="5">
        <f>ROUND(Parameters!$B$8*H15*E15,2)</f>
        <v>53.74</v>
      </c>
    </row>
    <row r="16" spans="1:9" x14ac:dyDescent="0.2">
      <c r="A16" s="2">
        <f>Hours!A16</f>
        <v>12</v>
      </c>
      <c r="B16" s="2" t="str">
        <f>Hours!B16</f>
        <v>12/22/2024</v>
      </c>
      <c r="C16" s="2" t="str">
        <f>Hours!C16</f>
        <v>Q4 2024</v>
      </c>
      <c r="D16" s="9">
        <f>Hours!E16</f>
        <v>39.95</v>
      </c>
      <c r="E16" s="9">
        <f>Hours!H16</f>
        <v>0</v>
      </c>
      <c r="F16" s="5">
        <f>IF(A16&gt;=Parameters!$E$20,Parameters!$C$20,Parameters!$B$20)</f>
        <v>650</v>
      </c>
      <c r="G16" s="5">
        <f>SUMIFS(Bonuses!$D$4:$D$27,Bonuses!$A$4:$A$27,"Marcus Dellinger",Bonuses!$B$4:$B$27,C16)</f>
        <v>29.23</v>
      </c>
      <c r="H16" s="5">
        <f>ROUND((F16+G16)/Parameters!$B$7,2)</f>
        <v>16.98</v>
      </c>
      <c r="I16" s="5">
        <f>ROUND(Parameters!$B$8*H16*E16,2)</f>
        <v>0</v>
      </c>
    </row>
    <row r="17" spans="1:9" x14ac:dyDescent="0.2">
      <c r="A17" s="2">
        <f>Hours!A17</f>
        <v>13</v>
      </c>
      <c r="B17" s="2" t="str">
        <f>Hours!B17</f>
        <v>12/29/2024</v>
      </c>
      <c r="C17" s="2" t="str">
        <f>Hours!C17</f>
        <v>Q4 2024</v>
      </c>
      <c r="D17" s="9">
        <f>Hours!E17</f>
        <v>46.54</v>
      </c>
      <c r="E17" s="9">
        <f>Hours!H17</f>
        <v>6.54</v>
      </c>
      <c r="F17" s="5">
        <f>IF(A17&gt;=Parameters!$E$20,Parameters!$C$20,Parameters!$B$20)</f>
        <v>650</v>
      </c>
      <c r="G17" s="5">
        <f>SUMIFS(Bonuses!$D$4:$D$27,Bonuses!$A$4:$A$27,"Marcus Dellinger",Bonuses!$B$4:$B$27,C17)</f>
        <v>29.23</v>
      </c>
      <c r="H17" s="5">
        <f>ROUND((F17+G17)/Parameters!$B$7,2)</f>
        <v>16.98</v>
      </c>
      <c r="I17" s="5">
        <f>ROUND(Parameters!$B$8*H17*E17,2)</f>
        <v>166.57</v>
      </c>
    </row>
    <row r="18" spans="1:9" x14ac:dyDescent="0.2">
      <c r="A18" s="2">
        <f>Hours!A18</f>
        <v>14</v>
      </c>
      <c r="B18" s="2" t="str">
        <f>Hours!B18</f>
        <v>01/05/2025</v>
      </c>
      <c r="C18" s="2" t="str">
        <f>Hours!C18</f>
        <v>Q1 2025</v>
      </c>
      <c r="D18" s="9">
        <f>Hours!E18</f>
        <v>41.12</v>
      </c>
      <c r="E18" s="9">
        <f>Hours!H18</f>
        <v>1.12</v>
      </c>
      <c r="F18" s="5">
        <f>IF(A18&gt;=Parameters!$E$20,Parameters!$C$20,Parameters!$B$20)</f>
        <v>650</v>
      </c>
      <c r="G18" s="5">
        <f>SUMIFS(Bonuses!$D$4:$D$27,Bonuses!$A$4:$A$27,"Marcus Dellinger",Bonuses!$B$4:$B$27,C18)</f>
        <v>31.92</v>
      </c>
      <c r="H18" s="5">
        <f>ROUND((F18+G18)/Parameters!$B$7,2)</f>
        <v>17.05</v>
      </c>
      <c r="I18" s="5">
        <f>ROUND(Parameters!$B$8*H18*E18,2)</f>
        <v>28.64</v>
      </c>
    </row>
    <row r="19" spans="1:9" x14ac:dyDescent="0.2">
      <c r="A19" s="2">
        <f>Hours!A19</f>
        <v>15</v>
      </c>
      <c r="B19" s="2" t="str">
        <f>Hours!B19</f>
        <v>01/12/2025</v>
      </c>
      <c r="C19" s="2" t="str">
        <f>Hours!C19</f>
        <v>Q1 2025</v>
      </c>
      <c r="D19" s="9">
        <f>Hours!E19</f>
        <v>39.04</v>
      </c>
      <c r="E19" s="9">
        <f>Hours!H19</f>
        <v>0</v>
      </c>
      <c r="F19" s="5">
        <f>IF(A19&gt;=Parameters!$E$20,Parameters!$C$20,Parameters!$B$20)</f>
        <v>650</v>
      </c>
      <c r="G19" s="5">
        <f>SUMIFS(Bonuses!$D$4:$D$27,Bonuses!$A$4:$A$27,"Marcus Dellinger",Bonuses!$B$4:$B$27,C19)</f>
        <v>31.92</v>
      </c>
      <c r="H19" s="5">
        <f>ROUND((F19+G19)/Parameters!$B$7,2)</f>
        <v>17.05</v>
      </c>
      <c r="I19" s="5">
        <f>ROUND(Parameters!$B$8*H19*E19,2)</f>
        <v>0</v>
      </c>
    </row>
    <row r="20" spans="1:9" x14ac:dyDescent="0.2">
      <c r="A20" s="2">
        <f>Hours!A20</f>
        <v>16</v>
      </c>
      <c r="B20" s="2" t="str">
        <f>Hours!B20</f>
        <v>01/19/2025</v>
      </c>
      <c r="C20" s="2" t="str">
        <f>Hours!C20</f>
        <v>Q1 2025</v>
      </c>
      <c r="D20" s="9">
        <f>Hours!E20</f>
        <v>46.22</v>
      </c>
      <c r="E20" s="9">
        <f>Hours!H20</f>
        <v>6.22</v>
      </c>
      <c r="F20" s="5">
        <f>IF(A20&gt;=Parameters!$E$20,Parameters!$C$20,Parameters!$B$20)</f>
        <v>650</v>
      </c>
      <c r="G20" s="5">
        <f>SUMIFS(Bonuses!$D$4:$D$27,Bonuses!$A$4:$A$27,"Marcus Dellinger",Bonuses!$B$4:$B$27,C20)</f>
        <v>31.92</v>
      </c>
      <c r="H20" s="5">
        <f>ROUND((F20+G20)/Parameters!$B$7,2)</f>
        <v>17.05</v>
      </c>
      <c r="I20" s="5">
        <f>ROUND(Parameters!$B$8*H20*E20,2)</f>
        <v>159.08</v>
      </c>
    </row>
    <row r="21" spans="1:9" x14ac:dyDescent="0.2">
      <c r="A21" s="2">
        <f>Hours!A21</f>
        <v>17</v>
      </c>
      <c r="B21" s="2" t="str">
        <f>Hours!B21</f>
        <v>01/26/2025</v>
      </c>
      <c r="C21" s="2" t="str">
        <f>Hours!C21</f>
        <v>Q1 2025</v>
      </c>
      <c r="D21" s="9">
        <f>Hours!E21</f>
        <v>44.82</v>
      </c>
      <c r="E21" s="9">
        <f>Hours!H21</f>
        <v>4.82</v>
      </c>
      <c r="F21" s="5">
        <f>IF(A21&gt;=Parameters!$E$20,Parameters!$C$20,Parameters!$B$20)</f>
        <v>650</v>
      </c>
      <c r="G21" s="5">
        <f>SUMIFS(Bonuses!$D$4:$D$27,Bonuses!$A$4:$A$27,"Marcus Dellinger",Bonuses!$B$4:$B$27,C21)</f>
        <v>31.92</v>
      </c>
      <c r="H21" s="5">
        <f>ROUND((F21+G21)/Parameters!$B$7,2)</f>
        <v>17.05</v>
      </c>
      <c r="I21" s="5">
        <f>ROUND(Parameters!$B$8*H21*E21,2)</f>
        <v>123.27</v>
      </c>
    </row>
    <row r="22" spans="1:9" x14ac:dyDescent="0.2">
      <c r="A22" s="2">
        <f>Hours!A22</f>
        <v>18</v>
      </c>
      <c r="B22" s="2" t="str">
        <f>Hours!B22</f>
        <v>02/02/2025</v>
      </c>
      <c r="C22" s="2" t="str">
        <f>Hours!C22</f>
        <v>Q1 2025</v>
      </c>
      <c r="D22" s="9">
        <f>Hours!E22</f>
        <v>43.26</v>
      </c>
      <c r="E22" s="9">
        <f>Hours!H22</f>
        <v>3.26</v>
      </c>
      <c r="F22" s="5">
        <f>IF(A22&gt;=Parameters!$E$20,Parameters!$C$20,Parameters!$B$20)</f>
        <v>650</v>
      </c>
      <c r="G22" s="5">
        <f>SUMIFS(Bonuses!$D$4:$D$27,Bonuses!$A$4:$A$27,"Marcus Dellinger",Bonuses!$B$4:$B$27,C22)</f>
        <v>31.92</v>
      </c>
      <c r="H22" s="5">
        <f>ROUND((F22+G22)/Parameters!$B$7,2)</f>
        <v>17.05</v>
      </c>
      <c r="I22" s="5">
        <f>ROUND(Parameters!$B$8*H22*E22,2)</f>
        <v>83.37</v>
      </c>
    </row>
    <row r="23" spans="1:9" x14ac:dyDescent="0.2">
      <c r="A23" s="2">
        <f>Hours!A23</f>
        <v>19</v>
      </c>
      <c r="B23" s="2" t="str">
        <f>Hours!B23</f>
        <v>02/09/2025</v>
      </c>
      <c r="C23" s="2" t="str">
        <f>Hours!C23</f>
        <v>Q1 2025</v>
      </c>
      <c r="D23" s="9">
        <f>Hours!E23</f>
        <v>46.15</v>
      </c>
      <c r="E23" s="9">
        <f>Hours!H23</f>
        <v>6.15</v>
      </c>
      <c r="F23" s="5">
        <f>IF(A23&gt;=Parameters!$E$20,Parameters!$C$20,Parameters!$B$20)</f>
        <v>650</v>
      </c>
      <c r="G23" s="5">
        <f>SUMIFS(Bonuses!$D$4:$D$27,Bonuses!$A$4:$A$27,"Marcus Dellinger",Bonuses!$B$4:$B$27,C23)</f>
        <v>31.92</v>
      </c>
      <c r="H23" s="5">
        <f>ROUND((F23+G23)/Parameters!$B$7,2)</f>
        <v>17.05</v>
      </c>
      <c r="I23" s="5">
        <f>ROUND(Parameters!$B$8*H23*E23,2)</f>
        <v>157.29</v>
      </c>
    </row>
    <row r="24" spans="1:9" x14ac:dyDescent="0.2">
      <c r="A24" s="2">
        <f>Hours!A24</f>
        <v>20</v>
      </c>
      <c r="B24" s="2" t="str">
        <f>Hours!B24</f>
        <v>02/16/2025</v>
      </c>
      <c r="C24" s="2" t="str">
        <f>Hours!C24</f>
        <v>Q1 2025</v>
      </c>
      <c r="D24" s="9">
        <f>Hours!E24</f>
        <v>41.53</v>
      </c>
      <c r="E24" s="9">
        <f>Hours!H24</f>
        <v>1.53</v>
      </c>
      <c r="F24" s="5">
        <f>IF(A24&gt;=Parameters!$E$20,Parameters!$C$20,Parameters!$B$20)</f>
        <v>650</v>
      </c>
      <c r="G24" s="5">
        <f>SUMIFS(Bonuses!$D$4:$D$27,Bonuses!$A$4:$A$27,"Marcus Dellinger",Bonuses!$B$4:$B$27,C24)</f>
        <v>31.92</v>
      </c>
      <c r="H24" s="5">
        <f>ROUND((F24+G24)/Parameters!$B$7,2)</f>
        <v>17.05</v>
      </c>
      <c r="I24" s="5">
        <f>ROUND(Parameters!$B$8*H24*E24,2)</f>
        <v>39.13</v>
      </c>
    </row>
    <row r="25" spans="1:9" x14ac:dyDescent="0.2">
      <c r="A25" s="2">
        <f>Hours!A25</f>
        <v>21</v>
      </c>
      <c r="B25" s="2" t="str">
        <f>Hours!B25</f>
        <v>02/23/2025</v>
      </c>
      <c r="C25" s="2" t="str">
        <f>Hours!C25</f>
        <v>Q1 2025</v>
      </c>
      <c r="D25" s="9">
        <f>Hours!E25</f>
        <v>40.55</v>
      </c>
      <c r="E25" s="9">
        <f>Hours!H25</f>
        <v>0.55</v>
      </c>
      <c r="F25" s="5">
        <f>IF(A25&gt;=Parameters!$E$20,Parameters!$C$20,Parameters!$B$20)</f>
        <v>650</v>
      </c>
      <c r="G25" s="5">
        <f>SUMIFS(Bonuses!$D$4:$D$27,Bonuses!$A$4:$A$27,"Marcus Dellinger",Bonuses!$B$4:$B$27,C25)</f>
        <v>31.92</v>
      </c>
      <c r="H25" s="5">
        <f>ROUND((F25+G25)/Parameters!$B$7,2)</f>
        <v>17.05</v>
      </c>
      <c r="I25" s="5">
        <f>ROUND(Parameters!$B$8*H25*E25,2)</f>
        <v>14.07</v>
      </c>
    </row>
    <row r="26" spans="1:9" x14ac:dyDescent="0.2">
      <c r="A26" s="2">
        <f>Hours!A26</f>
        <v>22</v>
      </c>
      <c r="B26" s="2" t="str">
        <f>Hours!B26</f>
        <v>03/02/2025</v>
      </c>
      <c r="C26" s="2" t="str">
        <f>Hours!C26</f>
        <v>Q1 2025</v>
      </c>
      <c r="D26" s="9">
        <f>Hours!E26</f>
        <v>43.09</v>
      </c>
      <c r="E26" s="9">
        <f>Hours!H26</f>
        <v>3.09</v>
      </c>
      <c r="F26" s="5">
        <f>IF(A26&gt;=Parameters!$E$20,Parameters!$C$20,Parameters!$B$20)</f>
        <v>650</v>
      </c>
      <c r="G26" s="5">
        <f>SUMIFS(Bonuses!$D$4:$D$27,Bonuses!$A$4:$A$27,"Marcus Dellinger",Bonuses!$B$4:$B$27,C26)</f>
        <v>31.92</v>
      </c>
      <c r="H26" s="5">
        <f>ROUND((F26+G26)/Parameters!$B$7,2)</f>
        <v>17.05</v>
      </c>
      <c r="I26" s="5">
        <f>ROUND(Parameters!$B$8*H26*E26,2)</f>
        <v>79.03</v>
      </c>
    </row>
    <row r="27" spans="1:9" x14ac:dyDescent="0.2">
      <c r="A27" s="2">
        <f>Hours!A27</f>
        <v>23</v>
      </c>
      <c r="B27" s="2" t="str">
        <f>Hours!B27</f>
        <v>03/09/2025</v>
      </c>
      <c r="C27" s="2" t="str">
        <f>Hours!C27</f>
        <v>Q1 2025</v>
      </c>
      <c r="D27" s="9">
        <f>Hours!E27</f>
        <v>45.11</v>
      </c>
      <c r="E27" s="9">
        <f>Hours!H27</f>
        <v>5.11</v>
      </c>
      <c r="F27" s="5">
        <f>IF(A27&gt;=Parameters!$E$20,Parameters!$C$20,Parameters!$B$20)</f>
        <v>650</v>
      </c>
      <c r="G27" s="5">
        <f>SUMIFS(Bonuses!$D$4:$D$27,Bonuses!$A$4:$A$27,"Marcus Dellinger",Bonuses!$B$4:$B$27,C27)</f>
        <v>31.92</v>
      </c>
      <c r="H27" s="5">
        <f>ROUND((F27+G27)/Parameters!$B$7,2)</f>
        <v>17.05</v>
      </c>
      <c r="I27" s="5">
        <f>ROUND(Parameters!$B$8*H27*E27,2)</f>
        <v>130.69</v>
      </c>
    </row>
    <row r="28" spans="1:9" x14ac:dyDescent="0.2">
      <c r="A28" s="2">
        <f>Hours!A28</f>
        <v>24</v>
      </c>
      <c r="B28" s="2" t="str">
        <f>Hours!B28</f>
        <v>03/16/2025</v>
      </c>
      <c r="C28" s="2" t="str">
        <f>Hours!C28</f>
        <v>Q1 2025</v>
      </c>
      <c r="D28" s="9">
        <f>Hours!E28</f>
        <v>41.54</v>
      </c>
      <c r="E28" s="9">
        <f>Hours!H28</f>
        <v>1.54</v>
      </c>
      <c r="F28" s="5">
        <f>IF(A28&gt;=Parameters!$E$20,Parameters!$C$20,Parameters!$B$20)</f>
        <v>650</v>
      </c>
      <c r="G28" s="5">
        <f>SUMIFS(Bonuses!$D$4:$D$27,Bonuses!$A$4:$A$27,"Marcus Dellinger",Bonuses!$B$4:$B$27,C28)</f>
        <v>31.92</v>
      </c>
      <c r="H28" s="5">
        <f>ROUND((F28+G28)/Parameters!$B$7,2)</f>
        <v>17.05</v>
      </c>
      <c r="I28" s="5">
        <f>ROUND(Parameters!$B$8*H28*E28,2)</f>
        <v>39.39</v>
      </c>
    </row>
    <row r="29" spans="1:9" x14ac:dyDescent="0.2">
      <c r="A29" s="2">
        <f>Hours!A29</f>
        <v>25</v>
      </c>
      <c r="B29" s="2" t="str">
        <f>Hours!B29</f>
        <v>03/23/2025</v>
      </c>
      <c r="C29" s="2" t="str">
        <f>Hours!C29</f>
        <v>Q1 2025</v>
      </c>
      <c r="D29" s="9">
        <f>Hours!E29</f>
        <v>40.62</v>
      </c>
      <c r="E29" s="9">
        <f>Hours!H29</f>
        <v>0.62</v>
      </c>
      <c r="F29" s="5">
        <f>IF(A29&gt;=Parameters!$E$20,Parameters!$C$20,Parameters!$B$20)</f>
        <v>650</v>
      </c>
      <c r="G29" s="5">
        <f>SUMIFS(Bonuses!$D$4:$D$27,Bonuses!$A$4:$A$27,"Marcus Dellinger",Bonuses!$B$4:$B$27,C29)</f>
        <v>31.92</v>
      </c>
      <c r="H29" s="5">
        <f>ROUND((F29+G29)/Parameters!$B$7,2)</f>
        <v>17.05</v>
      </c>
      <c r="I29" s="5">
        <f>ROUND(Parameters!$B$8*H29*E29,2)</f>
        <v>15.86</v>
      </c>
    </row>
    <row r="30" spans="1:9" x14ac:dyDescent="0.2">
      <c r="A30" s="2">
        <f>Hours!A30</f>
        <v>26</v>
      </c>
      <c r="B30" s="2" t="str">
        <f>Hours!B30</f>
        <v>03/30/2025</v>
      </c>
      <c r="C30" s="2" t="str">
        <f>Hours!C30</f>
        <v>Q1 2025</v>
      </c>
      <c r="D30" s="9">
        <f>Hours!E30</f>
        <v>44.61</v>
      </c>
      <c r="E30" s="9">
        <f>Hours!H30</f>
        <v>4.61</v>
      </c>
      <c r="F30" s="5">
        <f>IF(A30&gt;=Parameters!$E$20,Parameters!$C$20,Parameters!$B$20)</f>
        <v>650</v>
      </c>
      <c r="G30" s="5">
        <f>SUMIFS(Bonuses!$D$4:$D$27,Bonuses!$A$4:$A$27,"Marcus Dellinger",Bonuses!$B$4:$B$27,C30)</f>
        <v>31.92</v>
      </c>
      <c r="H30" s="5">
        <f>ROUND((F30+G30)/Parameters!$B$7,2)</f>
        <v>17.05</v>
      </c>
      <c r="I30" s="5">
        <f>ROUND(Parameters!$B$8*H30*E30,2)</f>
        <v>117.9</v>
      </c>
    </row>
    <row r="31" spans="1:9" x14ac:dyDescent="0.2">
      <c r="A31" s="2">
        <f>Hours!A31</f>
        <v>27</v>
      </c>
      <c r="B31" s="2" t="str">
        <f>Hours!B31</f>
        <v>04/06/2025</v>
      </c>
      <c r="C31" s="2" t="str">
        <f>Hours!C31</f>
        <v>Q2 2025</v>
      </c>
      <c r="D31" s="9">
        <f>Hours!E31</f>
        <v>39.19</v>
      </c>
      <c r="E31" s="9">
        <f>Hours!H31</f>
        <v>0</v>
      </c>
      <c r="F31" s="5">
        <f>IF(A31&gt;=Parameters!$E$20,Parameters!$C$20,Parameters!$B$20)</f>
        <v>650</v>
      </c>
      <c r="G31" s="5">
        <f>SUMIFS(Bonuses!$D$4:$D$27,Bonuses!$A$4:$A$27,"Marcus Dellinger",Bonuses!$B$4:$B$27,C31)</f>
        <v>0</v>
      </c>
      <c r="H31" s="5">
        <f>ROUND((F31+G31)/Parameters!$B$7,2)</f>
        <v>16.25</v>
      </c>
      <c r="I31" s="5">
        <f>ROUND(Parameters!$B$8*H31*E31,2)</f>
        <v>0</v>
      </c>
    </row>
    <row r="32" spans="1:9" x14ac:dyDescent="0.2">
      <c r="A32" s="2">
        <f>Hours!A32</f>
        <v>28</v>
      </c>
      <c r="B32" s="2" t="str">
        <f>Hours!B32</f>
        <v>04/13/2025</v>
      </c>
      <c r="C32" s="2" t="str">
        <f>Hours!C32</f>
        <v>Q2 2025</v>
      </c>
      <c r="D32" s="9">
        <f>Hours!E32</f>
        <v>39.11</v>
      </c>
      <c r="E32" s="9">
        <f>Hours!H32</f>
        <v>0</v>
      </c>
      <c r="F32" s="5">
        <f>IF(A32&gt;=Parameters!$E$20,Parameters!$C$20,Parameters!$B$20)</f>
        <v>650</v>
      </c>
      <c r="G32" s="5">
        <f>SUMIFS(Bonuses!$D$4:$D$27,Bonuses!$A$4:$A$27,"Marcus Dellinger",Bonuses!$B$4:$B$27,C32)</f>
        <v>0</v>
      </c>
      <c r="H32" s="5">
        <f>ROUND((F32+G32)/Parameters!$B$7,2)</f>
        <v>16.25</v>
      </c>
      <c r="I32" s="5">
        <f>ROUND(Parameters!$B$8*H32*E32,2)</f>
        <v>0</v>
      </c>
    </row>
    <row r="33" spans="1:9" x14ac:dyDescent="0.2">
      <c r="A33" s="2">
        <f>Hours!A33</f>
        <v>29</v>
      </c>
      <c r="B33" s="2" t="str">
        <f>Hours!B33</f>
        <v>04/20/2025</v>
      </c>
      <c r="C33" s="2" t="str">
        <f>Hours!C33</f>
        <v>Q2 2025</v>
      </c>
      <c r="D33" s="9">
        <f>Hours!E33</f>
        <v>42.75</v>
      </c>
      <c r="E33" s="9">
        <f>Hours!H33</f>
        <v>2.75</v>
      </c>
      <c r="F33" s="5">
        <f>IF(A33&gt;=Parameters!$E$20,Parameters!$C$20,Parameters!$B$20)</f>
        <v>650</v>
      </c>
      <c r="G33" s="5">
        <f>SUMIFS(Bonuses!$D$4:$D$27,Bonuses!$A$4:$A$27,"Marcus Dellinger",Bonuses!$B$4:$B$27,C33)</f>
        <v>0</v>
      </c>
      <c r="H33" s="5">
        <f>ROUND((F33+G33)/Parameters!$B$7,2)</f>
        <v>16.25</v>
      </c>
      <c r="I33" s="5">
        <f>ROUND(Parameters!$B$8*H33*E33,2)</f>
        <v>67.03</v>
      </c>
    </row>
    <row r="34" spans="1:9" x14ac:dyDescent="0.2">
      <c r="A34" s="2">
        <f>Hours!A34</f>
        <v>30</v>
      </c>
      <c r="B34" s="2" t="str">
        <f>Hours!B34</f>
        <v>04/27/2025</v>
      </c>
      <c r="C34" s="2" t="str">
        <f>Hours!C34</f>
        <v>Q2 2025</v>
      </c>
      <c r="D34" s="9">
        <f>Hours!E34</f>
        <v>38.1</v>
      </c>
      <c r="E34" s="9">
        <f>Hours!H34</f>
        <v>0</v>
      </c>
      <c r="F34" s="5">
        <f>IF(A34&gt;=Parameters!$E$20,Parameters!$C$20,Parameters!$B$20)</f>
        <v>650</v>
      </c>
      <c r="G34" s="5">
        <f>SUMIFS(Bonuses!$D$4:$D$27,Bonuses!$A$4:$A$27,"Marcus Dellinger",Bonuses!$B$4:$B$27,C34)</f>
        <v>0</v>
      </c>
      <c r="H34" s="5">
        <f>ROUND((F34+G34)/Parameters!$B$7,2)</f>
        <v>16.25</v>
      </c>
      <c r="I34" s="5">
        <f>ROUND(Parameters!$B$8*H34*E34,2)</f>
        <v>0</v>
      </c>
    </row>
    <row r="35" spans="1:9" x14ac:dyDescent="0.2">
      <c r="A35" s="2">
        <f>Hours!A35</f>
        <v>31</v>
      </c>
      <c r="B35" s="2" t="str">
        <f>Hours!B35</f>
        <v>05/04/2025</v>
      </c>
      <c r="C35" s="2" t="str">
        <f>Hours!C35</f>
        <v>Q2 2025</v>
      </c>
      <c r="D35" s="9">
        <f>Hours!E35</f>
        <v>0</v>
      </c>
      <c r="E35" s="9">
        <f>Hours!H35</f>
        <v>0</v>
      </c>
      <c r="F35" s="5">
        <f>IF(A35&gt;=Parameters!$E$20,Parameters!$C$20,Parameters!$B$20)</f>
        <v>650</v>
      </c>
      <c r="G35" s="5">
        <f>SUMIFS(Bonuses!$D$4:$D$27,Bonuses!$A$4:$A$27,"Marcus Dellinger",Bonuses!$B$4:$B$27,C35)</f>
        <v>0</v>
      </c>
      <c r="H35" s="5">
        <f>ROUND((F35+G35)/Parameters!$B$7,2)</f>
        <v>16.25</v>
      </c>
      <c r="I35" s="5">
        <f>ROUND(Parameters!$B$8*H35*E35,2)</f>
        <v>0</v>
      </c>
    </row>
    <row r="36" spans="1:9" x14ac:dyDescent="0.2">
      <c r="A36" s="2">
        <f>Hours!A36</f>
        <v>32</v>
      </c>
      <c r="B36" s="2" t="str">
        <f>Hours!B36</f>
        <v>05/11/2025</v>
      </c>
      <c r="C36" s="2" t="str">
        <f>Hours!C36</f>
        <v>Q2 2025</v>
      </c>
      <c r="D36" s="9">
        <f>Hours!E36</f>
        <v>46.42</v>
      </c>
      <c r="E36" s="9">
        <f>Hours!H36</f>
        <v>6.42</v>
      </c>
      <c r="F36" s="5">
        <f>IF(A36&gt;=Parameters!$E$20,Parameters!$C$20,Parameters!$B$20)</f>
        <v>650</v>
      </c>
      <c r="G36" s="5">
        <f>SUMIFS(Bonuses!$D$4:$D$27,Bonuses!$A$4:$A$27,"Marcus Dellinger",Bonuses!$B$4:$B$27,C36)</f>
        <v>0</v>
      </c>
      <c r="H36" s="5">
        <f>ROUND((F36+G36)/Parameters!$B$7,2)</f>
        <v>16.25</v>
      </c>
      <c r="I36" s="5">
        <f>ROUND(Parameters!$B$8*H36*E36,2)</f>
        <v>156.49</v>
      </c>
    </row>
    <row r="37" spans="1:9" x14ac:dyDescent="0.2">
      <c r="A37" s="2">
        <f>Hours!A37</f>
        <v>33</v>
      </c>
      <c r="B37" s="2" t="str">
        <f>Hours!B37</f>
        <v>05/18/2025</v>
      </c>
      <c r="C37" s="2" t="str">
        <f>Hours!C37</f>
        <v>Q2 2025</v>
      </c>
      <c r="D37" s="9">
        <f>Hours!E37</f>
        <v>41.48</v>
      </c>
      <c r="E37" s="9">
        <f>Hours!H37</f>
        <v>1.48</v>
      </c>
      <c r="F37" s="5">
        <f>IF(A37&gt;=Parameters!$E$20,Parameters!$C$20,Parameters!$B$20)</f>
        <v>650</v>
      </c>
      <c r="G37" s="5">
        <f>SUMIFS(Bonuses!$D$4:$D$27,Bonuses!$A$4:$A$27,"Marcus Dellinger",Bonuses!$B$4:$B$27,C37)</f>
        <v>0</v>
      </c>
      <c r="H37" s="5">
        <f>ROUND((F37+G37)/Parameters!$B$7,2)</f>
        <v>16.25</v>
      </c>
      <c r="I37" s="5">
        <f>ROUND(Parameters!$B$8*H37*E37,2)</f>
        <v>36.07</v>
      </c>
    </row>
    <row r="38" spans="1:9" x14ac:dyDescent="0.2">
      <c r="A38" s="2">
        <f>Hours!A38</f>
        <v>34</v>
      </c>
      <c r="B38" s="2" t="str">
        <f>Hours!B38</f>
        <v>05/25/2025</v>
      </c>
      <c r="C38" s="2" t="str">
        <f>Hours!C38</f>
        <v>Q2 2025</v>
      </c>
      <c r="D38" s="9">
        <f>Hours!E38</f>
        <v>46.23</v>
      </c>
      <c r="E38" s="9">
        <f>Hours!H38</f>
        <v>6.23</v>
      </c>
      <c r="F38" s="5">
        <f>IF(A38&gt;=Parameters!$E$20,Parameters!$C$20,Parameters!$B$20)</f>
        <v>650</v>
      </c>
      <c r="G38" s="5">
        <f>SUMIFS(Bonuses!$D$4:$D$27,Bonuses!$A$4:$A$27,"Marcus Dellinger",Bonuses!$B$4:$B$27,C38)</f>
        <v>0</v>
      </c>
      <c r="H38" s="5">
        <f>ROUND((F38+G38)/Parameters!$B$7,2)</f>
        <v>16.25</v>
      </c>
      <c r="I38" s="5">
        <f>ROUND(Parameters!$B$8*H38*E38,2)</f>
        <v>151.86</v>
      </c>
    </row>
    <row r="39" spans="1:9" x14ac:dyDescent="0.2">
      <c r="A39" s="2">
        <f>Hours!A39</f>
        <v>35</v>
      </c>
      <c r="B39" s="2" t="str">
        <f>Hours!B39</f>
        <v>06/01/2025</v>
      </c>
      <c r="C39" s="2" t="str">
        <f>Hours!C39</f>
        <v>Q2 2025</v>
      </c>
      <c r="D39" s="9">
        <f>Hours!E39</f>
        <v>40.99</v>
      </c>
      <c r="E39" s="9">
        <f>Hours!H39</f>
        <v>0.99</v>
      </c>
      <c r="F39" s="5">
        <f>IF(A39&gt;=Parameters!$E$20,Parameters!$C$20,Parameters!$B$20)</f>
        <v>650</v>
      </c>
      <c r="G39" s="5">
        <f>SUMIFS(Bonuses!$D$4:$D$27,Bonuses!$A$4:$A$27,"Marcus Dellinger",Bonuses!$B$4:$B$27,C39)</f>
        <v>0</v>
      </c>
      <c r="H39" s="5">
        <f>ROUND((F39+G39)/Parameters!$B$7,2)</f>
        <v>16.25</v>
      </c>
      <c r="I39" s="5">
        <f>ROUND(Parameters!$B$8*H39*E39,2)</f>
        <v>24.13</v>
      </c>
    </row>
    <row r="40" spans="1:9" x14ac:dyDescent="0.2">
      <c r="A40" s="2">
        <f>Hours!A40</f>
        <v>36</v>
      </c>
      <c r="B40" s="2" t="str">
        <f>Hours!B40</f>
        <v>06/08/2025</v>
      </c>
      <c r="C40" s="2" t="str">
        <f>Hours!C40</f>
        <v>Q2 2025</v>
      </c>
      <c r="D40" s="9">
        <f>Hours!E40</f>
        <v>42.85</v>
      </c>
      <c r="E40" s="9">
        <f>Hours!H40</f>
        <v>2.85</v>
      </c>
      <c r="F40" s="5">
        <f>IF(A40&gt;=Parameters!$E$20,Parameters!$C$20,Parameters!$B$20)</f>
        <v>650</v>
      </c>
      <c r="G40" s="5">
        <f>SUMIFS(Bonuses!$D$4:$D$27,Bonuses!$A$4:$A$27,"Marcus Dellinger",Bonuses!$B$4:$B$27,C40)</f>
        <v>0</v>
      </c>
      <c r="H40" s="5">
        <f>ROUND((F40+G40)/Parameters!$B$7,2)</f>
        <v>16.25</v>
      </c>
      <c r="I40" s="5">
        <f>ROUND(Parameters!$B$8*H40*E40,2)</f>
        <v>69.47</v>
      </c>
    </row>
    <row r="41" spans="1:9" x14ac:dyDescent="0.2">
      <c r="A41" s="2">
        <f>Hours!A41</f>
        <v>37</v>
      </c>
      <c r="B41" s="2" t="str">
        <f>Hours!B41</f>
        <v>06/15/2025</v>
      </c>
      <c r="C41" s="2" t="str">
        <f>Hours!C41</f>
        <v>Q2 2025</v>
      </c>
      <c r="D41" s="9">
        <f>Hours!E41</f>
        <v>41.08</v>
      </c>
      <c r="E41" s="9">
        <f>Hours!H41</f>
        <v>1.08</v>
      </c>
      <c r="F41" s="5">
        <f>IF(A41&gt;=Parameters!$E$20,Parameters!$C$20,Parameters!$B$20)</f>
        <v>650</v>
      </c>
      <c r="G41" s="5">
        <f>SUMIFS(Bonuses!$D$4:$D$27,Bonuses!$A$4:$A$27,"Marcus Dellinger",Bonuses!$B$4:$B$27,C41)</f>
        <v>0</v>
      </c>
      <c r="H41" s="5">
        <f>ROUND((F41+G41)/Parameters!$B$7,2)</f>
        <v>16.25</v>
      </c>
      <c r="I41" s="5">
        <f>ROUND(Parameters!$B$8*H41*E41,2)</f>
        <v>26.33</v>
      </c>
    </row>
    <row r="42" spans="1:9" x14ac:dyDescent="0.2">
      <c r="A42" s="2">
        <f>Hours!A42</f>
        <v>38</v>
      </c>
      <c r="B42" s="2" t="str">
        <f>Hours!B42</f>
        <v>06/22/2025</v>
      </c>
      <c r="C42" s="2" t="str">
        <f>Hours!C42</f>
        <v>Q2 2025</v>
      </c>
      <c r="D42" s="9">
        <f>Hours!E42</f>
        <v>41.67</v>
      </c>
      <c r="E42" s="9">
        <f>Hours!H42</f>
        <v>1.67</v>
      </c>
      <c r="F42" s="5">
        <f>IF(A42&gt;=Parameters!$E$20,Parameters!$C$20,Parameters!$B$20)</f>
        <v>650</v>
      </c>
      <c r="G42" s="5">
        <f>SUMIFS(Bonuses!$D$4:$D$27,Bonuses!$A$4:$A$27,"Marcus Dellinger",Bonuses!$B$4:$B$27,C42)</f>
        <v>0</v>
      </c>
      <c r="H42" s="5">
        <f>ROUND((F42+G42)/Parameters!$B$7,2)</f>
        <v>16.25</v>
      </c>
      <c r="I42" s="5">
        <f>ROUND(Parameters!$B$8*H42*E42,2)</f>
        <v>40.71</v>
      </c>
    </row>
    <row r="43" spans="1:9" x14ac:dyDescent="0.2">
      <c r="A43" s="2">
        <f>Hours!A43</f>
        <v>39</v>
      </c>
      <c r="B43" s="2" t="str">
        <f>Hours!B43</f>
        <v>06/29/2025</v>
      </c>
      <c r="C43" s="2" t="str">
        <f>Hours!C43</f>
        <v>Q2 2025</v>
      </c>
      <c r="D43" s="9">
        <f>Hours!E43</f>
        <v>42.13</v>
      </c>
      <c r="E43" s="9">
        <f>Hours!H43</f>
        <v>2.13</v>
      </c>
      <c r="F43" s="5">
        <f>IF(A43&gt;=Parameters!$E$20,Parameters!$C$20,Parameters!$B$20)</f>
        <v>650</v>
      </c>
      <c r="G43" s="5">
        <f>SUMIFS(Bonuses!$D$4:$D$27,Bonuses!$A$4:$A$27,"Marcus Dellinger",Bonuses!$B$4:$B$27,C43)</f>
        <v>0</v>
      </c>
      <c r="H43" s="5">
        <f>ROUND((F43+G43)/Parameters!$B$7,2)</f>
        <v>16.25</v>
      </c>
      <c r="I43" s="5">
        <f>ROUND(Parameters!$B$8*H43*E43,2)</f>
        <v>51.92</v>
      </c>
    </row>
    <row r="44" spans="1:9" x14ac:dyDescent="0.2">
      <c r="A44" s="2">
        <f>Hours!A44</f>
        <v>40</v>
      </c>
      <c r="B44" s="2" t="str">
        <f>Hours!B44</f>
        <v>07/06/2025</v>
      </c>
      <c r="C44" s="2" t="str">
        <f>Hours!C44</f>
        <v>Q3 2025</v>
      </c>
      <c r="D44" s="9">
        <f>Hours!E44</f>
        <v>40.05</v>
      </c>
      <c r="E44" s="9">
        <f>Hours!H44</f>
        <v>0.05</v>
      </c>
      <c r="F44" s="5">
        <f>IF(A44&gt;=Parameters!$E$20,Parameters!$C$20,Parameters!$B$20)</f>
        <v>675</v>
      </c>
      <c r="G44" s="5">
        <f>SUMIFS(Bonuses!$D$4:$D$27,Bonuses!$A$4:$A$27,"Marcus Dellinger",Bonuses!$B$4:$B$27,C44)</f>
        <v>34.04</v>
      </c>
      <c r="H44" s="5">
        <f>ROUND((F44+G44)/Parameters!$B$7,2)</f>
        <v>17.73</v>
      </c>
      <c r="I44" s="5">
        <f>ROUND(Parameters!$B$8*H44*E44,2)</f>
        <v>1.33</v>
      </c>
    </row>
    <row r="45" spans="1:9" x14ac:dyDescent="0.2">
      <c r="A45" s="2">
        <f>Hours!A45</f>
        <v>41</v>
      </c>
      <c r="B45" s="2" t="str">
        <f>Hours!B45</f>
        <v>07/13/2025</v>
      </c>
      <c r="C45" s="2" t="str">
        <f>Hours!C45</f>
        <v>Q3 2025</v>
      </c>
      <c r="D45" s="9">
        <f>Hours!E45</f>
        <v>46.38</v>
      </c>
      <c r="E45" s="9">
        <f>Hours!H45</f>
        <v>6.38</v>
      </c>
      <c r="F45" s="5">
        <f>IF(A45&gt;=Parameters!$E$20,Parameters!$C$20,Parameters!$B$20)</f>
        <v>675</v>
      </c>
      <c r="G45" s="5">
        <f>SUMIFS(Bonuses!$D$4:$D$27,Bonuses!$A$4:$A$27,"Marcus Dellinger",Bonuses!$B$4:$B$27,C45)</f>
        <v>34.04</v>
      </c>
      <c r="H45" s="5">
        <f>ROUND((F45+G45)/Parameters!$B$7,2)</f>
        <v>17.73</v>
      </c>
      <c r="I45" s="5">
        <f>ROUND(Parameters!$B$8*H45*E45,2)</f>
        <v>169.68</v>
      </c>
    </row>
    <row r="46" spans="1:9" x14ac:dyDescent="0.2">
      <c r="A46" s="2">
        <f>Hours!A46</f>
        <v>42</v>
      </c>
      <c r="B46" s="2" t="str">
        <f>Hours!B46</f>
        <v>07/20/2025</v>
      </c>
      <c r="C46" s="2" t="str">
        <f>Hours!C46</f>
        <v>Q3 2025</v>
      </c>
      <c r="D46" s="9">
        <f>Hours!E46</f>
        <v>45.79</v>
      </c>
      <c r="E46" s="9">
        <f>Hours!H46</f>
        <v>5.79</v>
      </c>
      <c r="F46" s="5">
        <f>IF(A46&gt;=Parameters!$E$20,Parameters!$C$20,Parameters!$B$20)</f>
        <v>675</v>
      </c>
      <c r="G46" s="5">
        <f>SUMIFS(Bonuses!$D$4:$D$27,Bonuses!$A$4:$A$27,"Marcus Dellinger",Bonuses!$B$4:$B$27,C46)</f>
        <v>34.04</v>
      </c>
      <c r="H46" s="5">
        <f>ROUND((F46+G46)/Parameters!$B$7,2)</f>
        <v>17.73</v>
      </c>
      <c r="I46" s="5">
        <f>ROUND(Parameters!$B$8*H46*E46,2)</f>
        <v>153.99</v>
      </c>
    </row>
    <row r="47" spans="1:9" x14ac:dyDescent="0.2">
      <c r="A47" s="2">
        <f>Hours!A47</f>
        <v>43</v>
      </c>
      <c r="B47" s="2" t="str">
        <f>Hours!B47</f>
        <v>07/27/2025</v>
      </c>
      <c r="C47" s="2" t="str">
        <f>Hours!C47</f>
        <v>Q3 2025</v>
      </c>
      <c r="D47" s="9">
        <f>Hours!E47</f>
        <v>44.42</v>
      </c>
      <c r="E47" s="9">
        <f>Hours!H47</f>
        <v>4.42</v>
      </c>
      <c r="F47" s="5">
        <f>IF(A47&gt;=Parameters!$E$20,Parameters!$C$20,Parameters!$B$20)</f>
        <v>675</v>
      </c>
      <c r="G47" s="5">
        <f>SUMIFS(Bonuses!$D$4:$D$27,Bonuses!$A$4:$A$27,"Marcus Dellinger",Bonuses!$B$4:$B$27,C47)</f>
        <v>34.04</v>
      </c>
      <c r="H47" s="5">
        <f>ROUND((F47+G47)/Parameters!$B$7,2)</f>
        <v>17.73</v>
      </c>
      <c r="I47" s="5">
        <f>ROUND(Parameters!$B$8*H47*E47,2)</f>
        <v>117.55</v>
      </c>
    </row>
    <row r="48" spans="1:9" x14ac:dyDescent="0.2">
      <c r="A48" s="2">
        <f>Hours!A48</f>
        <v>44</v>
      </c>
      <c r="B48" s="2" t="str">
        <f>Hours!B48</f>
        <v>08/03/2025</v>
      </c>
      <c r="C48" s="2" t="str">
        <f>Hours!C48</f>
        <v>Q3 2025</v>
      </c>
      <c r="D48" s="9">
        <f>Hours!E48</f>
        <v>38.42</v>
      </c>
      <c r="E48" s="9">
        <f>Hours!H48</f>
        <v>0</v>
      </c>
      <c r="F48" s="5">
        <f>IF(A48&gt;=Parameters!$E$20,Parameters!$C$20,Parameters!$B$20)</f>
        <v>675</v>
      </c>
      <c r="G48" s="5">
        <f>SUMIFS(Bonuses!$D$4:$D$27,Bonuses!$A$4:$A$27,"Marcus Dellinger",Bonuses!$B$4:$B$27,C48)</f>
        <v>34.04</v>
      </c>
      <c r="H48" s="5">
        <f>ROUND((F48+G48)/Parameters!$B$7,2)</f>
        <v>17.73</v>
      </c>
      <c r="I48" s="5">
        <f>ROUND(Parameters!$B$8*H48*E48,2)</f>
        <v>0</v>
      </c>
    </row>
    <row r="49" spans="1:9" x14ac:dyDescent="0.2">
      <c r="A49" s="2">
        <f>Hours!A49</f>
        <v>45</v>
      </c>
      <c r="B49" s="2" t="str">
        <f>Hours!B49</f>
        <v>08/10/2025</v>
      </c>
      <c r="C49" s="2" t="str">
        <f>Hours!C49</f>
        <v>Q3 2025</v>
      </c>
      <c r="D49" s="9">
        <f>Hours!E49</f>
        <v>45.43</v>
      </c>
      <c r="E49" s="9">
        <f>Hours!H49</f>
        <v>5.43</v>
      </c>
      <c r="F49" s="5">
        <f>IF(A49&gt;=Parameters!$E$20,Parameters!$C$20,Parameters!$B$20)</f>
        <v>675</v>
      </c>
      <c r="G49" s="5">
        <f>SUMIFS(Bonuses!$D$4:$D$27,Bonuses!$A$4:$A$27,"Marcus Dellinger",Bonuses!$B$4:$B$27,C49)</f>
        <v>34.04</v>
      </c>
      <c r="H49" s="5">
        <f>ROUND((F49+G49)/Parameters!$B$7,2)</f>
        <v>17.73</v>
      </c>
      <c r="I49" s="5">
        <f>ROUND(Parameters!$B$8*H49*E49,2)</f>
        <v>144.41</v>
      </c>
    </row>
    <row r="50" spans="1:9" x14ac:dyDescent="0.2">
      <c r="A50" s="2">
        <f>Hours!A50</f>
        <v>46</v>
      </c>
      <c r="B50" s="2" t="str">
        <f>Hours!B50</f>
        <v>08/17/2025</v>
      </c>
      <c r="C50" s="2" t="str">
        <f>Hours!C50</f>
        <v>Q3 2025</v>
      </c>
      <c r="D50" s="9">
        <f>Hours!E50</f>
        <v>38.31</v>
      </c>
      <c r="E50" s="9">
        <f>Hours!H50</f>
        <v>0</v>
      </c>
      <c r="F50" s="5">
        <f>IF(A50&gt;=Parameters!$E$20,Parameters!$C$20,Parameters!$B$20)</f>
        <v>675</v>
      </c>
      <c r="G50" s="5">
        <f>SUMIFS(Bonuses!$D$4:$D$27,Bonuses!$A$4:$A$27,"Marcus Dellinger",Bonuses!$B$4:$B$27,C50)</f>
        <v>34.04</v>
      </c>
      <c r="H50" s="5">
        <f>ROUND((F50+G50)/Parameters!$B$7,2)</f>
        <v>17.73</v>
      </c>
      <c r="I50" s="5">
        <f>ROUND(Parameters!$B$8*H50*E50,2)</f>
        <v>0</v>
      </c>
    </row>
    <row r="51" spans="1:9" x14ac:dyDescent="0.2">
      <c r="A51" s="2">
        <f>Hours!A51</f>
        <v>47</v>
      </c>
      <c r="B51" s="2" t="str">
        <f>Hours!B51</f>
        <v>08/24/2025</v>
      </c>
      <c r="C51" s="2" t="str">
        <f>Hours!C51</f>
        <v>Q3 2025</v>
      </c>
      <c r="D51" s="9">
        <f>Hours!E51</f>
        <v>39.57</v>
      </c>
      <c r="E51" s="9">
        <f>Hours!H51</f>
        <v>0</v>
      </c>
      <c r="F51" s="5">
        <f>IF(A51&gt;=Parameters!$E$20,Parameters!$C$20,Parameters!$B$20)</f>
        <v>675</v>
      </c>
      <c r="G51" s="5">
        <f>SUMIFS(Bonuses!$D$4:$D$27,Bonuses!$A$4:$A$27,"Marcus Dellinger",Bonuses!$B$4:$B$27,C51)</f>
        <v>34.04</v>
      </c>
      <c r="H51" s="5">
        <f>ROUND((F51+G51)/Parameters!$B$7,2)</f>
        <v>17.73</v>
      </c>
      <c r="I51" s="5">
        <f>ROUND(Parameters!$B$8*H51*E51,2)</f>
        <v>0</v>
      </c>
    </row>
    <row r="52" spans="1:9" x14ac:dyDescent="0.2">
      <c r="A52" s="2">
        <f>Hours!A52</f>
        <v>48</v>
      </c>
      <c r="B52" s="2" t="str">
        <f>Hours!B52</f>
        <v>08/31/2025</v>
      </c>
      <c r="C52" s="2" t="str">
        <f>Hours!C52</f>
        <v>Q3 2025</v>
      </c>
      <c r="D52" s="9">
        <f>Hours!E52</f>
        <v>40.39</v>
      </c>
      <c r="E52" s="9">
        <f>Hours!H52</f>
        <v>0.39</v>
      </c>
      <c r="F52" s="5">
        <f>IF(A52&gt;=Parameters!$E$20,Parameters!$C$20,Parameters!$B$20)</f>
        <v>675</v>
      </c>
      <c r="G52" s="5">
        <f>SUMIFS(Bonuses!$D$4:$D$27,Bonuses!$A$4:$A$27,"Marcus Dellinger",Bonuses!$B$4:$B$27,C52)</f>
        <v>34.04</v>
      </c>
      <c r="H52" s="5">
        <f>ROUND((F52+G52)/Parameters!$B$7,2)</f>
        <v>17.73</v>
      </c>
      <c r="I52" s="5">
        <f>ROUND(Parameters!$B$8*H52*E52,2)</f>
        <v>10.37</v>
      </c>
    </row>
    <row r="53" spans="1:9" x14ac:dyDescent="0.2">
      <c r="A53" s="2">
        <f>Hours!A53</f>
        <v>49</v>
      </c>
      <c r="B53" s="2" t="str">
        <f>Hours!B53</f>
        <v>09/07/2025</v>
      </c>
      <c r="C53" s="2" t="str">
        <f>Hours!C53</f>
        <v>Q3 2025</v>
      </c>
      <c r="D53" s="9">
        <f>Hours!E53</f>
        <v>38.51</v>
      </c>
      <c r="E53" s="9">
        <f>Hours!H53</f>
        <v>0</v>
      </c>
      <c r="F53" s="5">
        <f>IF(A53&gt;=Parameters!$E$20,Parameters!$C$20,Parameters!$B$20)</f>
        <v>675</v>
      </c>
      <c r="G53" s="5">
        <f>SUMIFS(Bonuses!$D$4:$D$27,Bonuses!$A$4:$A$27,"Marcus Dellinger",Bonuses!$B$4:$B$27,C53)</f>
        <v>34.04</v>
      </c>
      <c r="H53" s="5">
        <f>ROUND((F53+G53)/Parameters!$B$7,2)</f>
        <v>17.73</v>
      </c>
      <c r="I53" s="5">
        <f>ROUND(Parameters!$B$8*H53*E53,2)</f>
        <v>0</v>
      </c>
    </row>
    <row r="54" spans="1:9" x14ac:dyDescent="0.2">
      <c r="A54" s="2">
        <f>Hours!A54</f>
        <v>50</v>
      </c>
      <c r="B54" s="2" t="str">
        <f>Hours!B54</f>
        <v>09/14/2025</v>
      </c>
      <c r="C54" s="2" t="str">
        <f>Hours!C54</f>
        <v>Q3 2025</v>
      </c>
      <c r="D54" s="9">
        <f>Hours!E54</f>
        <v>42.12</v>
      </c>
      <c r="E54" s="9">
        <f>Hours!H54</f>
        <v>2.12</v>
      </c>
      <c r="F54" s="5">
        <f>IF(A54&gt;=Parameters!$E$20,Parameters!$C$20,Parameters!$B$20)</f>
        <v>675</v>
      </c>
      <c r="G54" s="5">
        <f>SUMIFS(Bonuses!$D$4:$D$27,Bonuses!$A$4:$A$27,"Marcus Dellinger",Bonuses!$B$4:$B$27,C54)</f>
        <v>34.04</v>
      </c>
      <c r="H54" s="5">
        <f>ROUND((F54+G54)/Parameters!$B$7,2)</f>
        <v>17.73</v>
      </c>
      <c r="I54" s="5">
        <f>ROUND(Parameters!$B$8*H54*E54,2)</f>
        <v>56.38</v>
      </c>
    </row>
    <row r="55" spans="1:9" x14ac:dyDescent="0.2">
      <c r="A55" s="2">
        <f>Hours!A55</f>
        <v>51</v>
      </c>
      <c r="B55" s="2" t="str">
        <f>Hours!B55</f>
        <v>09/21/2025</v>
      </c>
      <c r="C55" s="2" t="str">
        <f>Hours!C55</f>
        <v>Q3 2025</v>
      </c>
      <c r="D55" s="9">
        <f>Hours!E55</f>
        <v>45.27</v>
      </c>
      <c r="E55" s="9">
        <f>Hours!H55</f>
        <v>5.27</v>
      </c>
      <c r="F55" s="5">
        <f>IF(A55&gt;=Parameters!$E$20,Parameters!$C$20,Parameters!$B$20)</f>
        <v>675</v>
      </c>
      <c r="G55" s="5">
        <f>SUMIFS(Bonuses!$D$4:$D$27,Bonuses!$A$4:$A$27,"Marcus Dellinger",Bonuses!$B$4:$B$27,C55)</f>
        <v>34.04</v>
      </c>
      <c r="H55" s="5">
        <f>ROUND((F55+G55)/Parameters!$B$7,2)</f>
        <v>17.73</v>
      </c>
      <c r="I55" s="5">
        <f>ROUND(Parameters!$B$8*H55*E55,2)</f>
        <v>140.16</v>
      </c>
    </row>
    <row r="56" spans="1:9" x14ac:dyDescent="0.2">
      <c r="A56" s="2">
        <f>Hours!A56</f>
        <v>52</v>
      </c>
      <c r="B56" s="2" t="str">
        <f>Hours!B56</f>
        <v>09/28/2025</v>
      </c>
      <c r="C56" s="2" t="str">
        <f>Hours!C56</f>
        <v>Q3 2025</v>
      </c>
      <c r="D56" s="9">
        <f>Hours!E56</f>
        <v>44.28</v>
      </c>
      <c r="E56" s="9">
        <f>Hours!H56</f>
        <v>4.28</v>
      </c>
      <c r="F56" s="5">
        <f>IF(A56&gt;=Parameters!$E$20,Parameters!$C$20,Parameters!$B$20)</f>
        <v>675</v>
      </c>
      <c r="G56" s="5">
        <f>SUMIFS(Bonuses!$D$4:$D$27,Bonuses!$A$4:$A$27,"Marcus Dellinger",Bonuses!$B$4:$B$27,C56)</f>
        <v>34.04</v>
      </c>
      <c r="H56" s="5">
        <f>ROUND((F56+G56)/Parameters!$B$7,2)</f>
        <v>17.73</v>
      </c>
      <c r="I56" s="5">
        <f>ROUND(Parameters!$B$8*H56*E56,2)</f>
        <v>113.83</v>
      </c>
    </row>
    <row r="57" spans="1:9" x14ac:dyDescent="0.2">
      <c r="A57" s="2">
        <f>Hours!A57</f>
        <v>53</v>
      </c>
      <c r="B57" s="2" t="str">
        <f>Hours!B57</f>
        <v>10/05/2025</v>
      </c>
      <c r="C57" s="2" t="str">
        <f>Hours!C57</f>
        <v>Q4 2025</v>
      </c>
      <c r="D57" s="9">
        <f>Hours!E57</f>
        <v>38.8</v>
      </c>
      <c r="E57" s="9">
        <f>Hours!H57</f>
        <v>0</v>
      </c>
      <c r="F57" s="5">
        <f>IF(A57&gt;=Parameters!$E$20,Parameters!$C$20,Parameters!$B$20)</f>
        <v>675</v>
      </c>
      <c r="G57" s="5">
        <f>SUMIFS(Bonuses!$D$4:$D$27,Bonuses!$A$4:$A$27,"Marcus Dellinger",Bonuses!$B$4:$B$27,C57)</f>
        <v>30.38</v>
      </c>
      <c r="H57" s="5">
        <f>ROUND((F57+G57)/Parameters!$B$7,2)</f>
        <v>17.63</v>
      </c>
      <c r="I57" s="5">
        <f>ROUND(Parameters!$B$8*H57*E57,2)</f>
        <v>0</v>
      </c>
    </row>
    <row r="58" spans="1:9" x14ac:dyDescent="0.2">
      <c r="A58" s="2">
        <f>Hours!A58</f>
        <v>54</v>
      </c>
      <c r="B58" s="2" t="str">
        <f>Hours!B58</f>
        <v>10/12/2025</v>
      </c>
      <c r="C58" s="2" t="str">
        <f>Hours!C58</f>
        <v>Q4 2025</v>
      </c>
      <c r="D58" s="9">
        <f>Hours!E58</f>
        <v>43.97</v>
      </c>
      <c r="E58" s="9">
        <f>Hours!H58</f>
        <v>3.97</v>
      </c>
      <c r="F58" s="5">
        <f>IF(A58&gt;=Parameters!$E$20,Parameters!$C$20,Parameters!$B$20)</f>
        <v>675</v>
      </c>
      <c r="G58" s="5">
        <f>SUMIFS(Bonuses!$D$4:$D$27,Bonuses!$A$4:$A$27,"Marcus Dellinger",Bonuses!$B$4:$B$27,C58)</f>
        <v>30.38</v>
      </c>
      <c r="H58" s="5">
        <f>ROUND((F58+G58)/Parameters!$B$7,2)</f>
        <v>17.63</v>
      </c>
      <c r="I58" s="5">
        <f>ROUND(Parameters!$B$8*H58*E58,2)</f>
        <v>104.99</v>
      </c>
    </row>
    <row r="59" spans="1:9" x14ac:dyDescent="0.2">
      <c r="A59" s="2">
        <f>Hours!A59</f>
        <v>55</v>
      </c>
      <c r="B59" s="2" t="str">
        <f>Hours!B59</f>
        <v>10/19/2025</v>
      </c>
      <c r="C59" s="2" t="str">
        <f>Hours!C59</f>
        <v>Q4 2025</v>
      </c>
      <c r="D59" s="9">
        <f>Hours!E59</f>
        <v>43.68</v>
      </c>
      <c r="E59" s="9">
        <f>Hours!H59</f>
        <v>3.68</v>
      </c>
      <c r="F59" s="5">
        <f>IF(A59&gt;=Parameters!$E$20,Parameters!$C$20,Parameters!$B$20)</f>
        <v>675</v>
      </c>
      <c r="G59" s="5">
        <f>SUMIFS(Bonuses!$D$4:$D$27,Bonuses!$A$4:$A$27,"Marcus Dellinger",Bonuses!$B$4:$B$27,C59)</f>
        <v>30.38</v>
      </c>
      <c r="H59" s="5">
        <f>ROUND((F59+G59)/Parameters!$B$7,2)</f>
        <v>17.63</v>
      </c>
      <c r="I59" s="5">
        <f>ROUND(Parameters!$B$8*H59*E59,2)</f>
        <v>97.32</v>
      </c>
    </row>
    <row r="60" spans="1:9" x14ac:dyDescent="0.2">
      <c r="A60" s="2">
        <f>Hours!A60</f>
        <v>56</v>
      </c>
      <c r="B60" s="2" t="str">
        <f>Hours!B60</f>
        <v>10/26/2025</v>
      </c>
      <c r="C60" s="2" t="str">
        <f>Hours!C60</f>
        <v>Q4 2025</v>
      </c>
      <c r="D60" s="9">
        <f>Hours!E60</f>
        <v>39.84</v>
      </c>
      <c r="E60" s="9">
        <f>Hours!H60</f>
        <v>0</v>
      </c>
      <c r="F60" s="5">
        <f>IF(A60&gt;=Parameters!$E$20,Parameters!$C$20,Parameters!$B$20)</f>
        <v>675</v>
      </c>
      <c r="G60" s="5">
        <f>SUMIFS(Bonuses!$D$4:$D$27,Bonuses!$A$4:$A$27,"Marcus Dellinger",Bonuses!$B$4:$B$27,C60)</f>
        <v>30.38</v>
      </c>
      <c r="H60" s="5">
        <f>ROUND((F60+G60)/Parameters!$B$7,2)</f>
        <v>17.63</v>
      </c>
      <c r="I60" s="5">
        <f>ROUND(Parameters!$B$8*H60*E60,2)</f>
        <v>0</v>
      </c>
    </row>
    <row r="61" spans="1:9" x14ac:dyDescent="0.2">
      <c r="A61" s="2">
        <f>Hours!A61</f>
        <v>57</v>
      </c>
      <c r="B61" s="2" t="str">
        <f>Hours!B61</f>
        <v>11/02/2025</v>
      </c>
      <c r="C61" s="2" t="str">
        <f>Hours!C61</f>
        <v>Q4 2025</v>
      </c>
      <c r="D61" s="9">
        <f>Hours!E61</f>
        <v>46.64</v>
      </c>
      <c r="E61" s="9">
        <f>Hours!H61</f>
        <v>6.64</v>
      </c>
      <c r="F61" s="5">
        <f>IF(A61&gt;=Parameters!$E$20,Parameters!$C$20,Parameters!$B$20)</f>
        <v>675</v>
      </c>
      <c r="G61" s="5">
        <f>SUMIFS(Bonuses!$D$4:$D$27,Bonuses!$A$4:$A$27,"Marcus Dellinger",Bonuses!$B$4:$B$27,C61)</f>
        <v>30.38</v>
      </c>
      <c r="H61" s="5">
        <f>ROUND((F61+G61)/Parameters!$B$7,2)</f>
        <v>17.63</v>
      </c>
      <c r="I61" s="5">
        <f>ROUND(Parameters!$B$8*H61*E61,2)</f>
        <v>175.59</v>
      </c>
    </row>
    <row r="62" spans="1:9" x14ac:dyDescent="0.2">
      <c r="A62" s="2">
        <f>Hours!A62</f>
        <v>58</v>
      </c>
      <c r="B62" s="2" t="str">
        <f>Hours!B62</f>
        <v>11/09/2025</v>
      </c>
      <c r="C62" s="2" t="str">
        <f>Hours!C62</f>
        <v>Q4 2025</v>
      </c>
      <c r="D62" s="9">
        <f>Hours!E62</f>
        <v>43.22</v>
      </c>
      <c r="E62" s="9">
        <f>Hours!H62</f>
        <v>3.22</v>
      </c>
      <c r="F62" s="5">
        <f>IF(A62&gt;=Parameters!$E$20,Parameters!$C$20,Parameters!$B$20)</f>
        <v>675</v>
      </c>
      <c r="G62" s="5">
        <f>SUMIFS(Bonuses!$D$4:$D$27,Bonuses!$A$4:$A$27,"Marcus Dellinger",Bonuses!$B$4:$B$27,C62)</f>
        <v>30.38</v>
      </c>
      <c r="H62" s="5">
        <f>ROUND((F62+G62)/Parameters!$B$7,2)</f>
        <v>17.63</v>
      </c>
      <c r="I62" s="5">
        <f>ROUND(Parameters!$B$8*H62*E62,2)</f>
        <v>85.15</v>
      </c>
    </row>
    <row r="63" spans="1:9" x14ac:dyDescent="0.2">
      <c r="A63" s="2">
        <f>Hours!A63</f>
        <v>59</v>
      </c>
      <c r="B63" s="2" t="str">
        <f>Hours!B63</f>
        <v>11/16/2025</v>
      </c>
      <c r="C63" s="2" t="str">
        <f>Hours!C63</f>
        <v>Q4 2025</v>
      </c>
      <c r="D63" s="9">
        <f>Hours!E63</f>
        <v>42.06</v>
      </c>
      <c r="E63" s="9">
        <f>Hours!H63</f>
        <v>2.06</v>
      </c>
      <c r="F63" s="5">
        <f>IF(A63&gt;=Parameters!$E$20,Parameters!$C$20,Parameters!$B$20)</f>
        <v>675</v>
      </c>
      <c r="G63" s="5">
        <f>SUMIFS(Bonuses!$D$4:$D$27,Bonuses!$A$4:$A$27,"Marcus Dellinger",Bonuses!$B$4:$B$27,C63)</f>
        <v>30.38</v>
      </c>
      <c r="H63" s="5">
        <f>ROUND((F63+G63)/Parameters!$B$7,2)</f>
        <v>17.63</v>
      </c>
      <c r="I63" s="5">
        <f>ROUND(Parameters!$B$8*H63*E63,2)</f>
        <v>54.48</v>
      </c>
    </row>
    <row r="64" spans="1:9" x14ac:dyDescent="0.2">
      <c r="A64" s="2">
        <f>Hours!A64</f>
        <v>60</v>
      </c>
      <c r="B64" s="2" t="str">
        <f>Hours!B64</f>
        <v>11/23/2025</v>
      </c>
      <c r="C64" s="2" t="str">
        <f>Hours!C64</f>
        <v>Q4 2025</v>
      </c>
      <c r="D64" s="9">
        <f>Hours!E64</f>
        <v>47.55</v>
      </c>
      <c r="E64" s="9">
        <f>Hours!H64</f>
        <v>7.55</v>
      </c>
      <c r="F64" s="5">
        <f>IF(A64&gt;=Parameters!$E$20,Parameters!$C$20,Parameters!$B$20)</f>
        <v>675</v>
      </c>
      <c r="G64" s="5">
        <f>SUMIFS(Bonuses!$D$4:$D$27,Bonuses!$A$4:$A$27,"Marcus Dellinger",Bonuses!$B$4:$B$27,C64)</f>
        <v>30.38</v>
      </c>
      <c r="H64" s="5">
        <f>ROUND((F64+G64)/Parameters!$B$7,2)</f>
        <v>17.63</v>
      </c>
      <c r="I64" s="5">
        <f>ROUND(Parameters!$B$8*H64*E64,2)</f>
        <v>199.66</v>
      </c>
    </row>
    <row r="65" spans="1:9" x14ac:dyDescent="0.2">
      <c r="A65" s="2">
        <f>Hours!A65</f>
        <v>61</v>
      </c>
      <c r="B65" s="2" t="str">
        <f>Hours!B65</f>
        <v>11/30/2025</v>
      </c>
      <c r="C65" s="2" t="str">
        <f>Hours!C65</f>
        <v>Q4 2025</v>
      </c>
      <c r="D65" s="9">
        <f>Hours!E65</f>
        <v>46.83</v>
      </c>
      <c r="E65" s="9">
        <f>Hours!H65</f>
        <v>6.83</v>
      </c>
      <c r="F65" s="5">
        <f>IF(A65&gt;=Parameters!$E$20,Parameters!$C$20,Parameters!$B$20)</f>
        <v>675</v>
      </c>
      <c r="G65" s="5">
        <f>SUMIFS(Bonuses!$D$4:$D$27,Bonuses!$A$4:$A$27,"Marcus Dellinger",Bonuses!$B$4:$B$27,C65)</f>
        <v>30.38</v>
      </c>
      <c r="H65" s="5">
        <f>ROUND((F65+G65)/Parameters!$B$7,2)</f>
        <v>17.63</v>
      </c>
      <c r="I65" s="5">
        <f>ROUND(Parameters!$B$8*H65*E65,2)</f>
        <v>180.62</v>
      </c>
    </row>
    <row r="66" spans="1:9" x14ac:dyDescent="0.2">
      <c r="A66" s="2">
        <f>Hours!A66</f>
        <v>62</v>
      </c>
      <c r="B66" s="2" t="str">
        <f>Hours!B66</f>
        <v>12/07/2025</v>
      </c>
      <c r="C66" s="2" t="str">
        <f>Hours!C66</f>
        <v>Q4 2025</v>
      </c>
      <c r="D66" s="9">
        <f>Hours!E66</f>
        <v>41.4</v>
      </c>
      <c r="E66" s="9">
        <f>Hours!H66</f>
        <v>1.4</v>
      </c>
      <c r="F66" s="5">
        <f>IF(A66&gt;=Parameters!$E$20,Parameters!$C$20,Parameters!$B$20)</f>
        <v>675</v>
      </c>
      <c r="G66" s="5">
        <f>SUMIFS(Bonuses!$D$4:$D$27,Bonuses!$A$4:$A$27,"Marcus Dellinger",Bonuses!$B$4:$B$27,C66)</f>
        <v>30.38</v>
      </c>
      <c r="H66" s="5">
        <f>ROUND((F66+G66)/Parameters!$B$7,2)</f>
        <v>17.63</v>
      </c>
      <c r="I66" s="5">
        <f>ROUND(Parameters!$B$8*H66*E66,2)</f>
        <v>37.02</v>
      </c>
    </row>
    <row r="67" spans="1:9" x14ac:dyDescent="0.2">
      <c r="A67" s="2">
        <f>Hours!A67</f>
        <v>63</v>
      </c>
      <c r="B67" s="2" t="str">
        <f>Hours!B67</f>
        <v>12/14/2025</v>
      </c>
      <c r="C67" s="2" t="str">
        <f>Hours!C67</f>
        <v>Q4 2025</v>
      </c>
      <c r="D67" s="9">
        <f>Hours!E67</f>
        <v>40.63</v>
      </c>
      <c r="E67" s="9">
        <f>Hours!H67</f>
        <v>0.63</v>
      </c>
      <c r="F67" s="5">
        <f>IF(A67&gt;=Parameters!$E$20,Parameters!$C$20,Parameters!$B$20)</f>
        <v>675</v>
      </c>
      <c r="G67" s="5">
        <f>SUMIFS(Bonuses!$D$4:$D$27,Bonuses!$A$4:$A$27,"Marcus Dellinger",Bonuses!$B$4:$B$27,C67)</f>
        <v>30.38</v>
      </c>
      <c r="H67" s="5">
        <f>ROUND((F67+G67)/Parameters!$B$7,2)</f>
        <v>17.63</v>
      </c>
      <c r="I67" s="5">
        <f>ROUND(Parameters!$B$8*H67*E67,2)</f>
        <v>16.66</v>
      </c>
    </row>
    <row r="68" spans="1:9" x14ac:dyDescent="0.2">
      <c r="A68" s="2">
        <f>Hours!A68</f>
        <v>64</v>
      </c>
      <c r="B68" s="2" t="str">
        <f>Hours!B68</f>
        <v>12/21/2025</v>
      </c>
      <c r="C68" s="2" t="str">
        <f>Hours!C68</f>
        <v>Q4 2025</v>
      </c>
      <c r="D68" s="9">
        <f>Hours!E68</f>
        <v>40.86</v>
      </c>
      <c r="E68" s="9">
        <f>Hours!H68</f>
        <v>0.86</v>
      </c>
      <c r="F68" s="5">
        <f>IF(A68&gt;=Parameters!$E$20,Parameters!$C$20,Parameters!$B$20)</f>
        <v>675</v>
      </c>
      <c r="G68" s="5">
        <f>SUMIFS(Bonuses!$D$4:$D$27,Bonuses!$A$4:$A$27,"Marcus Dellinger",Bonuses!$B$4:$B$27,C68)</f>
        <v>30.38</v>
      </c>
      <c r="H68" s="5">
        <f>ROUND((F68+G68)/Parameters!$B$7,2)</f>
        <v>17.63</v>
      </c>
      <c r="I68" s="5">
        <f>ROUND(Parameters!$B$8*H68*E68,2)</f>
        <v>22.74</v>
      </c>
    </row>
    <row r="69" spans="1:9" x14ac:dyDescent="0.2">
      <c r="A69" s="2">
        <f>Hours!A69</f>
        <v>65</v>
      </c>
      <c r="B69" s="2" t="str">
        <f>Hours!B69</f>
        <v>12/28/2025</v>
      </c>
      <c r="C69" s="2" t="str">
        <f>Hours!C69</f>
        <v>Q4 2025</v>
      </c>
      <c r="D69" s="9">
        <f>Hours!E69</f>
        <v>41.42</v>
      </c>
      <c r="E69" s="9">
        <f>Hours!H69</f>
        <v>1.42</v>
      </c>
      <c r="F69" s="5">
        <f>IF(A69&gt;=Parameters!$E$20,Parameters!$C$20,Parameters!$B$20)</f>
        <v>675</v>
      </c>
      <c r="G69" s="5">
        <f>SUMIFS(Bonuses!$D$4:$D$27,Bonuses!$A$4:$A$27,"Marcus Dellinger",Bonuses!$B$4:$B$27,C69)</f>
        <v>30.38</v>
      </c>
      <c r="H69" s="5">
        <f>ROUND((F69+G69)/Parameters!$B$7,2)</f>
        <v>17.63</v>
      </c>
      <c r="I69" s="5">
        <f>ROUND(Parameters!$B$8*H69*E69,2)</f>
        <v>37.55</v>
      </c>
    </row>
    <row r="70" spans="1:9" x14ac:dyDescent="0.2">
      <c r="A70" s="2">
        <f>Hours!A70</f>
        <v>66</v>
      </c>
      <c r="B70" s="2" t="str">
        <f>Hours!B70</f>
        <v>01/04/2026</v>
      </c>
      <c r="C70" s="2" t="str">
        <f>Hours!C70</f>
        <v>Q1 2026</v>
      </c>
      <c r="D70" s="9">
        <f>Hours!E70</f>
        <v>44.27</v>
      </c>
      <c r="E70" s="9">
        <f>Hours!H70</f>
        <v>4.27</v>
      </c>
      <c r="F70" s="5">
        <f>IF(A70&gt;=Parameters!$E$20,Parameters!$C$20,Parameters!$B$20)</f>
        <v>675</v>
      </c>
      <c r="G70" s="5">
        <f>SUMIFS(Bonuses!$D$4:$D$27,Bonuses!$A$4:$A$27,"Marcus Dellinger",Bonuses!$B$4:$B$27,C70)</f>
        <v>31.54</v>
      </c>
      <c r="H70" s="5">
        <f>ROUND((F70+G70)/Parameters!$B$7,2)</f>
        <v>17.66</v>
      </c>
      <c r="I70" s="5">
        <f>ROUND(Parameters!$B$8*H70*E70,2)</f>
        <v>113.11</v>
      </c>
    </row>
    <row r="71" spans="1:9" x14ac:dyDescent="0.2">
      <c r="A71" s="2">
        <f>Hours!A71</f>
        <v>67</v>
      </c>
      <c r="B71" s="2" t="str">
        <f>Hours!B71</f>
        <v>01/11/2026</v>
      </c>
      <c r="C71" s="2" t="str">
        <f>Hours!C71</f>
        <v>Q1 2026</v>
      </c>
      <c r="D71" s="9">
        <f>Hours!E71</f>
        <v>40.44</v>
      </c>
      <c r="E71" s="9">
        <f>Hours!H71</f>
        <v>0.44</v>
      </c>
      <c r="F71" s="5">
        <f>IF(A71&gt;=Parameters!$E$20,Parameters!$C$20,Parameters!$B$20)</f>
        <v>675</v>
      </c>
      <c r="G71" s="5">
        <f>SUMIFS(Bonuses!$D$4:$D$27,Bonuses!$A$4:$A$27,"Marcus Dellinger",Bonuses!$B$4:$B$27,C71)</f>
        <v>31.54</v>
      </c>
      <c r="H71" s="5">
        <f>ROUND((F71+G71)/Parameters!$B$7,2)</f>
        <v>17.66</v>
      </c>
      <c r="I71" s="5">
        <f>ROUND(Parameters!$B$8*H71*E71,2)</f>
        <v>11.66</v>
      </c>
    </row>
    <row r="72" spans="1:9" x14ac:dyDescent="0.2">
      <c r="A72" s="2">
        <f>Hours!A72</f>
        <v>68</v>
      </c>
      <c r="B72" s="2" t="str">
        <f>Hours!B72</f>
        <v>01/18/2026</v>
      </c>
      <c r="C72" s="2" t="str">
        <f>Hours!C72</f>
        <v>Q1 2026</v>
      </c>
      <c r="D72" s="9">
        <f>Hours!E72</f>
        <v>44.55</v>
      </c>
      <c r="E72" s="9">
        <f>Hours!H72</f>
        <v>4.55</v>
      </c>
      <c r="F72" s="5">
        <f>IF(A72&gt;=Parameters!$E$20,Parameters!$C$20,Parameters!$B$20)</f>
        <v>675</v>
      </c>
      <c r="G72" s="5">
        <f>SUMIFS(Bonuses!$D$4:$D$27,Bonuses!$A$4:$A$27,"Marcus Dellinger",Bonuses!$B$4:$B$27,C72)</f>
        <v>31.54</v>
      </c>
      <c r="H72" s="5">
        <f>ROUND((F72+G72)/Parameters!$B$7,2)</f>
        <v>17.66</v>
      </c>
      <c r="I72" s="5">
        <f>ROUND(Parameters!$B$8*H72*E72,2)</f>
        <v>120.53</v>
      </c>
    </row>
    <row r="73" spans="1:9" x14ac:dyDescent="0.2">
      <c r="A73" s="2">
        <f>Hours!A73</f>
        <v>69</v>
      </c>
      <c r="B73" s="2" t="str">
        <f>Hours!B73</f>
        <v>01/25/2026</v>
      </c>
      <c r="C73" s="2" t="str">
        <f>Hours!C73</f>
        <v>Q1 2026</v>
      </c>
      <c r="D73" s="9">
        <f>Hours!E73</f>
        <v>38.28</v>
      </c>
      <c r="E73" s="9">
        <f>Hours!H73</f>
        <v>0</v>
      </c>
      <c r="F73" s="5">
        <f>IF(A73&gt;=Parameters!$E$20,Parameters!$C$20,Parameters!$B$20)</f>
        <v>675</v>
      </c>
      <c r="G73" s="5">
        <f>SUMIFS(Bonuses!$D$4:$D$27,Bonuses!$A$4:$A$27,"Marcus Dellinger",Bonuses!$B$4:$B$27,C73)</f>
        <v>31.54</v>
      </c>
      <c r="H73" s="5">
        <f>ROUND((F73+G73)/Parameters!$B$7,2)</f>
        <v>17.66</v>
      </c>
      <c r="I73" s="5">
        <f>ROUND(Parameters!$B$8*H73*E73,2)</f>
        <v>0</v>
      </c>
    </row>
    <row r="74" spans="1:9" x14ac:dyDescent="0.2">
      <c r="A74" s="2">
        <f>Hours!A74</f>
        <v>70</v>
      </c>
      <c r="B74" s="2" t="str">
        <f>Hours!B74</f>
        <v>02/01/2026</v>
      </c>
      <c r="C74" s="2" t="str">
        <f>Hours!C74</f>
        <v>Q1 2026</v>
      </c>
      <c r="D74" s="9">
        <f>Hours!E74</f>
        <v>42.34</v>
      </c>
      <c r="E74" s="9">
        <f>Hours!H74</f>
        <v>2.34</v>
      </c>
      <c r="F74" s="5">
        <f>IF(A74&gt;=Parameters!$E$20,Parameters!$C$20,Parameters!$B$20)</f>
        <v>675</v>
      </c>
      <c r="G74" s="5">
        <f>SUMIFS(Bonuses!$D$4:$D$27,Bonuses!$A$4:$A$27,"Marcus Dellinger",Bonuses!$B$4:$B$27,C74)</f>
        <v>31.54</v>
      </c>
      <c r="H74" s="5">
        <f>ROUND((F74+G74)/Parameters!$B$7,2)</f>
        <v>17.66</v>
      </c>
      <c r="I74" s="5">
        <f>ROUND(Parameters!$B$8*H74*E74,2)</f>
        <v>61.99</v>
      </c>
    </row>
    <row r="75" spans="1:9" x14ac:dyDescent="0.2">
      <c r="A75" s="2">
        <f>Hours!A75</f>
        <v>71</v>
      </c>
      <c r="B75" s="2" t="str">
        <f>Hours!B75</f>
        <v>02/08/2026</v>
      </c>
      <c r="C75" s="2" t="str">
        <f>Hours!C75</f>
        <v>Q1 2026</v>
      </c>
      <c r="D75" s="9">
        <f>Hours!E75</f>
        <v>41.12</v>
      </c>
      <c r="E75" s="9">
        <f>Hours!H75</f>
        <v>1.12</v>
      </c>
      <c r="F75" s="5">
        <f>IF(A75&gt;=Parameters!$E$20,Parameters!$C$20,Parameters!$B$20)</f>
        <v>675</v>
      </c>
      <c r="G75" s="5">
        <f>SUMIFS(Bonuses!$D$4:$D$27,Bonuses!$A$4:$A$27,"Marcus Dellinger",Bonuses!$B$4:$B$27,C75)</f>
        <v>31.54</v>
      </c>
      <c r="H75" s="5">
        <f>ROUND((F75+G75)/Parameters!$B$7,2)</f>
        <v>17.66</v>
      </c>
      <c r="I75" s="5">
        <f>ROUND(Parameters!$B$8*H75*E75,2)</f>
        <v>29.67</v>
      </c>
    </row>
    <row r="76" spans="1:9" x14ac:dyDescent="0.2">
      <c r="A76" s="2">
        <f>Hours!A76</f>
        <v>72</v>
      </c>
      <c r="B76" s="2" t="str">
        <f>Hours!B76</f>
        <v>02/15/2026</v>
      </c>
      <c r="C76" s="2" t="str">
        <f>Hours!C76</f>
        <v>Q1 2026</v>
      </c>
      <c r="D76" s="9">
        <f>Hours!E76</f>
        <v>44.36</v>
      </c>
      <c r="E76" s="9">
        <f>Hours!H76</f>
        <v>4.36</v>
      </c>
      <c r="F76" s="5">
        <f>IF(A76&gt;=Parameters!$E$20,Parameters!$C$20,Parameters!$B$20)</f>
        <v>675</v>
      </c>
      <c r="G76" s="5">
        <f>SUMIFS(Bonuses!$D$4:$D$27,Bonuses!$A$4:$A$27,"Marcus Dellinger",Bonuses!$B$4:$B$27,C76)</f>
        <v>31.54</v>
      </c>
      <c r="H76" s="5">
        <f>ROUND((F76+G76)/Parameters!$B$7,2)</f>
        <v>17.66</v>
      </c>
      <c r="I76" s="5">
        <f>ROUND(Parameters!$B$8*H76*E76,2)</f>
        <v>115.5</v>
      </c>
    </row>
    <row r="77" spans="1:9" x14ac:dyDescent="0.2">
      <c r="A77" s="2">
        <f>Hours!A77</f>
        <v>73</v>
      </c>
      <c r="B77" s="2" t="str">
        <f>Hours!B77</f>
        <v>02/22/2026</v>
      </c>
      <c r="C77" s="2" t="str">
        <f>Hours!C77</f>
        <v>Q1 2026</v>
      </c>
      <c r="D77" s="9">
        <f>Hours!E77</f>
        <v>46.47</v>
      </c>
      <c r="E77" s="9">
        <f>Hours!H77</f>
        <v>6.47</v>
      </c>
      <c r="F77" s="5">
        <f>IF(A77&gt;=Parameters!$E$20,Parameters!$C$20,Parameters!$B$20)</f>
        <v>675</v>
      </c>
      <c r="G77" s="5">
        <f>SUMIFS(Bonuses!$D$4:$D$27,Bonuses!$A$4:$A$27,"Marcus Dellinger",Bonuses!$B$4:$B$27,C77)</f>
        <v>31.54</v>
      </c>
      <c r="H77" s="5">
        <f>ROUND((F77+G77)/Parameters!$B$7,2)</f>
        <v>17.66</v>
      </c>
      <c r="I77" s="5">
        <f>ROUND(Parameters!$B$8*H77*E77,2)</f>
        <v>171.39</v>
      </c>
    </row>
    <row r="78" spans="1:9" x14ac:dyDescent="0.2">
      <c r="A78" s="2">
        <f>Hours!A78</f>
        <v>74</v>
      </c>
      <c r="B78" s="2" t="str">
        <f>Hours!B78</f>
        <v>03/01/2026</v>
      </c>
      <c r="C78" s="2" t="str">
        <f>Hours!C78</f>
        <v>Q1 2026</v>
      </c>
      <c r="D78" s="9">
        <f>Hours!E78</f>
        <v>44.07</v>
      </c>
      <c r="E78" s="9">
        <f>Hours!H78</f>
        <v>4.07</v>
      </c>
      <c r="F78" s="5">
        <f>IF(A78&gt;=Parameters!$E$20,Parameters!$C$20,Parameters!$B$20)</f>
        <v>675</v>
      </c>
      <c r="G78" s="5">
        <f>SUMIFS(Bonuses!$D$4:$D$27,Bonuses!$A$4:$A$27,"Marcus Dellinger",Bonuses!$B$4:$B$27,C78)</f>
        <v>31.54</v>
      </c>
      <c r="H78" s="5">
        <f>ROUND((F78+G78)/Parameters!$B$7,2)</f>
        <v>17.66</v>
      </c>
      <c r="I78" s="5">
        <f>ROUND(Parameters!$B$8*H78*E78,2)</f>
        <v>107.81</v>
      </c>
    </row>
    <row r="79" spans="1:9" x14ac:dyDescent="0.2">
      <c r="A79" s="2">
        <f>Hours!A79</f>
        <v>75</v>
      </c>
      <c r="B79" s="2" t="str">
        <f>Hours!B79</f>
        <v>03/08/2026</v>
      </c>
      <c r="C79" s="2" t="str">
        <f>Hours!C79</f>
        <v>Q1 2026</v>
      </c>
      <c r="D79" s="9">
        <f>Hours!E79</f>
        <v>39.18</v>
      </c>
      <c r="E79" s="9">
        <f>Hours!H79</f>
        <v>0</v>
      </c>
      <c r="F79" s="5">
        <f>IF(A79&gt;=Parameters!$E$20,Parameters!$C$20,Parameters!$B$20)</f>
        <v>675</v>
      </c>
      <c r="G79" s="5">
        <f>SUMIFS(Bonuses!$D$4:$D$27,Bonuses!$A$4:$A$27,"Marcus Dellinger",Bonuses!$B$4:$B$27,C79)</f>
        <v>31.54</v>
      </c>
      <c r="H79" s="5">
        <f>ROUND((F79+G79)/Parameters!$B$7,2)</f>
        <v>17.66</v>
      </c>
      <c r="I79" s="5">
        <f>ROUND(Parameters!$B$8*H79*E79,2)</f>
        <v>0</v>
      </c>
    </row>
    <row r="80" spans="1:9" x14ac:dyDescent="0.2">
      <c r="A80" s="2">
        <f>Hours!A80</f>
        <v>76</v>
      </c>
      <c r="B80" s="2" t="str">
        <f>Hours!B80</f>
        <v>03/15/2026</v>
      </c>
      <c r="C80" s="2" t="str">
        <f>Hours!C80</f>
        <v>Q1 2026</v>
      </c>
      <c r="D80" s="9">
        <f>Hours!E80</f>
        <v>38.65</v>
      </c>
      <c r="E80" s="9">
        <f>Hours!H80</f>
        <v>0</v>
      </c>
      <c r="F80" s="5">
        <f>IF(A80&gt;=Parameters!$E$20,Parameters!$C$20,Parameters!$B$20)</f>
        <v>675</v>
      </c>
      <c r="G80" s="5">
        <f>SUMIFS(Bonuses!$D$4:$D$27,Bonuses!$A$4:$A$27,"Marcus Dellinger",Bonuses!$B$4:$B$27,C80)</f>
        <v>31.54</v>
      </c>
      <c r="H80" s="5">
        <f>ROUND((F80+G80)/Parameters!$B$7,2)</f>
        <v>17.66</v>
      </c>
      <c r="I80" s="5">
        <f>ROUND(Parameters!$B$8*H80*E80,2)</f>
        <v>0</v>
      </c>
    </row>
    <row r="81" spans="1:9" x14ac:dyDescent="0.2">
      <c r="A81" s="2">
        <f>Hours!A81</f>
        <v>77</v>
      </c>
      <c r="B81" s="2" t="str">
        <f>Hours!B81</f>
        <v>03/22/2026</v>
      </c>
      <c r="C81" s="2" t="str">
        <f>Hours!C81</f>
        <v>Q1 2026</v>
      </c>
      <c r="D81" s="9">
        <f>Hours!E81</f>
        <v>42.3</v>
      </c>
      <c r="E81" s="9">
        <f>Hours!H81</f>
        <v>2.3</v>
      </c>
      <c r="F81" s="5">
        <f>IF(A81&gt;=Parameters!$E$20,Parameters!$C$20,Parameters!$B$20)</f>
        <v>675</v>
      </c>
      <c r="G81" s="5">
        <f>SUMIFS(Bonuses!$D$4:$D$27,Bonuses!$A$4:$A$27,"Marcus Dellinger",Bonuses!$B$4:$B$27,C81)</f>
        <v>31.54</v>
      </c>
      <c r="H81" s="5">
        <f>ROUND((F81+G81)/Parameters!$B$7,2)</f>
        <v>17.66</v>
      </c>
      <c r="I81" s="5">
        <f>ROUND(Parameters!$B$8*H81*E81,2)</f>
        <v>60.93</v>
      </c>
    </row>
    <row r="82" spans="1:9" x14ac:dyDescent="0.2">
      <c r="A82" s="2">
        <f>Hours!A82</f>
        <v>78</v>
      </c>
      <c r="B82" s="2" t="str">
        <f>Hours!B82</f>
        <v>03/29/2026</v>
      </c>
      <c r="C82" s="2" t="str">
        <f>Hours!C82</f>
        <v>Q1 2026</v>
      </c>
      <c r="D82" s="9">
        <f>Hours!E82</f>
        <v>43.09</v>
      </c>
      <c r="E82" s="9">
        <f>Hours!H82</f>
        <v>3.09</v>
      </c>
      <c r="F82" s="5">
        <f>IF(A82&gt;=Parameters!$E$20,Parameters!$C$20,Parameters!$B$20)</f>
        <v>675</v>
      </c>
      <c r="G82" s="5">
        <f>SUMIFS(Bonuses!$D$4:$D$27,Bonuses!$A$4:$A$27,"Marcus Dellinger",Bonuses!$B$4:$B$27,C82)</f>
        <v>31.54</v>
      </c>
      <c r="H82" s="5">
        <f>ROUND((F82+G82)/Parameters!$B$7,2)</f>
        <v>17.66</v>
      </c>
      <c r="I82" s="5">
        <f>ROUND(Parameters!$B$8*H82*E82,2)</f>
        <v>81.85</v>
      </c>
    </row>
    <row r="83" spans="1:9" x14ac:dyDescent="0.2">
      <c r="A83" s="2">
        <f>Hours!A83</f>
        <v>79</v>
      </c>
      <c r="B83" s="2" t="str">
        <f>Hours!B83</f>
        <v>04/05/2026</v>
      </c>
      <c r="C83" s="2" t="str">
        <f>Hours!C83</f>
        <v>Q2 2026</v>
      </c>
      <c r="D83" s="9">
        <f>Hours!E83</f>
        <v>0</v>
      </c>
      <c r="E83" s="9">
        <f>Hours!H83</f>
        <v>0</v>
      </c>
      <c r="F83" s="5">
        <f>IF(A83&gt;=Parameters!$E$20,Parameters!$C$20,Parameters!$B$20)</f>
        <v>675</v>
      </c>
      <c r="G83" s="5">
        <f>SUMIFS(Bonuses!$D$4:$D$27,Bonuses!$A$4:$A$27,"Marcus Dellinger",Bonuses!$B$4:$B$27,C83)</f>
        <v>0</v>
      </c>
      <c r="H83" s="5">
        <f>ROUND((F83+G83)/Parameters!$B$7,2)</f>
        <v>16.88</v>
      </c>
      <c r="I83" s="5">
        <f>ROUND(Parameters!$B$8*H83*E83,2)</f>
        <v>0</v>
      </c>
    </row>
    <row r="84" spans="1:9" x14ac:dyDescent="0.2">
      <c r="A84" s="2">
        <f>Hours!A84</f>
        <v>80</v>
      </c>
      <c r="B84" s="2" t="str">
        <f>Hours!B84</f>
        <v>04/12/2026</v>
      </c>
      <c r="C84" s="2" t="str">
        <f>Hours!C84</f>
        <v>Q2 2026</v>
      </c>
      <c r="D84" s="9">
        <f>Hours!E84</f>
        <v>40.39</v>
      </c>
      <c r="E84" s="9">
        <f>Hours!H84</f>
        <v>0.39</v>
      </c>
      <c r="F84" s="5">
        <f>IF(A84&gt;=Parameters!$E$20,Parameters!$C$20,Parameters!$B$20)</f>
        <v>675</v>
      </c>
      <c r="G84" s="5">
        <f>SUMIFS(Bonuses!$D$4:$D$27,Bonuses!$A$4:$A$27,"Marcus Dellinger",Bonuses!$B$4:$B$27,C84)</f>
        <v>0</v>
      </c>
      <c r="H84" s="5">
        <f>ROUND((F84+G84)/Parameters!$B$7,2)</f>
        <v>16.88</v>
      </c>
      <c r="I84" s="5">
        <f>ROUND(Parameters!$B$8*H84*E84,2)</f>
        <v>9.87</v>
      </c>
    </row>
    <row r="85" spans="1:9" x14ac:dyDescent="0.2">
      <c r="A85" s="2">
        <f>Hours!A85</f>
        <v>81</v>
      </c>
      <c r="B85" s="2" t="str">
        <f>Hours!B85</f>
        <v>04/19/2026</v>
      </c>
      <c r="C85" s="2" t="str">
        <f>Hours!C85</f>
        <v>Q2 2026</v>
      </c>
      <c r="D85" s="9">
        <f>Hours!E85</f>
        <v>42.18</v>
      </c>
      <c r="E85" s="9">
        <f>Hours!H85</f>
        <v>2.18</v>
      </c>
      <c r="F85" s="5">
        <f>IF(A85&gt;=Parameters!$E$20,Parameters!$C$20,Parameters!$B$20)</f>
        <v>675</v>
      </c>
      <c r="G85" s="5">
        <f>SUMIFS(Bonuses!$D$4:$D$27,Bonuses!$A$4:$A$27,"Marcus Dellinger",Bonuses!$B$4:$B$27,C85)</f>
        <v>0</v>
      </c>
      <c r="H85" s="5">
        <f>ROUND((F85+G85)/Parameters!$B$7,2)</f>
        <v>16.88</v>
      </c>
      <c r="I85" s="5">
        <f>ROUND(Parameters!$B$8*H85*E85,2)</f>
        <v>55.2</v>
      </c>
    </row>
    <row r="86" spans="1:9" x14ac:dyDescent="0.2">
      <c r="A86" s="2">
        <f>Hours!A86</f>
        <v>82</v>
      </c>
      <c r="B86" s="2" t="str">
        <f>Hours!B86</f>
        <v>04/26/2026</v>
      </c>
      <c r="C86" s="2" t="str">
        <f>Hours!C86</f>
        <v>Q2 2026</v>
      </c>
      <c r="D86" s="9">
        <f>Hours!E86</f>
        <v>45.39</v>
      </c>
      <c r="E86" s="9">
        <f>Hours!H86</f>
        <v>5.39</v>
      </c>
      <c r="F86" s="5">
        <f>IF(A86&gt;=Parameters!$E$20,Parameters!$C$20,Parameters!$B$20)</f>
        <v>675</v>
      </c>
      <c r="G86" s="5">
        <f>SUMIFS(Bonuses!$D$4:$D$27,Bonuses!$A$4:$A$27,"Marcus Dellinger",Bonuses!$B$4:$B$27,C86)</f>
        <v>0</v>
      </c>
      <c r="H86" s="5">
        <f>ROUND((F86+G86)/Parameters!$B$7,2)</f>
        <v>16.88</v>
      </c>
      <c r="I86" s="5">
        <f>ROUND(Parameters!$B$8*H86*E86,2)</f>
        <v>136.47</v>
      </c>
    </row>
    <row r="87" spans="1:9" x14ac:dyDescent="0.2">
      <c r="A87" s="2">
        <f>Hours!A87</f>
        <v>83</v>
      </c>
      <c r="B87" s="2" t="str">
        <f>Hours!B87</f>
        <v>05/03/2026</v>
      </c>
      <c r="C87" s="2" t="str">
        <f>Hours!C87</f>
        <v>Q2 2026</v>
      </c>
      <c r="D87" s="9">
        <f>Hours!E87</f>
        <v>42.1</v>
      </c>
      <c r="E87" s="9">
        <f>Hours!H87</f>
        <v>2.1</v>
      </c>
      <c r="F87" s="5">
        <f>IF(A87&gt;=Parameters!$E$20,Parameters!$C$20,Parameters!$B$20)</f>
        <v>675</v>
      </c>
      <c r="G87" s="5">
        <f>SUMIFS(Bonuses!$D$4:$D$27,Bonuses!$A$4:$A$27,"Marcus Dellinger",Bonuses!$B$4:$B$27,C87)</f>
        <v>0</v>
      </c>
      <c r="H87" s="5">
        <f>ROUND((F87+G87)/Parameters!$B$7,2)</f>
        <v>16.88</v>
      </c>
      <c r="I87" s="5">
        <f>ROUND(Parameters!$B$8*H87*E87,2)</f>
        <v>53.17</v>
      </c>
    </row>
    <row r="88" spans="1:9" x14ac:dyDescent="0.2">
      <c r="A88" s="2">
        <f>Hours!A88</f>
        <v>84</v>
      </c>
      <c r="B88" s="2" t="str">
        <f>Hours!B88</f>
        <v>05/10/2026</v>
      </c>
      <c r="C88" s="2" t="str">
        <f>Hours!C88</f>
        <v>Q2 2026</v>
      </c>
      <c r="D88" s="9">
        <f>Hours!E88</f>
        <v>45.76</v>
      </c>
      <c r="E88" s="9">
        <f>Hours!H88</f>
        <v>5.76</v>
      </c>
      <c r="F88" s="5">
        <f>IF(A88&gt;=Parameters!$E$20,Parameters!$C$20,Parameters!$B$20)</f>
        <v>675</v>
      </c>
      <c r="G88" s="5">
        <f>SUMIFS(Bonuses!$D$4:$D$27,Bonuses!$A$4:$A$27,"Marcus Dellinger",Bonuses!$B$4:$B$27,C88)</f>
        <v>0</v>
      </c>
      <c r="H88" s="5">
        <f>ROUND((F88+G88)/Parameters!$B$7,2)</f>
        <v>16.88</v>
      </c>
      <c r="I88" s="5">
        <f>ROUND(Parameters!$B$8*H88*E88,2)</f>
        <v>145.84</v>
      </c>
    </row>
    <row r="89" spans="1:9" x14ac:dyDescent="0.2">
      <c r="A89" s="2">
        <f>Hours!A89</f>
        <v>85</v>
      </c>
      <c r="B89" s="2" t="str">
        <f>Hours!B89</f>
        <v>05/17/2026</v>
      </c>
      <c r="C89" s="2" t="str">
        <f>Hours!C89</f>
        <v>Q2 2026</v>
      </c>
      <c r="D89" s="9">
        <f>Hours!E89</f>
        <v>41.09</v>
      </c>
      <c r="E89" s="9">
        <f>Hours!H89</f>
        <v>1.09</v>
      </c>
      <c r="F89" s="5">
        <f>IF(A89&gt;=Parameters!$E$20,Parameters!$C$20,Parameters!$B$20)</f>
        <v>675</v>
      </c>
      <c r="G89" s="5">
        <f>SUMIFS(Bonuses!$D$4:$D$27,Bonuses!$A$4:$A$27,"Marcus Dellinger",Bonuses!$B$4:$B$27,C89)</f>
        <v>0</v>
      </c>
      <c r="H89" s="5">
        <f>ROUND((F89+G89)/Parameters!$B$7,2)</f>
        <v>16.88</v>
      </c>
      <c r="I89" s="5">
        <f>ROUND(Parameters!$B$8*H89*E89,2)</f>
        <v>27.6</v>
      </c>
    </row>
    <row r="90" spans="1:9" x14ac:dyDescent="0.2">
      <c r="A90" s="2">
        <f>Hours!A90</f>
        <v>86</v>
      </c>
      <c r="B90" s="2" t="str">
        <f>Hours!B90</f>
        <v>05/24/2026</v>
      </c>
      <c r="C90" s="2" t="str">
        <f>Hours!C90</f>
        <v>Q2 2026</v>
      </c>
      <c r="D90" s="9">
        <f>Hours!E90</f>
        <v>44.65</v>
      </c>
      <c r="E90" s="9">
        <f>Hours!H90</f>
        <v>4.65</v>
      </c>
      <c r="F90" s="5">
        <f>IF(A90&gt;=Parameters!$E$20,Parameters!$C$20,Parameters!$B$20)</f>
        <v>675</v>
      </c>
      <c r="G90" s="5">
        <f>SUMIFS(Bonuses!$D$4:$D$27,Bonuses!$A$4:$A$27,"Marcus Dellinger",Bonuses!$B$4:$B$27,C90)</f>
        <v>0</v>
      </c>
      <c r="H90" s="5">
        <f>ROUND((F90+G90)/Parameters!$B$7,2)</f>
        <v>16.88</v>
      </c>
      <c r="I90" s="5">
        <f>ROUND(Parameters!$B$8*H90*E90,2)</f>
        <v>117.74</v>
      </c>
    </row>
    <row r="91" spans="1:9" x14ac:dyDescent="0.2">
      <c r="A91" s="2">
        <f>Hours!A91</f>
        <v>87</v>
      </c>
      <c r="B91" s="2" t="str">
        <f>Hours!B91</f>
        <v>05/31/2026</v>
      </c>
      <c r="C91" s="2" t="str">
        <f>Hours!C91</f>
        <v>Q2 2026</v>
      </c>
      <c r="D91" s="9">
        <f>Hours!E91</f>
        <v>40.93</v>
      </c>
      <c r="E91" s="9">
        <f>Hours!H91</f>
        <v>0.93</v>
      </c>
      <c r="F91" s="5">
        <f>IF(A91&gt;=Parameters!$E$20,Parameters!$C$20,Parameters!$B$20)</f>
        <v>675</v>
      </c>
      <c r="G91" s="5">
        <f>SUMIFS(Bonuses!$D$4:$D$27,Bonuses!$A$4:$A$27,"Marcus Dellinger",Bonuses!$B$4:$B$27,C91)</f>
        <v>0</v>
      </c>
      <c r="H91" s="5">
        <f>ROUND((F91+G91)/Parameters!$B$7,2)</f>
        <v>16.88</v>
      </c>
      <c r="I91" s="5">
        <f>ROUND(Parameters!$B$8*H91*E91,2)</f>
        <v>23.55</v>
      </c>
    </row>
    <row r="92" spans="1:9" x14ac:dyDescent="0.2">
      <c r="A92" s="2">
        <f>Hours!A92</f>
        <v>88</v>
      </c>
      <c r="B92" s="2" t="str">
        <f>Hours!B92</f>
        <v>06/07/2026</v>
      </c>
      <c r="C92" s="2" t="str">
        <f>Hours!C92</f>
        <v>Q2 2026</v>
      </c>
      <c r="D92" s="9">
        <f>Hours!E92</f>
        <v>39.51</v>
      </c>
      <c r="E92" s="9">
        <f>Hours!H92</f>
        <v>0</v>
      </c>
      <c r="F92" s="5">
        <f>IF(A92&gt;=Parameters!$E$20,Parameters!$C$20,Parameters!$B$20)</f>
        <v>675</v>
      </c>
      <c r="G92" s="5">
        <f>SUMIFS(Bonuses!$D$4:$D$27,Bonuses!$A$4:$A$27,"Marcus Dellinger",Bonuses!$B$4:$B$27,C92)</f>
        <v>0</v>
      </c>
      <c r="H92" s="5">
        <f>ROUND((F92+G92)/Parameters!$B$7,2)</f>
        <v>16.88</v>
      </c>
      <c r="I92" s="5">
        <f>ROUND(Parameters!$B$8*H92*E92,2)</f>
        <v>0</v>
      </c>
    </row>
    <row r="93" spans="1:9" x14ac:dyDescent="0.2">
      <c r="A93" s="2">
        <f>Hours!A93</f>
        <v>89</v>
      </c>
      <c r="B93" s="2" t="str">
        <f>Hours!B93</f>
        <v>06/14/2026</v>
      </c>
      <c r="C93" s="2" t="str">
        <f>Hours!C93</f>
        <v>Q2 2026</v>
      </c>
      <c r="D93" s="9">
        <f>Hours!E93</f>
        <v>40.6</v>
      </c>
      <c r="E93" s="9">
        <f>Hours!H93</f>
        <v>0.6</v>
      </c>
      <c r="F93" s="5">
        <f>IF(A93&gt;=Parameters!$E$20,Parameters!$C$20,Parameters!$B$20)</f>
        <v>675</v>
      </c>
      <c r="G93" s="5">
        <f>SUMIFS(Bonuses!$D$4:$D$27,Bonuses!$A$4:$A$27,"Marcus Dellinger",Bonuses!$B$4:$B$27,C93)</f>
        <v>0</v>
      </c>
      <c r="H93" s="5">
        <f>ROUND((F93+G93)/Parameters!$B$7,2)</f>
        <v>16.88</v>
      </c>
      <c r="I93" s="5">
        <f>ROUND(Parameters!$B$8*H93*E93,2)</f>
        <v>15.19</v>
      </c>
    </row>
    <row r="94" spans="1:9" x14ac:dyDescent="0.2">
      <c r="A94" s="2">
        <f>Hours!A94</f>
        <v>90</v>
      </c>
      <c r="B94" s="2" t="str">
        <f>Hours!B94</f>
        <v>06/21/2026</v>
      </c>
      <c r="C94" s="2" t="str">
        <f>Hours!C94</f>
        <v>Q2 2026</v>
      </c>
      <c r="D94" s="9">
        <f>Hours!E94</f>
        <v>44.03</v>
      </c>
      <c r="E94" s="9">
        <f>Hours!H94</f>
        <v>4.03</v>
      </c>
      <c r="F94" s="5">
        <f>IF(A94&gt;=Parameters!$E$20,Parameters!$C$20,Parameters!$B$20)</f>
        <v>675</v>
      </c>
      <c r="G94" s="5">
        <f>SUMIFS(Bonuses!$D$4:$D$27,Bonuses!$A$4:$A$27,"Marcus Dellinger",Bonuses!$B$4:$B$27,C94)</f>
        <v>0</v>
      </c>
      <c r="H94" s="5">
        <f>ROUND((F94+G94)/Parameters!$B$7,2)</f>
        <v>16.88</v>
      </c>
      <c r="I94" s="5">
        <f>ROUND(Parameters!$B$8*H94*E94,2)</f>
        <v>102.04</v>
      </c>
    </row>
    <row r="95" spans="1:9" x14ac:dyDescent="0.2">
      <c r="A95" s="2">
        <f>Hours!A95</f>
        <v>91</v>
      </c>
      <c r="B95" s="2" t="str">
        <f>Hours!B95</f>
        <v>06/28/2026</v>
      </c>
      <c r="C95" s="2" t="str">
        <f>Hours!C95</f>
        <v>Q2 2026</v>
      </c>
      <c r="D95" s="9">
        <f>Hours!E95</f>
        <v>45.41</v>
      </c>
      <c r="E95" s="9">
        <f>Hours!H95</f>
        <v>5.41</v>
      </c>
      <c r="F95" s="5">
        <f>IF(A95&gt;=Parameters!$E$20,Parameters!$C$20,Parameters!$B$20)</f>
        <v>675</v>
      </c>
      <c r="G95" s="5">
        <f>SUMIFS(Bonuses!$D$4:$D$27,Bonuses!$A$4:$A$27,"Marcus Dellinger",Bonuses!$B$4:$B$27,C95)</f>
        <v>0</v>
      </c>
      <c r="H95" s="5">
        <f>ROUND((F95+G95)/Parameters!$B$7,2)</f>
        <v>16.88</v>
      </c>
      <c r="I95" s="5">
        <f>ROUND(Parameters!$B$8*H95*E95,2)</f>
        <v>136.98</v>
      </c>
    </row>
    <row r="96" spans="1:9" x14ac:dyDescent="0.2">
      <c r="A96" s="2">
        <f>Hours!A96</f>
        <v>92</v>
      </c>
      <c r="B96" s="2" t="str">
        <f>Hours!B96</f>
        <v>07/05/2026</v>
      </c>
      <c r="C96" s="2" t="str">
        <f>Hours!C96</f>
        <v>Q3 2026</v>
      </c>
      <c r="D96" s="9">
        <f>Hours!E96</f>
        <v>40</v>
      </c>
      <c r="E96" s="9">
        <f>Hours!H96</f>
        <v>0</v>
      </c>
      <c r="F96" s="5">
        <f>IF(A96&gt;=Parameters!$E$20,Parameters!$C$20,Parameters!$B$20)</f>
        <v>675</v>
      </c>
      <c r="G96" s="5">
        <f>SUMIFS(Bonuses!$D$4:$D$27,Bonuses!$A$4:$A$27,"Marcus Dellinger",Bonuses!$B$4:$B$27,C96)</f>
        <v>34.81</v>
      </c>
      <c r="H96" s="5">
        <f>ROUND((F96+G96)/Parameters!$B$7,2)</f>
        <v>17.75</v>
      </c>
      <c r="I96" s="5">
        <f>ROUND(Parameters!$B$8*H96*E96,2)</f>
        <v>0</v>
      </c>
    </row>
    <row r="97" spans="1:9" x14ac:dyDescent="0.2">
      <c r="A97" s="2">
        <f>Hours!A97</f>
        <v>93</v>
      </c>
      <c r="B97" s="2" t="str">
        <f>Hours!B97</f>
        <v>07/12/2026</v>
      </c>
      <c r="C97" s="2" t="str">
        <f>Hours!C97</f>
        <v>Q3 2026</v>
      </c>
      <c r="D97" s="9">
        <f>Hours!E97</f>
        <v>43.03</v>
      </c>
      <c r="E97" s="9">
        <f>Hours!H97</f>
        <v>3.03</v>
      </c>
      <c r="F97" s="5">
        <f>IF(A97&gt;=Parameters!$E$20,Parameters!$C$20,Parameters!$B$20)</f>
        <v>675</v>
      </c>
      <c r="G97" s="5">
        <f>SUMIFS(Bonuses!$D$4:$D$27,Bonuses!$A$4:$A$27,"Marcus Dellinger",Bonuses!$B$4:$B$27,C97)</f>
        <v>34.81</v>
      </c>
      <c r="H97" s="5">
        <f>ROUND((F97+G97)/Parameters!$B$7,2)</f>
        <v>17.75</v>
      </c>
      <c r="I97" s="5">
        <f>ROUND(Parameters!$B$8*H97*E97,2)</f>
        <v>80.67</v>
      </c>
    </row>
    <row r="98" spans="1:9" x14ac:dyDescent="0.2">
      <c r="A98" s="2">
        <f>Hours!A98</f>
        <v>94</v>
      </c>
      <c r="B98" s="2" t="str">
        <f>Hours!B98</f>
        <v>07/19/2026</v>
      </c>
      <c r="C98" s="2" t="str">
        <f>Hours!C98</f>
        <v>Q3 2026</v>
      </c>
      <c r="D98" s="9">
        <f>Hours!E98</f>
        <v>46.09</v>
      </c>
      <c r="E98" s="9">
        <f>Hours!H98</f>
        <v>6.09</v>
      </c>
      <c r="F98" s="5">
        <f>IF(A98&gt;=Parameters!$E$20,Parameters!$C$20,Parameters!$B$20)</f>
        <v>675</v>
      </c>
      <c r="G98" s="5">
        <f>SUMIFS(Bonuses!$D$4:$D$27,Bonuses!$A$4:$A$27,"Marcus Dellinger",Bonuses!$B$4:$B$27,C98)</f>
        <v>34.81</v>
      </c>
      <c r="H98" s="5">
        <f>ROUND((F98+G98)/Parameters!$B$7,2)</f>
        <v>17.75</v>
      </c>
      <c r="I98" s="5">
        <f>ROUND(Parameters!$B$8*H98*E98,2)</f>
        <v>162.15</v>
      </c>
    </row>
    <row r="99" spans="1:9" x14ac:dyDescent="0.2">
      <c r="A99" s="2">
        <f>Hours!A99</f>
        <v>95</v>
      </c>
      <c r="B99" s="2" t="str">
        <f>Hours!B99</f>
        <v>07/26/2026</v>
      </c>
      <c r="C99" s="2" t="str">
        <f>Hours!C99</f>
        <v>Q3 2026</v>
      </c>
      <c r="D99" s="9">
        <f>Hours!E99</f>
        <v>39.18</v>
      </c>
      <c r="E99" s="9">
        <f>Hours!H99</f>
        <v>0</v>
      </c>
      <c r="F99" s="5">
        <f>IF(A99&gt;=Parameters!$E$20,Parameters!$C$20,Parameters!$B$20)</f>
        <v>675</v>
      </c>
      <c r="G99" s="5">
        <f>SUMIFS(Bonuses!$D$4:$D$27,Bonuses!$A$4:$A$27,"Marcus Dellinger",Bonuses!$B$4:$B$27,C99)</f>
        <v>34.81</v>
      </c>
      <c r="H99" s="5">
        <f>ROUND((F99+G99)/Parameters!$B$7,2)</f>
        <v>17.75</v>
      </c>
      <c r="I99" s="5">
        <f>ROUND(Parameters!$B$8*H99*E99,2)</f>
        <v>0</v>
      </c>
    </row>
    <row r="100" spans="1:9" x14ac:dyDescent="0.2">
      <c r="A100" s="2">
        <f>Hours!A100</f>
        <v>96</v>
      </c>
      <c r="B100" s="2" t="str">
        <f>Hours!B100</f>
        <v>08/02/2026</v>
      </c>
      <c r="C100" s="2" t="str">
        <f>Hours!C100</f>
        <v>Q3 2026</v>
      </c>
      <c r="D100" s="9">
        <f>Hours!E100</f>
        <v>43.49</v>
      </c>
      <c r="E100" s="9">
        <f>Hours!H100</f>
        <v>3.49</v>
      </c>
      <c r="F100" s="5">
        <f>IF(A100&gt;=Parameters!$E$20,Parameters!$C$20,Parameters!$B$20)</f>
        <v>675</v>
      </c>
      <c r="G100" s="5">
        <f>SUMIFS(Bonuses!$D$4:$D$27,Bonuses!$A$4:$A$27,"Marcus Dellinger",Bonuses!$B$4:$B$27,C100)</f>
        <v>34.81</v>
      </c>
      <c r="H100" s="5">
        <f>ROUND((F100+G100)/Parameters!$B$7,2)</f>
        <v>17.75</v>
      </c>
      <c r="I100" s="5">
        <f>ROUND(Parameters!$B$8*H100*E100,2)</f>
        <v>92.92</v>
      </c>
    </row>
    <row r="101" spans="1:9" x14ac:dyDescent="0.2">
      <c r="A101" s="2">
        <f>Hours!A101</f>
        <v>97</v>
      </c>
      <c r="B101" s="2" t="str">
        <f>Hours!B101</f>
        <v>08/09/2026</v>
      </c>
      <c r="C101" s="2" t="str">
        <f>Hours!C101</f>
        <v>Q3 2026</v>
      </c>
      <c r="D101" s="9">
        <f>Hours!E101</f>
        <v>42.67</v>
      </c>
      <c r="E101" s="9">
        <f>Hours!H101</f>
        <v>2.67</v>
      </c>
      <c r="F101" s="5">
        <f>IF(A101&gt;=Parameters!$E$20,Parameters!$C$20,Parameters!$B$20)</f>
        <v>675</v>
      </c>
      <c r="G101" s="5">
        <f>SUMIFS(Bonuses!$D$4:$D$27,Bonuses!$A$4:$A$27,"Marcus Dellinger",Bonuses!$B$4:$B$27,C101)</f>
        <v>34.81</v>
      </c>
      <c r="H101" s="5">
        <f>ROUND((F101+G101)/Parameters!$B$7,2)</f>
        <v>17.75</v>
      </c>
      <c r="I101" s="5">
        <f>ROUND(Parameters!$B$8*H101*E101,2)</f>
        <v>71.09</v>
      </c>
    </row>
    <row r="102" spans="1:9" x14ac:dyDescent="0.2">
      <c r="A102" s="2">
        <f>Hours!A102</f>
        <v>98</v>
      </c>
      <c r="B102" s="2" t="str">
        <f>Hours!B102</f>
        <v>08/16/2026</v>
      </c>
      <c r="C102" s="2" t="str">
        <f>Hours!C102</f>
        <v>Q3 2026</v>
      </c>
      <c r="D102" s="9">
        <f>Hours!E102</f>
        <v>41.62</v>
      </c>
      <c r="E102" s="9">
        <f>Hours!H102</f>
        <v>1.62</v>
      </c>
      <c r="F102" s="5">
        <f>IF(A102&gt;=Parameters!$E$20,Parameters!$C$20,Parameters!$B$20)</f>
        <v>675</v>
      </c>
      <c r="G102" s="5">
        <f>SUMIFS(Bonuses!$D$4:$D$27,Bonuses!$A$4:$A$27,"Marcus Dellinger",Bonuses!$B$4:$B$27,C102)</f>
        <v>34.81</v>
      </c>
      <c r="H102" s="5">
        <f>ROUND((F102+G102)/Parameters!$B$7,2)</f>
        <v>17.75</v>
      </c>
      <c r="I102" s="5">
        <f>ROUND(Parameters!$B$8*H102*E102,2)</f>
        <v>43.13</v>
      </c>
    </row>
    <row r="103" spans="1:9" x14ac:dyDescent="0.2">
      <c r="A103" s="2">
        <f>Hours!A103</f>
        <v>99</v>
      </c>
      <c r="B103" s="2" t="str">
        <f>Hours!B103</f>
        <v>08/23/2026</v>
      </c>
      <c r="C103" s="2" t="str">
        <f>Hours!C103</f>
        <v>Q3 2026</v>
      </c>
      <c r="D103" s="9">
        <f>Hours!E103</f>
        <v>45.33</v>
      </c>
      <c r="E103" s="9">
        <f>Hours!H103</f>
        <v>5.33</v>
      </c>
      <c r="F103" s="5">
        <f>IF(A103&gt;=Parameters!$E$20,Parameters!$C$20,Parameters!$B$20)</f>
        <v>675</v>
      </c>
      <c r="G103" s="5">
        <f>SUMIFS(Bonuses!$D$4:$D$27,Bonuses!$A$4:$A$27,"Marcus Dellinger",Bonuses!$B$4:$B$27,C103)</f>
        <v>34.81</v>
      </c>
      <c r="H103" s="5">
        <f>ROUND((F103+G103)/Parameters!$B$7,2)</f>
        <v>17.75</v>
      </c>
      <c r="I103" s="5">
        <f>ROUND(Parameters!$B$8*H103*E103,2)</f>
        <v>141.91</v>
      </c>
    </row>
    <row r="104" spans="1:9" x14ac:dyDescent="0.2">
      <c r="A104" s="2">
        <f>Hours!A104</f>
        <v>100</v>
      </c>
      <c r="B104" s="2" t="str">
        <f>Hours!B104</f>
        <v>08/30/2026</v>
      </c>
      <c r="C104" s="2" t="str">
        <f>Hours!C104</f>
        <v>Q3 2026</v>
      </c>
      <c r="D104" s="9">
        <f>Hours!E104</f>
        <v>39.34</v>
      </c>
      <c r="E104" s="9">
        <f>Hours!H104</f>
        <v>0</v>
      </c>
      <c r="F104" s="5">
        <f>IF(A104&gt;=Parameters!$E$20,Parameters!$C$20,Parameters!$B$20)</f>
        <v>675</v>
      </c>
      <c r="G104" s="5">
        <f>SUMIFS(Bonuses!$D$4:$D$27,Bonuses!$A$4:$A$27,"Marcus Dellinger",Bonuses!$B$4:$B$27,C104)</f>
        <v>34.81</v>
      </c>
      <c r="H104" s="5">
        <f>ROUND((F104+G104)/Parameters!$B$7,2)</f>
        <v>17.75</v>
      </c>
      <c r="I104" s="5">
        <f>ROUND(Parameters!$B$8*H104*E104,2)</f>
        <v>0</v>
      </c>
    </row>
    <row r="105" spans="1:9" x14ac:dyDescent="0.2">
      <c r="A105" s="2">
        <f>Hours!A105</f>
        <v>101</v>
      </c>
      <c r="B105" s="2" t="str">
        <f>Hours!B105</f>
        <v>09/06/2026</v>
      </c>
      <c r="C105" s="2" t="str">
        <f>Hours!C105</f>
        <v>Q3 2026</v>
      </c>
      <c r="D105" s="9">
        <f>Hours!E105</f>
        <v>43.06</v>
      </c>
      <c r="E105" s="9">
        <f>Hours!H105</f>
        <v>3.06</v>
      </c>
      <c r="F105" s="5">
        <f>IF(A105&gt;=Parameters!$E$20,Parameters!$C$20,Parameters!$B$20)</f>
        <v>675</v>
      </c>
      <c r="G105" s="5">
        <f>SUMIFS(Bonuses!$D$4:$D$27,Bonuses!$A$4:$A$27,"Marcus Dellinger",Bonuses!$B$4:$B$27,C105)</f>
        <v>34.81</v>
      </c>
      <c r="H105" s="5">
        <f>ROUND((F105+G105)/Parameters!$B$7,2)</f>
        <v>17.75</v>
      </c>
      <c r="I105" s="5">
        <f>ROUND(Parameters!$B$8*H105*E105,2)</f>
        <v>81.47</v>
      </c>
    </row>
    <row r="106" spans="1:9" x14ac:dyDescent="0.2">
      <c r="A106" s="2">
        <f>Hours!A106</f>
        <v>102</v>
      </c>
      <c r="B106" s="2" t="str">
        <f>Hours!B106</f>
        <v>09/13/2026</v>
      </c>
      <c r="C106" s="2" t="str">
        <f>Hours!C106</f>
        <v>Q3 2026</v>
      </c>
      <c r="D106" s="9">
        <f>Hours!E106</f>
        <v>42.32</v>
      </c>
      <c r="E106" s="9">
        <f>Hours!H106</f>
        <v>2.32</v>
      </c>
      <c r="F106" s="5">
        <f>IF(A106&gt;=Parameters!$E$20,Parameters!$C$20,Parameters!$B$20)</f>
        <v>675</v>
      </c>
      <c r="G106" s="5">
        <f>SUMIFS(Bonuses!$D$4:$D$27,Bonuses!$A$4:$A$27,"Marcus Dellinger",Bonuses!$B$4:$B$27,C106)</f>
        <v>34.81</v>
      </c>
      <c r="H106" s="5">
        <f>ROUND((F106+G106)/Parameters!$B$7,2)</f>
        <v>17.75</v>
      </c>
      <c r="I106" s="5">
        <f>ROUND(Parameters!$B$8*H106*E106,2)</f>
        <v>61.77</v>
      </c>
    </row>
    <row r="107" spans="1:9" x14ac:dyDescent="0.2">
      <c r="A107" s="2">
        <f>Hours!A107</f>
        <v>103</v>
      </c>
      <c r="B107" s="2" t="str">
        <f>Hours!B107</f>
        <v>09/20/2026</v>
      </c>
      <c r="C107" s="2" t="str">
        <f>Hours!C107</f>
        <v>Q3 2026</v>
      </c>
      <c r="D107" s="9">
        <f>Hours!E107</f>
        <v>39.62</v>
      </c>
      <c r="E107" s="9">
        <f>Hours!H107</f>
        <v>0</v>
      </c>
      <c r="F107" s="5">
        <f>IF(A107&gt;=Parameters!$E$20,Parameters!$C$20,Parameters!$B$20)</f>
        <v>675</v>
      </c>
      <c r="G107" s="5">
        <f>SUMIFS(Bonuses!$D$4:$D$27,Bonuses!$A$4:$A$27,"Marcus Dellinger",Bonuses!$B$4:$B$27,C107)</f>
        <v>34.81</v>
      </c>
      <c r="H107" s="5">
        <f>ROUND((F107+G107)/Parameters!$B$7,2)</f>
        <v>17.75</v>
      </c>
      <c r="I107" s="5">
        <f>ROUND(Parameters!$B$8*H107*E107,2)</f>
        <v>0</v>
      </c>
    </row>
    <row r="108" spans="1:9" x14ac:dyDescent="0.2">
      <c r="A108" s="2">
        <f>Hours!A108</f>
        <v>104</v>
      </c>
      <c r="B108" s="2" t="str">
        <f>Hours!B108</f>
        <v>09/27/2026</v>
      </c>
      <c r="C108" s="2" t="str">
        <f>Hours!C108</f>
        <v>Q3 2026</v>
      </c>
      <c r="D108" s="9">
        <f>Hours!E108</f>
        <v>43.49</v>
      </c>
      <c r="E108" s="9">
        <f>Hours!H108</f>
        <v>3.49</v>
      </c>
      <c r="F108" s="5">
        <f>IF(A108&gt;=Parameters!$E$20,Parameters!$C$20,Parameters!$B$20)</f>
        <v>675</v>
      </c>
      <c r="G108" s="5">
        <f>SUMIFS(Bonuses!$D$4:$D$27,Bonuses!$A$4:$A$27,"Marcus Dellinger",Bonuses!$B$4:$B$27,C108)</f>
        <v>34.81</v>
      </c>
      <c r="H108" s="5">
        <f>ROUND((F108+G108)/Parameters!$B$7,2)</f>
        <v>17.75</v>
      </c>
      <c r="I108" s="5">
        <f>ROUND(Parameters!$B$8*H108*E108,2)</f>
        <v>92.92</v>
      </c>
    </row>
    <row r="109" spans="1:9" x14ac:dyDescent="0.2">
      <c r="A109" s="7" t="s">
        <v>190</v>
      </c>
      <c r="E109" s="13">
        <f>SUM(E5:E108)</f>
        <v>279.08</v>
      </c>
      <c r="I109" s="11">
        <f>SUM(I5:I108)</f>
        <v>7224.63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11"/>
  <sheetViews>
    <sheetView workbookViewId="0"/>
  </sheetViews>
  <sheetFormatPr baseColWidth="10" defaultColWidth="8.83203125" defaultRowHeight="15" x14ac:dyDescent="0.2"/>
  <cols>
    <col min="1" max="1" width="118" customWidth="1"/>
  </cols>
  <sheetData>
    <row r="1" spans="1:1" x14ac:dyDescent="0.2">
      <c r="A1" s="7" t="s">
        <v>201</v>
      </c>
    </row>
    <row r="2" spans="1:1" x14ac:dyDescent="0.2">
      <c r="A2" s="2" t="s">
        <v>202</v>
      </c>
    </row>
    <row r="3" spans="1:1" x14ac:dyDescent="0.2">
      <c r="A3" s="7" t="s">
        <v>203</v>
      </c>
    </row>
    <row r="5" spans="1:1" ht="75" customHeight="1" x14ac:dyDescent="0.2">
      <c r="A5" s="8" t="s">
        <v>204</v>
      </c>
    </row>
    <row r="6" spans="1:1" ht="75" customHeight="1" x14ac:dyDescent="0.2">
      <c r="A6" s="8" t="s">
        <v>205</v>
      </c>
    </row>
    <row r="7" spans="1:1" ht="75" customHeight="1" x14ac:dyDescent="0.2">
      <c r="A7" s="8" t="s">
        <v>206</v>
      </c>
    </row>
    <row r="8" spans="1:1" ht="90" customHeight="1" x14ac:dyDescent="0.2">
      <c r="A8" s="8" t="s">
        <v>207</v>
      </c>
    </row>
    <row r="9" spans="1:1" ht="60" customHeight="1" x14ac:dyDescent="0.2">
      <c r="A9" s="8" t="s">
        <v>208</v>
      </c>
    </row>
    <row r="10" spans="1:1" ht="75" customHeight="1" x14ac:dyDescent="0.2">
      <c r="A10" s="8" t="s">
        <v>209</v>
      </c>
    </row>
    <row r="11" spans="1:1" ht="75" customHeight="1" x14ac:dyDescent="0.2">
      <c r="A11" s="8" t="s">
        <v>210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Summary</vt:lpstr>
      <vt:lpstr>Parameters</vt:lpstr>
      <vt:lpstr>Bonuses</vt:lpstr>
      <vt:lpstr>Hours</vt:lpstr>
      <vt:lpstr>Weekly Voight</vt:lpstr>
      <vt:lpstr>Weekly Dellinger</vt:lpstr>
      <vt:lpstr>Note to Delia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dc:creator xmlns:dc="http://purl.org/dc/elements/1.1/">Voss-Kettering Supply Company Human Resources</dc:creator>
  <dc:title xmlns:dc="http://purl.org/dc/elements/1.1/">Assistant manager exemption review, October 2026</dc:title>
  <dcterms:created xmlns:dcterms="http://purl.org/dc/terms/" xmlns:xsi="http://www.w3.org/2001/XMLSchema-instance" xsi:type="dcterms:W3CDTF">2026-10-09T08:22:14Z</dcterms:created>
  <dcterms:modified xmlns:dcterms="http://purl.org/dc/terms/" xmlns:xsi="http://www.w3.org/2001/XMLSchema-instance" xsi:type="dcterms:W3CDTF">2026-10-14T10:31:46Z</dcterms:modified>
  <cp:lastModifiedBy>Voss-Kettering Supply Company Human Resources</cp:lastModifiedBy>
</cp:coreProperties>
</file>