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xr:revisionPtr revIDLastSave="0" documentId="13_ncr:1_{56DF6501-3D57-584F-B81D-F216FF788E20}" xr6:coauthVersionLast="47" xr6:coauthVersionMax="47" xr10:uidLastSave="{00000000-0000-0000-0000-000000000000}"/>
  <bookViews>
    <workbookView xWindow="0" yWindow="0" windowWidth="21600" windowHeight="38400" xr2:uid="{00000000-000D-0000-FFFF-FFFF00000000}"/>
  </bookViews>
  <sheets>
    <sheet name="Plan" sheetId="1" r:id="rId1"/>
    <sheet name="Parameters" sheetId="2" r:id="rId2"/>
    <sheet name="Inventory" sheetId="3" r:id="rId3"/>
    <sheet name="Workload" sheetId="4" r:id="rId4"/>
    <sheet name="Workload Dec Peak" sheetId="5" r:id="rId5"/>
    <sheet name="Positions" sheetId="6" r:id="rId6"/>
    <sheet name="Cost" sheetId="7" r:id="rId7"/>
    <sheet name="Note to Marisol"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7" l="1"/>
  <c r="I14" i="7"/>
  <c r="H14" i="7"/>
  <c r="G14" i="7"/>
  <c r="F14" i="7"/>
  <c r="E14" i="7"/>
  <c r="D14" i="7"/>
  <c r="C14" i="7"/>
  <c r="I13" i="7"/>
  <c r="H13" i="7"/>
  <c r="G13" i="7"/>
  <c r="F13" i="7"/>
  <c r="D13" i="7"/>
  <c r="C13" i="7"/>
  <c r="I11" i="7"/>
  <c r="I10" i="7"/>
  <c r="I8" i="7"/>
  <c r="H8" i="7"/>
  <c r="G8" i="7"/>
  <c r="F8" i="7"/>
  <c r="E8" i="7"/>
  <c r="D8" i="7"/>
  <c r="C8" i="7"/>
  <c r="B8" i="7"/>
  <c r="I7" i="7"/>
  <c r="H7" i="7"/>
  <c r="G7" i="7"/>
  <c r="F7" i="7"/>
  <c r="E7" i="7"/>
  <c r="D7" i="7"/>
  <c r="C7" i="7"/>
  <c r="B7" i="7"/>
  <c r="I6" i="7"/>
  <c r="H6" i="7"/>
  <c r="G6" i="7"/>
  <c r="F6" i="7"/>
  <c r="E6" i="7"/>
  <c r="D6" i="7"/>
  <c r="C6" i="7"/>
  <c r="B6" i="7"/>
  <c r="I5" i="7"/>
  <c r="H5" i="7"/>
  <c r="G5" i="7"/>
  <c r="F5" i="7"/>
  <c r="E5" i="7"/>
  <c r="D5" i="7"/>
  <c r="C5" i="7"/>
  <c r="B5" i="7"/>
  <c r="E15" i="6"/>
  <c r="E14" i="6"/>
  <c r="D14" i="6"/>
  <c r="C14" i="6"/>
  <c r="B14" i="6"/>
  <c r="E13" i="6"/>
  <c r="D13" i="6"/>
  <c r="C13" i="6"/>
  <c r="B13" i="6"/>
  <c r="E12" i="6"/>
  <c r="D12" i="6"/>
  <c r="C12" i="6"/>
  <c r="B12" i="6"/>
  <c r="H8" i="6"/>
  <c r="G8" i="6"/>
  <c r="F8" i="6"/>
  <c r="E8" i="6"/>
  <c r="D8" i="6"/>
  <c r="C8" i="6"/>
  <c r="B8" i="6"/>
  <c r="H7" i="6"/>
  <c r="F7" i="6"/>
  <c r="E7" i="6"/>
  <c r="D7" i="6"/>
  <c r="C7" i="6"/>
  <c r="B7" i="6"/>
  <c r="H6" i="6"/>
  <c r="F6" i="6"/>
  <c r="E6" i="6"/>
  <c r="D6" i="6"/>
  <c r="C6" i="6"/>
  <c r="B6" i="6"/>
  <c r="H5" i="6"/>
  <c r="G5" i="6"/>
  <c r="F5" i="6"/>
  <c r="E5" i="6"/>
  <c r="D5" i="6"/>
  <c r="C5" i="6"/>
  <c r="B5" i="6"/>
  <c r="D22" i="5"/>
  <c r="G21" i="5"/>
  <c r="F21" i="5"/>
  <c r="E21" i="5"/>
  <c r="D21" i="5"/>
  <c r="G20" i="5"/>
  <c r="F20" i="5"/>
  <c r="E20" i="5"/>
  <c r="D20" i="5"/>
  <c r="C20" i="5"/>
  <c r="B20" i="5"/>
  <c r="G19" i="5"/>
  <c r="F19" i="5"/>
  <c r="E19" i="5"/>
  <c r="D19" i="5"/>
  <c r="C19" i="5"/>
  <c r="B19" i="5"/>
  <c r="G18" i="5"/>
  <c r="F18" i="5"/>
  <c r="E18" i="5"/>
  <c r="D18" i="5"/>
  <c r="C18" i="5"/>
  <c r="G17" i="5"/>
  <c r="F17" i="5"/>
  <c r="E17" i="5"/>
  <c r="D17" i="5"/>
  <c r="C17" i="5"/>
  <c r="B17" i="5"/>
  <c r="G16" i="5"/>
  <c r="F16" i="5"/>
  <c r="E16" i="5"/>
  <c r="D16" i="5"/>
  <c r="C16" i="5"/>
  <c r="G15" i="5"/>
  <c r="F15" i="5"/>
  <c r="E15" i="5"/>
  <c r="D15" i="5"/>
  <c r="C15" i="5"/>
  <c r="G14" i="5"/>
  <c r="F14" i="5"/>
  <c r="E14" i="5"/>
  <c r="D14" i="5"/>
  <c r="C14" i="5"/>
  <c r="G13" i="5"/>
  <c r="F13" i="5"/>
  <c r="E13" i="5"/>
  <c r="D13" i="5"/>
  <c r="C13" i="5"/>
  <c r="B13" i="5"/>
  <c r="G12" i="5"/>
  <c r="F12" i="5"/>
  <c r="E12" i="5"/>
  <c r="D12" i="5"/>
  <c r="C12" i="5"/>
  <c r="B12" i="5"/>
  <c r="G11" i="5"/>
  <c r="F11" i="5"/>
  <c r="E11" i="5"/>
  <c r="D11" i="5"/>
  <c r="C11" i="5"/>
  <c r="G10" i="5"/>
  <c r="F10" i="5"/>
  <c r="E10" i="5"/>
  <c r="D10" i="5"/>
  <c r="C10" i="5"/>
  <c r="G9" i="5"/>
  <c r="F9" i="5"/>
  <c r="E9" i="5"/>
  <c r="D9" i="5"/>
  <c r="C9" i="5"/>
  <c r="G8" i="5"/>
  <c r="F8" i="5"/>
  <c r="E8" i="5"/>
  <c r="D8" i="5"/>
  <c r="C8" i="5"/>
  <c r="B8" i="5"/>
  <c r="G7" i="5"/>
  <c r="F7" i="5"/>
  <c r="E7" i="5"/>
  <c r="D7" i="5"/>
  <c r="C7" i="5"/>
  <c r="B7" i="5"/>
  <c r="G6" i="5"/>
  <c r="F6" i="5"/>
  <c r="E6" i="5"/>
  <c r="D6" i="5"/>
  <c r="C6" i="5"/>
  <c r="B6" i="5"/>
  <c r="G5" i="5"/>
  <c r="F5" i="5"/>
  <c r="E5" i="5"/>
  <c r="D5" i="5"/>
  <c r="C5" i="5"/>
  <c r="B5" i="5"/>
  <c r="D22" i="4"/>
  <c r="G21" i="4"/>
  <c r="F21" i="4"/>
  <c r="E21" i="4"/>
  <c r="D21" i="4"/>
  <c r="G20" i="4"/>
  <c r="F20" i="4"/>
  <c r="E20" i="4"/>
  <c r="D20" i="4"/>
  <c r="C20" i="4"/>
  <c r="B20" i="4"/>
  <c r="G19" i="4"/>
  <c r="F19" i="4"/>
  <c r="E19" i="4"/>
  <c r="D19" i="4"/>
  <c r="C19" i="4"/>
  <c r="B19" i="4"/>
  <c r="G18" i="4"/>
  <c r="F18" i="4"/>
  <c r="E18" i="4"/>
  <c r="D18" i="4"/>
  <c r="C18" i="4"/>
  <c r="G17" i="4"/>
  <c r="F17" i="4"/>
  <c r="E17" i="4"/>
  <c r="D17" i="4"/>
  <c r="C17" i="4"/>
  <c r="B17" i="4"/>
  <c r="G16" i="4"/>
  <c r="F16" i="4"/>
  <c r="E16" i="4"/>
  <c r="D16" i="4"/>
  <c r="C16" i="4"/>
  <c r="G15" i="4"/>
  <c r="F15" i="4"/>
  <c r="E15" i="4"/>
  <c r="D15" i="4"/>
  <c r="C15" i="4"/>
  <c r="G14" i="4"/>
  <c r="F14" i="4"/>
  <c r="E14" i="4"/>
  <c r="D14" i="4"/>
  <c r="C14" i="4"/>
  <c r="G13" i="4"/>
  <c r="F13" i="4"/>
  <c r="E13" i="4"/>
  <c r="D13" i="4"/>
  <c r="C13" i="4"/>
  <c r="B13" i="4"/>
  <c r="G12" i="4"/>
  <c r="F12" i="4"/>
  <c r="E12" i="4"/>
  <c r="D12" i="4"/>
  <c r="C12" i="4"/>
  <c r="B12" i="4"/>
  <c r="G11" i="4"/>
  <c r="F11" i="4"/>
  <c r="E11" i="4"/>
  <c r="D11" i="4"/>
  <c r="C11" i="4"/>
  <c r="G10" i="4"/>
  <c r="F10" i="4"/>
  <c r="E10" i="4"/>
  <c r="D10" i="4"/>
  <c r="C10" i="4"/>
  <c r="G9" i="4"/>
  <c r="F9" i="4"/>
  <c r="E9" i="4"/>
  <c r="D9" i="4"/>
  <c r="C9" i="4"/>
  <c r="G8" i="4"/>
  <c r="F8" i="4"/>
  <c r="E8" i="4"/>
  <c r="D8" i="4"/>
  <c r="C8" i="4"/>
  <c r="B8" i="4"/>
  <c r="G7" i="4"/>
  <c r="F7" i="4"/>
  <c r="E7" i="4"/>
  <c r="D7" i="4"/>
  <c r="C7" i="4"/>
  <c r="B7" i="4"/>
  <c r="G6" i="4"/>
  <c r="F6" i="4"/>
  <c r="E6" i="4"/>
  <c r="D6" i="4"/>
  <c r="C6" i="4"/>
  <c r="B6" i="4"/>
  <c r="G5" i="4"/>
  <c r="F5" i="4"/>
  <c r="E5" i="4"/>
  <c r="D5" i="4"/>
  <c r="C5" i="4"/>
  <c r="B5" i="4"/>
  <c r="C46" i="3"/>
  <c r="C45" i="3"/>
  <c r="C44" i="3"/>
  <c r="C43" i="3"/>
  <c r="C42" i="3"/>
  <c r="B19" i="1"/>
  <c r="B18" i="1"/>
  <c r="B15" i="1"/>
  <c r="B14" i="1"/>
  <c r="B13" i="1"/>
  <c r="B12" i="1"/>
  <c r="G9" i="1"/>
  <c r="F9" i="1"/>
  <c r="E9" i="1"/>
  <c r="D9" i="1"/>
  <c r="C9" i="1"/>
  <c r="B9" i="1"/>
  <c r="G8" i="1"/>
  <c r="F8" i="1"/>
  <c r="E8" i="1"/>
  <c r="D8" i="1"/>
  <c r="C8" i="1"/>
  <c r="B8" i="1"/>
  <c r="G7" i="1"/>
  <c r="F7" i="1"/>
  <c r="E7" i="1"/>
  <c r="D7" i="1"/>
  <c r="C7" i="1"/>
  <c r="B7" i="1"/>
  <c r="G6" i="1"/>
  <c r="F6" i="1"/>
  <c r="E6" i="1"/>
  <c r="D6" i="1"/>
  <c r="C6" i="1"/>
  <c r="B6" i="1"/>
</calcChain>
</file>

<file path=xl/sharedStrings.xml><?xml version="1.0" encoding="utf-8"?>
<sst xmlns="http://schemas.openxmlformats.org/spreadsheetml/2006/main" count="386" uniqueCount="198">
  <si>
    <t>4 WEST STAFFING PLAN, OPENING JANUARY 4, 2027</t>
  </si>
  <si>
    <t>Environmental Services, St. Anselm Regional Medical Center. Built on the March 2026 task standards and the calendar 2027 average of the census projection; December peak shown as a sensitivity.</t>
  </si>
  <si>
    <t>WORKLOAD AND POSITIONS BY SHIFT</t>
  </si>
  <si>
    <t>SHIFT</t>
  </si>
  <si>
    <t>MINUTES PER DAY</t>
  </si>
  <si>
    <t>DAILY POSTS</t>
  </si>
  <si>
    <t>FTE REQUIRED</t>
  </si>
  <si>
    <t>TRANSFERRED FTE</t>
  </si>
  <si>
    <t>APPROVED NEW FTE</t>
  </si>
  <si>
    <t>FTE STILL TO HIRE</t>
  </si>
  <si>
    <t>Day</t>
  </si>
  <si>
    <t>Evening</t>
  </si>
  <si>
    <t>Night</t>
  </si>
  <si>
    <t>Unit total</t>
  </si>
  <si>
    <t>ANNUAL COST AGAINST THE BUDGET</t>
  </si>
  <si>
    <t>Annual labor cost of the required staffing</t>
  </si>
  <si>
    <t>Annual labor budget approved for the unit</t>
  </si>
  <si>
    <t>Cost against the approved budget, negative when under</t>
  </si>
  <si>
    <t>Cost of the working plan of three FTE</t>
  </si>
  <si>
    <t>DECEMBER PEAK SENSITIVITY</t>
  </si>
  <si>
    <t>FTE the December 2027 volumes would take if sustained all year</t>
  </si>
  <si>
    <t>FTE required on the calendar 2027 average basis</t>
  </si>
  <si>
    <t>The unit's requirement on the standards is above the two transfers and the one approved position, and its cost is above the approved budget; the note to the director sets out what closes the gap.</t>
  </si>
  <si>
    <t>Standards, projection basis and wage parameters, with sources</t>
  </si>
  <si>
    <t>PARAMETER</t>
  </si>
  <si>
    <t>VALUE</t>
  </si>
  <si>
    <t>SOURCE</t>
  </si>
  <si>
    <t>Daily clean, occupied room, minutes</t>
  </si>
  <si>
    <t>Standards section 1</t>
  </si>
  <si>
    <t>Terminal clean, minutes</t>
  </si>
  <si>
    <t>Isolation terminal clean, minutes</t>
  </si>
  <si>
    <t>Nurses station, minutes per service</t>
  </si>
  <si>
    <t>Medication room, minutes</t>
  </si>
  <si>
    <t>Clean utility, minutes</t>
  </si>
  <si>
    <t>Soiled utility, minutes per service</t>
  </si>
  <si>
    <t>Staff restroom, minutes per service</t>
  </si>
  <si>
    <t>Public restroom, minutes per service</t>
  </si>
  <si>
    <t>Family lounge, minutes</t>
  </si>
  <si>
    <t>Conference room, minutes</t>
  </si>
  <si>
    <t>Staff lounge, minutes</t>
  </si>
  <si>
    <t>Corridor, minutes per 100 square feet</t>
  </si>
  <si>
    <t>High-touch round, minutes per round</t>
  </si>
  <si>
    <t>Corridor burnish, minutes per week</t>
  </si>
  <si>
    <t>Corridor scrub and recoat, minutes per month</t>
  </si>
  <si>
    <t>Days per week</t>
  </si>
  <si>
    <t>Days per month for floor care averaging</t>
  </si>
  <si>
    <t>Average daily census, calendar 2027</t>
  </si>
  <si>
    <t>Census projection, calendar 2027 average</t>
  </si>
  <si>
    <t>Discharges per day, calendar 2027</t>
  </si>
  <si>
    <t>Isolation share of discharges, calendar 2027</t>
  </si>
  <si>
    <t>Average daily census, December 2027</t>
  </si>
  <si>
    <t>Census projection, December 2027</t>
  </si>
  <si>
    <t>Discharges per day, December 2027</t>
  </si>
  <si>
    <t>Isolation share of discharges, December 2027</t>
  </si>
  <si>
    <t>Terminal cleans, day shift share</t>
  </si>
  <si>
    <t>Standards section 3</t>
  </si>
  <si>
    <t>Terminal cleans, evening shift share</t>
  </si>
  <si>
    <t>Terminal cleans, night shift share</t>
  </si>
  <si>
    <t>Common areas, day shift share</t>
  </si>
  <si>
    <t>Common areas, evening shift share</t>
  </si>
  <si>
    <t>Common areas, night shift share</t>
  </si>
  <si>
    <t>Productive minutes per shift</t>
  </si>
  <si>
    <t>Standards section 4</t>
  </si>
  <si>
    <t>Days per year</t>
  </si>
  <si>
    <t>Worked shifts per full-time equivalent per year</t>
  </si>
  <si>
    <t>Paid hours per full-time equivalent per year</t>
  </si>
  <si>
    <t>Wage scale</t>
  </si>
  <si>
    <t>Housekeeper I base rate</t>
  </si>
  <si>
    <t>Evening differential per hour</t>
  </si>
  <si>
    <t>Night differential per hour</t>
  </si>
  <si>
    <t>Weekend differential per hour</t>
  </si>
  <si>
    <t>Weekend days per week</t>
  </si>
  <si>
    <t>Standards section 5, two-sevenths of paid hours</t>
  </si>
  <si>
    <t>Employer benefits load</t>
  </si>
  <si>
    <t>Approved new positions, full-time equivalents</t>
  </si>
  <si>
    <t>Director memo of October 7, 2026</t>
  </si>
  <si>
    <t>Transferred staff, full-time equivalents, day shift</t>
  </si>
  <si>
    <t>Roster, Guzman</t>
  </si>
  <si>
    <t>Transferred staff, full-time equivalents, evening shift</t>
  </si>
  <si>
    <t>Roster, Haugen</t>
  </si>
  <si>
    <t>Annual labor budget for the unit</t>
  </si>
  <si>
    <t>Room inventory as issued by Facilities (unit_4west_room_inventory.csv)</t>
  </si>
  <si>
    <t>ROOM</t>
  </si>
  <si>
    <t>ROOM TYPE</t>
  </si>
  <si>
    <t>SQ FT</t>
  </si>
  <si>
    <t>ISOLATION CAPABLE</t>
  </si>
  <si>
    <t>CLEANING FREQUENCY</t>
  </si>
  <si>
    <t>4W-401</t>
  </si>
  <si>
    <t>Private patient room</t>
  </si>
  <si>
    <t>N</t>
  </si>
  <si>
    <t>Daily while occupied; terminal clean on discharge</t>
  </si>
  <si>
    <t>4W-402</t>
  </si>
  <si>
    <t>4W-403</t>
  </si>
  <si>
    <t>Y</t>
  </si>
  <si>
    <t>4W-404</t>
  </si>
  <si>
    <t>4W-405</t>
  </si>
  <si>
    <t>4W-406</t>
  </si>
  <si>
    <t>4W-407</t>
  </si>
  <si>
    <t>4W-408</t>
  </si>
  <si>
    <t>4W-409</t>
  </si>
  <si>
    <t>4W-410</t>
  </si>
  <si>
    <t>4W-411</t>
  </si>
  <si>
    <t>4W-412</t>
  </si>
  <si>
    <t>4W-413</t>
  </si>
  <si>
    <t>4W-414</t>
  </si>
  <si>
    <t>4W-415</t>
  </si>
  <si>
    <t>4W-416</t>
  </si>
  <si>
    <t>4W-417</t>
  </si>
  <si>
    <t>4W-418</t>
  </si>
  <si>
    <t>4W-419</t>
  </si>
  <si>
    <t>4W-420</t>
  </si>
  <si>
    <t>4W-421</t>
  </si>
  <si>
    <t>4W-422</t>
  </si>
  <si>
    <t>4W-423</t>
  </si>
  <si>
    <t>4W-424</t>
  </si>
  <si>
    <t>4W-NS1</t>
  </si>
  <si>
    <t>Nurses station</t>
  </si>
  <si>
    <t>Daily</t>
  </si>
  <si>
    <t>4W-NS2</t>
  </si>
  <si>
    <t>4W-MED</t>
  </si>
  <si>
    <t>Medication room</t>
  </si>
  <si>
    <t>4W-CU</t>
  </si>
  <si>
    <t>Clean utility</t>
  </si>
  <si>
    <t>4W-SU</t>
  </si>
  <si>
    <t>Soiled utility</t>
  </si>
  <si>
    <t>Twice daily</t>
  </si>
  <si>
    <t>4W-SR1</t>
  </si>
  <si>
    <t>Staff restroom</t>
  </si>
  <si>
    <t>4W-SR2</t>
  </si>
  <si>
    <t>4W-PR1</t>
  </si>
  <si>
    <t>Public restroom</t>
  </si>
  <si>
    <t>4W-PR2</t>
  </si>
  <si>
    <t>4W-FL</t>
  </si>
  <si>
    <t>Family lounge</t>
  </si>
  <si>
    <t>4W-CONF</t>
  </si>
  <si>
    <t>Conference room</t>
  </si>
  <si>
    <t>4W-STL</t>
  </si>
  <si>
    <t>Staff lounge</t>
  </si>
  <si>
    <t>4W-CORR</t>
  </si>
  <si>
    <t>Corridor and alcoves</t>
  </si>
  <si>
    <t>Daily dust mop and damp mop; weekly burnish; monthly scrub and recoat</t>
  </si>
  <si>
    <t>Patient rooms</t>
  </si>
  <si>
    <t>Corridor square feet</t>
  </si>
  <si>
    <t>Nurses stations</t>
  </si>
  <si>
    <t>Staff restrooms</t>
  </si>
  <si>
    <t>Public restrooms</t>
  </si>
  <si>
    <t>Daily workload, calendar 2027 average basis</t>
  </si>
  <si>
    <t>Minutes per day by task and by shift under the March 2026 standards. Occupied-room cleans are the average daily census less discharges; terminals are the discharges per day split by the isolation share.</t>
  </si>
  <si>
    <t>TASK</t>
  </si>
  <si>
    <t>UNITS PER DAY</t>
  </si>
  <si>
    <t>MINUTES PER UNIT</t>
  </si>
  <si>
    <t>DAY SHIFT</t>
  </si>
  <si>
    <t>EVENING SHIFT</t>
  </si>
  <si>
    <t>NIGHT SHIFT</t>
  </si>
  <si>
    <t>Daily clean, occupied rooms (census less discharges)</t>
  </si>
  <si>
    <t>Terminal clean, standard rooms</t>
  </si>
  <si>
    <t>Terminal clean, isolation rooms</t>
  </si>
  <si>
    <t>Soiled utility, two services</t>
  </si>
  <si>
    <t>Public restrooms, two services each</t>
  </si>
  <si>
    <t>Corridor dust and damp mop, per 100 square feet</t>
  </si>
  <si>
    <t>High-touch disinfection rounds</t>
  </si>
  <si>
    <t>Corridor burnish, weekly averaged to a day</t>
  </si>
  <si>
    <t>Corridor scrub and recoat, monthly averaged to a day</t>
  </si>
  <si>
    <t>Minutes per day</t>
  </si>
  <si>
    <t>Hours per day</t>
  </si>
  <si>
    <t>Daily workload, December 2027 peak sensitivity</t>
  </si>
  <si>
    <t>Daily posts, annual shifts and full-time equivalents by shift, calendar 2027 average basis</t>
  </si>
  <si>
    <t>Posts are the shift's minutes per day over 420 productive minutes; annual shifts are posts times 365; full-time equivalents are annual shifts over 231.4 worked shifts per FTE (standards section 4).</t>
  </si>
  <si>
    <t>ANNUAL SHIFTS</t>
  </si>
  <si>
    <t>0</t>
  </si>
  <si>
    <t>December peak sensitivity</t>
  </si>
  <si>
    <t>ANNUAL SHIFTS IF SUSTAINED</t>
  </si>
  <si>
    <t>FTE IF SUSTAINED</t>
  </si>
  <si>
    <t>Unit total at the December peak</t>
  </si>
  <si>
    <t>Annual labor cost of the required staffing at the current wage scale, calendar 2027 average basis</t>
  </si>
  <si>
    <t>Each FTE is costed at 2,080 paid hours at the Housekeeper I base rate, plus the shift differential on every paid hour, plus the weekend differential on two-sevenths of paid hours, plus the benefits load on the whole (standards section 5).</t>
  </si>
  <si>
    <t>PAID HOURS</t>
  </si>
  <si>
    <t>BASE WAGES</t>
  </si>
  <si>
    <t>SHIFT DIFFERENTIAL</t>
  </si>
  <si>
    <t>WEEKEND DIFFERENTIAL</t>
  </si>
  <si>
    <t>WAGES AND DIFFERENTIALS</t>
  </si>
  <si>
    <t>BENEFITS LOAD</t>
  </si>
  <si>
    <t>ANNUAL COST</t>
  </si>
  <si>
    <t>Cost of the director's working plan: two transfers and one new day position, three FTE costed the same way</t>
  </si>
  <si>
    <t>Day, two FTE</t>
  </si>
  <si>
    <t>Evening, one FTE</t>
  </si>
  <si>
    <t>Working plan, three FTE</t>
  </si>
  <si>
    <t>To: Marisol Ybarra, Director of Environmental Services</t>
  </si>
  <si>
    <t>Date: October 16, 2026</t>
  </si>
  <si>
    <t>Re: 4 West staffing plan against the standards and the budget</t>
  </si>
  <si>
    <t>Your working plan does not hold under the March standards, and the reason is positions rather than dollars. The unit needs 3.82 full-time equivalents on the calendar 2027 average: 2.62 on days, 0.79 on evenings and 0.41 on nights. The two transfers and the one approved position make 3.00, so the plan is 0.82 FTE short, and the shortfall sits on days and nights.</t>
  </si>
  <si>
    <t>The cost of the required 3.82 FTE at the current scale is $187,933.81 a year with differentials and benefits, which is $17,066.19 under the $205,000.00 budget. Your working plan of three FTE costs $147,204.95 the same way. The budget already covers the staffing the standards call for. What is missing is Finance's approval of 0.82 FTE beyond the one position, and the money to pay for it is inside the figure you have.</t>
  </si>
  <si>
    <t>On days the unit needs 2.62 FTE against Guzman and the one new position, so a further 0.62 FTE, which is a 0.6 part-time Housekeeper I on seven-day rotation with the float pool covering the rest. On evenings Haugen's 1.00 FTE covers the 0.79 required with 0.21 to spare, which the float pool can use elsewhere. On nights the 0.41 FTE for the terminal cleans, the night share of the common areas and the corridor floor care is covered by no transfer and no approved position, since the building night crew is not in this unit's budget, so a 0.4 part-time night position or a costed share of Jankowski's time is needed.</t>
  </si>
  <si>
    <t>The workload is 1,019.84 minutes a day, 17.00 hours, built as the standards direct. Occupied-room cleans are counted at 13.2 rooms a day at 22 minutes, the census less discharges, because the 8.2 discharges a day take the terminal clean in place of the daily clean. The terminals are 6.724 standard cleans at 43 minutes and 1.476 isolation cleans at 58 minutes, split by the isolation share of discharges. The common areas come from the inventory, and the weekly burnish and the monthly scrub are averaged to a day. Under the shift allocation in the standards the day shift carries 698.98 minutes, the evening 211.42 and the night 109.44.</t>
  </si>
  <si>
    <t>Posts are the shift minutes over 420 productive minutes, 1.66 on days, 0.50 on evenings and 0.26 on nights, carried to two decimals as the standards direct rather than rounded to whole people, with partial posts covered from the float pool. Each post is 365 shifts a year, and each FTE supplies 231.4 worked shifts after the 11 percent of non-productive time, which is where the 2.62, 0.79 and 0.41 come from.</t>
  </si>
  <si>
    <t>The December peak would take 4.04 FTE if it ran all year, 0.22 above the plan basis, almost all of it on days. The plan is built on the calendar 2027 average as you asked, and December is covered from the float pool and overtime rather than by a position.</t>
  </si>
  <si>
    <t>Costing follows the standards: every FTE at the $17.85 Housekeeper I rate on 2,080 paid hours, the $1.10 evening and $1.75 night differentials on every paid hour of those shifts, the $1.00 weekend differential on two-sevenths of paid hours under seven-day rotation, and the benefits load on all of it, transfers included.</t>
  </si>
  <si>
    <t>Two things this plan does not settle. Quiroga's leave and the float pool's own load decide whether the partial posts can be covered from the pool in January, and the standards carry no allowance for the first weeks of a new unit, when the census may run below the full run rate the projection assumes from opening.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</si>
</sst>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quot;-&quot;"/>
    <numFmt numFmtId="166" formatCode="0.0%"/>
    <numFmt numFmtId="167" formatCode="0.0000"/>
    <numFmt numFmtId="168" formatCode="#,##0.0"/>
  </numFmts>
  <fonts count="4" x14ac:knownFonts="1">
    <font>
      <sz val="11"/>
      <color theme="1"/>
      <name val="Calibri"/>
      <family val="2"/>
      <scheme val="minor"/>
    </font>
    <font>
      <b/>
      <sz val="12"/>
      <name val="Arial"/>
      <family val="2"/>
    </font>
    <font>
      <b/>
      <sz val="10"/>
      <name val="Arial"/>
      <family val="2"/>
    </font>
    <font>
      <sz val="10"/>
      <name val="Arial"/>
      <family val="2"/>
    </font>
  </fonts>
  <fills count="4">
    <fill>
      <patternFill patternType="none"/>
    </fill>
    <fill>
      <patternFill patternType="gray125"/>
    </fill>
    <fill>
      <patternFill patternType="solid">
        <fgColor rgb="FFD9D9D9"/>
      </patternFill>
    </fill>
    <fill>
      <patternFill patternType="solid">
        <fgColor rgb="FFFFF2CC"/>
      </patternFill>
    </fill>
  </fills>
  <borders count="2">
    <border>
      <left/>
      <right/>
      <top/>
      <bottom/>
      <diagonal/>
    </border>
    <border>
      <left/>
      <right/>
      <top/>
      <bottom style="thin">
        <color rgb="FF808080"/>
      </bottom>
      <diagonal/>
    </border>
  </borders>
  <cellStyleXfs count="1">
    <xf numFmtId="0" fontId="0" fillId="0" borderId="0"/>
  </cellStyleXfs>
  <cellXfs count="20">
    <xf numFmtId="0" fontId="0" fillId="0" borderId="0" xfId="0"/>
    <xf numFmtId="0" fontId="1" fillId="0" borderId="0" xfId="0" applyFont="1"/>
    <xf numFmtId="0" fontId="3" fillId="0" borderId="0" xfId="0" applyFont="1"/>
    <xf numFmtId="0" fontId="2" fillId="2" borderId="0" xfId="0" applyFont="1" applyFill="1"/>
    <xf numFmtId="0" fontId="2" fillId="2" borderId="1" xfId="0" applyFont="1" applyFill="1" applyBorder="1"/>
    <xf numFmtId="2" fontId="3" fillId="0" borderId="0" xfId="0" applyNumberFormat="1" applyFont="1"/>
    <xf numFmtId="0" fontId="2" fillId="0" borderId="0" xfId="0" applyFont="1"/>
    <xf numFmtId="2" fontId="2" fillId="0" borderId="0" xfId="0" applyNumberFormat="1" applyFont="1"/>
    <xf numFmtId="165" fontId="3" fillId="0" borderId="0" xfId="0" applyNumberFormat="1" applyFont="1"/>
    <xf numFmtId="165" fontId="2" fillId="0" borderId="0" xfId="0" applyNumberFormat="1" applyFont="1"/>
    <xf numFmtId="0" fontId="3" fillId="0" borderId="0" xfId="0" applyFont="1" applyAlignment="1">
      <alignment vertical="top" wrapText="1"/>
    </xf>
    <xf numFmtId="1" fontId="3" fillId="0" borderId="0" xfId="0" applyNumberFormat="1" applyFont="1"/>
    <xf numFmtId="164" fontId="3" fillId="0" borderId="0" xfId="0" applyNumberFormat="1" applyFont="1"/>
    <xf numFmtId="9" fontId="3" fillId="0" borderId="0" xfId="0" applyNumberFormat="1" applyFont="1"/>
    <xf numFmtId="166" fontId="3" fillId="0" borderId="0" xfId="0" applyNumberFormat="1" applyFont="1"/>
    <xf numFmtId="167" fontId="3" fillId="0" borderId="0" xfId="0" applyNumberFormat="1" applyFont="1"/>
    <xf numFmtId="2" fontId="2" fillId="3" borderId="0" xfId="0" applyNumberFormat="1" applyFont="1" applyFill="1"/>
    <xf numFmtId="168" fontId="3" fillId="0" borderId="0" xfId="0" applyNumberFormat="1" applyFont="1"/>
    <xf numFmtId="168" fontId="2" fillId="0" borderId="0" xfId="0" applyNumberFormat="1" applyFont="1"/>
    <xf numFmtId="165" fontId="2" fillId="3"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workbookViewId="0"/>
  </sheetViews>
  <sheetFormatPr baseColWidth="10" defaultColWidth="8.83203125" defaultRowHeight="15" x14ac:dyDescent="0.2"/>
  <cols>
    <col min="1" max="1" width="62" customWidth="1"/>
    <col min="2" max="2" width="16" customWidth="1"/>
    <col min="3" max="3" width="12" customWidth="1"/>
    <col min="4" max="4" width="14" customWidth="1"/>
    <col min="5" max="5" width="16" customWidth="1"/>
    <col min="6" max="7" width="18" customWidth="1"/>
  </cols>
  <sheetData>
    <row r="1" spans="1:7" ht="16" x14ac:dyDescent="0.2">
      <c r="A1" s="1" t="s">
        <v>0</v>
      </c>
    </row>
    <row r="2" spans="1:7" x14ac:dyDescent="0.2">
      <c r="A2" s="2" t="s">
        <v>1</v>
      </c>
    </row>
    <row r="4" spans="1:7" x14ac:dyDescent="0.2">
      <c r="A4" s="3" t="s">
        <v>2</v>
      </c>
    </row>
    <row r="5" spans="1:7" x14ac:dyDescent="0.2">
      <c r="A5" s="4" t="s">
        <v>3</v>
      </c>
      <c r="B5" s="4" t="s">
        <v>4</v>
      </c>
      <c r="C5" s="4" t="s">
        <v>5</v>
      </c>
      <c r="D5" s="4" t="s">
        <v>6</v>
      </c>
      <c r="E5" s="4" t="s">
        <v>7</v>
      </c>
      <c r="F5" s="4" t="s">
        <v>8</v>
      </c>
      <c r="G5" s="4" t="s">
        <v>9</v>
      </c>
    </row>
    <row r="6" spans="1:7" x14ac:dyDescent="0.2">
      <c r="A6" s="2" t="s">
        <v>10</v>
      </c>
      <c r="B6" s="5">
        <f>Positions!B5</f>
        <v>698.98</v>
      </c>
      <c r="C6" s="5">
        <f>Positions!C5</f>
        <v>1.66</v>
      </c>
      <c r="D6" s="5">
        <f>Positions!E5</f>
        <v>2.62</v>
      </c>
      <c r="E6" s="5">
        <f>Positions!F5</f>
        <v>1</v>
      </c>
      <c r="F6" s="5">
        <f>Positions!G5</f>
        <v>1</v>
      </c>
      <c r="G6" s="5">
        <f>Positions!H5</f>
        <v>0.62</v>
      </c>
    </row>
    <row r="7" spans="1:7" x14ac:dyDescent="0.2">
      <c r="A7" s="2" t="s">
        <v>11</v>
      </c>
      <c r="B7" s="5">
        <f>Positions!B6</f>
        <v>211.42</v>
      </c>
      <c r="C7" s="5">
        <f>Positions!C6</f>
        <v>0.5</v>
      </c>
      <c r="D7" s="5">
        <f>Positions!E6</f>
        <v>0.79</v>
      </c>
      <c r="E7" s="5">
        <f>Positions!F6</f>
        <v>1</v>
      </c>
      <c r="F7" s="5" t="str">
        <f>Positions!G6</f>
        <v>0</v>
      </c>
      <c r="G7" s="5">
        <f>Positions!H6</f>
        <v>-0.21</v>
      </c>
    </row>
    <row r="8" spans="1:7" x14ac:dyDescent="0.2">
      <c r="A8" s="2" t="s">
        <v>12</v>
      </c>
      <c r="B8" s="5">
        <f>Positions!B7</f>
        <v>109.44</v>
      </c>
      <c r="C8" s="5">
        <f>Positions!C7</f>
        <v>0.26</v>
      </c>
      <c r="D8" s="5">
        <f>Positions!E7</f>
        <v>0.41</v>
      </c>
      <c r="E8" s="5">
        <f>Positions!F7</f>
        <v>0</v>
      </c>
      <c r="F8" s="5" t="str">
        <f>Positions!G7</f>
        <v>0</v>
      </c>
      <c r="G8" s="5">
        <f>Positions!H7</f>
        <v>0.41</v>
      </c>
    </row>
    <row r="9" spans="1:7" x14ac:dyDescent="0.2">
      <c r="A9" s="6" t="s">
        <v>13</v>
      </c>
      <c r="B9" s="7">
        <f>Positions!B8</f>
        <v>1019.84</v>
      </c>
      <c r="C9" s="7">
        <f>Positions!C8</f>
        <v>2.42</v>
      </c>
      <c r="D9" s="7">
        <f>Positions!E8</f>
        <v>3.82</v>
      </c>
      <c r="E9" s="7">
        <f>Positions!F8</f>
        <v>2</v>
      </c>
      <c r="F9" s="7">
        <f>Positions!G8</f>
        <v>1</v>
      </c>
      <c r="G9" s="7">
        <f>Positions!H8</f>
        <v>0.82</v>
      </c>
    </row>
    <row r="11" spans="1:7" x14ac:dyDescent="0.2">
      <c r="A11" s="3" t="s">
        <v>14</v>
      </c>
    </row>
    <row r="12" spans="1:7" x14ac:dyDescent="0.2">
      <c r="A12" s="2" t="s">
        <v>15</v>
      </c>
      <c r="B12" s="8">
        <f>Cost!I8</f>
        <v>187933.81</v>
      </c>
    </row>
    <row r="13" spans="1:7" x14ac:dyDescent="0.2">
      <c r="A13" s="2" t="s">
        <v>16</v>
      </c>
      <c r="B13" s="8">
        <f>Cost!I10</f>
        <v>205000</v>
      </c>
    </row>
    <row r="14" spans="1:7" x14ac:dyDescent="0.2">
      <c r="A14" s="2" t="s">
        <v>17</v>
      </c>
      <c r="B14" s="9">
        <f>Cost!I11</f>
        <v>-17066.19</v>
      </c>
    </row>
    <row r="15" spans="1:7" x14ac:dyDescent="0.2">
      <c r="A15" s="2" t="s">
        <v>18</v>
      </c>
      <c r="B15" s="8">
        <f>Cost!I15</f>
        <v>147204.95</v>
      </c>
    </row>
    <row r="17" spans="1:2" x14ac:dyDescent="0.2">
      <c r="A17" s="3" t="s">
        <v>19</v>
      </c>
    </row>
    <row r="18" spans="1:2" x14ac:dyDescent="0.2">
      <c r="A18" s="2" t="s">
        <v>20</v>
      </c>
      <c r="B18" s="5">
        <f>Positions!E15</f>
        <v>4.04</v>
      </c>
    </row>
    <row r="19" spans="1:2" x14ac:dyDescent="0.2">
      <c r="A19" s="2" t="s">
        <v>21</v>
      </c>
      <c r="B19" s="5">
        <f>Positions!E8</f>
        <v>3.82</v>
      </c>
    </row>
    <row r="21" spans="1:2" ht="30" customHeight="1" x14ac:dyDescent="0.2">
      <c r="A21" s="10"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7"/>
  <sheetViews>
    <sheetView workbookViewId="0"/>
  </sheetViews>
  <sheetFormatPr baseColWidth="10" defaultColWidth="8.83203125" defaultRowHeight="15" x14ac:dyDescent="0.2"/>
  <cols>
    <col min="1" max="1" width="58" customWidth="1"/>
    <col min="2" max="2" width="14" customWidth="1"/>
    <col min="3" max="3" width="44" customWidth="1"/>
  </cols>
  <sheetData>
    <row r="1" spans="1:3" ht="16" x14ac:dyDescent="0.2">
      <c r="A1" s="1" t="s">
        <v>23</v>
      </c>
    </row>
    <row r="3" spans="1:3" x14ac:dyDescent="0.2">
      <c r="A3" s="4" t="s">
        <v>24</v>
      </c>
      <c r="B3" s="4" t="s">
        <v>25</v>
      </c>
      <c r="C3" s="4" t="s">
        <v>26</v>
      </c>
    </row>
    <row r="4" spans="1:3" x14ac:dyDescent="0.2">
      <c r="A4" s="2" t="s">
        <v>27</v>
      </c>
      <c r="B4" s="11">
        <v>22</v>
      </c>
      <c r="C4" s="2" t="s">
        <v>28</v>
      </c>
    </row>
    <row r="5" spans="1:3" x14ac:dyDescent="0.2">
      <c r="A5" s="2" t="s">
        <v>29</v>
      </c>
      <c r="B5" s="11">
        <v>43</v>
      </c>
      <c r="C5" s="2" t="s">
        <v>28</v>
      </c>
    </row>
    <row r="6" spans="1:3" x14ac:dyDescent="0.2">
      <c r="A6" s="2" t="s">
        <v>30</v>
      </c>
      <c r="B6" s="11">
        <v>58</v>
      </c>
      <c r="C6" s="2" t="s">
        <v>28</v>
      </c>
    </row>
    <row r="7" spans="1:3" x14ac:dyDescent="0.2">
      <c r="A7" s="2" t="s">
        <v>31</v>
      </c>
      <c r="B7" s="11">
        <v>15</v>
      </c>
      <c r="C7" s="2" t="s">
        <v>28</v>
      </c>
    </row>
    <row r="8" spans="1:3" x14ac:dyDescent="0.2">
      <c r="A8" s="2" t="s">
        <v>32</v>
      </c>
      <c r="B8" s="11">
        <v>10</v>
      </c>
      <c r="C8" s="2" t="s">
        <v>28</v>
      </c>
    </row>
    <row r="9" spans="1:3" x14ac:dyDescent="0.2">
      <c r="A9" s="2" t="s">
        <v>33</v>
      </c>
      <c r="B9" s="11">
        <v>12</v>
      </c>
      <c r="C9" s="2" t="s">
        <v>28</v>
      </c>
    </row>
    <row r="10" spans="1:3" x14ac:dyDescent="0.2">
      <c r="A10" s="2" t="s">
        <v>34</v>
      </c>
      <c r="B10" s="11">
        <v>12</v>
      </c>
      <c r="C10" s="2" t="s">
        <v>28</v>
      </c>
    </row>
    <row r="11" spans="1:3" x14ac:dyDescent="0.2">
      <c r="A11" s="2" t="s">
        <v>35</v>
      </c>
      <c r="B11" s="11">
        <v>14</v>
      </c>
      <c r="C11" s="2" t="s">
        <v>28</v>
      </c>
    </row>
    <row r="12" spans="1:3" x14ac:dyDescent="0.2">
      <c r="A12" s="2" t="s">
        <v>36</v>
      </c>
      <c r="B12" s="11">
        <v>14</v>
      </c>
      <c r="C12" s="2" t="s">
        <v>28</v>
      </c>
    </row>
    <row r="13" spans="1:3" x14ac:dyDescent="0.2">
      <c r="A13" s="2" t="s">
        <v>37</v>
      </c>
      <c r="B13" s="11">
        <v>20</v>
      </c>
      <c r="C13" s="2" t="s">
        <v>28</v>
      </c>
    </row>
    <row r="14" spans="1:3" x14ac:dyDescent="0.2">
      <c r="A14" s="2" t="s">
        <v>38</v>
      </c>
      <c r="B14" s="11">
        <v>12</v>
      </c>
      <c r="C14" s="2" t="s">
        <v>28</v>
      </c>
    </row>
    <row r="15" spans="1:3" x14ac:dyDescent="0.2">
      <c r="A15" s="2" t="s">
        <v>39</v>
      </c>
      <c r="B15" s="11">
        <v>15</v>
      </c>
      <c r="C15" s="2" t="s">
        <v>28</v>
      </c>
    </row>
    <row r="16" spans="1:3" x14ac:dyDescent="0.2">
      <c r="A16" s="2" t="s">
        <v>40</v>
      </c>
      <c r="B16" s="12">
        <v>1.5</v>
      </c>
      <c r="C16" s="2" t="s">
        <v>28</v>
      </c>
    </row>
    <row r="17" spans="1:3" x14ac:dyDescent="0.2">
      <c r="A17" s="2" t="s">
        <v>41</v>
      </c>
      <c r="B17" s="11">
        <v>30</v>
      </c>
      <c r="C17" s="2" t="s">
        <v>28</v>
      </c>
    </row>
    <row r="18" spans="1:3" x14ac:dyDescent="0.2">
      <c r="A18" s="2" t="s">
        <v>42</v>
      </c>
      <c r="B18" s="11">
        <v>90</v>
      </c>
      <c r="C18" s="2" t="s">
        <v>28</v>
      </c>
    </row>
    <row r="19" spans="1:3" x14ac:dyDescent="0.2">
      <c r="A19" s="2" t="s">
        <v>43</v>
      </c>
      <c r="B19" s="11">
        <v>360</v>
      </c>
      <c r="C19" s="2" t="s">
        <v>28</v>
      </c>
    </row>
    <row r="20" spans="1:3" x14ac:dyDescent="0.2">
      <c r="A20" s="2" t="s">
        <v>44</v>
      </c>
      <c r="B20" s="11">
        <v>7</v>
      </c>
      <c r="C20" s="2" t="s">
        <v>28</v>
      </c>
    </row>
    <row r="21" spans="1:3" x14ac:dyDescent="0.2">
      <c r="A21" s="2" t="s">
        <v>45</v>
      </c>
      <c r="B21" s="12">
        <v>30.4</v>
      </c>
      <c r="C21" s="2" t="s">
        <v>28</v>
      </c>
    </row>
    <row r="22" spans="1:3" x14ac:dyDescent="0.2">
      <c r="A22" s="2" t="s">
        <v>46</v>
      </c>
      <c r="B22" s="12">
        <v>21.4</v>
      </c>
      <c r="C22" s="2" t="s">
        <v>47</v>
      </c>
    </row>
    <row r="23" spans="1:3" x14ac:dyDescent="0.2">
      <c r="A23" s="2" t="s">
        <v>48</v>
      </c>
      <c r="B23" s="12">
        <v>8.2</v>
      </c>
      <c r="C23" s="2" t="s">
        <v>47</v>
      </c>
    </row>
    <row r="24" spans="1:3" x14ac:dyDescent="0.2">
      <c r="A24" s="2" t="s">
        <v>49</v>
      </c>
      <c r="B24" s="13">
        <v>0.18</v>
      </c>
      <c r="C24" s="2" t="s">
        <v>47</v>
      </c>
    </row>
    <row r="25" spans="1:3" x14ac:dyDescent="0.2">
      <c r="A25" s="2" t="s">
        <v>50</v>
      </c>
      <c r="B25" s="12">
        <v>23.2</v>
      </c>
      <c r="C25" s="2" t="s">
        <v>51</v>
      </c>
    </row>
    <row r="26" spans="1:3" x14ac:dyDescent="0.2">
      <c r="A26" s="2" t="s">
        <v>52</v>
      </c>
      <c r="B26" s="12">
        <v>8.7</v>
      </c>
      <c r="C26" s="2" t="s">
        <v>51</v>
      </c>
    </row>
    <row r="27" spans="1:3" x14ac:dyDescent="0.2">
      <c r="A27" s="2" t="s">
        <v>53</v>
      </c>
      <c r="B27" s="13">
        <v>0.22</v>
      </c>
      <c r="C27" s="2" t="s">
        <v>51</v>
      </c>
    </row>
    <row r="28" spans="1:3" x14ac:dyDescent="0.2">
      <c r="A28" s="2" t="s">
        <v>54</v>
      </c>
      <c r="B28" s="13">
        <v>0.65</v>
      </c>
      <c r="C28" s="2" t="s">
        <v>55</v>
      </c>
    </row>
    <row r="29" spans="1:3" x14ac:dyDescent="0.2">
      <c r="A29" s="2" t="s">
        <v>56</v>
      </c>
      <c r="B29" s="13">
        <v>0.3</v>
      </c>
      <c r="C29" s="2" t="s">
        <v>55</v>
      </c>
    </row>
    <row r="30" spans="1:3" x14ac:dyDescent="0.2">
      <c r="A30" s="2" t="s">
        <v>57</v>
      </c>
      <c r="B30" s="13">
        <v>0.05</v>
      </c>
      <c r="C30" s="2" t="s">
        <v>55</v>
      </c>
    </row>
    <row r="31" spans="1:3" x14ac:dyDescent="0.2">
      <c r="A31" s="2" t="s">
        <v>58</v>
      </c>
      <c r="B31" s="13">
        <v>0.5</v>
      </c>
      <c r="C31" s="2" t="s">
        <v>55</v>
      </c>
    </row>
    <row r="32" spans="1:3" x14ac:dyDescent="0.2">
      <c r="A32" s="2" t="s">
        <v>59</v>
      </c>
      <c r="B32" s="13">
        <v>0.3</v>
      </c>
      <c r="C32" s="2" t="s">
        <v>55</v>
      </c>
    </row>
    <row r="33" spans="1:3" x14ac:dyDescent="0.2">
      <c r="A33" s="2" t="s">
        <v>60</v>
      </c>
      <c r="B33" s="13">
        <v>0.2</v>
      </c>
      <c r="C33" s="2" t="s">
        <v>55</v>
      </c>
    </row>
    <row r="34" spans="1:3" x14ac:dyDescent="0.2">
      <c r="A34" s="2" t="s">
        <v>61</v>
      </c>
      <c r="B34" s="11">
        <v>420</v>
      </c>
      <c r="C34" s="2" t="s">
        <v>62</v>
      </c>
    </row>
    <row r="35" spans="1:3" x14ac:dyDescent="0.2">
      <c r="A35" s="2" t="s">
        <v>63</v>
      </c>
      <c r="B35" s="11">
        <v>365</v>
      </c>
      <c r="C35" s="2" t="s">
        <v>62</v>
      </c>
    </row>
    <row r="36" spans="1:3" x14ac:dyDescent="0.2">
      <c r="A36" s="2" t="s">
        <v>64</v>
      </c>
      <c r="B36" s="12">
        <v>231.4</v>
      </c>
      <c r="C36" s="2" t="s">
        <v>62</v>
      </c>
    </row>
    <row r="37" spans="1:3" x14ac:dyDescent="0.2">
      <c r="A37" s="2" t="s">
        <v>65</v>
      </c>
      <c r="B37" s="11">
        <v>2080</v>
      </c>
      <c r="C37" s="2" t="s">
        <v>66</v>
      </c>
    </row>
    <row r="38" spans="1:3" x14ac:dyDescent="0.2">
      <c r="A38" s="2" t="s">
        <v>67</v>
      </c>
      <c r="B38" s="8">
        <v>17.85</v>
      </c>
      <c r="C38" s="2" t="s">
        <v>66</v>
      </c>
    </row>
    <row r="39" spans="1:3" x14ac:dyDescent="0.2">
      <c r="A39" s="2" t="s">
        <v>68</v>
      </c>
      <c r="B39" s="8">
        <v>1.1</v>
      </c>
      <c r="C39" s="2" t="s">
        <v>66</v>
      </c>
    </row>
    <row r="40" spans="1:3" x14ac:dyDescent="0.2">
      <c r="A40" s="2" t="s">
        <v>69</v>
      </c>
      <c r="B40" s="8">
        <v>1.75</v>
      </c>
      <c r="C40" s="2" t="s">
        <v>66</v>
      </c>
    </row>
    <row r="41" spans="1:3" x14ac:dyDescent="0.2">
      <c r="A41" s="2" t="s">
        <v>70</v>
      </c>
      <c r="B41" s="8">
        <v>1</v>
      </c>
      <c r="C41" s="2" t="s">
        <v>66</v>
      </c>
    </row>
    <row r="42" spans="1:3" x14ac:dyDescent="0.2">
      <c r="A42" s="2" t="s">
        <v>71</v>
      </c>
      <c r="B42" s="11">
        <v>2</v>
      </c>
      <c r="C42" s="2" t="s">
        <v>72</v>
      </c>
    </row>
    <row r="43" spans="1:3" x14ac:dyDescent="0.2">
      <c r="A43" s="2" t="s">
        <v>73</v>
      </c>
      <c r="B43" s="14">
        <v>0.275</v>
      </c>
      <c r="C43" s="2" t="s">
        <v>66</v>
      </c>
    </row>
    <row r="44" spans="1:3" x14ac:dyDescent="0.2">
      <c r="A44" s="2" t="s">
        <v>74</v>
      </c>
      <c r="B44" s="12">
        <v>1</v>
      </c>
      <c r="C44" s="2" t="s">
        <v>75</v>
      </c>
    </row>
    <row r="45" spans="1:3" x14ac:dyDescent="0.2">
      <c r="A45" s="2" t="s">
        <v>76</v>
      </c>
      <c r="B45" s="12">
        <v>1</v>
      </c>
      <c r="C45" s="2" t="s">
        <v>77</v>
      </c>
    </row>
    <row r="46" spans="1:3" x14ac:dyDescent="0.2">
      <c r="A46" s="2" t="s">
        <v>78</v>
      </c>
      <c r="B46" s="12">
        <v>1</v>
      </c>
      <c r="C46" s="2" t="s">
        <v>79</v>
      </c>
    </row>
    <row r="47" spans="1:3" x14ac:dyDescent="0.2">
      <c r="A47" s="2" t="s">
        <v>80</v>
      </c>
      <c r="B47" s="8">
        <v>205000</v>
      </c>
      <c r="C47" s="2" t="s">
        <v>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6"/>
  <sheetViews>
    <sheetView workbookViewId="0"/>
  </sheetViews>
  <sheetFormatPr baseColWidth="10" defaultColWidth="8.83203125" defaultRowHeight="15" x14ac:dyDescent="0.2"/>
  <cols>
    <col min="1" max="1" width="10" customWidth="1"/>
    <col min="2" max="2" width="24" customWidth="1"/>
    <col min="3" max="3" width="8" customWidth="1"/>
    <col min="4" max="4" width="18" customWidth="1"/>
    <col min="5" max="5" width="60" customWidth="1"/>
  </cols>
  <sheetData>
    <row r="1" spans="1:5" ht="16" x14ac:dyDescent="0.2">
      <c r="A1" s="1" t="s">
        <v>81</v>
      </c>
    </row>
    <row r="3" spans="1:5" x14ac:dyDescent="0.2">
      <c r="A3" s="4" t="s">
        <v>82</v>
      </c>
      <c r="B3" s="4" t="s">
        <v>83</v>
      </c>
      <c r="C3" s="4" t="s">
        <v>84</v>
      </c>
      <c r="D3" s="4" t="s">
        <v>85</v>
      </c>
      <c r="E3" s="4" t="s">
        <v>86</v>
      </c>
    </row>
    <row r="4" spans="1:5" x14ac:dyDescent="0.2">
      <c r="A4" s="2" t="s">
        <v>87</v>
      </c>
      <c r="B4" s="2" t="s">
        <v>88</v>
      </c>
      <c r="C4" s="2">
        <v>253</v>
      </c>
      <c r="D4" s="2" t="s">
        <v>89</v>
      </c>
      <c r="E4" s="2" t="s">
        <v>90</v>
      </c>
    </row>
    <row r="5" spans="1:5" x14ac:dyDescent="0.2">
      <c r="A5" s="2" t="s">
        <v>91</v>
      </c>
      <c r="B5" s="2" t="s">
        <v>88</v>
      </c>
      <c r="C5" s="2">
        <v>273</v>
      </c>
      <c r="D5" s="2" t="s">
        <v>89</v>
      </c>
      <c r="E5" s="2" t="s">
        <v>90</v>
      </c>
    </row>
    <row r="6" spans="1:5" x14ac:dyDescent="0.2">
      <c r="A6" s="2" t="s">
        <v>92</v>
      </c>
      <c r="B6" s="2" t="s">
        <v>88</v>
      </c>
      <c r="C6" s="2">
        <v>248</v>
      </c>
      <c r="D6" s="2" t="s">
        <v>93</v>
      </c>
      <c r="E6" s="2" t="s">
        <v>90</v>
      </c>
    </row>
    <row r="7" spans="1:5" x14ac:dyDescent="0.2">
      <c r="A7" s="2" t="s">
        <v>94</v>
      </c>
      <c r="B7" s="2" t="s">
        <v>88</v>
      </c>
      <c r="C7" s="2">
        <v>281</v>
      </c>
      <c r="D7" s="2" t="s">
        <v>93</v>
      </c>
      <c r="E7" s="2" t="s">
        <v>90</v>
      </c>
    </row>
    <row r="8" spans="1:5" x14ac:dyDescent="0.2">
      <c r="A8" s="2" t="s">
        <v>95</v>
      </c>
      <c r="B8" s="2" t="s">
        <v>88</v>
      </c>
      <c r="C8" s="2">
        <v>253</v>
      </c>
      <c r="D8" s="2" t="s">
        <v>89</v>
      </c>
      <c r="E8" s="2" t="s">
        <v>90</v>
      </c>
    </row>
    <row r="9" spans="1:5" x14ac:dyDescent="0.2">
      <c r="A9" s="2" t="s">
        <v>96</v>
      </c>
      <c r="B9" s="2" t="s">
        <v>88</v>
      </c>
      <c r="C9" s="2">
        <v>291</v>
      </c>
      <c r="D9" s="2" t="s">
        <v>89</v>
      </c>
      <c r="E9" s="2" t="s">
        <v>90</v>
      </c>
    </row>
    <row r="10" spans="1:5" x14ac:dyDescent="0.2">
      <c r="A10" s="2" t="s">
        <v>97</v>
      </c>
      <c r="B10" s="2" t="s">
        <v>88</v>
      </c>
      <c r="C10" s="2">
        <v>286</v>
      </c>
      <c r="D10" s="2" t="s">
        <v>89</v>
      </c>
      <c r="E10" s="2" t="s">
        <v>90</v>
      </c>
    </row>
    <row r="11" spans="1:5" x14ac:dyDescent="0.2">
      <c r="A11" s="2" t="s">
        <v>98</v>
      </c>
      <c r="B11" s="2" t="s">
        <v>88</v>
      </c>
      <c r="C11" s="2">
        <v>254</v>
      </c>
      <c r="D11" s="2" t="s">
        <v>89</v>
      </c>
      <c r="E11" s="2" t="s">
        <v>90</v>
      </c>
    </row>
    <row r="12" spans="1:5" x14ac:dyDescent="0.2">
      <c r="A12" s="2" t="s">
        <v>99</v>
      </c>
      <c r="B12" s="2" t="s">
        <v>88</v>
      </c>
      <c r="C12" s="2">
        <v>269</v>
      </c>
      <c r="D12" s="2" t="s">
        <v>89</v>
      </c>
      <c r="E12" s="2" t="s">
        <v>90</v>
      </c>
    </row>
    <row r="13" spans="1:5" x14ac:dyDescent="0.2">
      <c r="A13" s="2" t="s">
        <v>100</v>
      </c>
      <c r="B13" s="2" t="s">
        <v>88</v>
      </c>
      <c r="C13" s="2">
        <v>256</v>
      </c>
      <c r="D13" s="2" t="s">
        <v>89</v>
      </c>
      <c r="E13" s="2" t="s">
        <v>90</v>
      </c>
    </row>
    <row r="14" spans="1:5" x14ac:dyDescent="0.2">
      <c r="A14" s="2" t="s">
        <v>101</v>
      </c>
      <c r="B14" s="2" t="s">
        <v>88</v>
      </c>
      <c r="C14" s="2">
        <v>273</v>
      </c>
      <c r="D14" s="2" t="s">
        <v>89</v>
      </c>
      <c r="E14" s="2" t="s">
        <v>90</v>
      </c>
    </row>
    <row r="15" spans="1:5" x14ac:dyDescent="0.2">
      <c r="A15" s="2" t="s">
        <v>102</v>
      </c>
      <c r="B15" s="2" t="s">
        <v>88</v>
      </c>
      <c r="C15" s="2">
        <v>254</v>
      </c>
      <c r="D15" s="2" t="s">
        <v>89</v>
      </c>
      <c r="E15" s="2" t="s">
        <v>90</v>
      </c>
    </row>
    <row r="16" spans="1:5" x14ac:dyDescent="0.2">
      <c r="A16" s="2" t="s">
        <v>103</v>
      </c>
      <c r="B16" s="2" t="s">
        <v>88</v>
      </c>
      <c r="C16" s="2">
        <v>249</v>
      </c>
      <c r="D16" s="2" t="s">
        <v>89</v>
      </c>
      <c r="E16" s="2" t="s">
        <v>90</v>
      </c>
    </row>
    <row r="17" spans="1:5" x14ac:dyDescent="0.2">
      <c r="A17" s="2" t="s">
        <v>104</v>
      </c>
      <c r="B17" s="2" t="s">
        <v>88</v>
      </c>
      <c r="C17" s="2">
        <v>289</v>
      </c>
      <c r="D17" s="2" t="s">
        <v>89</v>
      </c>
      <c r="E17" s="2" t="s">
        <v>90</v>
      </c>
    </row>
    <row r="18" spans="1:5" x14ac:dyDescent="0.2">
      <c r="A18" s="2" t="s">
        <v>105</v>
      </c>
      <c r="B18" s="2" t="s">
        <v>88</v>
      </c>
      <c r="C18" s="2">
        <v>290</v>
      </c>
      <c r="D18" s="2" t="s">
        <v>93</v>
      </c>
      <c r="E18" s="2" t="s">
        <v>90</v>
      </c>
    </row>
    <row r="19" spans="1:5" x14ac:dyDescent="0.2">
      <c r="A19" s="2" t="s">
        <v>106</v>
      </c>
      <c r="B19" s="2" t="s">
        <v>88</v>
      </c>
      <c r="C19" s="2">
        <v>278</v>
      </c>
      <c r="D19" s="2" t="s">
        <v>93</v>
      </c>
      <c r="E19" s="2" t="s">
        <v>90</v>
      </c>
    </row>
    <row r="20" spans="1:5" x14ac:dyDescent="0.2">
      <c r="A20" s="2" t="s">
        <v>107</v>
      </c>
      <c r="B20" s="2" t="s">
        <v>88</v>
      </c>
      <c r="C20" s="2">
        <v>253</v>
      </c>
      <c r="D20" s="2" t="s">
        <v>89</v>
      </c>
      <c r="E20" s="2" t="s">
        <v>90</v>
      </c>
    </row>
    <row r="21" spans="1:5" x14ac:dyDescent="0.2">
      <c r="A21" s="2" t="s">
        <v>108</v>
      </c>
      <c r="B21" s="2" t="s">
        <v>88</v>
      </c>
      <c r="C21" s="2">
        <v>282</v>
      </c>
      <c r="D21" s="2" t="s">
        <v>89</v>
      </c>
      <c r="E21" s="2" t="s">
        <v>90</v>
      </c>
    </row>
    <row r="22" spans="1:5" x14ac:dyDescent="0.2">
      <c r="A22" s="2" t="s">
        <v>109</v>
      </c>
      <c r="B22" s="2" t="s">
        <v>88</v>
      </c>
      <c r="C22" s="2">
        <v>248</v>
      </c>
      <c r="D22" s="2" t="s">
        <v>89</v>
      </c>
      <c r="E22" s="2" t="s">
        <v>90</v>
      </c>
    </row>
    <row r="23" spans="1:5" x14ac:dyDescent="0.2">
      <c r="A23" s="2" t="s">
        <v>110</v>
      </c>
      <c r="B23" s="2" t="s">
        <v>88</v>
      </c>
      <c r="C23" s="2">
        <v>259</v>
      </c>
      <c r="D23" s="2" t="s">
        <v>89</v>
      </c>
      <c r="E23" s="2" t="s">
        <v>90</v>
      </c>
    </row>
    <row r="24" spans="1:5" x14ac:dyDescent="0.2">
      <c r="A24" s="2" t="s">
        <v>111</v>
      </c>
      <c r="B24" s="2" t="s">
        <v>88</v>
      </c>
      <c r="C24" s="2">
        <v>290</v>
      </c>
      <c r="D24" s="2" t="s">
        <v>93</v>
      </c>
      <c r="E24" s="2" t="s">
        <v>90</v>
      </c>
    </row>
    <row r="25" spans="1:5" x14ac:dyDescent="0.2">
      <c r="A25" s="2" t="s">
        <v>112</v>
      </c>
      <c r="B25" s="2" t="s">
        <v>88</v>
      </c>
      <c r="C25" s="2">
        <v>285</v>
      </c>
      <c r="D25" s="2" t="s">
        <v>93</v>
      </c>
      <c r="E25" s="2" t="s">
        <v>90</v>
      </c>
    </row>
    <row r="26" spans="1:5" x14ac:dyDescent="0.2">
      <c r="A26" s="2" t="s">
        <v>113</v>
      </c>
      <c r="B26" s="2" t="s">
        <v>88</v>
      </c>
      <c r="C26" s="2">
        <v>295</v>
      </c>
      <c r="D26" s="2" t="s">
        <v>89</v>
      </c>
      <c r="E26" s="2" t="s">
        <v>90</v>
      </c>
    </row>
    <row r="27" spans="1:5" x14ac:dyDescent="0.2">
      <c r="A27" s="2" t="s">
        <v>114</v>
      </c>
      <c r="B27" s="2" t="s">
        <v>88</v>
      </c>
      <c r="C27" s="2">
        <v>290</v>
      </c>
      <c r="D27" s="2" t="s">
        <v>89</v>
      </c>
      <c r="E27" s="2" t="s">
        <v>90</v>
      </c>
    </row>
    <row r="28" spans="1:5" x14ac:dyDescent="0.2">
      <c r="A28" s="2" t="s">
        <v>115</v>
      </c>
      <c r="B28" s="2" t="s">
        <v>116</v>
      </c>
      <c r="C28" s="2">
        <v>410</v>
      </c>
      <c r="D28" s="2" t="s">
        <v>89</v>
      </c>
      <c r="E28" s="2" t="s">
        <v>117</v>
      </c>
    </row>
    <row r="29" spans="1:5" x14ac:dyDescent="0.2">
      <c r="A29" s="2" t="s">
        <v>118</v>
      </c>
      <c r="B29" s="2" t="s">
        <v>116</v>
      </c>
      <c r="C29" s="2">
        <v>385</v>
      </c>
      <c r="D29" s="2" t="s">
        <v>89</v>
      </c>
      <c r="E29" s="2" t="s">
        <v>117</v>
      </c>
    </row>
    <row r="30" spans="1:5" x14ac:dyDescent="0.2">
      <c r="A30" s="2" t="s">
        <v>119</v>
      </c>
      <c r="B30" s="2" t="s">
        <v>120</v>
      </c>
      <c r="C30" s="2">
        <v>140</v>
      </c>
      <c r="D30" s="2" t="s">
        <v>89</v>
      </c>
      <c r="E30" s="2" t="s">
        <v>117</v>
      </c>
    </row>
    <row r="31" spans="1:5" x14ac:dyDescent="0.2">
      <c r="A31" s="2" t="s">
        <v>121</v>
      </c>
      <c r="B31" s="2" t="s">
        <v>122</v>
      </c>
      <c r="C31" s="2">
        <v>165</v>
      </c>
      <c r="D31" s="2" t="s">
        <v>89</v>
      </c>
      <c r="E31" s="2" t="s">
        <v>117</v>
      </c>
    </row>
    <row r="32" spans="1:5" x14ac:dyDescent="0.2">
      <c r="A32" s="2" t="s">
        <v>123</v>
      </c>
      <c r="B32" s="2" t="s">
        <v>124</v>
      </c>
      <c r="C32" s="2">
        <v>150</v>
      </c>
      <c r="D32" s="2" t="s">
        <v>89</v>
      </c>
      <c r="E32" s="2" t="s">
        <v>125</v>
      </c>
    </row>
    <row r="33" spans="1:5" x14ac:dyDescent="0.2">
      <c r="A33" s="2" t="s">
        <v>126</v>
      </c>
      <c r="B33" s="2" t="s">
        <v>127</v>
      </c>
      <c r="C33" s="2">
        <v>62</v>
      </c>
      <c r="D33" s="2" t="s">
        <v>89</v>
      </c>
      <c r="E33" s="2" t="s">
        <v>117</v>
      </c>
    </row>
    <row r="34" spans="1:5" x14ac:dyDescent="0.2">
      <c r="A34" s="2" t="s">
        <v>128</v>
      </c>
      <c r="B34" s="2" t="s">
        <v>127</v>
      </c>
      <c r="C34" s="2">
        <v>58</v>
      </c>
      <c r="D34" s="2" t="s">
        <v>89</v>
      </c>
      <c r="E34" s="2" t="s">
        <v>117</v>
      </c>
    </row>
    <row r="35" spans="1:5" x14ac:dyDescent="0.2">
      <c r="A35" s="2" t="s">
        <v>129</v>
      </c>
      <c r="B35" s="2" t="s">
        <v>130</v>
      </c>
      <c r="C35" s="2">
        <v>88</v>
      </c>
      <c r="D35" s="2" t="s">
        <v>89</v>
      </c>
      <c r="E35" s="2" t="s">
        <v>125</v>
      </c>
    </row>
    <row r="36" spans="1:5" x14ac:dyDescent="0.2">
      <c r="A36" s="2" t="s">
        <v>131</v>
      </c>
      <c r="B36" s="2" t="s">
        <v>130</v>
      </c>
      <c r="C36" s="2">
        <v>92</v>
      </c>
      <c r="D36" s="2" t="s">
        <v>89</v>
      </c>
      <c r="E36" s="2" t="s">
        <v>125</v>
      </c>
    </row>
    <row r="37" spans="1:5" x14ac:dyDescent="0.2">
      <c r="A37" s="2" t="s">
        <v>132</v>
      </c>
      <c r="B37" s="2" t="s">
        <v>133</v>
      </c>
      <c r="C37" s="2">
        <v>340</v>
      </c>
      <c r="D37" s="2" t="s">
        <v>89</v>
      </c>
      <c r="E37" s="2" t="s">
        <v>117</v>
      </c>
    </row>
    <row r="38" spans="1:5" x14ac:dyDescent="0.2">
      <c r="A38" s="2" t="s">
        <v>134</v>
      </c>
      <c r="B38" s="2" t="s">
        <v>135</v>
      </c>
      <c r="C38" s="2">
        <v>290</v>
      </c>
      <c r="D38" s="2" t="s">
        <v>89</v>
      </c>
      <c r="E38" s="2" t="s">
        <v>117</v>
      </c>
    </row>
    <row r="39" spans="1:5" x14ac:dyDescent="0.2">
      <c r="A39" s="2" t="s">
        <v>136</v>
      </c>
      <c r="B39" s="2" t="s">
        <v>137</v>
      </c>
      <c r="C39" s="2">
        <v>275</v>
      </c>
      <c r="D39" s="2" t="s">
        <v>89</v>
      </c>
      <c r="E39" s="2" t="s">
        <v>117</v>
      </c>
    </row>
    <row r="40" spans="1:5" x14ac:dyDescent="0.2">
      <c r="A40" s="2" t="s">
        <v>138</v>
      </c>
      <c r="B40" s="2" t="s">
        <v>139</v>
      </c>
      <c r="C40" s="2">
        <v>4200</v>
      </c>
      <c r="D40" s="2" t="s">
        <v>89</v>
      </c>
      <c r="E40" s="2" t="s">
        <v>140</v>
      </c>
    </row>
    <row r="42" spans="1:5" x14ac:dyDescent="0.2">
      <c r="A42" s="6" t="s">
        <v>141</v>
      </c>
      <c r="C42" s="2">
        <f>COUNTIF(B4:B40,"Private patient room")</f>
        <v>24</v>
      </c>
    </row>
    <row r="43" spans="1:5" x14ac:dyDescent="0.2">
      <c r="A43" s="6" t="s">
        <v>142</v>
      </c>
      <c r="C43" s="2">
        <f>SUMIFS(C4:C40,B4:B40,"Corridor and alcoves")</f>
        <v>4200</v>
      </c>
    </row>
    <row r="44" spans="1:5" x14ac:dyDescent="0.2">
      <c r="A44" s="6" t="s">
        <v>143</v>
      </c>
      <c r="C44" s="2">
        <f>COUNTIF(B4:B40,"Nurses station")</f>
        <v>2</v>
      </c>
    </row>
    <row r="45" spans="1:5" x14ac:dyDescent="0.2">
      <c r="A45" s="6" t="s">
        <v>144</v>
      </c>
      <c r="C45" s="2">
        <f>COUNTIF(B4:B40,"Staff restroom")</f>
        <v>2</v>
      </c>
    </row>
    <row r="46" spans="1:5" x14ac:dyDescent="0.2">
      <c r="A46" s="6" t="s">
        <v>145</v>
      </c>
      <c r="C46" s="2">
        <f>COUNTIF(B4:B40,"Public restroom")</f>
        <v>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
  <sheetViews>
    <sheetView workbookViewId="0"/>
  </sheetViews>
  <sheetFormatPr baseColWidth="10" defaultColWidth="8.83203125" defaultRowHeight="15" x14ac:dyDescent="0.2"/>
  <cols>
    <col min="1" max="1" width="52" customWidth="1"/>
    <col min="2" max="4" width="14" customWidth="1"/>
    <col min="5" max="5" width="12" customWidth="1"/>
    <col min="6" max="6" width="14" customWidth="1"/>
    <col min="7" max="7" width="12" customWidth="1"/>
  </cols>
  <sheetData>
    <row r="1" spans="1:7" ht="16" x14ac:dyDescent="0.2">
      <c r="A1" s="1" t="s">
        <v>146</v>
      </c>
    </row>
    <row r="2" spans="1:7" x14ac:dyDescent="0.2">
      <c r="A2" s="2" t="s">
        <v>147</v>
      </c>
    </row>
    <row r="4" spans="1:7" x14ac:dyDescent="0.2">
      <c r="A4" s="4" t="s">
        <v>148</v>
      </c>
      <c r="B4" s="4" t="s">
        <v>149</v>
      </c>
      <c r="C4" s="4" t="s">
        <v>150</v>
      </c>
      <c r="D4" s="4" t="s">
        <v>4</v>
      </c>
      <c r="E4" s="4" t="s">
        <v>151</v>
      </c>
      <c r="F4" s="4" t="s">
        <v>152</v>
      </c>
      <c r="G4" s="4" t="s">
        <v>153</v>
      </c>
    </row>
    <row r="5" spans="1:7" x14ac:dyDescent="0.2">
      <c r="A5" s="2" t="s">
        <v>154</v>
      </c>
      <c r="B5" s="15">
        <f>ROUND(Parameters!$B$22-Parameters!$B$23,2)</f>
        <v>13.2</v>
      </c>
      <c r="C5" s="12">
        <f>Parameters!$B$4</f>
        <v>22</v>
      </c>
      <c r="D5" s="5">
        <f t="shared" ref="D5:D20" si="0">ROUND(B5*C5,2)</f>
        <v>290.4</v>
      </c>
      <c r="E5" s="5">
        <f>ROUND(D5*1,2)</f>
        <v>290.4</v>
      </c>
      <c r="F5" s="5">
        <f>ROUND(D5*0,2)</f>
        <v>0</v>
      </c>
      <c r="G5" s="5">
        <f>ROUND(D5*0,2)</f>
        <v>0</v>
      </c>
    </row>
    <row r="6" spans="1:7" x14ac:dyDescent="0.2">
      <c r="A6" s="2" t="s">
        <v>155</v>
      </c>
      <c r="B6" s="15">
        <f>ROUND(Parameters!$B$23*(1-Parameters!$B$24),3)</f>
        <v>6.724</v>
      </c>
      <c r="C6" s="12">
        <f>Parameters!$B$5</f>
        <v>43</v>
      </c>
      <c r="D6" s="5">
        <f t="shared" si="0"/>
        <v>289.13</v>
      </c>
      <c r="E6" s="5">
        <f>ROUND(D6*Parameters!$B$28,2)</f>
        <v>187.93</v>
      </c>
      <c r="F6" s="5">
        <f>ROUND(D6*Parameters!$B$29,2)</f>
        <v>86.74</v>
      </c>
      <c r="G6" s="5">
        <f>ROUND(D6*Parameters!$B$30,2)</f>
        <v>14.46</v>
      </c>
    </row>
    <row r="7" spans="1:7" x14ac:dyDescent="0.2">
      <c r="A7" s="2" t="s">
        <v>156</v>
      </c>
      <c r="B7" s="15">
        <f>ROUND(Parameters!$B$23*Parameters!$B$24,3)</f>
        <v>1.476</v>
      </c>
      <c r="C7" s="12">
        <f>Parameters!$B$6</f>
        <v>58</v>
      </c>
      <c r="D7" s="5">
        <f t="shared" si="0"/>
        <v>85.61</v>
      </c>
      <c r="E7" s="5">
        <f>ROUND(D7*Parameters!$B$28,2)</f>
        <v>55.65</v>
      </c>
      <c r="F7" s="5">
        <f>ROUND(D7*Parameters!$B$29,2)</f>
        <v>25.68</v>
      </c>
      <c r="G7" s="5">
        <f>ROUND(D7*Parameters!$B$30,2)</f>
        <v>4.28</v>
      </c>
    </row>
    <row r="8" spans="1:7" x14ac:dyDescent="0.2">
      <c r="A8" s="2" t="s">
        <v>143</v>
      </c>
      <c r="B8" s="15">
        <f>Inventory!$C$44</f>
        <v>2</v>
      </c>
      <c r="C8" s="12">
        <f>Parameters!$B$7</f>
        <v>15</v>
      </c>
      <c r="D8" s="5">
        <f t="shared" si="0"/>
        <v>30</v>
      </c>
      <c r="E8" s="5">
        <f>ROUND(D8*Parameters!$B$31,2)</f>
        <v>15</v>
      </c>
      <c r="F8" s="5">
        <f>ROUND(D8*Parameters!$B$32,2)</f>
        <v>9</v>
      </c>
      <c r="G8" s="5">
        <f>ROUND(D8*Parameters!$B$33,2)</f>
        <v>6</v>
      </c>
    </row>
    <row r="9" spans="1:7" x14ac:dyDescent="0.2">
      <c r="A9" s="2" t="s">
        <v>120</v>
      </c>
      <c r="B9" s="15">
        <v>1</v>
      </c>
      <c r="C9" s="12">
        <f>Parameters!$B$8</f>
        <v>10</v>
      </c>
      <c r="D9" s="5">
        <f t="shared" si="0"/>
        <v>10</v>
      </c>
      <c r="E9" s="5">
        <f>ROUND(D9*Parameters!$B$31,2)</f>
        <v>5</v>
      </c>
      <c r="F9" s="5">
        <f>ROUND(D9*Parameters!$B$32,2)</f>
        <v>3</v>
      </c>
      <c r="G9" s="5">
        <f>ROUND(D9*Parameters!$B$33,2)</f>
        <v>2</v>
      </c>
    </row>
    <row r="10" spans="1:7" x14ac:dyDescent="0.2">
      <c r="A10" s="2" t="s">
        <v>122</v>
      </c>
      <c r="B10" s="15">
        <v>1</v>
      </c>
      <c r="C10" s="12">
        <f>Parameters!$B$9</f>
        <v>12</v>
      </c>
      <c r="D10" s="5">
        <f t="shared" si="0"/>
        <v>12</v>
      </c>
      <c r="E10" s="5">
        <f>ROUND(D10*Parameters!$B$31,2)</f>
        <v>6</v>
      </c>
      <c r="F10" s="5">
        <f>ROUND(D10*Parameters!$B$32,2)</f>
        <v>3.6</v>
      </c>
      <c r="G10" s="5">
        <f>ROUND(D10*Parameters!$B$33,2)</f>
        <v>2.4</v>
      </c>
    </row>
    <row r="11" spans="1:7" x14ac:dyDescent="0.2">
      <c r="A11" s="2" t="s">
        <v>157</v>
      </c>
      <c r="B11" s="15">
        <v>2</v>
      </c>
      <c r="C11" s="12">
        <f>Parameters!$B$10</f>
        <v>12</v>
      </c>
      <c r="D11" s="5">
        <f t="shared" si="0"/>
        <v>24</v>
      </c>
      <c r="E11" s="5">
        <f>ROUND(D11*Parameters!$B$31,2)</f>
        <v>12</v>
      </c>
      <c r="F11" s="5">
        <f>ROUND(D11*Parameters!$B$32,2)</f>
        <v>7.2</v>
      </c>
      <c r="G11" s="5">
        <f>ROUND(D11*Parameters!$B$33,2)</f>
        <v>4.8</v>
      </c>
    </row>
    <row r="12" spans="1:7" x14ac:dyDescent="0.2">
      <c r="A12" s="2" t="s">
        <v>144</v>
      </c>
      <c r="B12" s="15">
        <f>Inventory!$C$45</f>
        <v>2</v>
      </c>
      <c r="C12" s="12">
        <f>Parameters!$B$11</f>
        <v>14</v>
      </c>
      <c r="D12" s="5">
        <f t="shared" si="0"/>
        <v>28</v>
      </c>
      <c r="E12" s="5">
        <f>ROUND(D12*Parameters!$B$31,2)</f>
        <v>14</v>
      </c>
      <c r="F12" s="5">
        <f>ROUND(D12*Parameters!$B$32,2)</f>
        <v>8.4</v>
      </c>
      <c r="G12" s="5">
        <f>ROUND(D12*Parameters!$B$33,2)</f>
        <v>5.6</v>
      </c>
    </row>
    <row r="13" spans="1:7" x14ac:dyDescent="0.2">
      <c r="A13" s="2" t="s">
        <v>158</v>
      </c>
      <c r="B13" s="15">
        <f>Inventory!$C$46*2</f>
        <v>4</v>
      </c>
      <c r="C13" s="12">
        <f>Parameters!$B$12</f>
        <v>14</v>
      </c>
      <c r="D13" s="5">
        <f t="shared" si="0"/>
        <v>56</v>
      </c>
      <c r="E13" s="5">
        <f>ROUND(D13*Parameters!$B$31,2)</f>
        <v>28</v>
      </c>
      <c r="F13" s="5">
        <f>ROUND(D13*Parameters!$B$32,2)</f>
        <v>16.8</v>
      </c>
      <c r="G13" s="5">
        <f>ROUND(D13*Parameters!$B$33,2)</f>
        <v>11.2</v>
      </c>
    </row>
    <row r="14" spans="1:7" x14ac:dyDescent="0.2">
      <c r="A14" s="2" t="s">
        <v>133</v>
      </c>
      <c r="B14" s="15">
        <v>1</v>
      </c>
      <c r="C14" s="12">
        <f>Parameters!$B$13</f>
        <v>20</v>
      </c>
      <c r="D14" s="5">
        <f t="shared" si="0"/>
        <v>20</v>
      </c>
      <c r="E14" s="5">
        <f>ROUND(D14*Parameters!$B$31,2)</f>
        <v>10</v>
      </c>
      <c r="F14" s="5">
        <f>ROUND(D14*Parameters!$B$32,2)</f>
        <v>6</v>
      </c>
      <c r="G14" s="5">
        <f>ROUND(D14*Parameters!$B$33,2)</f>
        <v>4</v>
      </c>
    </row>
    <row r="15" spans="1:7" x14ac:dyDescent="0.2">
      <c r="A15" s="2" t="s">
        <v>135</v>
      </c>
      <c r="B15" s="15">
        <v>1</v>
      </c>
      <c r="C15" s="12">
        <f>Parameters!$B$14</f>
        <v>12</v>
      </c>
      <c r="D15" s="5">
        <f t="shared" si="0"/>
        <v>12</v>
      </c>
      <c r="E15" s="5">
        <f>ROUND(D15*Parameters!$B$31,2)</f>
        <v>6</v>
      </c>
      <c r="F15" s="5">
        <f>ROUND(D15*Parameters!$B$32,2)</f>
        <v>3.6</v>
      </c>
      <c r="G15" s="5">
        <f>ROUND(D15*Parameters!$B$33,2)</f>
        <v>2.4</v>
      </c>
    </row>
    <row r="16" spans="1:7" x14ac:dyDescent="0.2">
      <c r="A16" s="2" t="s">
        <v>137</v>
      </c>
      <c r="B16" s="15">
        <v>1</v>
      </c>
      <c r="C16" s="12">
        <f>Parameters!$B$15</f>
        <v>15</v>
      </c>
      <c r="D16" s="5">
        <f t="shared" si="0"/>
        <v>15</v>
      </c>
      <c r="E16" s="5">
        <f>ROUND(D16*Parameters!$B$31,2)</f>
        <v>7.5</v>
      </c>
      <c r="F16" s="5">
        <f>ROUND(D16*Parameters!$B$32,2)</f>
        <v>4.5</v>
      </c>
      <c r="G16" s="5">
        <f>ROUND(D16*Parameters!$B$33,2)</f>
        <v>3</v>
      </c>
    </row>
    <row r="17" spans="1:7" x14ac:dyDescent="0.2">
      <c r="A17" s="2" t="s">
        <v>159</v>
      </c>
      <c r="B17" s="15">
        <f>Inventory!$C$43/100</f>
        <v>42</v>
      </c>
      <c r="C17" s="12">
        <f>Parameters!$B$16</f>
        <v>1.5</v>
      </c>
      <c r="D17" s="5">
        <f t="shared" si="0"/>
        <v>63</v>
      </c>
      <c r="E17" s="5">
        <f>ROUND(D17*Parameters!$B$31,2)</f>
        <v>31.5</v>
      </c>
      <c r="F17" s="5">
        <f>ROUND(D17*Parameters!$B$32,2)</f>
        <v>18.9</v>
      </c>
      <c r="G17" s="5">
        <f>ROUND(D17*Parameters!$B$33,2)</f>
        <v>12.6</v>
      </c>
    </row>
    <row r="18" spans="1:7" x14ac:dyDescent="0.2">
      <c r="A18" s="2" t="s">
        <v>160</v>
      </c>
      <c r="B18" s="15">
        <v>2</v>
      </c>
      <c r="C18" s="12">
        <f>Parameters!$B$17</f>
        <v>30</v>
      </c>
      <c r="D18" s="5">
        <f t="shared" si="0"/>
        <v>60</v>
      </c>
      <c r="E18" s="5">
        <f>ROUND(D18*Parameters!$B$31,2)</f>
        <v>30</v>
      </c>
      <c r="F18" s="5">
        <f>ROUND(D18*Parameters!$B$32,2)</f>
        <v>18</v>
      </c>
      <c r="G18" s="5">
        <f>ROUND(D18*Parameters!$B$33,2)</f>
        <v>12</v>
      </c>
    </row>
    <row r="19" spans="1:7" x14ac:dyDescent="0.2">
      <c r="A19" s="2" t="s">
        <v>161</v>
      </c>
      <c r="B19" s="15">
        <f>ROUND(1/Parameters!$B$20,4)</f>
        <v>0.1429</v>
      </c>
      <c r="C19" s="12">
        <f>Parameters!$B$18</f>
        <v>90</v>
      </c>
      <c r="D19" s="5">
        <f t="shared" si="0"/>
        <v>12.86</v>
      </c>
      <c r="E19" s="5">
        <f>ROUND(D19*0,2)</f>
        <v>0</v>
      </c>
      <c r="F19" s="5">
        <f>ROUND(D19*0,2)</f>
        <v>0</v>
      </c>
      <c r="G19" s="5">
        <f>ROUND(D19*1,2)</f>
        <v>12.86</v>
      </c>
    </row>
    <row r="20" spans="1:7" x14ac:dyDescent="0.2">
      <c r="A20" s="2" t="s">
        <v>162</v>
      </c>
      <c r="B20" s="15">
        <f>ROUND(1/Parameters!$B$21,4)</f>
        <v>0.0329</v>
      </c>
      <c r="C20" s="12">
        <f>Parameters!$B$19</f>
        <v>360</v>
      </c>
      <c r="D20" s="5">
        <f t="shared" si="0"/>
        <v>11.84</v>
      </c>
      <c r="E20" s="5">
        <f>ROUND(D20*0,2)</f>
        <v>0</v>
      </c>
      <c r="F20" s="5">
        <f>ROUND(D20*0,2)</f>
        <v>0</v>
      </c>
      <c r="G20" s="5">
        <f>ROUND(D20*1,2)</f>
        <v>11.84</v>
      </c>
    </row>
    <row r="21" spans="1:7" x14ac:dyDescent="0.2">
      <c r="A21" s="6" t="s">
        <v>163</v>
      </c>
      <c r="D21" s="16">
        <f>SUM(D5:D20)</f>
        <v>1019.84</v>
      </c>
      <c r="E21" s="16">
        <f>SUM(E5:E20)</f>
        <v>698.98</v>
      </c>
      <c r="F21" s="16">
        <f>SUM(F5:F20)</f>
        <v>211.42</v>
      </c>
      <c r="G21" s="16">
        <f>SUM(G5:G20)</f>
        <v>109.44</v>
      </c>
    </row>
    <row r="22" spans="1:7" x14ac:dyDescent="0.2">
      <c r="A22" s="2" t="s">
        <v>164</v>
      </c>
      <c r="D22" s="5">
        <f>ROUND(D21/60,2)</f>
        <v>17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2"/>
  <sheetViews>
    <sheetView workbookViewId="0"/>
  </sheetViews>
  <sheetFormatPr baseColWidth="10" defaultColWidth="8.83203125" defaultRowHeight="15" x14ac:dyDescent="0.2"/>
  <cols>
    <col min="1" max="1" width="52" customWidth="1"/>
    <col min="2" max="4" width="14" customWidth="1"/>
    <col min="5" max="5" width="12" customWidth="1"/>
    <col min="6" max="6" width="14" customWidth="1"/>
    <col min="7" max="7" width="12" customWidth="1"/>
  </cols>
  <sheetData>
    <row r="1" spans="1:7" ht="16" x14ac:dyDescent="0.2">
      <c r="A1" s="1" t="s">
        <v>165</v>
      </c>
    </row>
    <row r="2" spans="1:7" x14ac:dyDescent="0.2">
      <c r="A2" s="2" t="s">
        <v>147</v>
      </c>
    </row>
    <row r="4" spans="1:7" x14ac:dyDescent="0.2">
      <c r="A4" s="4" t="s">
        <v>148</v>
      </c>
      <c r="B4" s="4" t="s">
        <v>149</v>
      </c>
      <c r="C4" s="4" t="s">
        <v>150</v>
      </c>
      <c r="D4" s="4" t="s">
        <v>4</v>
      </c>
      <c r="E4" s="4" t="s">
        <v>151</v>
      </c>
      <c r="F4" s="4" t="s">
        <v>152</v>
      </c>
      <c r="G4" s="4" t="s">
        <v>153</v>
      </c>
    </row>
    <row r="5" spans="1:7" x14ac:dyDescent="0.2">
      <c r="A5" s="2" t="s">
        <v>154</v>
      </c>
      <c r="B5" s="15">
        <f>ROUND(Parameters!$B$25-Parameters!$B$26,2)</f>
        <v>14.5</v>
      </c>
      <c r="C5" s="12">
        <f>Parameters!$B$4</f>
        <v>22</v>
      </c>
      <c r="D5" s="5">
        <f t="shared" ref="D5:D20" si="0">ROUND(B5*C5,2)</f>
        <v>319</v>
      </c>
      <c r="E5" s="5">
        <f>ROUND(D5*1,2)</f>
        <v>319</v>
      </c>
      <c r="F5" s="5">
        <f>ROUND(D5*0,2)</f>
        <v>0</v>
      </c>
      <c r="G5" s="5">
        <f>ROUND(D5*0,2)</f>
        <v>0</v>
      </c>
    </row>
    <row r="6" spans="1:7" x14ac:dyDescent="0.2">
      <c r="A6" s="2" t="s">
        <v>155</v>
      </c>
      <c r="B6" s="15">
        <f>ROUND(Parameters!$B$26*(1-Parameters!$B$27),3)</f>
        <v>6.786</v>
      </c>
      <c r="C6" s="12">
        <f>Parameters!$B$5</f>
        <v>43</v>
      </c>
      <c r="D6" s="5">
        <f t="shared" si="0"/>
        <v>291.8</v>
      </c>
      <c r="E6" s="5">
        <f>ROUND(D6*Parameters!$B$28,2)</f>
        <v>189.67</v>
      </c>
      <c r="F6" s="5">
        <f>ROUND(D6*Parameters!$B$29,2)</f>
        <v>87.54</v>
      </c>
      <c r="G6" s="5">
        <f>ROUND(D6*Parameters!$B$30,2)</f>
        <v>14.59</v>
      </c>
    </row>
    <row r="7" spans="1:7" x14ac:dyDescent="0.2">
      <c r="A7" s="2" t="s">
        <v>156</v>
      </c>
      <c r="B7" s="15">
        <f>ROUND(Parameters!$B$26*Parameters!$B$27,3)</f>
        <v>1.914</v>
      </c>
      <c r="C7" s="12">
        <f>Parameters!$B$6</f>
        <v>58</v>
      </c>
      <c r="D7" s="5">
        <f t="shared" si="0"/>
        <v>111.01</v>
      </c>
      <c r="E7" s="5">
        <f>ROUND(D7*Parameters!$B$28,2)</f>
        <v>72.16</v>
      </c>
      <c r="F7" s="5">
        <f>ROUND(D7*Parameters!$B$29,2)</f>
        <v>33.3</v>
      </c>
      <c r="G7" s="5">
        <f>ROUND(D7*Parameters!$B$30,2)</f>
        <v>5.55</v>
      </c>
    </row>
    <row r="8" spans="1:7" x14ac:dyDescent="0.2">
      <c r="A8" s="2" t="s">
        <v>143</v>
      </c>
      <c r="B8" s="15">
        <f>Inventory!$C$44</f>
        <v>2</v>
      </c>
      <c r="C8" s="12">
        <f>Parameters!$B$7</f>
        <v>15</v>
      </c>
      <c r="D8" s="5">
        <f t="shared" si="0"/>
        <v>30</v>
      </c>
      <c r="E8" s="5">
        <f>ROUND(D8*Parameters!$B$31,2)</f>
        <v>15</v>
      </c>
      <c r="F8" s="5">
        <f>ROUND(D8*Parameters!$B$32,2)</f>
        <v>9</v>
      </c>
      <c r="G8" s="5">
        <f>ROUND(D8*Parameters!$B$33,2)</f>
        <v>6</v>
      </c>
    </row>
    <row r="9" spans="1:7" x14ac:dyDescent="0.2">
      <c r="A9" s="2" t="s">
        <v>120</v>
      </c>
      <c r="B9" s="15">
        <v>1</v>
      </c>
      <c r="C9" s="12">
        <f>Parameters!$B$8</f>
        <v>10</v>
      </c>
      <c r="D9" s="5">
        <f t="shared" si="0"/>
        <v>10</v>
      </c>
      <c r="E9" s="5">
        <f>ROUND(D9*Parameters!$B$31,2)</f>
        <v>5</v>
      </c>
      <c r="F9" s="5">
        <f>ROUND(D9*Parameters!$B$32,2)</f>
        <v>3</v>
      </c>
      <c r="G9" s="5">
        <f>ROUND(D9*Parameters!$B$33,2)</f>
        <v>2</v>
      </c>
    </row>
    <row r="10" spans="1:7" x14ac:dyDescent="0.2">
      <c r="A10" s="2" t="s">
        <v>122</v>
      </c>
      <c r="B10" s="15">
        <v>1</v>
      </c>
      <c r="C10" s="12">
        <f>Parameters!$B$9</f>
        <v>12</v>
      </c>
      <c r="D10" s="5">
        <f t="shared" si="0"/>
        <v>12</v>
      </c>
      <c r="E10" s="5">
        <f>ROUND(D10*Parameters!$B$31,2)</f>
        <v>6</v>
      </c>
      <c r="F10" s="5">
        <f>ROUND(D10*Parameters!$B$32,2)</f>
        <v>3.6</v>
      </c>
      <c r="G10" s="5">
        <f>ROUND(D10*Parameters!$B$33,2)</f>
        <v>2.4</v>
      </c>
    </row>
    <row r="11" spans="1:7" x14ac:dyDescent="0.2">
      <c r="A11" s="2" t="s">
        <v>157</v>
      </c>
      <c r="B11" s="15">
        <v>2</v>
      </c>
      <c r="C11" s="12">
        <f>Parameters!$B$10</f>
        <v>12</v>
      </c>
      <c r="D11" s="5">
        <f t="shared" si="0"/>
        <v>24</v>
      </c>
      <c r="E11" s="5">
        <f>ROUND(D11*Parameters!$B$31,2)</f>
        <v>12</v>
      </c>
      <c r="F11" s="5">
        <f>ROUND(D11*Parameters!$B$32,2)</f>
        <v>7.2</v>
      </c>
      <c r="G11" s="5">
        <f>ROUND(D11*Parameters!$B$33,2)</f>
        <v>4.8</v>
      </c>
    </row>
    <row r="12" spans="1:7" x14ac:dyDescent="0.2">
      <c r="A12" s="2" t="s">
        <v>144</v>
      </c>
      <c r="B12" s="15">
        <f>Inventory!$C$45</f>
        <v>2</v>
      </c>
      <c r="C12" s="12">
        <f>Parameters!$B$11</f>
        <v>14</v>
      </c>
      <c r="D12" s="5">
        <f t="shared" si="0"/>
        <v>28</v>
      </c>
      <c r="E12" s="5">
        <f>ROUND(D12*Parameters!$B$31,2)</f>
        <v>14</v>
      </c>
      <c r="F12" s="5">
        <f>ROUND(D12*Parameters!$B$32,2)</f>
        <v>8.4</v>
      </c>
      <c r="G12" s="5">
        <f>ROUND(D12*Parameters!$B$33,2)</f>
        <v>5.6</v>
      </c>
    </row>
    <row r="13" spans="1:7" x14ac:dyDescent="0.2">
      <c r="A13" s="2" t="s">
        <v>158</v>
      </c>
      <c r="B13" s="15">
        <f>Inventory!$C$46*2</f>
        <v>4</v>
      </c>
      <c r="C13" s="12">
        <f>Parameters!$B$12</f>
        <v>14</v>
      </c>
      <c r="D13" s="5">
        <f t="shared" si="0"/>
        <v>56</v>
      </c>
      <c r="E13" s="5">
        <f>ROUND(D13*Parameters!$B$31,2)</f>
        <v>28</v>
      </c>
      <c r="F13" s="5">
        <f>ROUND(D13*Parameters!$B$32,2)</f>
        <v>16.8</v>
      </c>
      <c r="G13" s="5">
        <f>ROUND(D13*Parameters!$B$33,2)</f>
        <v>11.2</v>
      </c>
    </row>
    <row r="14" spans="1:7" x14ac:dyDescent="0.2">
      <c r="A14" s="2" t="s">
        <v>133</v>
      </c>
      <c r="B14" s="15">
        <v>1</v>
      </c>
      <c r="C14" s="12">
        <f>Parameters!$B$13</f>
        <v>20</v>
      </c>
      <c r="D14" s="5">
        <f t="shared" si="0"/>
        <v>20</v>
      </c>
      <c r="E14" s="5">
        <f>ROUND(D14*Parameters!$B$31,2)</f>
        <v>10</v>
      </c>
      <c r="F14" s="5">
        <f>ROUND(D14*Parameters!$B$32,2)</f>
        <v>6</v>
      </c>
      <c r="G14" s="5">
        <f>ROUND(D14*Parameters!$B$33,2)</f>
        <v>4</v>
      </c>
    </row>
    <row r="15" spans="1:7" x14ac:dyDescent="0.2">
      <c r="A15" s="2" t="s">
        <v>135</v>
      </c>
      <c r="B15" s="15">
        <v>1</v>
      </c>
      <c r="C15" s="12">
        <f>Parameters!$B$14</f>
        <v>12</v>
      </c>
      <c r="D15" s="5">
        <f t="shared" si="0"/>
        <v>12</v>
      </c>
      <c r="E15" s="5">
        <f>ROUND(D15*Parameters!$B$31,2)</f>
        <v>6</v>
      </c>
      <c r="F15" s="5">
        <f>ROUND(D15*Parameters!$B$32,2)</f>
        <v>3.6</v>
      </c>
      <c r="G15" s="5">
        <f>ROUND(D15*Parameters!$B$33,2)</f>
        <v>2.4</v>
      </c>
    </row>
    <row r="16" spans="1:7" x14ac:dyDescent="0.2">
      <c r="A16" s="2" t="s">
        <v>137</v>
      </c>
      <c r="B16" s="15">
        <v>1</v>
      </c>
      <c r="C16" s="12">
        <f>Parameters!$B$15</f>
        <v>15</v>
      </c>
      <c r="D16" s="5">
        <f t="shared" si="0"/>
        <v>15</v>
      </c>
      <c r="E16" s="5">
        <f>ROUND(D16*Parameters!$B$31,2)</f>
        <v>7.5</v>
      </c>
      <c r="F16" s="5">
        <f>ROUND(D16*Parameters!$B$32,2)</f>
        <v>4.5</v>
      </c>
      <c r="G16" s="5">
        <f>ROUND(D16*Parameters!$B$33,2)</f>
        <v>3</v>
      </c>
    </row>
    <row r="17" spans="1:7" x14ac:dyDescent="0.2">
      <c r="A17" s="2" t="s">
        <v>159</v>
      </c>
      <c r="B17" s="15">
        <f>Inventory!$C$43/100</f>
        <v>42</v>
      </c>
      <c r="C17" s="12">
        <f>Parameters!$B$16</f>
        <v>1.5</v>
      </c>
      <c r="D17" s="5">
        <f t="shared" si="0"/>
        <v>63</v>
      </c>
      <c r="E17" s="5">
        <f>ROUND(D17*Parameters!$B$31,2)</f>
        <v>31.5</v>
      </c>
      <c r="F17" s="5">
        <f>ROUND(D17*Parameters!$B$32,2)</f>
        <v>18.9</v>
      </c>
      <c r="G17" s="5">
        <f>ROUND(D17*Parameters!$B$33,2)</f>
        <v>12.6</v>
      </c>
    </row>
    <row r="18" spans="1:7" x14ac:dyDescent="0.2">
      <c r="A18" s="2" t="s">
        <v>160</v>
      </c>
      <c r="B18" s="15">
        <v>2</v>
      </c>
      <c r="C18" s="12">
        <f>Parameters!$B$17</f>
        <v>30</v>
      </c>
      <c r="D18" s="5">
        <f t="shared" si="0"/>
        <v>60</v>
      </c>
      <c r="E18" s="5">
        <f>ROUND(D18*Parameters!$B$31,2)</f>
        <v>30</v>
      </c>
      <c r="F18" s="5">
        <f>ROUND(D18*Parameters!$B$32,2)</f>
        <v>18</v>
      </c>
      <c r="G18" s="5">
        <f>ROUND(D18*Parameters!$B$33,2)</f>
        <v>12</v>
      </c>
    </row>
    <row r="19" spans="1:7" x14ac:dyDescent="0.2">
      <c r="A19" s="2" t="s">
        <v>161</v>
      </c>
      <c r="B19" s="15">
        <f>ROUND(1/Parameters!$B$20,4)</f>
        <v>0.1429</v>
      </c>
      <c r="C19" s="12">
        <f>Parameters!$B$18</f>
        <v>90</v>
      </c>
      <c r="D19" s="5">
        <f t="shared" si="0"/>
        <v>12.86</v>
      </c>
      <c r="E19" s="5">
        <f>ROUND(D19*0,2)</f>
        <v>0</v>
      </c>
      <c r="F19" s="5">
        <f>ROUND(D19*0,2)</f>
        <v>0</v>
      </c>
      <c r="G19" s="5">
        <f>ROUND(D19*1,2)</f>
        <v>12.86</v>
      </c>
    </row>
    <row r="20" spans="1:7" x14ac:dyDescent="0.2">
      <c r="A20" s="2" t="s">
        <v>162</v>
      </c>
      <c r="B20" s="15">
        <f>ROUND(1/Parameters!$B$21,4)</f>
        <v>0.0329</v>
      </c>
      <c r="C20" s="12">
        <f>Parameters!$B$19</f>
        <v>360</v>
      </c>
      <c r="D20" s="5">
        <f t="shared" si="0"/>
        <v>11.84</v>
      </c>
      <c r="E20" s="5">
        <f>ROUND(D20*0,2)</f>
        <v>0</v>
      </c>
      <c r="F20" s="5">
        <f>ROUND(D20*0,2)</f>
        <v>0</v>
      </c>
      <c r="G20" s="5">
        <f>ROUND(D20*1,2)</f>
        <v>11.84</v>
      </c>
    </row>
    <row r="21" spans="1:7" x14ac:dyDescent="0.2">
      <c r="A21" s="6" t="s">
        <v>163</v>
      </c>
      <c r="D21" s="16">
        <f>SUM(D5:D20)</f>
        <v>1076.51</v>
      </c>
      <c r="E21" s="16">
        <f>SUM(E5:E20)</f>
        <v>745.83</v>
      </c>
      <c r="F21" s="16">
        <f>SUM(F5:F20)</f>
        <v>219.84</v>
      </c>
      <c r="G21" s="16">
        <f>SUM(G5:G20)</f>
        <v>110.84</v>
      </c>
    </row>
    <row r="22" spans="1:7" x14ac:dyDescent="0.2">
      <c r="A22" s="2" t="s">
        <v>164</v>
      </c>
      <c r="D22" s="5">
        <f>ROUND(D21/60,2)</f>
        <v>17.94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5"/>
  <sheetViews>
    <sheetView workbookViewId="0"/>
  </sheetViews>
  <sheetFormatPr baseColWidth="10" defaultColWidth="8.83203125" defaultRowHeight="15" x14ac:dyDescent="0.2"/>
  <cols>
    <col min="1" max="1" width="32" customWidth="1"/>
    <col min="2" max="2" width="16" customWidth="1"/>
    <col min="3" max="3" width="12" customWidth="1"/>
    <col min="4" max="4" width="22" customWidth="1"/>
    <col min="5" max="6" width="16" customWidth="1"/>
    <col min="7" max="8" width="18" customWidth="1"/>
  </cols>
  <sheetData>
    <row r="1" spans="1:8" ht="16" x14ac:dyDescent="0.2">
      <c r="A1" s="1" t="s">
        <v>166</v>
      </c>
    </row>
    <row r="2" spans="1:8" x14ac:dyDescent="0.2">
      <c r="A2" s="2" t="s">
        <v>167</v>
      </c>
    </row>
    <row r="4" spans="1:8" x14ac:dyDescent="0.2">
      <c r="A4" s="4" t="s">
        <v>3</v>
      </c>
      <c r="B4" s="4" t="s">
        <v>4</v>
      </c>
      <c r="C4" s="4" t="s">
        <v>5</v>
      </c>
      <c r="D4" s="4" t="s">
        <v>168</v>
      </c>
      <c r="E4" s="4" t="s">
        <v>6</v>
      </c>
      <c r="F4" s="4" t="s">
        <v>7</v>
      </c>
      <c r="G4" s="4" t="s">
        <v>8</v>
      </c>
      <c r="H4" s="4" t="s">
        <v>9</v>
      </c>
    </row>
    <row r="5" spans="1:8" x14ac:dyDescent="0.2">
      <c r="A5" s="2" t="s">
        <v>10</v>
      </c>
      <c r="B5" s="5">
        <f>Workload!E21</f>
        <v>698.98</v>
      </c>
      <c r="C5" s="5">
        <f>ROUND(B5/Parameters!$B$34,2)</f>
        <v>1.66</v>
      </c>
      <c r="D5" s="12">
        <f>ROUND(C5*Parameters!$B$35,1)</f>
        <v>605.9</v>
      </c>
      <c r="E5" s="5">
        <f>ROUND(D5/Parameters!$B$36,2)</f>
        <v>2.62</v>
      </c>
      <c r="F5" s="5">
        <f>Parameters!$B$45</f>
        <v>1</v>
      </c>
      <c r="G5" s="5">
        <f>Parameters!$B$44</f>
        <v>1</v>
      </c>
      <c r="H5" s="5">
        <f>ROUND(E5-F5-G5,2)</f>
        <v>0.62</v>
      </c>
    </row>
    <row r="6" spans="1:8" x14ac:dyDescent="0.2">
      <c r="A6" s="2" t="s">
        <v>11</v>
      </c>
      <c r="B6" s="5">
        <f>Workload!F21</f>
        <v>211.42</v>
      </c>
      <c r="C6" s="5">
        <f>ROUND(B6/Parameters!$B$34,2)</f>
        <v>0.5</v>
      </c>
      <c r="D6" s="12">
        <f>ROUND(C6*Parameters!$B$35,1)</f>
        <v>182.5</v>
      </c>
      <c r="E6" s="5">
        <f>ROUND(D6/Parameters!$B$36,2)</f>
        <v>0.79</v>
      </c>
      <c r="F6" s="5">
        <f>Parameters!$B$46</f>
        <v>1</v>
      </c>
      <c r="G6" s="5" t="s">
        <v>169</v>
      </c>
      <c r="H6" s="5">
        <f>ROUND(E6-F6-G6,2)</f>
        <v>-0.21</v>
      </c>
    </row>
    <row r="7" spans="1:8" x14ac:dyDescent="0.2">
      <c r="A7" s="2" t="s">
        <v>12</v>
      </c>
      <c r="B7" s="5">
        <f>Workload!G21</f>
        <v>109.44</v>
      </c>
      <c r="C7" s="5">
        <f>ROUND(B7/Parameters!$B$34,2)</f>
        <v>0.26</v>
      </c>
      <c r="D7" s="12">
        <f>ROUND(C7*Parameters!$B$35,1)</f>
        <v>94.9</v>
      </c>
      <c r="E7" s="5">
        <f>ROUND(D7/Parameters!$B$36,2)</f>
        <v>0.41</v>
      </c>
      <c r="F7" s="5">
        <f>0</f>
        <v>0</v>
      </c>
      <c r="G7" s="5" t="s">
        <v>169</v>
      </c>
      <c r="H7" s="5">
        <f>ROUND(E7-F7-G7,2)</f>
        <v>0.41</v>
      </c>
    </row>
    <row r="8" spans="1:8" x14ac:dyDescent="0.2">
      <c r="A8" s="6" t="s">
        <v>13</v>
      </c>
      <c r="B8" s="7">
        <f t="shared" ref="B8:H8" si="0">SUM(B5:B7)</f>
        <v>1019.84</v>
      </c>
      <c r="C8" s="7">
        <f t="shared" si="0"/>
        <v>2.42</v>
      </c>
      <c r="D8" s="7">
        <f t="shared" si="0"/>
        <v>883.3</v>
      </c>
      <c r="E8" s="16">
        <f t="shared" si="0"/>
        <v>3.82</v>
      </c>
      <c r="F8" s="7">
        <f t="shared" si="0"/>
        <v>2</v>
      </c>
      <c r="G8" s="7">
        <f t="shared" si="0"/>
        <v>1</v>
      </c>
      <c r="H8" s="16">
        <f t="shared" si="0"/>
        <v>0.82</v>
      </c>
    </row>
    <row r="10" spans="1:8" x14ac:dyDescent="0.2">
      <c r="A10" s="6" t="s">
        <v>170</v>
      </c>
    </row>
    <row r="11" spans="1:8" x14ac:dyDescent="0.2">
      <c r="A11" s="4" t="s">
        <v>3</v>
      </c>
      <c r="B11" s="4" t="s">
        <v>4</v>
      </c>
      <c r="C11" s="4" t="s">
        <v>5</v>
      </c>
      <c r="D11" s="4" t="s">
        <v>171</v>
      </c>
      <c r="E11" s="4" t="s">
        <v>172</v>
      </c>
      <c r="F11" s="4"/>
      <c r="G11" s="4"/>
      <c r="H11" s="4"/>
    </row>
    <row r="12" spans="1:8" x14ac:dyDescent="0.2">
      <c r="A12" s="2" t="s">
        <v>10</v>
      </c>
      <c r="B12" s="5">
        <f>'Workload Dec Peak'!E21</f>
        <v>745.83</v>
      </c>
      <c r="C12" s="5">
        <f>ROUND(B12/Parameters!$B$34,2)</f>
        <v>1.78</v>
      </c>
      <c r="D12" s="12">
        <f>ROUND(C12*Parameters!$B$35,1)</f>
        <v>649.7</v>
      </c>
      <c r="E12" s="5">
        <f>ROUND(D12/Parameters!$B$36,2)</f>
        <v>2.81</v>
      </c>
    </row>
    <row r="13" spans="1:8" x14ac:dyDescent="0.2">
      <c r="A13" s="2" t="s">
        <v>11</v>
      </c>
      <c r="B13" s="5">
        <f>'Workload Dec Peak'!F21</f>
        <v>219.84</v>
      </c>
      <c r="C13" s="5">
        <f>ROUND(B13/Parameters!$B$34,2)</f>
        <v>0.52</v>
      </c>
      <c r="D13" s="12">
        <f>ROUND(C13*Parameters!$B$35,1)</f>
        <v>189.8</v>
      </c>
      <c r="E13" s="5">
        <f>ROUND(D13/Parameters!$B$36,2)</f>
        <v>0.82</v>
      </c>
    </row>
    <row r="14" spans="1:8" x14ac:dyDescent="0.2">
      <c r="A14" s="2" t="s">
        <v>12</v>
      </c>
      <c r="B14" s="5">
        <f>'Workload Dec Peak'!G21</f>
        <v>110.84</v>
      </c>
      <c r="C14" s="5">
        <f>ROUND(B14/Parameters!$B$34,2)</f>
        <v>0.26</v>
      </c>
      <c r="D14" s="12">
        <f>ROUND(C14*Parameters!$B$35,1)</f>
        <v>94.9</v>
      </c>
      <c r="E14" s="5">
        <f>ROUND(D14/Parameters!$B$36,2)</f>
        <v>0.41</v>
      </c>
    </row>
    <row r="15" spans="1:8" x14ac:dyDescent="0.2">
      <c r="A15" s="6" t="s">
        <v>173</v>
      </c>
      <c r="E15" s="7">
        <f>SUM(E12:E14)</f>
        <v>4.04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
  <sheetViews>
    <sheetView workbookViewId="0"/>
  </sheetViews>
  <sheetFormatPr baseColWidth="10" defaultColWidth="8.83203125" defaultRowHeight="15" x14ac:dyDescent="0.2"/>
  <cols>
    <col min="1" max="1" width="46" customWidth="1"/>
    <col min="2" max="3" width="12" customWidth="1"/>
    <col min="4" max="4" width="14" customWidth="1"/>
    <col min="5" max="5" width="16" customWidth="1"/>
    <col min="6" max="6" width="18" customWidth="1"/>
    <col min="7" max="7" width="20" customWidth="1"/>
    <col min="8" max="8" width="14" customWidth="1"/>
    <col min="9" max="9" width="16" customWidth="1"/>
  </cols>
  <sheetData>
    <row r="1" spans="1:9" ht="16" x14ac:dyDescent="0.2">
      <c r="A1" s="1" t="s">
        <v>174</v>
      </c>
    </row>
    <row r="2" spans="1:9" x14ac:dyDescent="0.2">
      <c r="A2" s="2" t="s">
        <v>175</v>
      </c>
    </row>
    <row r="4" spans="1:9" x14ac:dyDescent="0.2">
      <c r="A4" s="4" t="s">
        <v>3</v>
      </c>
      <c r="B4" s="4" t="s">
        <v>6</v>
      </c>
      <c r="C4" s="4" t="s">
        <v>176</v>
      </c>
      <c r="D4" s="4" t="s">
        <v>177</v>
      </c>
      <c r="E4" s="4" t="s">
        <v>178</v>
      </c>
      <c r="F4" s="4" t="s">
        <v>179</v>
      </c>
      <c r="G4" s="4" t="s">
        <v>180</v>
      </c>
      <c r="H4" s="4" t="s">
        <v>181</v>
      </c>
      <c r="I4" s="4" t="s">
        <v>182</v>
      </c>
    </row>
    <row r="5" spans="1:9" x14ac:dyDescent="0.2">
      <c r="A5" s="2" t="s">
        <v>10</v>
      </c>
      <c r="B5" s="5">
        <f>Positions!E5</f>
        <v>2.62</v>
      </c>
      <c r="C5" s="17">
        <f>ROUND(B5*Parameters!$B$37,1)</f>
        <v>5449.6</v>
      </c>
      <c r="D5" s="8">
        <f>ROUND(C5*Parameters!$B$38,2)</f>
        <v>97275.36</v>
      </c>
      <c r="E5" s="8">
        <f>ROUND(C5*0,2)</f>
        <v>0</v>
      </c>
      <c r="F5" s="8">
        <f>ROUND(C5*Parameters!$B$42/Parameters!$B$20*Parameters!$B$41,2)</f>
        <v>1557.03</v>
      </c>
      <c r="G5" s="8">
        <f>SUM(D5:F5)</f>
        <v>98832.39</v>
      </c>
      <c r="H5" s="8">
        <f>ROUND(G5*Parameters!$B$43,2)</f>
        <v>27178.91</v>
      </c>
      <c r="I5" s="8">
        <f>SUM(G5:H5)</f>
        <v>126011.3</v>
      </c>
    </row>
    <row r="6" spans="1:9" x14ac:dyDescent="0.2">
      <c r="A6" s="2" t="s">
        <v>11</v>
      </c>
      <c r="B6" s="5">
        <f>Positions!E6</f>
        <v>0.79</v>
      </c>
      <c r="C6" s="17">
        <f>ROUND(B6*Parameters!$B$37,1)</f>
        <v>1643.2</v>
      </c>
      <c r="D6" s="8">
        <f>ROUND(C6*Parameters!$B$38,2)</f>
        <v>29331.12</v>
      </c>
      <c r="E6" s="8">
        <f>ROUND(C6*Parameters!$B$39,2)</f>
        <v>1807.52</v>
      </c>
      <c r="F6" s="8">
        <f>ROUND(C6*Parameters!$B$42/Parameters!$B$20*Parameters!$B$41,2)</f>
        <v>469.49</v>
      </c>
      <c r="G6" s="8">
        <f>SUM(D6:F6)</f>
        <v>31608.13</v>
      </c>
      <c r="H6" s="8">
        <f>ROUND(G6*Parameters!$B$43,2)</f>
        <v>8692.24</v>
      </c>
      <c r="I6" s="8">
        <f>SUM(G6:H6)</f>
        <v>40300.37</v>
      </c>
    </row>
    <row r="7" spans="1:9" x14ac:dyDescent="0.2">
      <c r="A7" s="2" t="s">
        <v>12</v>
      </c>
      <c r="B7" s="5">
        <f>Positions!E7</f>
        <v>0.41</v>
      </c>
      <c r="C7" s="17">
        <f>ROUND(B7*Parameters!$B$37,1)</f>
        <v>852.8</v>
      </c>
      <c r="D7" s="8">
        <f>ROUND(C7*Parameters!$B$38,2)</f>
        <v>15222.48</v>
      </c>
      <c r="E7" s="8">
        <f>ROUND(C7*Parameters!$B$40,2)</f>
        <v>1492.4</v>
      </c>
      <c r="F7" s="8">
        <f>ROUND(C7*Parameters!$B$42/Parameters!$B$20*Parameters!$B$41,2)</f>
        <v>243.66</v>
      </c>
      <c r="G7" s="8">
        <f>SUM(D7:F7)</f>
        <v>16958.54</v>
      </c>
      <c r="H7" s="8">
        <f>ROUND(G7*Parameters!$B$43,2)</f>
        <v>4663.6</v>
      </c>
      <c r="I7" s="8">
        <f>SUM(G7:H7)</f>
        <v>21622.14</v>
      </c>
    </row>
    <row r="8" spans="1:9" x14ac:dyDescent="0.2">
      <c r="A8" s="6" t="s">
        <v>13</v>
      </c>
      <c r="B8" s="7">
        <f t="shared" ref="B8:I8" si="0">SUM(B5:B7)</f>
        <v>3.82</v>
      </c>
      <c r="C8" s="18">
        <f t="shared" si="0"/>
        <v>7945.6</v>
      </c>
      <c r="D8" s="9">
        <f t="shared" si="0"/>
        <v>141828.96</v>
      </c>
      <c r="E8" s="9">
        <f t="shared" si="0"/>
        <v>3299.92</v>
      </c>
      <c r="F8" s="9">
        <f t="shared" si="0"/>
        <v>2270.18</v>
      </c>
      <c r="G8" s="9">
        <f t="shared" si="0"/>
        <v>147399.06</v>
      </c>
      <c r="H8" s="9">
        <f t="shared" si="0"/>
        <v>40534.75</v>
      </c>
      <c r="I8" s="19">
        <f t="shared" si="0"/>
        <v>187933.81</v>
      </c>
    </row>
    <row r="10" spans="1:9" x14ac:dyDescent="0.2">
      <c r="A10" s="2" t="s">
        <v>16</v>
      </c>
      <c r="I10" s="8">
        <f>Parameters!$B$47</f>
        <v>205000</v>
      </c>
    </row>
    <row r="11" spans="1:9" x14ac:dyDescent="0.2">
      <c r="A11" s="6" t="s">
        <v>17</v>
      </c>
      <c r="I11" s="19">
        <f>ROUND(I8-I10,2)</f>
        <v>-17066.19</v>
      </c>
    </row>
    <row r="12" spans="1:9" x14ac:dyDescent="0.2">
      <c r="A12" s="6" t="s">
        <v>183</v>
      </c>
    </row>
    <row r="13" spans="1:9" x14ac:dyDescent="0.2">
      <c r="A13" s="2" t="s">
        <v>184</v>
      </c>
      <c r="C13" s="17">
        <f>2*Parameters!$B$37</f>
        <v>4160</v>
      </c>
      <c r="D13" s="8">
        <f>ROUND(C13*Parameters!$B$38,2)</f>
        <v>74256</v>
      </c>
      <c r="E13" s="8">
        <v>0</v>
      </c>
      <c r="F13" s="8">
        <f>ROUND(C13*Parameters!$B$42/Parameters!$B$20*Parameters!$B$41,2)</f>
        <v>1188.57</v>
      </c>
      <c r="G13" s="8">
        <f>SUM(D13:F13)</f>
        <v>75444.57</v>
      </c>
      <c r="H13" s="8">
        <f>ROUND(G13*Parameters!$B$43,2)</f>
        <v>20747.26</v>
      </c>
      <c r="I13" s="8">
        <f>SUM(G13:H13)</f>
        <v>96191.83</v>
      </c>
    </row>
    <row r="14" spans="1:9" x14ac:dyDescent="0.2">
      <c r="A14" s="2" t="s">
        <v>185</v>
      </c>
      <c r="C14" s="17">
        <f>Parameters!$B$37</f>
        <v>2080</v>
      </c>
      <c r="D14" s="8">
        <f>ROUND(C14*Parameters!$B$38,2)</f>
        <v>37128</v>
      </c>
      <c r="E14" s="8">
        <f>ROUND(C14*Parameters!$B$39,2)</f>
        <v>2288</v>
      </c>
      <c r="F14" s="8">
        <f>ROUND(C14*Parameters!$B$42/Parameters!$B$20*Parameters!$B$41,2)</f>
        <v>594.29</v>
      </c>
      <c r="G14" s="8">
        <f>SUM(D14:F14)</f>
        <v>40010.29</v>
      </c>
      <c r="H14" s="8">
        <f>ROUND(G14*Parameters!$B$43,2)</f>
        <v>11002.83</v>
      </c>
      <c r="I14" s="8">
        <f>SUM(G14:H14)</f>
        <v>51013.12</v>
      </c>
    </row>
    <row r="15" spans="1:9" x14ac:dyDescent="0.2">
      <c r="A15" s="6" t="s">
        <v>186</v>
      </c>
      <c r="I15" s="9">
        <f>SUM(I13:I14)</f>
        <v>147204.95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12"/>
  <sheetViews>
    <sheetView workbookViewId="0"/>
  </sheetViews>
  <sheetFormatPr baseColWidth="10" defaultColWidth="8.83203125" defaultRowHeight="15" x14ac:dyDescent="0.2"/>
  <cols>
    <col min="1" max="1" width="118" customWidth="1"/>
  </cols>
  <sheetData>
    <row r="1" spans="1:1" x14ac:dyDescent="0.2">
      <c r="A1" s="6" t="s">
        <v>187</v>
      </c>
    </row>
    <row r="2" spans="1:1" x14ac:dyDescent="0.2">
      <c r="A2" s="2" t="s">
        <v>188</v>
      </c>
    </row>
    <row r="3" spans="1:1" x14ac:dyDescent="0.2">
      <c r="A3" s="6" t="s">
        <v>189</v>
      </c>
    </row>
    <row r="5" spans="1:1" ht="60" customHeight="1" x14ac:dyDescent="0.2">
      <c r="A5" s="10" t="s">
        <v>190</v>
      </c>
    </row>
    <row r="6" spans="1:1" ht="60" customHeight="1" x14ac:dyDescent="0.2">
      <c r="A6" s="10" t="s">
        <v>191</v>
      </c>
    </row>
    <row r="7" spans="1:1" ht="90" customHeight="1" x14ac:dyDescent="0.2">
      <c r="A7" s="10" t="s">
        <v>192</v>
      </c>
    </row>
    <row r="8" spans="1:1" ht="105" customHeight="1" x14ac:dyDescent="0.2">
      <c r="A8" s="10" t="s">
        <v>193</v>
      </c>
    </row>
    <row r="9" spans="1:1" ht="60" customHeight="1" x14ac:dyDescent="0.2">
      <c r="A9" s="10" t="s">
        <v>194</v>
      </c>
    </row>
    <row r="10" spans="1:1" ht="45" customHeight="1" x14ac:dyDescent="0.2">
      <c r="A10" s="10" t="s">
        <v>195</v>
      </c>
    </row>
    <row r="11" spans="1:1" ht="60" customHeight="1" x14ac:dyDescent="0.2">
      <c r="A11" s="10" t="s">
        <v>196</v>
      </c>
    </row>
    <row r="12" spans="1:1" ht="45" customHeight="1" x14ac:dyDescent="0.2">
      <c r="A12" s="10" t="s">
        <v>197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Plan</vt:lpstr>
      <vt:lpstr>Parameters</vt:lpstr>
      <vt:lpstr>Inventory</vt:lpstr>
      <vt:lpstr>Workload</vt:lpstr>
      <vt:lpstr>Workload Dec Peak</vt:lpstr>
      <vt:lpstr>Positions</vt:lpstr>
      <vt:lpstr>Cost</vt:lpstr>
      <vt:lpstr>Note to Marisol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dc:creator xmlns:dc="http://purl.org/dc/elements/1.1/">St. Anselm Regional Medical Center Environmental Services</dc:creator>
  <dc:title xmlns:dc="http://purl.org/dc/elements/1.1/">4 West staffing plan, opening January 4, 2027</dc:title>
  <dcterms:created xmlns:dcterms="http://purl.org/dc/terms/" xmlns:xsi="http://www.w3.org/2001/XMLSchema-instance" xsi:type="dcterms:W3CDTF">2026-10-13T08:05:40Z</dcterms:created>
  <dcterms:modified xmlns:dcterms="http://purl.org/dc/terms/" xmlns:xsi="http://www.w3.org/2001/XMLSchema-instance" xsi:type="dcterms:W3CDTF">2026-10-16T11:22:09Z</dcterms:modified>
  <cp:lastModifiedBy>St. Anselm Regional Medical Center Environmental Services</cp:lastModifiedBy>
</cp:coreProperties>
</file>