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xr:revisionPtr revIDLastSave="0" documentId="13_ncr:1_{E13506D2-35E9-B147-8718-3F49CA7856EC}" xr6:coauthVersionLast="47" xr6:coauthVersionMax="47" xr10:uidLastSave="{00000000-0000-0000-0000-000000000000}"/>
  <bookViews>
    <workbookView xWindow="0" yWindow="0" windowWidth="21600" windowHeight="38400" xr2:uid="{00000000-000D-0000-FFFF-FFFF00000000}"/>
  </bookViews>
  <sheets>
    <sheet name="Bids" sheetId="1" r:id="rId1"/>
    <sheet name="Bidder Terms" sheetId="2" r:id="rId2"/>
    <sheet name="Freight Schedule" sheetId="3" r:id="rId3"/>
    <sheet name="Item Weight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1" i="1" l="1"/>
  <c r="V11" i="1"/>
  <c r="T11" i="1"/>
  <c r="R11" i="1"/>
  <c r="P11" i="1"/>
  <c r="N11" i="1"/>
  <c r="L11" i="1"/>
  <c r="J11" i="1"/>
  <c r="H11" i="1"/>
  <c r="F11" i="1"/>
  <c r="D11" i="1"/>
</calcChain>
</file>

<file path=xl/sharedStrings.xml><?xml version="1.0" encoding="utf-8"?>
<sst xmlns="http://schemas.openxmlformats.org/spreadsheetml/2006/main" count="200" uniqueCount="130">
  <si>
    <t>ITB 2026-17, corrugated shipping cartons, annual requirement; bids as opened October 6, 2026, 10:00, Nordvik Manufacturing purchasing office</t>
  </si>
  <si>
    <t>Unit prices in dollars per carton and extensions in dollars as written on each bid form; tooling as written. Eleven bids received; listed in alphabetical order.</t>
  </si>
  <si>
    <t>ITEM</t>
  </si>
  <si>
    <t>DESCRIPTION</t>
  </si>
  <si>
    <t>BRANNOCK_UNIT</t>
  </si>
  <si>
    <t>BRANNOCK_EXTENSION</t>
  </si>
  <si>
    <t>DAHLGREN_UNIT</t>
  </si>
  <si>
    <t>DAHLGREN_EXTENSION</t>
  </si>
  <si>
    <t>HALVARD_UNIT</t>
  </si>
  <si>
    <t>HALVARD_EXTENSION</t>
  </si>
  <si>
    <t>KESSEL_UNIT</t>
  </si>
  <si>
    <t>KESSEL_EXTENSION</t>
  </si>
  <si>
    <t>LOKEN_VIK_UNIT</t>
  </si>
  <si>
    <t>LOKEN_VIK_EXTENSION</t>
  </si>
  <si>
    <t>MESABI_UNIT</t>
  </si>
  <si>
    <t>MESABI_EXTENSION</t>
  </si>
  <si>
    <t>OTTER_TAIL_UNIT</t>
  </si>
  <si>
    <t>OTTER_TAIL_EXTENSION</t>
  </si>
  <si>
    <t>PEMBERTON_UNIT</t>
  </si>
  <si>
    <t>PEMBERTON_EXTENSION</t>
  </si>
  <si>
    <t>RIDGECREST_UNIT</t>
  </si>
  <si>
    <t>RIDGECREST_EXTENSION</t>
  </si>
  <si>
    <t>THORSGARD_UNIT</t>
  </si>
  <si>
    <t>THORSGARD_EXTENSION</t>
  </si>
  <si>
    <t>WENZEL_KRAUSE_UNIT</t>
  </si>
  <si>
    <t>WENZEL_KRAUSE_EXTENSION</t>
  </si>
  <si>
    <t>RSC 24 x 18 x 12, 200 lb test C flute, kraft, unprinted</t>
  </si>
  <si>
    <t>RSC 18 x 12 x 10, 32 ECT B flute, kraft, unprinted</t>
  </si>
  <si>
    <t>Die-cut mailer 12 x 9 x 4, 32 ECT E flute, white, unprinted</t>
  </si>
  <si>
    <t>RSC 36 x 24 x 24, 275 lb test doublewall, kraft, unprinted</t>
  </si>
  <si>
    <t>RSC 20 x 20 x 20, 44 ECT C flute, kraft, two-color print</t>
  </si>
  <si>
    <t>Tooling, plates and dies, one time</t>
  </si>
  <si>
    <t>Total bid as written</t>
  </si>
  <si>
    <t>Bidder terms and submittals as marked on the bid forms, ITB 2026-17, as opened</t>
  </si>
  <si>
    <t>BIDDER</t>
  </si>
  <si>
    <t>PLANT_CITY</t>
  </si>
  <si>
    <t>PLANT_STATE</t>
  </si>
  <si>
    <t>FOB_TERMS</t>
  </si>
  <si>
    <t>PAYMENT_TERMS</t>
  </si>
  <si>
    <t>BID_SECURITY_ENCLOSED</t>
  </si>
  <si>
    <t>SECURITY_FORM</t>
  </si>
  <si>
    <t>ADDENDA_ACKNOWLEDGED</t>
  </si>
  <si>
    <t>SAMPLES_RECEIVED</t>
  </si>
  <si>
    <t>Brannock Box Company</t>
  </si>
  <si>
    <t>Rockford</t>
  </si>
  <si>
    <t>IL</t>
  </si>
  <si>
    <t>Destination</t>
  </si>
  <si>
    <t>Net 30</t>
  </si>
  <si>
    <t>Yes</t>
  </si>
  <si>
    <t>Surety bond</t>
  </si>
  <si>
    <t>1</t>
  </si>
  <si>
    <t>Dahlgren Paper Box Co.</t>
  </si>
  <si>
    <t>St. Cloud</t>
  </si>
  <si>
    <t>MN</t>
  </si>
  <si>
    <t>Origin, shipping plant</t>
  </si>
  <si>
    <t>2% 10, net 30</t>
  </si>
  <si>
    <t>1, 2</t>
  </si>
  <si>
    <t>Halvard Corrugated</t>
  </si>
  <si>
    <t>Fargo</t>
  </si>
  <si>
    <t>ND</t>
  </si>
  <si>
    <t>2% 30, net 60</t>
  </si>
  <si>
    <t>Kessel Container Corp.</t>
  </si>
  <si>
    <t>Des Moines</t>
  </si>
  <si>
    <t>IA</t>
  </si>
  <si>
    <t>1% 20, net 30</t>
  </si>
  <si>
    <t>Loken &amp; Vik Container</t>
  </si>
  <si>
    <t>Sioux Falls</t>
  </si>
  <si>
    <t>SD</t>
  </si>
  <si>
    <t>2% 20, net 45</t>
  </si>
  <si>
    <t>Cashier's check, $5,060.70, no. 4471820</t>
  </si>
  <si>
    <t>Mesabi Container Co.</t>
  </si>
  <si>
    <t>Duluth</t>
  </si>
  <si>
    <t>Origin, Duluth plant</t>
  </si>
  <si>
    <t>Otter Tail Corrugated</t>
  </si>
  <si>
    <t>Fergus Falls</t>
  </si>
  <si>
    <t>1% 15, net 30</t>
  </si>
  <si>
    <t>Pemberton Container</t>
  </si>
  <si>
    <t>Neenah</t>
  </si>
  <si>
    <t>WI</t>
  </si>
  <si>
    <t>Ridgecrest Packaging</t>
  </si>
  <si>
    <t>Omaha</t>
  </si>
  <si>
    <t>NE</t>
  </si>
  <si>
    <t>1% 20, net 45</t>
  </si>
  <si>
    <t>Cashier's check, $4,554.95, no. 7730412</t>
  </si>
  <si>
    <t>Thorsgard Box &amp; Label</t>
  </si>
  <si>
    <t>Moorhead</t>
  </si>
  <si>
    <t>2% 25, net 45</t>
  </si>
  <si>
    <t>Wenzel &amp; Krause Corrugated</t>
  </si>
  <si>
    <t>La Crosse</t>
  </si>
  <si>
    <t>2% 20, net 30</t>
  </si>
  <si>
    <t>Cashier's check, $5,300.00, no. 553106</t>
  </si>
  <si>
    <t>Pricing conditions, exceptions and alternates are in each bidder's form and letter in the bid file; the tabulation records what the bid form boxes carry.</t>
  </si>
  <si>
    <t>Nordvik inbound freight schedule for bid evaluation, dollars per hundredweight to Alexandria, Minnesota, effective July 1, 2026</t>
  </si>
  <si>
    <t>ORIGIN_STATE</t>
  </si>
  <si>
    <t>RATE_PER_CWT</t>
  </si>
  <si>
    <t>NOTE</t>
  </si>
  <si>
    <t>Intrastate, common carrier</t>
  </si>
  <si>
    <t>Common carrier, Des Moines and Cedar Rapids gateways</t>
  </si>
  <si>
    <t>Common carrier, Eau Claire gateway</t>
  </si>
  <si>
    <t>Common carrier via Rockford</t>
  </si>
  <si>
    <t>Common carrier, Fargo gateway</t>
  </si>
  <si>
    <t>Common carrier, Sioux Falls gateway</t>
  </si>
  <si>
    <t>Common carrier, Omaha gateway</t>
  </si>
  <si>
    <t>The schedule is applied to the shipping weight of the annual quantity at the item weights of the current drawing revisions on the Item Weights sheet, in hundredweight, for any bid offered FOB origin. No minimum charge applies to the evaluation.</t>
  </si>
  <si>
    <t>Shipping weight per carton by drawing revision, from the drawing set NM-CTN-26 as issued and amended, pounds</t>
  </si>
  <si>
    <t>DRAWING</t>
  </si>
  <si>
    <t>REV</t>
  </si>
  <si>
    <t>REV_DATE</t>
  </si>
  <si>
    <t>SIZE_AND_BOARD</t>
  </si>
  <si>
    <t>LB_PER_CARTON</t>
  </si>
  <si>
    <t>CARTONS_PER_PALLET</t>
  </si>
  <si>
    <t>PALLETS_PER_TRUCKLOAD</t>
  </si>
  <si>
    <t>NM-CTN-26-01</t>
  </si>
  <si>
    <t>A</t>
  </si>
  <si>
    <t>08/21/2026</t>
  </si>
  <si>
    <t>24 x 18 x 12, 200 lb test C flute</t>
  </si>
  <si>
    <t>NM-CTN-26-02</t>
  </si>
  <si>
    <t>18 x 12 x 12, 32 ECT B flute</t>
  </si>
  <si>
    <t>B</t>
  </si>
  <si>
    <t>09/16/2026</t>
  </si>
  <si>
    <t>18 x 12 x 10, 32 ECT B flute</t>
  </si>
  <si>
    <t>NM-CTN-26-03</t>
  </si>
  <si>
    <t>12 x 9 x 4, 32 ECT E flute, white</t>
  </si>
  <si>
    <t>NM-CTN-26-04</t>
  </si>
  <si>
    <t>36 x 24 x 24, 275 lb test doublewall</t>
  </si>
  <si>
    <t>NM-CTN-26-05</t>
  </si>
  <si>
    <t>20 x 20 x 20, 32 ECT C flute, two-color</t>
  </si>
  <si>
    <t>09/24/2026</t>
  </si>
  <si>
    <t>20 x 20 x 20, 44 ECT C flute, two-color</t>
  </si>
  <si>
    <t>Both revisions of a revised drawing are kept on the sheet for the record of the drawing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</si>
</sst>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6" x14ac:knownFonts="1">
    <font>
      <sz val="11"/>
      <color theme="1"/>
      <name val="Calibri"/>
      <family val="2"/>
      <scheme val="minor"/>
    </font>
    <font>
      <sz val="11"/>
      <name val="Calibri"/>
      <family val="2"/>
    </font>
    <font>
      <b/>
      <sz val="12"/>
      <name val="Calibri"/>
      <family val="2"/>
    </font>
    <font>
      <b/>
      <sz val="11"/>
      <name val="Calibri"/>
      <family val="2"/>
    </font>
    <font>
      <sz val="11"/>
      <name val="Calibri"/>
      <family val="2"/>
    </font>
    <font>
      <b/>
      <sz val="11"/>
      <name val="Calibri"/>
      <family val="2"/>
    </font>
  </fonts>
  <fills count="3">
    <fill>
      <patternFill patternType="none"/>
    </fill>
    <fill>
      <patternFill patternType="gray125"/>
    </fill>
    <fill>
      <patternFill patternType="solid">
        <fgColor rgb="FFEDE7DA"/>
      </patternFill>
    </fill>
  </fills>
  <borders count="1">
    <border>
      <left/>
      <right/>
      <top/>
      <bottom/>
      <diagonal/>
    </border>
  </borders>
  <cellStyleXfs count="1">
    <xf numFmtId="0" fontId="0" fillId="0" borderId="0"/>
  </cellStyleXfs>
  <cellXfs count="12">
    <xf numFmtId="0" fontId="0" fillId="0" borderId="0" xfId="0"/>
    <xf numFmtId="0" fontId="2" fillId="0" borderId="0" xfId="0" applyFont="1"/>
    <xf numFmtId="0" fontId="1" fillId="0" borderId="0" xfId="0" applyFont="1"/>
    <xf numFmtId="0" fontId="3" fillId="2" borderId="0" xfId="0" applyFont="1" applyFill="1"/>
    <xf numFmtId="164" fontId="1" fillId="0" borderId="0" xfId="0" applyNumberFormat="1" applyFont="1"/>
    <xf numFmtId="4" fontId="1" fillId="0" borderId="0" xfId="0" applyNumberFormat="1" applyFont="1"/>
    <xf numFmtId="0" fontId="3" fillId="0" borderId="0" xfId="0" applyFont="1"/>
    <xf numFmtId="4" fontId="3" fillId="0" borderId="0" xfId="0" applyNumberFormat="1" applyFont="1"/>
    <xf numFmtId="2" fontId="1" fillId="0" borderId="0" xfId="0" applyNumberFormat="1" applyFont="1"/>
    <xf numFmtId="0" fontId="5" fillId="2" borderId="0" xfId="0" applyFont="1" applyFill="1"/>
    <xf numFmtId="0" fontId="4" fillId="0" borderId="0" xfId="0" applyFont="1"/>
    <xf numFmtId="2" fontId="4"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1"/>
  <sheetViews>
    <sheetView tabSelected="1" workbookViewId="0"/>
  </sheetViews>
  <sheetFormatPr baseColWidth="10" defaultColWidth="8.83203125" defaultRowHeight="15" x14ac:dyDescent="0.2"/>
  <cols>
    <col min="1" max="1" width="32" customWidth="1"/>
    <col min="2" max="2" width="58" customWidth="1"/>
    <col min="3" max="3" width="18" customWidth="1"/>
    <col min="4" max="4" width="22" customWidth="1"/>
    <col min="5" max="5" width="18" customWidth="1"/>
    <col min="6" max="6" width="22" customWidth="1"/>
    <col min="7" max="7" width="18" customWidth="1"/>
    <col min="8" max="8" width="22" customWidth="1"/>
    <col min="9" max="9" width="18" customWidth="1"/>
    <col min="10" max="10" width="22" customWidth="1"/>
    <col min="11" max="11" width="18" customWidth="1"/>
    <col min="12" max="12" width="22" customWidth="1"/>
    <col min="13" max="13" width="18" customWidth="1"/>
    <col min="14" max="14" width="22" customWidth="1"/>
    <col min="15" max="15" width="18" customWidth="1"/>
    <col min="16" max="16" width="22" customWidth="1"/>
    <col min="17" max="17" width="18" customWidth="1"/>
    <col min="18" max="18" width="22" customWidth="1"/>
    <col min="19" max="19" width="18" customWidth="1"/>
    <col min="20" max="20" width="22" customWidth="1"/>
    <col min="21" max="21" width="18" customWidth="1"/>
    <col min="22" max="22" width="22" customWidth="1"/>
    <col min="23" max="23" width="18" customWidth="1"/>
    <col min="24" max="24" width="22" customWidth="1"/>
  </cols>
  <sheetData>
    <row r="1" spans="1:24" ht="16" customHeight="1" x14ac:dyDescent="0.2">
      <c r="A1" s="1" t="s">
        <v>0</v>
      </c>
    </row>
    <row r="2" spans="1:24" x14ac:dyDescent="0.2">
      <c r="A2" s="2" t="s">
        <v>1</v>
      </c>
    </row>
    <row r="4" spans="1:24" x14ac:dyDescent="0.2">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3" t="s">
        <v>21</v>
      </c>
      <c r="U4" s="3" t="s">
        <v>22</v>
      </c>
      <c r="V4" s="3" t="s">
        <v>23</v>
      </c>
      <c r="W4" s="3" t="s">
        <v>24</v>
      </c>
      <c r="X4" s="3" t="s">
        <v>25</v>
      </c>
    </row>
    <row r="5" spans="1:24" x14ac:dyDescent="0.2">
      <c r="A5" s="2">
        <v>1</v>
      </c>
      <c r="B5" s="2" t="s">
        <v>26</v>
      </c>
      <c r="C5" s="4">
        <v>0.571</v>
      </c>
      <c r="D5" s="5">
        <v>25695</v>
      </c>
      <c r="E5" s="4">
        <v>0.551</v>
      </c>
      <c r="F5" s="5">
        <v>24795</v>
      </c>
      <c r="G5" s="4">
        <v>0.594</v>
      </c>
      <c r="H5" s="5">
        <v>26730</v>
      </c>
      <c r="I5" s="4">
        <v>0.59</v>
      </c>
      <c r="J5" s="5">
        <v>26550</v>
      </c>
      <c r="K5" s="4">
        <v>0.598</v>
      </c>
      <c r="L5" s="5">
        <v>26910</v>
      </c>
      <c r="M5" s="4">
        <v>0.562</v>
      </c>
      <c r="N5" s="5">
        <v>25290</v>
      </c>
      <c r="O5" s="4">
        <v>0.583</v>
      </c>
      <c r="P5" s="5">
        <v>26235</v>
      </c>
      <c r="Q5" s="4">
        <v>0.602</v>
      </c>
      <c r="R5" s="5">
        <v>27090</v>
      </c>
      <c r="S5" s="4">
        <v>0.546</v>
      </c>
      <c r="T5" s="5">
        <v>24570</v>
      </c>
      <c r="U5" s="4">
        <v>0.604</v>
      </c>
      <c r="V5" s="5">
        <v>27180</v>
      </c>
      <c r="W5" s="4">
        <v>0.628</v>
      </c>
      <c r="X5" s="5">
        <v>28260</v>
      </c>
    </row>
    <row r="6" spans="1:24" x14ac:dyDescent="0.2">
      <c r="A6" s="2">
        <v>2</v>
      </c>
      <c r="B6" s="2" t="s">
        <v>27</v>
      </c>
      <c r="C6" s="4">
        <v>0.398</v>
      </c>
      <c r="D6" s="5">
        <v>25472</v>
      </c>
      <c r="E6" s="4">
        <v>0.371</v>
      </c>
      <c r="F6" s="5">
        <v>24044</v>
      </c>
      <c r="G6" s="4">
        <v>0.404</v>
      </c>
      <c r="H6" s="5">
        <v>25856</v>
      </c>
      <c r="I6" s="4">
        <v>0.402</v>
      </c>
      <c r="J6" s="5">
        <v>25728</v>
      </c>
      <c r="K6" s="4">
        <v>0.401</v>
      </c>
      <c r="L6" s="5">
        <v>25664</v>
      </c>
      <c r="M6" s="4">
        <v>0.386</v>
      </c>
      <c r="N6" s="5">
        <v>24704</v>
      </c>
      <c r="O6" s="4">
        <v>0.399</v>
      </c>
      <c r="P6" s="5">
        <v>25536</v>
      </c>
      <c r="Q6" s="4">
        <v>0.408</v>
      </c>
      <c r="R6" s="5">
        <v>26912</v>
      </c>
      <c r="S6" s="4">
        <v>0.37</v>
      </c>
      <c r="T6" s="5">
        <v>23680</v>
      </c>
      <c r="U6" s="4">
        <v>0.407</v>
      </c>
      <c r="V6" s="5">
        <v>26048</v>
      </c>
      <c r="W6" s="4">
        <v>0.428</v>
      </c>
      <c r="X6" s="5">
        <v>27392</v>
      </c>
    </row>
    <row r="7" spans="1:24" x14ac:dyDescent="0.2">
      <c r="A7" s="2">
        <v>3</v>
      </c>
      <c r="B7" s="2" t="s">
        <v>28</v>
      </c>
      <c r="C7" s="4">
        <v>0.276</v>
      </c>
      <c r="D7" s="5">
        <v>9936</v>
      </c>
      <c r="E7" s="4">
        <v>0.263</v>
      </c>
      <c r="F7" s="5">
        <v>7101</v>
      </c>
      <c r="G7" s="4">
        <v>0.288</v>
      </c>
      <c r="H7" s="5">
        <v>7776</v>
      </c>
      <c r="I7" s="4">
        <v>0.285</v>
      </c>
      <c r="J7" s="5">
        <v>7695</v>
      </c>
      <c r="K7" s="4">
        <v>0.287</v>
      </c>
      <c r="L7" s="5">
        <v>7749</v>
      </c>
      <c r="M7" s="4">
        <v>0.268</v>
      </c>
      <c r="N7" s="5">
        <v>7236</v>
      </c>
      <c r="O7" s="4">
        <v>0.283</v>
      </c>
      <c r="P7" s="5">
        <v>7641</v>
      </c>
      <c r="Q7" s="4">
        <v>0.289</v>
      </c>
      <c r="R7" s="5">
        <v>7803</v>
      </c>
      <c r="S7" s="4">
        <v>0.262</v>
      </c>
      <c r="T7" s="5">
        <v>7074</v>
      </c>
      <c r="U7" s="4">
        <v>0.281</v>
      </c>
      <c r="V7" s="5">
        <v>7587</v>
      </c>
      <c r="W7" s="4">
        <v>0.301</v>
      </c>
      <c r="X7" s="5">
        <v>8127</v>
      </c>
    </row>
    <row r="8" spans="1:24" x14ac:dyDescent="0.2">
      <c r="A8" s="2">
        <v>4</v>
      </c>
      <c r="B8" s="2" t="s">
        <v>29</v>
      </c>
      <c r="C8" s="4">
        <v>1.655</v>
      </c>
      <c r="D8" s="5">
        <v>14895</v>
      </c>
      <c r="E8" s="4">
        <v>1.576</v>
      </c>
      <c r="F8" s="5">
        <v>14184</v>
      </c>
      <c r="G8" s="4">
        <v>1.702</v>
      </c>
      <c r="H8" s="5">
        <v>15318</v>
      </c>
      <c r="I8" s="4">
        <v>1.679</v>
      </c>
      <c r="J8" s="5">
        <v>15111</v>
      </c>
      <c r="K8" s="4">
        <v>1.713</v>
      </c>
      <c r="L8" s="5">
        <v>15417</v>
      </c>
      <c r="M8" s="4">
        <v>1.548</v>
      </c>
      <c r="N8" s="5">
        <v>13932</v>
      </c>
      <c r="O8" s="4">
        <v>1.694</v>
      </c>
      <c r="P8" s="5">
        <v>15246</v>
      </c>
      <c r="Q8" s="4">
        <v>1.704</v>
      </c>
      <c r="R8" s="5">
        <v>15336</v>
      </c>
      <c r="S8" s="4">
        <v>1.557</v>
      </c>
      <c r="T8" s="5">
        <v>14175</v>
      </c>
      <c r="U8" s="4">
        <v>1.699</v>
      </c>
      <c r="V8" s="5">
        <v>15291</v>
      </c>
      <c r="W8" s="4">
        <v>1.79</v>
      </c>
      <c r="X8" s="5">
        <v>16110</v>
      </c>
    </row>
    <row r="9" spans="1:24" x14ac:dyDescent="0.2">
      <c r="A9" s="2">
        <v>5</v>
      </c>
      <c r="B9" s="2" t="s">
        <v>30</v>
      </c>
      <c r="C9" s="4">
        <v>0.94</v>
      </c>
      <c r="D9" s="5">
        <v>22560</v>
      </c>
      <c r="E9" s="4">
        <v>0.911</v>
      </c>
      <c r="F9" s="5">
        <v>21864</v>
      </c>
      <c r="G9" s="4">
        <v>0.972</v>
      </c>
      <c r="H9" s="5">
        <v>23328</v>
      </c>
      <c r="I9" s="4">
        <v>0.958</v>
      </c>
      <c r="J9" s="5">
        <v>22992</v>
      </c>
      <c r="K9" s="4">
        <v>0.976</v>
      </c>
      <c r="L9" s="5">
        <v>23424</v>
      </c>
      <c r="M9" s="4">
        <v>0.91</v>
      </c>
      <c r="N9" s="5">
        <v>21840</v>
      </c>
      <c r="O9" s="4">
        <v>0.966</v>
      </c>
      <c r="P9" s="5">
        <v>23184</v>
      </c>
      <c r="Q9" s="4">
        <v>0.985</v>
      </c>
      <c r="R9" s="5">
        <v>23640</v>
      </c>
      <c r="S9" s="4">
        <v>0.9</v>
      </c>
      <c r="T9" s="5">
        <v>21600</v>
      </c>
      <c r="U9" s="4">
        <v>0.963</v>
      </c>
      <c r="V9" s="5">
        <v>23112</v>
      </c>
      <c r="W9" s="4">
        <v>1.012</v>
      </c>
      <c r="X9" s="5">
        <v>24288</v>
      </c>
    </row>
    <row r="10" spans="1:24" x14ac:dyDescent="0.2">
      <c r="A10" s="6" t="s">
        <v>31</v>
      </c>
      <c r="D10" s="5">
        <v>1500</v>
      </c>
      <c r="F10" s="5">
        <v>1950</v>
      </c>
      <c r="H10" s="5">
        <v>1600</v>
      </c>
      <c r="J10" s="5">
        <v>1800</v>
      </c>
      <c r="L10" s="5">
        <v>2050</v>
      </c>
      <c r="N10" s="5">
        <v>1900</v>
      </c>
      <c r="P10" s="5">
        <v>1725</v>
      </c>
      <c r="R10" s="5">
        <v>1850</v>
      </c>
      <c r="T10" s="5">
        <v>2400</v>
      </c>
      <c r="V10" s="5">
        <v>1650</v>
      </c>
      <c r="X10" s="5">
        <v>1700</v>
      </c>
    </row>
    <row r="11" spans="1:24" x14ac:dyDescent="0.2">
      <c r="A11" s="6" t="s">
        <v>32</v>
      </c>
      <c r="D11" s="7">
        <f>SUM(D5:D10)</f>
        <v>100058</v>
      </c>
      <c r="F11" s="7">
        <f>SUM(F5:F10)</f>
        <v>93938</v>
      </c>
      <c r="H11" s="7">
        <f>SUM(H5:H10)</f>
        <v>100608</v>
      </c>
      <c r="J11" s="7">
        <f>SUM(J5:J10)</f>
        <v>99876</v>
      </c>
      <c r="L11" s="7">
        <f>SUM(L5:L10)</f>
        <v>101214</v>
      </c>
      <c r="N11" s="7">
        <f>SUM(N5:N10)</f>
        <v>94902</v>
      </c>
      <c r="P11" s="7">
        <f>SUM(P5:P10)</f>
        <v>99567</v>
      </c>
      <c r="R11" s="7">
        <f>SUM(R5:R10)</f>
        <v>102631</v>
      </c>
      <c r="T11" s="7">
        <f>SUM(T5:T10)</f>
        <v>93499</v>
      </c>
      <c r="V11" s="7">
        <f>SUM(V5:V10)</f>
        <v>100868</v>
      </c>
      <c r="X11" s="7">
        <f>SUM(X5:X10)</f>
        <v>105877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6"/>
  <sheetViews>
    <sheetView workbookViewId="0"/>
  </sheetViews>
  <sheetFormatPr baseColWidth="10" defaultColWidth="8.83203125" defaultRowHeight="15" x14ac:dyDescent="0.2"/>
  <cols>
    <col min="1" max="1" width="28" customWidth="1"/>
    <col min="2" max="2" width="14" customWidth="1"/>
    <col min="3" max="3" width="12" customWidth="1"/>
    <col min="4" max="4" width="26" customWidth="1"/>
    <col min="5" max="5" width="16" customWidth="1"/>
    <col min="6" max="6" width="24" customWidth="1"/>
    <col min="7" max="7" width="40" customWidth="1"/>
    <col min="8" max="8" width="22" customWidth="1"/>
    <col min="9" max="9" width="16" customWidth="1"/>
    <col min="10" max="10" width="10" customWidth="1"/>
  </cols>
  <sheetData>
    <row r="1" spans="1:10" ht="16" customHeight="1" x14ac:dyDescent="0.2">
      <c r="A1" s="1" t="s">
        <v>33</v>
      </c>
    </row>
    <row r="3" spans="1:10" x14ac:dyDescent="0.2">
      <c r="A3" s="9" t="s">
        <v>34</v>
      </c>
      <c r="B3" s="9" t="s">
        <v>35</v>
      </c>
      <c r="C3" s="9" t="s">
        <v>36</v>
      </c>
      <c r="D3" s="9" t="s">
        <v>37</v>
      </c>
      <c r="E3" s="9" t="s">
        <v>38</v>
      </c>
      <c r="F3" s="9" t="s">
        <v>39</v>
      </c>
      <c r="G3" s="9" t="s">
        <v>40</v>
      </c>
      <c r="H3" s="9" t="s">
        <v>41</v>
      </c>
      <c r="I3" s="9" t="s">
        <v>42</v>
      </c>
      <c r="J3" s="10"/>
    </row>
    <row r="4" spans="1:10" x14ac:dyDescent="0.2">
      <c r="A4" s="10" t="s">
        <v>43</v>
      </c>
      <c r="B4" s="10" t="s">
        <v>44</v>
      </c>
      <c r="C4" s="10" t="s">
        <v>45</v>
      </c>
      <c r="D4" s="10" t="s">
        <v>46</v>
      </c>
      <c r="E4" s="10" t="s">
        <v>47</v>
      </c>
      <c r="F4" s="10" t="s">
        <v>48</v>
      </c>
      <c r="G4" s="10" t="s">
        <v>49</v>
      </c>
      <c r="H4" s="10" t="s">
        <v>50</v>
      </c>
      <c r="I4" s="10" t="s">
        <v>48</v>
      </c>
      <c r="J4" s="10"/>
    </row>
    <row r="5" spans="1:10" x14ac:dyDescent="0.2">
      <c r="A5" s="10" t="s">
        <v>51</v>
      </c>
      <c r="B5" s="10" t="s">
        <v>52</v>
      </c>
      <c r="C5" s="10" t="s">
        <v>53</v>
      </c>
      <c r="D5" s="10" t="s">
        <v>54</v>
      </c>
      <c r="E5" s="10" t="s">
        <v>55</v>
      </c>
      <c r="F5" s="10" t="s">
        <v>48</v>
      </c>
      <c r="G5" s="10" t="s">
        <v>49</v>
      </c>
      <c r="H5" s="10" t="s">
        <v>56</v>
      </c>
      <c r="I5" s="10" t="s">
        <v>48</v>
      </c>
      <c r="J5" s="10"/>
    </row>
    <row r="6" spans="1:10" x14ac:dyDescent="0.2">
      <c r="A6" s="10" t="s">
        <v>57</v>
      </c>
      <c r="B6" s="10" t="s">
        <v>58</v>
      </c>
      <c r="C6" s="10" t="s">
        <v>59</v>
      </c>
      <c r="D6" s="10" t="s">
        <v>46</v>
      </c>
      <c r="E6" s="10" t="s">
        <v>60</v>
      </c>
      <c r="F6" s="10" t="s">
        <v>48</v>
      </c>
      <c r="G6" s="10" t="s">
        <v>49</v>
      </c>
      <c r="H6" s="10" t="s">
        <v>56</v>
      </c>
      <c r="I6" s="10" t="s">
        <v>48</v>
      </c>
      <c r="J6" s="10"/>
    </row>
    <row r="7" spans="1:10" x14ac:dyDescent="0.2">
      <c r="A7" s="10" t="s">
        <v>61</v>
      </c>
      <c r="B7" s="10" t="s">
        <v>62</v>
      </c>
      <c r="C7" s="10" t="s">
        <v>63</v>
      </c>
      <c r="D7" s="10" t="s">
        <v>46</v>
      </c>
      <c r="E7" s="10" t="s">
        <v>64</v>
      </c>
      <c r="F7" s="10" t="s">
        <v>48</v>
      </c>
      <c r="G7" s="10" t="s">
        <v>49</v>
      </c>
      <c r="H7" s="10" t="s">
        <v>56</v>
      </c>
      <c r="I7" s="10" t="s">
        <v>48</v>
      </c>
      <c r="J7" s="10"/>
    </row>
    <row r="8" spans="1:10" x14ac:dyDescent="0.2">
      <c r="A8" s="10" t="s">
        <v>65</v>
      </c>
      <c r="B8" s="10" t="s">
        <v>66</v>
      </c>
      <c r="C8" s="10" t="s">
        <v>67</v>
      </c>
      <c r="D8" s="10" t="s">
        <v>46</v>
      </c>
      <c r="E8" s="10" t="s">
        <v>68</v>
      </c>
      <c r="F8" s="10" t="s">
        <v>48</v>
      </c>
      <c r="G8" s="10" t="s">
        <v>69</v>
      </c>
      <c r="H8" s="10" t="s">
        <v>56</v>
      </c>
      <c r="I8" s="10" t="s">
        <v>48</v>
      </c>
      <c r="J8" s="10"/>
    </row>
    <row r="9" spans="1:10" x14ac:dyDescent="0.2">
      <c r="A9" s="10" t="s">
        <v>70</v>
      </c>
      <c r="B9" s="10" t="s">
        <v>71</v>
      </c>
      <c r="C9" s="10" t="s">
        <v>53</v>
      </c>
      <c r="D9" s="10" t="s">
        <v>72</v>
      </c>
      <c r="E9" s="10" t="s">
        <v>64</v>
      </c>
      <c r="F9" s="10" t="s">
        <v>48</v>
      </c>
      <c r="G9" s="10" t="s">
        <v>49</v>
      </c>
      <c r="H9" s="10" t="s">
        <v>56</v>
      </c>
      <c r="I9" s="10" t="s">
        <v>48</v>
      </c>
      <c r="J9" s="10"/>
    </row>
    <row r="10" spans="1:10" x14ac:dyDescent="0.2">
      <c r="A10" s="10" t="s">
        <v>73</v>
      </c>
      <c r="B10" s="10" t="s">
        <v>74</v>
      </c>
      <c r="C10" s="10" t="s">
        <v>53</v>
      </c>
      <c r="D10" s="10" t="s">
        <v>46</v>
      </c>
      <c r="E10" s="10" t="s">
        <v>75</v>
      </c>
      <c r="F10" s="10" t="s">
        <v>48</v>
      </c>
      <c r="G10" s="10" t="s">
        <v>49</v>
      </c>
      <c r="H10" s="10" t="s">
        <v>56</v>
      </c>
      <c r="I10" s="10" t="s">
        <v>48</v>
      </c>
      <c r="J10" s="10"/>
    </row>
    <row r="11" spans="1:10" x14ac:dyDescent="0.2">
      <c r="A11" s="10" t="s">
        <v>76</v>
      </c>
      <c r="B11" s="10" t="s">
        <v>77</v>
      </c>
      <c r="C11" s="10" t="s">
        <v>78</v>
      </c>
      <c r="D11" s="10" t="s">
        <v>46</v>
      </c>
      <c r="E11" s="10" t="s">
        <v>64</v>
      </c>
      <c r="F11" s="10" t="s">
        <v>48</v>
      </c>
      <c r="G11" s="10" t="s">
        <v>49</v>
      </c>
      <c r="H11" s="10" t="s">
        <v>56</v>
      </c>
      <c r="I11" s="10" t="s">
        <v>48</v>
      </c>
      <c r="J11" s="10"/>
    </row>
    <row r="12" spans="1:10" x14ac:dyDescent="0.2">
      <c r="A12" s="10" t="s">
        <v>79</v>
      </c>
      <c r="B12" s="10" t="s">
        <v>80</v>
      </c>
      <c r="C12" s="10" t="s">
        <v>81</v>
      </c>
      <c r="D12" s="10" t="s">
        <v>54</v>
      </c>
      <c r="E12" s="10" t="s">
        <v>82</v>
      </c>
      <c r="F12" s="10" t="s">
        <v>48</v>
      </c>
      <c r="G12" s="10" t="s">
        <v>83</v>
      </c>
      <c r="H12" s="10" t="s">
        <v>56</v>
      </c>
      <c r="I12" s="10" t="s">
        <v>48</v>
      </c>
      <c r="J12" s="10"/>
    </row>
    <row r="13" spans="1:10" x14ac:dyDescent="0.2">
      <c r="A13" s="10" t="s">
        <v>84</v>
      </c>
      <c r="B13" s="10" t="s">
        <v>85</v>
      </c>
      <c r="C13" s="10" t="s">
        <v>53</v>
      </c>
      <c r="D13" s="10" t="s">
        <v>46</v>
      </c>
      <c r="E13" s="10" t="s">
        <v>86</v>
      </c>
      <c r="F13" s="10" t="s">
        <v>48</v>
      </c>
      <c r="G13" s="10" t="s">
        <v>49</v>
      </c>
      <c r="H13" s="10" t="s">
        <v>56</v>
      </c>
      <c r="I13" s="10" t="s">
        <v>48</v>
      </c>
      <c r="J13" s="10"/>
    </row>
    <row r="14" spans="1:10" x14ac:dyDescent="0.2">
      <c r="A14" s="10" t="s">
        <v>87</v>
      </c>
      <c r="B14" s="10" t="s">
        <v>88</v>
      </c>
      <c r="C14" s="10" t="s">
        <v>78</v>
      </c>
      <c r="D14" s="10" t="s">
        <v>46</v>
      </c>
      <c r="E14" s="10" t="s">
        <v>89</v>
      </c>
      <c r="F14" s="10" t="s">
        <v>48</v>
      </c>
      <c r="G14" s="10" t="s">
        <v>90</v>
      </c>
      <c r="H14" s="10" t="s">
        <v>56</v>
      </c>
      <c r="I14" s="10" t="s">
        <v>48</v>
      </c>
      <c r="J14" s="10"/>
    </row>
    <row r="15" spans="1:10" x14ac:dyDescent="0.2">
      <c r="A15" s="10"/>
      <c r="B15" s="10"/>
      <c r="C15" s="10"/>
      <c r="D15" s="10"/>
      <c r="E15" s="10"/>
      <c r="F15" s="10"/>
      <c r="G15" s="10"/>
      <c r="H15" s="10"/>
      <c r="I15" s="10"/>
      <c r="J15" s="10"/>
    </row>
    <row r="16" spans="1:10" x14ac:dyDescent="0.2">
      <c r="A16" s="10" t="s">
        <v>91</v>
      </c>
      <c r="B16" s="10"/>
      <c r="C16" s="10"/>
      <c r="D16" s="10"/>
      <c r="E16" s="10"/>
      <c r="F16" s="10"/>
      <c r="G16" s="10"/>
      <c r="H16" s="10"/>
      <c r="I16" s="10"/>
      <c r="J16" s="10"/>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2"/>
  <sheetViews>
    <sheetView workbookViewId="0"/>
  </sheetViews>
  <sheetFormatPr baseColWidth="10" defaultColWidth="8.83203125" defaultRowHeight="15" x14ac:dyDescent="0.2"/>
  <cols>
    <col min="1" max="2" width="14" customWidth="1"/>
    <col min="3" max="3" width="50" customWidth="1"/>
  </cols>
  <sheetData>
    <row r="1" spans="1:3" ht="16" customHeight="1" x14ac:dyDescent="0.2">
      <c r="A1" s="1" t="s">
        <v>92</v>
      </c>
    </row>
    <row r="3" spans="1:3" x14ac:dyDescent="0.2">
      <c r="A3" s="3" t="s">
        <v>93</v>
      </c>
      <c r="B3" s="3" t="s">
        <v>94</v>
      </c>
      <c r="C3" s="3" t="s">
        <v>95</v>
      </c>
    </row>
    <row r="4" spans="1:3" x14ac:dyDescent="0.2">
      <c r="A4" s="2" t="s">
        <v>53</v>
      </c>
      <c r="B4" s="8">
        <v>3.4</v>
      </c>
      <c r="C4" s="2" t="s">
        <v>96</v>
      </c>
    </row>
    <row r="5" spans="1:3" x14ac:dyDescent="0.2">
      <c r="A5" s="2" t="s">
        <v>63</v>
      </c>
      <c r="B5" s="8">
        <v>4.87</v>
      </c>
      <c r="C5" s="2" t="s">
        <v>97</v>
      </c>
    </row>
    <row r="6" spans="1:3" x14ac:dyDescent="0.2">
      <c r="A6" s="2" t="s">
        <v>78</v>
      </c>
      <c r="B6" s="8">
        <v>5.1</v>
      </c>
      <c r="C6" s="2" t="s">
        <v>98</v>
      </c>
    </row>
    <row r="7" spans="1:3" x14ac:dyDescent="0.2">
      <c r="A7" s="2" t="s">
        <v>45</v>
      </c>
      <c r="B7" s="8">
        <v>5.6</v>
      </c>
      <c r="C7" s="2" t="s">
        <v>99</v>
      </c>
    </row>
    <row r="8" spans="1:3" x14ac:dyDescent="0.2">
      <c r="A8" s="2" t="s">
        <v>59</v>
      </c>
      <c r="B8" s="8">
        <v>4.2</v>
      </c>
      <c r="C8" s="2" t="s">
        <v>100</v>
      </c>
    </row>
    <row r="9" spans="1:3" x14ac:dyDescent="0.2">
      <c r="A9" s="2" t="s">
        <v>67</v>
      </c>
      <c r="B9" s="8">
        <v>4.6</v>
      </c>
      <c r="C9" s="2" t="s">
        <v>101</v>
      </c>
    </row>
    <row r="10" spans="1:3" x14ac:dyDescent="0.2">
      <c r="A10" s="2" t="s">
        <v>81</v>
      </c>
      <c r="B10" s="8">
        <v>5.35</v>
      </c>
      <c r="C10" s="2" t="s">
        <v>102</v>
      </c>
    </row>
    <row r="12" spans="1:3" x14ac:dyDescent="0.2">
      <c r="A12" s="2" t="s">
        <v>103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2"/>
  <sheetViews>
    <sheetView workbookViewId="0"/>
  </sheetViews>
  <sheetFormatPr baseColWidth="10" defaultColWidth="8.83203125" defaultRowHeight="15" x14ac:dyDescent="0.2"/>
  <cols>
    <col min="1" max="1" width="8" customWidth="1"/>
    <col min="2" max="2" width="16" customWidth="1"/>
    <col min="3" max="3" width="6" customWidth="1"/>
    <col min="4" max="4" width="12" customWidth="1"/>
    <col min="5" max="5" width="40" customWidth="1"/>
    <col min="6" max="6" width="16" customWidth="1"/>
    <col min="7" max="7" width="20" customWidth="1"/>
    <col min="8" max="8" width="24" customWidth="1"/>
  </cols>
  <sheetData>
    <row r="1" spans="1:9" ht="16" customHeight="1" x14ac:dyDescent="0.2">
      <c r="A1" s="1" t="s">
        <v>104</v>
      </c>
    </row>
    <row r="3" spans="1:9" x14ac:dyDescent="0.2">
      <c r="A3" s="9" t="s">
        <v>2</v>
      </c>
      <c r="B3" s="9" t="s">
        <v>105</v>
      </c>
      <c r="C3" s="9" t="s">
        <v>106</v>
      </c>
      <c r="D3" s="9" t="s">
        <v>107</v>
      </c>
      <c r="E3" s="9" t="s">
        <v>108</v>
      </c>
      <c r="F3" s="9" t="s">
        <v>109</v>
      </c>
      <c r="G3" s="9" t="s">
        <v>110</v>
      </c>
      <c r="H3" s="9" t="s">
        <v>111</v>
      </c>
      <c r="I3" s="10"/>
    </row>
    <row r="4" spans="1:9" x14ac:dyDescent="0.2">
      <c r="A4" s="10">
        <v>1</v>
      </c>
      <c r="B4" s="10" t="s">
        <v>112</v>
      </c>
      <c r="C4" s="10" t="s">
        <v>113</v>
      </c>
      <c r="D4" s="10" t="s">
        <v>114</v>
      </c>
      <c r="E4" s="10" t="s">
        <v>115</v>
      </c>
      <c r="F4" s="11">
        <v>0.9</v>
      </c>
      <c r="G4" s="10">
        <v>400</v>
      </c>
      <c r="H4" s="10">
        <v>26</v>
      </c>
      <c r="I4" s="10"/>
    </row>
    <row r="5" spans="1:9" x14ac:dyDescent="0.2">
      <c r="A5" s="10">
        <v>2</v>
      </c>
      <c r="B5" s="10" t="s">
        <v>116</v>
      </c>
      <c r="C5" s="10" t="s">
        <v>113</v>
      </c>
      <c r="D5" s="10" t="s">
        <v>114</v>
      </c>
      <c r="E5" s="10" t="s">
        <v>117</v>
      </c>
      <c r="F5" s="11">
        <v>0.61</v>
      </c>
      <c r="G5" s="10">
        <v>500</v>
      </c>
      <c r="H5" s="10">
        <v>26</v>
      </c>
      <c r="I5" s="10"/>
    </row>
    <row r="6" spans="1:9" x14ac:dyDescent="0.2">
      <c r="A6" s="10">
        <v>2</v>
      </c>
      <c r="B6" s="10" t="s">
        <v>116</v>
      </c>
      <c r="C6" s="10" t="s">
        <v>118</v>
      </c>
      <c r="D6" s="10" t="s">
        <v>119</v>
      </c>
      <c r="E6" s="10" t="s">
        <v>120</v>
      </c>
      <c r="F6" s="11">
        <v>0.55</v>
      </c>
      <c r="G6" s="10">
        <v>600</v>
      </c>
      <c r="H6" s="10">
        <v>26</v>
      </c>
      <c r="I6" s="10"/>
    </row>
    <row r="7" spans="1:9" x14ac:dyDescent="0.2">
      <c r="A7" s="10">
        <v>3</v>
      </c>
      <c r="B7" s="10" t="s">
        <v>121</v>
      </c>
      <c r="C7" s="10" t="s">
        <v>113</v>
      </c>
      <c r="D7" s="10" t="s">
        <v>114</v>
      </c>
      <c r="E7" s="10" t="s">
        <v>122</v>
      </c>
      <c r="F7" s="11">
        <v>0.3</v>
      </c>
      <c r="G7" s="10">
        <v>1200</v>
      </c>
      <c r="H7" s="10">
        <v>26</v>
      </c>
      <c r="I7" s="10"/>
    </row>
    <row r="8" spans="1:9" x14ac:dyDescent="0.2">
      <c r="A8" s="10">
        <v>4</v>
      </c>
      <c r="B8" s="10" t="s">
        <v>123</v>
      </c>
      <c r="C8" s="10" t="s">
        <v>113</v>
      </c>
      <c r="D8" s="10" t="s">
        <v>114</v>
      </c>
      <c r="E8" s="10" t="s">
        <v>124</v>
      </c>
      <c r="F8" s="11">
        <v>2.6</v>
      </c>
      <c r="G8" s="10">
        <v>150</v>
      </c>
      <c r="H8" s="10">
        <v>24</v>
      </c>
      <c r="I8" s="10"/>
    </row>
    <row r="9" spans="1:9" x14ac:dyDescent="0.2">
      <c r="A9" s="10">
        <v>5</v>
      </c>
      <c r="B9" s="10" t="s">
        <v>125</v>
      </c>
      <c r="C9" s="10" t="s">
        <v>113</v>
      </c>
      <c r="D9" s="10" t="s">
        <v>114</v>
      </c>
      <c r="E9" s="10" t="s">
        <v>126</v>
      </c>
      <c r="F9" s="11">
        <v>1.4</v>
      </c>
      <c r="G9" s="10">
        <v>250</v>
      </c>
      <c r="H9" s="10">
        <v>26</v>
      </c>
      <c r="I9" s="10"/>
    </row>
    <row r="10" spans="1:9" x14ac:dyDescent="0.2">
      <c r="A10" s="10">
        <v>5</v>
      </c>
      <c r="B10" s="10" t="s">
        <v>125</v>
      </c>
      <c r="C10" s="10" t="s">
        <v>118</v>
      </c>
      <c r="D10" s="10" t="s">
        <v>127</v>
      </c>
      <c r="E10" s="10" t="s">
        <v>128</v>
      </c>
      <c r="F10" s="11">
        <v>1.65</v>
      </c>
      <c r="G10" s="10">
        <v>250</v>
      </c>
      <c r="H10" s="10">
        <v>26</v>
      </c>
      <c r="I10" s="10"/>
    </row>
    <row r="11" spans="1:9" x14ac:dyDescent="0.2">
      <c r="A11" s="10"/>
      <c r="B11" s="10"/>
      <c r="C11" s="10"/>
      <c r="D11" s="10"/>
      <c r="E11" s="10"/>
      <c r="F11" s="10"/>
      <c r="G11" s="10"/>
      <c r="H11" s="10"/>
      <c r="I11" s="10"/>
    </row>
    <row r="12" spans="1:9" x14ac:dyDescent="0.2">
      <c r="A12" s="10" t="s">
        <v>129</v>
      </c>
      <c r="B12" s="10"/>
      <c r="C12" s="10"/>
      <c r="D12" s="10"/>
      <c r="E12" s="10"/>
      <c r="F12" s="10"/>
      <c r="G12" s="10"/>
      <c r="H12" s="10"/>
      <c r="I12" s="10"/>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Bids</vt:lpstr>
      <vt:lpstr>Bidder Terms</vt:lpstr>
      <vt:lpstr>Freight Schedule</vt:lpstr>
      <vt:lpstr>Item Weights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dc:creator xmlns:dc="http://purl.org/dc/elements/1.1/">Nordvik Manufacturing</dc:creator>
  <dc:title xmlns:dc="http://purl.org/dc/elements/1.1/">ITB 2026-17 bid tabulation as opened</dc:title>
  <dcterms:created xmlns:dcterms="http://purl.org/dc/terms/" xmlns:xsi="http://www.w3.org/2001/XMLSchema-instance" xsi:type="dcterms:W3CDTF">2026-10-06T10:22:41Z</dcterms:created>
  <dcterms:modified xmlns:dcterms="http://purl.org/dc/terms/" xmlns:xsi="http://www.w3.org/2001/XMLSchema-instance" xsi:type="dcterms:W3CDTF">2026-10-06T14:31:18Z</dcterms:modified>
  <cp:lastModifiedBy>Nordvik Manufacturing</cp:lastModifiedBy>
</cp:coreProperties>
</file>