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A649E473-8A5E-C742-BBA5-4E5A9789B772}" xr6:coauthVersionLast="47" xr6:coauthVersionMax="47" xr10:uidLastSave="{00000000-0000-0000-0000-000000000000}"/>
  <bookViews>
    <workbookView xWindow="0" yWindow="0" windowWidth="21600" windowHeight="38400" xr2:uid="{00000000-000D-0000-FFFF-FFFF00000000}"/>
  </bookViews>
  <sheets>
    <sheet name="Bids" sheetId="1" r:id="rId1"/>
    <sheet name="Bidder Terms" sheetId="2" r:id="rId2"/>
    <sheet name="Freight Schedule" sheetId="3" r:id="rId3"/>
    <sheet name="Item Weigh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1" l="1"/>
  <c r="H11" i="1"/>
  <c r="F11" i="1"/>
  <c r="D11" i="1"/>
</calcChain>
</file>

<file path=xl/sharedStrings.xml><?xml version="1.0" encoding="utf-8"?>
<sst xmlns="http://schemas.openxmlformats.org/spreadsheetml/2006/main" count="99" uniqueCount="80">
  <si>
    <t>ITB 2026-17, corrugated shipping cartons, annual requirement; bids as opened October 6, 2026, 10:00, Nordvik Manufacturing purchasing office</t>
  </si>
  <si>
    <t>Unit prices in dollars per carton and extensions in dollars as written on each bid form; tooling as written.</t>
  </si>
  <si>
    <t>ITEM</t>
  </si>
  <si>
    <t>DESCRIPTION</t>
  </si>
  <si>
    <t>PEMBERTON_UNIT</t>
  </si>
  <si>
    <t>PEMBERTON_EXTENSION</t>
  </si>
  <si>
    <t>RIDGECREST_UNIT</t>
  </si>
  <si>
    <t>RIDGECREST_EXTENSION</t>
  </si>
  <si>
    <t>BRANNOCK_UNIT</t>
  </si>
  <si>
    <t>BRANNOCK_EXTENSION</t>
  </si>
  <si>
    <t>HALVARD_UNIT</t>
  </si>
  <si>
    <t>HALVARD_EXTENSION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</si>
  <si>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</si>
  <si>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</si>
  <si>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</si>
  <si>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</si>
  <si>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</si>
  <si>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</si>
  <si>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Total bid as written</t>
  </si>
  <si>
    <t>Bidder terms and submittals as received, ITB 2026-17</t>
  </si>
  <si>
    <t>BIDDER</t>
  </si>
  <si>
    <t>PLANT_CITY</t>
  </si>
  <si>
    <t>PLANT_STATE</t>
  </si>
  <si>
    <t>FOB_TERMS</t>
  </si>
  <si>
    <t>PAYMENT_TERMS</t>
  </si>
  <si>
    <t>BID_BOND_5_PCT</t>
  </si>
  <si>
    <t>ADDENDA_ACKNOWLEDGED</t>
  </si>
  <si>
    <t>SAMPLES_RECEIVED</t>
  </si>
  <si>
    <t>PRICE_HOLD_STATED</t>
  </si>
  <si>
    <t>EXCEPTIONS_AND_ALTERNATES</t>
  </si>
  <si>
    <t>RECEIVED</t>
  </si>
  <si>
    <t>Pemberton Container</t>
  </si>
  <si>
    <t>Neenah</t>
  </si>
  <si>
    <t>WI</t>
  </si>
  <si>
    <t>Destination</t>
  </si>
  <si>
    <t>2% 10, net 30</t>
  </si>
  <si>
    <t>Yes</t>
  </si>
  <si>
    <t>1, 2</t>
  </si>
  <si>
    <t>12 months as required</t>
  </si>
  <si>
    <t>None. Alternate bid submitted for item 4 at 200 lb test doublewall, 1.512 per carton, if acceptable.</t>
  </si>
  <si>
    <t>10/06/2026 09:41</t>
  </si>
  <si>
    <t>Ridgecrest Packaging</t>
  </si>
  <si>
    <t>Cedar Rapids</t>
  </si>
  <si>
    <t>IA</t>
  </si>
  <si>
    <t>Origin, Cedar Rapids plant</t>
  </si>
  <si>
    <t>1% 20, net 45</t>
  </si>
  <si>
    <t>None.</t>
  </si>
  <si>
    <t>10/06/2026 08:15</t>
  </si>
  <si>
    <t>Brannock Box Company</t>
  </si>
  <si>
    <t>Rockford</t>
  </si>
  <si>
    <t>IL</t>
  </si>
  <si>
    <t>Net 30</t>
  </si>
  <si>
    <t>1</t>
  </si>
  <si>
    <t>10/05/2026 16:02</t>
  </si>
  <si>
    <t>Halvard Corrugated</t>
  </si>
  <si>
    <t>Fargo</t>
  </si>
  <si>
    <t>ND</t>
  </si>
  <si>
    <t>2% 30, net 60</t>
  </si>
  <si>
    <t>Prices firm for 6 months from award; thereafter subject to paper index adjustment</t>
  </si>
  <si>
    <t>Exception to ITB section 4.3: prices firm for 6 months, then adjusted quarterly to the Pulp and Paper Week linerboard index.</t>
  </si>
  <si>
    <t>10/06/2026 09:58</t>
  </si>
  <si>
    <t>Nordvik inbound freight schedule for bid evaluation, dollars per hundredweight to Alexandria, Minnesota, effective July 1, 2026</t>
  </si>
  <si>
    <t>ORIGIN_STATE</t>
  </si>
  <si>
    <t>RATE_PER_CWT</t>
  </si>
  <si>
    <t>NOTE</t>
  </si>
  <si>
    <t>MN</t>
  </si>
  <si>
    <t>Intrastate, common carrier</t>
  </si>
  <si>
    <t>Common carrier, Des Moines and Cedar Rapids gateways</t>
  </si>
  <si>
    <t>Common carrier, Eau Claire gateway</t>
  </si>
  <si>
    <t>Common carrier via Rockford</t>
  </si>
  <si>
    <t>Common carrier, Fargo gateway</t>
  </si>
  <si>
    <t>SD</t>
  </si>
  <si>
    <t>Common carrier, Sioux Falls gateway</t>
  </si>
  <si>
    <t>NE</t>
  </si>
  <si>
    <t>Common carrier, Omaha gateway</t>
  </si>
  <si>
    <t>The schedule is applied to the shipping weight of the annual quantity at the item weights on the Item Weights sheet, in hundredweight, for any bid offered FOB origin. No minimum charge applies to the evaluation.</t>
  </si>
  <si>
    <t>Shipping weight per carton, from the ITB carton specifications, pounds</t>
  </si>
  <si>
    <t>LB_PER_CARTON</t>
  </si>
  <si>
    <t>CARTONS_PER_PALLET</t>
  </si>
  <si>
    <t>PALLETS_PER_TRUCKLOAD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</si>
</sst>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b/>
      <sz val="12"/>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xf numFmtId="164" fontId="0" fillId="0" borderId="0" xfId="0" applyNumberFormat="1"/>
    <xf numFmtId="4" fontId="0" fillId="0" borderId="0" xfId="0" applyNumberFormat="1"/>
    <xf numFmtId="0" fontId="2" fillId="0" borderId="0" xfId="0" applyFont="1"/>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
  <sheetViews>
    <sheetView tabSelected="1" workbookViewId="0"/>
  </sheetViews>
  <sheetFormatPr baseColWidth="10" defaultColWidth="8.83203125" defaultRowHeight="15" x14ac:dyDescent="0.2"/>
  <cols>
    <col min="1" max="1" width="32" customWidth="1"/>
    <col min="2" max="2" width="58" customWidth="1"/>
    <col min="3" max="3" width="18" customWidth="1"/>
    <col min="4" max="4" width="22" customWidth="1"/>
    <col min="5" max="5" width="18" customWidth="1"/>
    <col min="6" max="6" width="22" customWidth="1"/>
    <col min="7" max="7" width="18" customWidth="1"/>
    <col min="8" max="8" width="22" customWidth="1"/>
    <col min="9" max="9" width="18" customWidth="1"/>
    <col min="10" max="10" width="22" customWidth="1"/>
  </cols>
  <sheetData>
    <row r="1" spans="1:10" ht="16" x14ac:dyDescent="0.2">
      <c r="A1" s="1" t="s">
        <v>0</v>
      </c>
    </row>
    <row r="2" spans="1:10" x14ac:dyDescent="0.2">
      <c r="A2" t="s">
        <v>1</v>
      </c>
    </row>
    <row r="4" spans="1:10" x14ac:dyDescent="0.2">
      <c r="A4" s="2" t="s">
        <v>2</v>
      </c>
      <c r="B4" s="2" t="s">
        <v>3</v>
      </c>
      <c r="C4" s="2" t="s">
        <v>4</v>
      </c>
      <c r="D4" s="2" t="s">
        <v>5</v>
      </c>
      <c r="E4" s="2" t="s">
        <v>6</v>
      </c>
      <c r="F4" s="2" t="s">
        <v>7</v>
      </c>
      <c r="G4" s="2" t="s">
        <v>8</v>
      </c>
      <c r="H4" s="2" t="s">
        <v>9</v>
      </c>
      <c r="I4" s="2" t="s">
        <v>10</v>
      </c>
      <c r="J4" s="2" t="s">
        <v>11</v>
      </c>
    </row>
    <row r="5" spans="1:10" x14ac:dyDescent="0.2">
      <c r="A5">
        <v>1</v>
      </c>
      <c r="B5" t="s">
        <v>12</v>
      </c>
      <c r="C5" s="3">
        <v>0.612</v>
      </c>
      <c r="D5" s="4">
        <v>36720</v>
      </c>
      <c r="E5" s="3">
        <v>0.598</v>
      </c>
      <c r="F5" s="4">
        <v>35880</v>
      </c>
      <c r="G5" s="3">
        <v>0.571</v>
      </c>
      <c r="H5" s="4">
        <v>34260</v>
      </c>
      <c r="I5" s="3">
        <v>0.605</v>
      </c>
      <c r="J5" s="4">
        <v>36300</v>
      </c>
    </row>
    <row r="6" spans="1:10" x14ac:dyDescent="0.2">
      <c r="A6">
        <v>2</v>
      </c>
      <c r="B6" t="s">
        <v>13</v>
      </c>
      <c r="C6" s="3">
        <v>0.418</v>
      </c>
      <c r="D6" s="4">
        <v>45112</v>
      </c>
      <c r="E6" s="3">
        <v>0.405</v>
      </c>
      <c r="F6" s="4">
        <v>34020</v>
      </c>
      <c r="G6" s="3">
        <v>0.398</v>
      </c>
      <c r="H6" s="4">
        <v>33432</v>
      </c>
      <c r="I6" s="3">
        <v>0.412</v>
      </c>
      <c r="J6" s="4">
        <v>34608</v>
      </c>
    </row>
    <row r="7" spans="1:10" x14ac:dyDescent="0.2">
      <c r="A7">
        <v>3</v>
      </c>
      <c r="B7" t="s">
        <v>14</v>
      </c>
      <c r="C7" s="3">
        <v>0.294</v>
      </c>
      <c r="D7" s="4">
        <v>10584</v>
      </c>
      <c r="E7" s="3">
        <v>0.281</v>
      </c>
      <c r="F7" s="4">
        <v>10116</v>
      </c>
      <c r="G7" s="3">
        <v>0.276</v>
      </c>
      <c r="H7" s="4">
        <v>13248</v>
      </c>
      <c r="I7" s="3">
        <v>0.288</v>
      </c>
      <c r="J7" s="4">
        <v>10368</v>
      </c>
    </row>
    <row r="8" spans="1:10" x14ac:dyDescent="0.2">
      <c r="A8">
        <v>4</v>
      </c>
      <c r="B8" t="s">
        <v>15</v>
      </c>
      <c r="C8" s="3">
        <v>1.735</v>
      </c>
      <c r="D8" s="4">
        <v>20820</v>
      </c>
      <c r="E8" s="3">
        <v>1.69</v>
      </c>
      <c r="F8" s="4">
        <v>20280</v>
      </c>
      <c r="G8" s="3">
        <v>1.655</v>
      </c>
      <c r="H8" s="4">
        <v>19860</v>
      </c>
      <c r="I8" s="3">
        <v>1.702</v>
      </c>
      <c r="J8" s="4">
        <v>20424</v>
      </c>
    </row>
    <row r="9" spans="1:10" x14ac:dyDescent="0.2">
      <c r="A9">
        <v>5</v>
      </c>
      <c r="B9" t="s">
        <v>16</v>
      </c>
      <c r="C9" s="3">
        <v>0.988</v>
      </c>
      <c r="D9" s="4">
        <v>29640</v>
      </c>
      <c r="E9" s="3">
        <v>0.965</v>
      </c>
      <c r="F9" s="4">
        <v>28950</v>
      </c>
      <c r="G9" s="3">
        <v>0.94</v>
      </c>
      <c r="H9" s="4">
        <v>28200</v>
      </c>
      <c r="I9" s="3">
        <v>0.972</v>
      </c>
      <c r="J9" s="4">
        <v>29160</v>
      </c>
    </row>
    <row r="10" spans="1:10" x14ac:dyDescent="0.2">
      <c r="A10" s="5" t="s">
        <v>17</v>
      </c>
      <c r="D10" s="4">
        <v>1850</v>
      </c>
      <c r="F10" s="4">
        <v>2400</v>
      </c>
      <c r="H10" s="4">
        <v>1500</v>
      </c>
      <c r="J10" s="4">
        <v>1600</v>
      </c>
    </row>
    <row r="11" spans="1:10" x14ac:dyDescent="0.2">
      <c r="A11" s="5" t="s">
        <v>18</v>
      </c>
      <c r="D11" s="4">
        <f>SUM(D5:D10)</f>
        <v>144726</v>
      </c>
      <c r="F11" s="4">
        <f>SUM(F5:F10)</f>
        <v>131646</v>
      </c>
      <c r="H11" s="4">
        <f>SUM(H5:H10)</f>
        <v>130500</v>
      </c>
      <c r="J11" s="4">
        <f>SUM(J5:J10)</f>
        <v>132460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
  <sheetViews>
    <sheetView workbookViewId="0"/>
  </sheetViews>
  <sheetFormatPr baseColWidth="10" defaultColWidth="8.83203125" defaultRowHeight="15" x14ac:dyDescent="0.2"/>
  <cols>
    <col min="1" max="1" width="24" customWidth="1"/>
    <col min="2" max="2" width="14" customWidth="1"/>
    <col min="3" max="3" width="12" customWidth="1"/>
    <col min="4" max="4" width="26" customWidth="1"/>
    <col min="5" max="5" width="16" customWidth="1"/>
    <col min="6" max="6" width="14" customWidth="1"/>
    <col min="7" max="7" width="20" customWidth="1"/>
    <col min="8" max="8" width="16" customWidth="1"/>
    <col min="9" max="9" width="40" customWidth="1"/>
    <col min="10" max="10" width="70" customWidth="1"/>
    <col min="11" max="11" width="18" customWidth="1"/>
  </cols>
  <sheetData>
    <row r="1" spans="1:11" ht="16" x14ac:dyDescent="0.2">
      <c r="A1" s="1" t="s">
        <v>19</v>
      </c>
    </row>
    <row r="3" spans="1:11" x14ac:dyDescent="0.2">
      <c r="A3" s="2" t="s">
        <v>20</v>
      </c>
      <c r="B3" s="2" t="s">
        <v>21</v>
      </c>
      <c r="C3" s="2" t="s">
        <v>22</v>
      </c>
      <c r="D3" s="2" t="s">
        <v>23</v>
      </c>
      <c r="E3" s="2" t="s">
        <v>24</v>
      </c>
      <c r="F3" s="2" t="s">
        <v>25</v>
      </c>
      <c r="G3" s="2" t="s">
        <v>26</v>
      </c>
      <c r="H3" s="2" t="s">
        <v>27</v>
      </c>
      <c r="I3" s="2" t="s">
        <v>28</v>
      </c>
      <c r="J3" s="2" t="s">
        <v>29</v>
      </c>
      <c r="K3" s="2" t="s">
        <v>30</v>
      </c>
    </row>
    <row r="4" spans="1:11" x14ac:dyDescent="0.2">
      <c r="A4" t="s">
        <v>31</v>
      </c>
      <c r="B4" t="s">
        <v>32</v>
      </c>
      <c r="C4" t="s">
        <v>33</v>
      </c>
      <c r="D4" t="s">
        <v>34</v>
      </c>
      <c r="E4" t="s">
        <v>35</v>
      </c>
      <c r="F4" t="s">
        <v>36</v>
      </c>
      <c r="G4" t="s">
        <v>37</v>
      </c>
      <c r="H4" t="s">
        <v>36</v>
      </c>
      <c r="I4" t="s">
        <v>38</v>
      </c>
      <c r="J4" t="s">
        <v>39</v>
      </c>
      <c r="K4" t="s">
        <v>40</v>
      </c>
    </row>
    <row r="5" spans="1:11" x14ac:dyDescent="0.2">
      <c r="A5" t="s">
        <v>41</v>
      </c>
      <c r="B5" t="s">
        <v>42</v>
      </c>
      <c r="C5" t="s">
        <v>43</v>
      </c>
      <c r="D5" t="s">
        <v>44</v>
      </c>
      <c r="E5" t="s">
        <v>45</v>
      </c>
      <c r="F5" t="s">
        <v>36</v>
      </c>
      <c r="G5" t="s">
        <v>37</v>
      </c>
      <c r="H5" t="s">
        <v>36</v>
      </c>
      <c r="I5" t="s">
        <v>38</v>
      </c>
      <c r="J5" t="s">
        <v>46</v>
      </c>
      <c r="K5" t="s">
        <v>47</v>
      </c>
    </row>
    <row r="6" spans="1:11" x14ac:dyDescent="0.2">
      <c r="A6" t="s">
        <v>48</v>
      </c>
      <c r="B6" t="s">
        <v>49</v>
      </c>
      <c r="C6" t="s">
        <v>50</v>
      </c>
      <c r="D6" t="s">
        <v>34</v>
      </c>
      <c r="E6" t="s">
        <v>51</v>
      </c>
      <c r="F6" t="s">
        <v>36</v>
      </c>
      <c r="G6" t="s">
        <v>52</v>
      </c>
      <c r="H6" t="s">
        <v>36</v>
      </c>
      <c r="I6" t="s">
        <v>38</v>
      </c>
      <c r="J6" t="s">
        <v>46</v>
      </c>
      <c r="K6" t="s">
        <v>53</v>
      </c>
    </row>
    <row r="7" spans="1:11" x14ac:dyDescent="0.2">
      <c r="A7" t="s">
        <v>54</v>
      </c>
      <c r="B7" t="s">
        <v>55</v>
      </c>
      <c r="C7" t="s">
        <v>56</v>
      </c>
      <c r="D7" t="s">
        <v>34</v>
      </c>
      <c r="E7" t="s">
        <v>57</v>
      </c>
      <c r="F7" t="s">
        <v>36</v>
      </c>
      <c r="G7" t="s">
        <v>37</v>
      </c>
      <c r="H7" t="s">
        <v>36</v>
      </c>
      <c r="I7" t="s">
        <v>58</v>
      </c>
      <c r="J7" t="s">
        <v>59</v>
      </c>
      <c r="K7" t="s">
        <v>60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heetViews>
  <sheetFormatPr baseColWidth="10" defaultColWidth="8.83203125" defaultRowHeight="15" x14ac:dyDescent="0.2"/>
  <cols>
    <col min="1" max="1" width="14" customWidth="1"/>
    <col min="3" max="3" width="50" customWidth="1"/>
  </cols>
  <sheetData>
    <row r="1" spans="1:3" ht="16" x14ac:dyDescent="0.2">
      <c r="A1" s="1" t="s">
        <v>61</v>
      </c>
    </row>
    <row r="3" spans="1:3" x14ac:dyDescent="0.2">
      <c r="A3" s="2" t="s">
        <v>62</v>
      </c>
      <c r="B3" s="2" t="s">
        <v>63</v>
      </c>
      <c r="C3" s="2" t="s">
        <v>64</v>
      </c>
    </row>
    <row r="4" spans="1:3" x14ac:dyDescent="0.2">
      <c r="A4" t="s">
        <v>65</v>
      </c>
      <c r="B4" s="6">
        <v>3.4</v>
      </c>
      <c r="C4" t="s">
        <v>66</v>
      </c>
    </row>
    <row r="5" spans="1:3" x14ac:dyDescent="0.2">
      <c r="A5" t="s">
        <v>43</v>
      </c>
      <c r="B5" s="6">
        <v>4.85</v>
      </c>
      <c r="C5" t="s">
        <v>67</v>
      </c>
    </row>
    <row r="6" spans="1:3" x14ac:dyDescent="0.2">
      <c r="A6" t="s">
        <v>33</v>
      </c>
      <c r="B6" s="6">
        <v>5.1</v>
      </c>
      <c r="C6" t="s">
        <v>68</v>
      </c>
    </row>
    <row r="7" spans="1:3" x14ac:dyDescent="0.2">
      <c r="A7" t="s">
        <v>50</v>
      </c>
      <c r="B7" s="6">
        <v>5.6</v>
      </c>
      <c r="C7" t="s">
        <v>69</v>
      </c>
    </row>
    <row r="8" spans="1:3" x14ac:dyDescent="0.2">
      <c r="A8" t="s">
        <v>56</v>
      </c>
      <c r="B8" s="6">
        <v>4.2</v>
      </c>
      <c r="C8" t="s">
        <v>70</v>
      </c>
    </row>
    <row r="9" spans="1:3" x14ac:dyDescent="0.2">
      <c r="A9" t="s">
        <v>71</v>
      </c>
      <c r="B9" s="6">
        <v>4.6</v>
      </c>
      <c r="C9" t="s">
        <v>72</v>
      </c>
    </row>
    <row r="10" spans="1:3" x14ac:dyDescent="0.2">
      <c r="A10" t="s">
        <v>73</v>
      </c>
      <c r="B10" s="6">
        <v>5.35</v>
      </c>
      <c r="C10" t="s">
        <v>74</v>
      </c>
    </row>
    <row r="12" spans="1:3" x14ac:dyDescent="0.2">
      <c r="A12" t="s">
        <v>75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8"/>
  <sheetViews>
    <sheetView workbookViewId="0"/>
  </sheetViews>
  <sheetFormatPr baseColWidth="10" defaultColWidth="8.83203125" defaultRowHeight="15" x14ac:dyDescent="0.2"/>
  <sheetData>
    <row r="1" spans="1:4" ht="16" x14ac:dyDescent="0.2">
      <c r="A1" s="1" t="s">
        <v>76</v>
      </c>
    </row>
    <row r="3" spans="1:4" x14ac:dyDescent="0.2">
      <c r="A3" s="2" t="s">
        <v>2</v>
      </c>
      <c r="B3" s="2" t="s">
        <v>77</v>
      </c>
      <c r="C3" s="2" t="s">
        <v>78</v>
      </c>
      <c r="D3" s="2" t="s">
        <v>79</v>
      </c>
    </row>
    <row r="4" spans="1:4" x14ac:dyDescent="0.2">
      <c r="A4">
        <v>1</v>
      </c>
      <c r="B4" s="6">
        <v>0.9</v>
      </c>
      <c r="C4">
        <v>400</v>
      </c>
      <c r="D4">
        <v>26</v>
      </c>
    </row>
    <row r="5" spans="1:4" x14ac:dyDescent="0.2">
      <c r="A5">
        <v>2</v>
      </c>
      <c r="B5" s="6">
        <v>0.55</v>
      </c>
      <c r="C5">
        <v>600</v>
      </c>
      <c r="D5">
        <v>26</v>
      </c>
    </row>
    <row r="6" spans="1:4" x14ac:dyDescent="0.2">
      <c r="A6">
        <v>3</v>
      </c>
      <c r="B6" s="6">
        <v>0.3</v>
      </c>
      <c r="C6">
        <v>1200</v>
      </c>
      <c r="D6">
        <v>26</v>
      </c>
    </row>
    <row r="7" spans="1:4" x14ac:dyDescent="0.2">
      <c r="A7">
        <v>4</v>
      </c>
      <c r="B7" s="6">
        <v>2.6</v>
      </c>
      <c r="C7">
        <v>150</v>
      </c>
      <c r="D7">
        <v>24</v>
      </c>
    </row>
    <row r="8" spans="1:4" x14ac:dyDescent="0.2">
      <c r="A8">
        <v>5</v>
      </c>
      <c r="B8" s="6">
        <v>1.4</v>
      </c>
      <c r="C8">
        <v>250</v>
      </c>
      <c r="D8">
        <v>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Bids</vt:lpstr>
      <vt:lpstr>Bidder Terms</vt:lpstr>
      <vt:lpstr>Freight Schedule</vt:lpstr>
      <vt:lpstr>Item Weights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ITB 2026-17 bid tabulation as opened</dc:title>
  <dcterms:created xmlns:dcterms="http://purl.org/dc/terms/" xmlns:xsi="http://www.w3.org/2001/XMLSchema-instance" xsi:type="dcterms:W3CDTF">2026-10-06T10:22:41Z</dcterms:created>
  <dcterms:modified xmlns:dcterms="http://purl.org/dc/terms/" xmlns:xsi="http://www.w3.org/2001/XMLSchema-instance" xsi:type="dcterms:W3CDTF">2026-10-06T11:48:09Z</dcterms:modified>
  <cp:lastModifiedBy>Nordvik Manufacturing</cp:lastModifiedBy>
</cp:coreProperties>
</file>