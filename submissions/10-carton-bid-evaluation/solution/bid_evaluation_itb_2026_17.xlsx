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C6C243E3-3185-0A47-9D0E-BA20CE6D8B4B}" xr6:coauthVersionLast="47" xr6:coauthVersionMax="47" xr10:uidLastSave="{00000000-0000-0000-0000-000000000000}"/>
  <bookViews>
    <workbookView xWindow="0" yWindow="0" windowWidth="21600" windowHeight="38400" xr2:uid="{00000000-000D-0000-FFFF-FFFF00000000}"/>
  </bookViews>
  <sheets>
    <sheet name="Recommendation" sheetId="1" r:id="rId1"/>
    <sheet name="Parameters" sheetId="2" r:id="rId2"/>
    <sheet name="Bids as Written" sheetId="3" r:id="rId3"/>
    <sheet name="Terms" sheetId="4" r:id="rId4"/>
    <sheet name="Freight" sheetId="5" r:id="rId5"/>
    <sheet name="Responsiveness" sheetId="6" r:id="rId6"/>
    <sheet name="Evaluation" sheetId="7" r:id="rId7"/>
    <sheet name="Extensions" sheetId="8" r:id="rId8"/>
    <sheet name="Note to Torsten"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8" l="1"/>
  <c r="D23" i="8"/>
  <c r="C23" i="8"/>
  <c r="E22" i="8"/>
  <c r="D22" i="8"/>
  <c r="C22" i="8"/>
  <c r="E21" i="8"/>
  <c r="D21" i="8"/>
  <c r="C21" i="8"/>
  <c r="E20" i="8"/>
  <c r="D20" i="8"/>
  <c r="C20" i="8"/>
  <c r="E19" i="8"/>
  <c r="D19" i="8"/>
  <c r="C19" i="8"/>
  <c r="E18" i="8"/>
  <c r="D18" i="8"/>
  <c r="C18" i="8"/>
  <c r="E17" i="8"/>
  <c r="D17" i="8"/>
  <c r="C17" i="8"/>
  <c r="E16" i="8"/>
  <c r="D16" i="8"/>
  <c r="C16" i="8"/>
  <c r="E15" i="8"/>
  <c r="D15" i="8"/>
  <c r="C15" i="8"/>
  <c r="E14" i="8"/>
  <c r="D14" i="8"/>
  <c r="C14" i="8"/>
  <c r="E13" i="8"/>
  <c r="D13" i="8"/>
  <c r="C13" i="8"/>
  <c r="E12" i="8"/>
  <c r="D12" i="8"/>
  <c r="C12" i="8"/>
  <c r="E11" i="8"/>
  <c r="D11" i="8"/>
  <c r="C11" i="8"/>
  <c r="E10" i="8"/>
  <c r="D10" i="8"/>
  <c r="C10" i="8"/>
  <c r="E9" i="8"/>
  <c r="D9" i="8"/>
  <c r="C9" i="8"/>
  <c r="E8" i="8"/>
  <c r="D8" i="8"/>
  <c r="C8" i="8"/>
  <c r="E7" i="8"/>
  <c r="D7" i="8"/>
  <c r="C7" i="8"/>
  <c r="E6" i="8"/>
  <c r="D6" i="8"/>
  <c r="C6" i="8"/>
  <c r="E5" i="8"/>
  <c r="D5" i="8"/>
  <c r="C5" i="8"/>
  <c r="E4" i="8"/>
  <c r="D4" i="8"/>
  <c r="C4" i="8"/>
  <c r="E14" i="7"/>
  <c r="D14" i="7"/>
  <c r="D15" i="7" s="1"/>
  <c r="D12" i="1" s="1"/>
  <c r="C14" i="7"/>
  <c r="B14" i="7"/>
  <c r="B15" i="7" s="1"/>
  <c r="B12" i="1" s="1"/>
  <c r="E13" i="7"/>
  <c r="D13" i="7"/>
  <c r="C13" i="7"/>
  <c r="B13" i="7"/>
  <c r="E11" i="7"/>
  <c r="E12" i="7" s="1"/>
  <c r="E11" i="1" s="1"/>
  <c r="D11" i="7"/>
  <c r="D12" i="7" s="1"/>
  <c r="D11" i="1" s="1"/>
  <c r="C11" i="7"/>
  <c r="B11" i="7"/>
  <c r="B12" i="7" s="1"/>
  <c r="B11" i="1" s="1"/>
  <c r="E10" i="7"/>
  <c r="D10" i="7"/>
  <c r="C10" i="7"/>
  <c r="B10" i="7"/>
  <c r="E8" i="7"/>
  <c r="F23" i="8" s="1"/>
  <c r="G23" i="8" s="1"/>
  <c r="H23" i="8" s="1"/>
  <c r="D8" i="7"/>
  <c r="F18" i="8" s="1"/>
  <c r="G18" i="8" s="1"/>
  <c r="H18" i="8" s="1"/>
  <c r="C8" i="7"/>
  <c r="F13" i="8" s="1"/>
  <c r="G13" i="8" s="1"/>
  <c r="H13" i="8" s="1"/>
  <c r="B8" i="7"/>
  <c r="F8" i="8" s="1"/>
  <c r="G8" i="8" s="1"/>
  <c r="H8" i="8" s="1"/>
  <c r="E7" i="7"/>
  <c r="F22" i="8" s="1"/>
  <c r="G22" i="8" s="1"/>
  <c r="H22" i="8" s="1"/>
  <c r="D7" i="7"/>
  <c r="F17" i="8" s="1"/>
  <c r="G17" i="8" s="1"/>
  <c r="H17" i="8" s="1"/>
  <c r="C7" i="7"/>
  <c r="F12" i="8" s="1"/>
  <c r="G12" i="8" s="1"/>
  <c r="H12" i="8" s="1"/>
  <c r="B7" i="7"/>
  <c r="F7" i="8" s="1"/>
  <c r="G7" i="8" s="1"/>
  <c r="H7" i="8" s="1"/>
  <c r="E6" i="7"/>
  <c r="F21" i="8" s="1"/>
  <c r="G21" i="8" s="1"/>
  <c r="H21" i="8" s="1"/>
  <c r="D6" i="7"/>
  <c r="F16" i="8" s="1"/>
  <c r="G16" i="8" s="1"/>
  <c r="H16" i="8" s="1"/>
  <c r="C6" i="7"/>
  <c r="F11" i="8" s="1"/>
  <c r="G11" i="8" s="1"/>
  <c r="H11" i="8" s="1"/>
  <c r="B6" i="7"/>
  <c r="F6" i="8" s="1"/>
  <c r="G6" i="8" s="1"/>
  <c r="H6" i="8" s="1"/>
  <c r="E5" i="7"/>
  <c r="F20" i="8" s="1"/>
  <c r="G20" i="8" s="1"/>
  <c r="H20" i="8" s="1"/>
  <c r="D5" i="7"/>
  <c r="F15" i="8" s="1"/>
  <c r="G15" i="8" s="1"/>
  <c r="H15" i="8" s="1"/>
  <c r="C5" i="7"/>
  <c r="F10" i="8" s="1"/>
  <c r="G10" i="8" s="1"/>
  <c r="H10" i="8" s="1"/>
  <c r="B5" i="7"/>
  <c r="F5" i="8" s="1"/>
  <c r="E4" i="7"/>
  <c r="D4" i="7"/>
  <c r="C4" i="7"/>
  <c r="B4" i="7"/>
  <c r="F7" i="6"/>
  <c r="E7" i="6"/>
  <c r="D7" i="6"/>
  <c r="C7" i="6"/>
  <c r="B7" i="6"/>
  <c r="A7" i="6"/>
  <c r="F6" i="6"/>
  <c r="E6" i="6"/>
  <c r="D6" i="6"/>
  <c r="C6" i="6"/>
  <c r="B6" i="6"/>
  <c r="A6" i="6"/>
  <c r="F5" i="6"/>
  <c r="E5" i="6"/>
  <c r="D5" i="6"/>
  <c r="C5" i="6"/>
  <c r="B5" i="6"/>
  <c r="A5" i="6"/>
  <c r="F4" i="6"/>
  <c r="E4" i="6"/>
  <c r="D4" i="6"/>
  <c r="C4" i="6"/>
  <c r="B4" i="6"/>
  <c r="A4" i="6"/>
  <c r="F8" i="5"/>
  <c r="G8" i="5" s="1"/>
  <c r="F7" i="5"/>
  <c r="G7" i="5" s="1"/>
  <c r="F6" i="5"/>
  <c r="G6" i="5" s="1"/>
  <c r="F5" i="5"/>
  <c r="G5" i="5" s="1"/>
  <c r="F4" i="5"/>
  <c r="G4" i="5" s="1"/>
  <c r="G9" i="5" s="1"/>
  <c r="G10" i="5" s="1"/>
  <c r="J11" i="3"/>
  <c r="E17" i="7" s="1"/>
  <c r="E8" i="1" s="1"/>
  <c r="H11" i="3"/>
  <c r="D17" i="7" s="1"/>
  <c r="D8" i="1" s="1"/>
  <c r="F11" i="3"/>
  <c r="C17" i="7" s="1"/>
  <c r="C8" i="1" s="1"/>
  <c r="D11" i="3"/>
  <c r="B17" i="7" s="1"/>
  <c r="B25" i="1"/>
  <c r="E10" i="1"/>
  <c r="D10" i="1"/>
  <c r="C10" i="1"/>
  <c r="B10" i="1"/>
  <c r="E5" i="1"/>
  <c r="D5" i="1"/>
  <c r="C5" i="1"/>
  <c r="B5" i="1"/>
  <c r="E4" i="1"/>
  <c r="D4" i="1"/>
  <c r="C4" i="1"/>
  <c r="B4" i="1"/>
  <c r="G5" i="8" l="1"/>
  <c r="H5" i="8" s="1"/>
  <c r="B26" i="1"/>
  <c r="F19" i="8"/>
  <c r="G19" i="8" s="1"/>
  <c r="H19" i="8" s="1"/>
  <c r="E9" i="7"/>
  <c r="F14" i="8"/>
  <c r="G14" i="8" s="1"/>
  <c r="H14" i="8" s="1"/>
  <c r="D9" i="7"/>
  <c r="C9" i="7"/>
  <c r="F9" i="8"/>
  <c r="G9" i="8" s="1"/>
  <c r="H9" i="8" s="1"/>
  <c r="B9" i="7"/>
  <c r="F4" i="8"/>
  <c r="G4" i="8" s="1"/>
  <c r="H4" i="8" s="1"/>
  <c r="G24" i="8" s="1"/>
  <c r="B24" i="1" s="1"/>
  <c r="H7" i="6"/>
  <c r="E7" i="1" s="1"/>
  <c r="G7" i="6"/>
  <c r="G6" i="6"/>
  <c r="H6" i="6"/>
  <c r="D7" i="1" s="1"/>
  <c r="G5" i="6"/>
  <c r="H5" i="6"/>
  <c r="C7" i="1" s="1"/>
  <c r="G4" i="6"/>
  <c r="H4" i="6"/>
  <c r="B7" i="1" s="1"/>
  <c r="B20" i="7"/>
  <c r="D20" i="7"/>
  <c r="C20" i="7"/>
  <c r="E20" i="7"/>
  <c r="B8" i="1"/>
  <c r="B26" i="7"/>
  <c r="B22" i="1" s="1"/>
  <c r="C12" i="7"/>
  <c r="C11" i="1" s="1"/>
  <c r="E15" i="7" l="1"/>
  <c r="E9" i="1"/>
  <c r="D16" i="7"/>
  <c r="D13" i="1" s="1"/>
  <c r="D9" i="1"/>
  <c r="C15" i="7"/>
  <c r="C9" i="1"/>
  <c r="B9" i="1"/>
  <c r="B16" i="7"/>
  <c r="B13" i="1" s="1"/>
  <c r="E6" i="1"/>
  <c r="E18" i="7"/>
  <c r="E19" i="7" s="1"/>
  <c r="E14" i="1" s="1"/>
  <c r="D18" i="7"/>
  <c r="D19" i="7" s="1"/>
  <c r="D14" i="1" s="1"/>
  <c r="D6" i="1"/>
  <c r="C6" i="1"/>
  <c r="C18" i="7"/>
  <c r="B10" i="6"/>
  <c r="B21" i="1" s="1"/>
  <c r="B18" i="7"/>
  <c r="B9" i="6"/>
  <c r="B20" i="1" s="1"/>
  <c r="B6" i="1"/>
  <c r="B19" i="7" l="1"/>
  <c r="B21" i="7"/>
  <c r="E12" i="1"/>
  <c r="E16" i="7"/>
  <c r="E13" i="1" s="1"/>
  <c r="C12" i="1"/>
  <c r="C16" i="7"/>
  <c r="B14" i="1" l="1"/>
  <c r="B22" i="7"/>
  <c r="B16" i="1" s="1"/>
  <c r="B27" i="7"/>
  <c r="B23" i="1" s="1"/>
  <c r="B17" i="1"/>
  <c r="C19" i="7"/>
  <c r="C13" i="1"/>
  <c r="C14" i="1" l="1"/>
  <c r="B24" i="7"/>
  <c r="B25" i="7" s="1"/>
  <c r="B19" i="1" s="1"/>
  <c r="B23" i="7"/>
  <c r="B18" i="1" s="1"/>
</calcChain>
</file>

<file path=xl/sharedStrings.xml><?xml version="1.0" encoding="utf-8"?>
<sst xmlns="http://schemas.openxmlformats.org/spreadsheetml/2006/main" count="270" uniqueCount="176">
  <si>
    <t>Award recommendation, ITB 2026-17, corrugated shipping cartons, annual requirement</t>
  </si>
  <si>
    <t>Prepared for Torsten Nordvik, vice president of operations, under PP-3.5; recommendation prepared October 23, 2026</t>
  </si>
  <si>
    <t>Bidder</t>
  </si>
  <si>
    <t>Read from</t>
  </si>
  <si>
    <t>Plant</t>
  </si>
  <si>
    <t>Terms</t>
  </si>
  <si>
    <t>Responsiveness</t>
  </si>
  <si>
    <t>Reason set aside</t>
  </si>
  <si>
    <t>Total bid as written</t>
  </si>
  <si>
    <t>Bids as Written</t>
  </si>
  <si>
    <t>Corrected extensions</t>
  </si>
  <si>
    <t>Evaluation</t>
  </si>
  <si>
    <t>Tooling</t>
  </si>
  <si>
    <t>Freight added, FOB origin</t>
  </si>
  <si>
    <t>Payment discount credit</t>
  </si>
  <si>
    <t>Total evaluated price</t>
  </si>
  <si>
    <t>Rank among responsive bids</t>
  </si>
  <si>
    <t>Award</t>
  </si>
  <si>
    <t>Recommended award</t>
  </si>
  <si>
    <t>Recommended award, total evaluated price</t>
  </si>
  <si>
    <t>Next responsive bidder</t>
  </si>
  <si>
    <t>Margin over the next responsive bid</t>
  </si>
  <si>
    <t>Responsive bids</t>
  </si>
  <si>
    <t>Bids set aside</t>
  </si>
  <si>
    <t>Lowest bid as written</t>
  </si>
  <si>
    <t>Approver required by PP-3.5.3</t>
  </si>
  <si>
    <t>Extensions corrected</t>
  </si>
  <si>
    <t>Extensions</t>
  </si>
  <si>
    <t>Extension corrected on the recommended bid, as written</t>
  </si>
  <si>
    <t>Extension corrected on the recommended bid, corrected</t>
  </si>
  <si>
    <t>Award is by lot to the responsive bidder with the lowest total evaluated price, 5.1; every figure on this page reads from the tab named beside it.</t>
  </si>
  <si>
    <t>Recommended by</t>
  </si>
  <si>
    <t>Purchasing manager</t>
  </si>
  <si>
    <t>Signature: ______________________</t>
  </si>
  <si>
    <t>Date: ____________</t>
  </si>
  <si>
    <t>Approved</t>
  </si>
  <si>
    <t>Torsten Nordvik, Vice President of Operations</t>
  </si>
  <si>
    <t>Terms the evaluation applies, from ITB 2026-17 as amended and policy PP-3</t>
  </si>
  <si>
    <t>Term</t>
  </si>
  <si>
    <t>Value</t>
  </si>
  <si>
    <t>Source</t>
  </si>
  <si>
    <t>Discount period floor for a credit (days)</t>
  </si>
  <si>
    <t>section 5.5</t>
  </si>
  <si>
    <t>Approval threshold, vice president above (dollars)</t>
  </si>
  <si>
    <t>PP-3.5.3</t>
  </si>
  <si>
    <t>Price hold required (months)</t>
  </si>
  <si>
    <t>section 4.3</t>
  </si>
  <si>
    <t>Tie band on total evaluated price (dollars)</t>
  </si>
  <si>
    <t>5.6</t>
  </si>
  <si>
    <t>Pounds per hundredweight</t>
  </si>
  <si>
    <t>section 5.4</t>
  </si>
  <si>
    <t>Addendum that must be acknowledged</t>
  </si>
  <si>
    <t>Addendum 2; section 3.2</t>
  </si>
  <si>
    <t>Item</t>
  </si>
  <si>
    <t>Quantity, addendum 2</t>
  </si>
  <si>
    <t>section 2</t>
  </si>
  <si>
    <t>Addendum 2 change 1</t>
  </si>
  <si>
    <t>Bids as opened, copied from bid_tabulation_itb_2026_17.xlsx, Bids sheet</t>
  </si>
  <si>
    <t>ITEM</t>
  </si>
  <si>
    <t>DESCRIPTION</t>
  </si>
  <si>
    <t>PEMBERTON_UNIT</t>
  </si>
  <si>
    <t>PEMBERTON_EXTENSION</t>
  </si>
  <si>
    <t>RIDGECREST_UNIT</t>
  </si>
  <si>
    <t>RIDGECREST_EXTENSION</t>
  </si>
  <si>
    <t>BRANNOCK_UNIT</t>
  </si>
  <si>
    <t>BRANNOCK_EXTENSION</t>
  </si>
  <si>
    <t>HALVARD_UNIT</t>
  </si>
  <si>
    <t>HALVARD_EXTENSION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</si>
  <si>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</si>
  <si>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</si>
  <si>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</si>
  <si>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</si>
  <si>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</si>
  <si>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</si>
  <si>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Bidder terms and submittals, copied from the Bidder Terms sheet</t>
  </si>
  <si>
    <t>BIDDER</t>
  </si>
  <si>
    <t>PLANT_CITY</t>
  </si>
  <si>
    <t>PLANT_STATE</t>
  </si>
  <si>
    <t>FOB_TERMS</t>
  </si>
  <si>
    <t>PAYMENT_TERMS</t>
  </si>
  <si>
    <t>BID_BOND_5_PCT</t>
  </si>
  <si>
    <t>ADDENDA_ACKNOWLEDGED</t>
  </si>
  <si>
    <t>SAMPLES_RECEIVED</t>
  </si>
  <si>
    <t>PRICE_HOLD_STATED</t>
  </si>
  <si>
    <t>EXCEPTIONS_AND_ALTERNATES</t>
  </si>
  <si>
    <t>RECEIVED</t>
  </si>
  <si>
    <t>Pemberton Container</t>
  </si>
  <si>
    <t>Neenah</t>
  </si>
  <si>
    <t>WI</t>
  </si>
  <si>
    <t>Destination</t>
  </si>
  <si>
    <t>2% 10, net 30</t>
  </si>
  <si>
    <t>Yes</t>
  </si>
  <si>
    <t>1, 2</t>
  </si>
  <si>
    <t>12 months as required</t>
  </si>
  <si>
    <t>None. Alternate bid submitted for item 4 at 200 lb test doublewall, 1.512 per carton, if acceptable.</t>
  </si>
  <si>
    <t>10/06/2026 09:41</t>
  </si>
  <si>
    <t>Ridgecrest Packaging</t>
  </si>
  <si>
    <t>Cedar Rapids</t>
  </si>
  <si>
    <t>IA</t>
  </si>
  <si>
    <t>Origin, Cedar Rapids plant</t>
  </si>
  <si>
    <t>1% 20, net 45</t>
  </si>
  <si>
    <t>None.</t>
  </si>
  <si>
    <t>10/06/2026 08:15</t>
  </si>
  <si>
    <t>Brannock Box Company</t>
  </si>
  <si>
    <t>Rockford</t>
  </si>
  <si>
    <t>IL</t>
  </si>
  <si>
    <t>Net 30</t>
  </si>
  <si>
    <t>1</t>
  </si>
  <si>
    <t>10/05/2026 16:02</t>
  </si>
  <si>
    <t>Halvard Corrugated</t>
  </si>
  <si>
    <t>Fargo</t>
  </si>
  <si>
    <t>ND</t>
  </si>
  <si>
    <t>2% 30, net 60</t>
  </si>
  <si>
    <t>Prices firm for 6 months from award; thereafter subject to paper index adjustment</t>
  </si>
  <si>
    <t>Exception to ITB section 4.3: prices firm for 6 months, then adjusted quarterly to the Pulp and Paper Week linerboard index.</t>
  </si>
  <si>
    <t>10/06/2026 09:58</t>
  </si>
  <si>
    <t>Inbound freight schedule and item shipping weights, copied from the bid tabulation workbook, with the annual shipping weight</t>
  </si>
  <si>
    <t>ORIGIN_STATE</t>
  </si>
  <si>
    <t>RATE_PER_CWT</t>
  </si>
  <si>
    <t>LB_PER_CARTON</t>
  </si>
  <si>
    <t>QUANTITY</t>
  </si>
  <si>
    <t>SHIPPING_LB</t>
  </si>
  <si>
    <t>MN</t>
  </si>
  <si>
    <t>SD</t>
  </si>
  <si>
    <t>Total</t>
  </si>
  <si>
    <t>NE</t>
  </si>
  <si>
    <t>Hundredweight</t>
  </si>
  <si>
    <t>Freight for a bid offered FOB origin is the hundredweight times the rate for the plant's state, per section 5.4; no truckload allowance applies, per addendum 2.</t>
  </si>
  <si>
    <t>Responsiveness of each bid under section 3.2, section 4.3, section 5.2 and PP-3.4, decided before price</t>
  </si>
  <si>
    <t>BID_BOND</t>
  </si>
  <si>
    <t>ADDENDUM_2_ACKNOWLEDGED</t>
  </si>
  <si>
    <t>SAMPLES</t>
  </si>
  <si>
    <t>EXCEPTION_TO_A_MATERIAL_TERM</t>
  </si>
  <si>
    <t>ALTERNATE_OFFERED</t>
  </si>
  <si>
    <t>STATUS</t>
  </si>
  <si>
    <t>REASON</t>
  </si>
  <si>
    <t>Responsiveness is decided on the invitation as amended before any price is compared, per PP-3.4.1; a bid set aside is shown on the Evaluation tab for the record and does not compete for award.</t>
  </si>
  <si>
    <t>Total evaluated price of each bid under 5.3: corrected extensions, tooling, freight for FOB origin, less the discount credit</t>
  </si>
  <si>
    <t>Line</t>
  </si>
  <si>
    <t>Item 1, corrected extension at the addendum quantity</t>
  </si>
  <si>
    <t>4.1; PP-3.4.2</t>
  </si>
  <si>
    <t>Item 2, corrected extension at the addendum quantity</t>
  </si>
  <si>
    <t>Item 3, corrected extension at the addendum quantity</t>
  </si>
  <si>
    <t>Item 4, corrected extension at the addendum quantity</t>
  </si>
  <si>
    <t>Item 5, corrected extension at the addendum quantity</t>
  </si>
  <si>
    <t>Corrected extensions, sum of items</t>
  </si>
  <si>
    <t>5.3</t>
  </si>
  <si>
    <t>Tooling, plates and dies, added in full</t>
  </si>
  <si>
    <t>4.2</t>
  </si>
  <si>
    <t>FOB terms</t>
  </si>
  <si>
    <t>Bid form</t>
  </si>
  <si>
    <t>section 5.4; Freight tab</t>
  </si>
  <si>
    <t>Discount rate offered</t>
  </si>
  <si>
    <t>Discount period offered (days)</t>
  </si>
  <si>
    <t>5.1</t>
  </si>
  <si>
    <t>Hundredweight of the annual quantity, for freight</t>
  </si>
  <si>
    <t>Lowest total evaluated price among responsive bids</t>
  </si>
  <si>
    <t>Recommended bidder</t>
  </si>
  <si>
    <t>Next responsive total evaluated price</t>
  </si>
  <si>
    <t>Lowest bid as written, any bidder</t>
  </si>
  <si>
    <t>Every extension as written beside the corrected extension, per PP-3.5.2</t>
  </si>
  <si>
    <t>UNIT_PRICE</t>
  </si>
  <si>
    <t>EXTENSION_AS_WRITTEN</t>
  </si>
  <si>
    <t>CORRECTED_EXTENSION</t>
  </si>
  <si>
    <t>DIFFERENCE</t>
  </si>
  <si>
    <t>CORRECTION</t>
  </si>
  <si>
    <t>A written extension that differs from the unit price times the addendum quantity is corrected; the two corrections in the file are Pemberton's item 2, an arithmetic error, and Brannock's item 3, priced at the superseded quantity.</t>
  </si>
  <si>
    <t>Note to Torsten Nordvik on the ITB 2026-17 award recommendation</t>
  </si>
  <si>
    <t>Torsten, this is the evaluation of the four bids on ITB 2026-17 opened on October 6. The recommendation on the first tab reads from the tabs behind it: the bids as written, the extensions recomputed from each unit price at the addendum 2 quantities, the freight and the discount credit where the invitation applies them, and the responsiveness check bidder by bidder. Nothing on the first tab is typed in, so a protest can be answered from the workbook.</t>
  </si>
  <si>
    <t>The recommendation is award of the lot to Pemberton Container of Neenah at a total evaluated price of $134,726.00, a margin of $4,561.24 over Ridgecrest Packaging at $139,287.24. Two of the four bids are responsive. The award value is above one hundred thousand dollars, so under PP-3.5.3 you are the approver.</t>
  </si>
  <si>
    <t>Pemberton is not the low bid on paper, and the reason is arithmetic. Its bid form extends item 2 at $45,112.00, which is not 84,000 cartons at the unit price of $0.418. The correct extension is $35,112.00, and 4.1 of the invitation has the unit price govern, so the evaluation carries the corrected figure. Corrected, Pemberton's extensions sum to $132,876.00, with $1,850.00 of tooling and no freight, because the bid is FOB destination. Its 2 percent discount has a ten day period, which is under the twenty day floor in section 5.5, so it is not credited.</t>
  </si>
  <si>
    <t>Ridgecrest is the low responsive bid on paper at $131,646.00 as written and $129,246.00 on the corrected extensions, but it is offered FOB origin from Cedar Rapids. Section 5.4 adds freight on the shipping weight of the annual quantity, 184,200 pounds or 1,842 hundredweight, at the Iowa rate of $4.85, which is $8,933.70. Its 1 percent discount carries a twenty day period and is credited at $1,292.46 on the corrected extensions. With $2,400.00 of tooling the total evaluated price is $139,287.24. The freight is what decides this award, and Ridgecrest will see that as soon as it asks.</t>
  </si>
  <si>
    <t>Brannock Box Company is the lowest bid as written at $130,500.00 and is set aside. Its bid form acknowledges addendum 1 only, and it priced item 3 at the superseded 48,000 cartons and item 5 at the superseded 32 ECT grade. Addendum 2 says a bid that does not acknowledge it is non-responsive under section 3.2, and PP-3.4.5 says a bid on a superseded quantity or specification is non-responsive whether or not the addendum was acknowledged. Its figures are shown on the evaluation for the record and do not compete.</t>
  </si>
  <si>
    <t>Halvard Corrugated is set aside for an exception to a material term. Its bid holds prices for six months and then adjusts them quarterly to a linerboard index, against the twelve month firm price in section 4.3, which section 5.2 and PP-3.4.4 make material. On the corrected extensions with its 2 percent, thirty day discount credited, Halvard would have evaluated at $129,842.80, below Pemberton, and PP-3.4.4 does not let the buyer negotiate the exception away before award. That is the figure Halvard will point to, and the answer is that the invitation and addendum 2 both said a shorter hold or an index would not be considered.</t>
  </si>
  <si>
    <t>Two things you should weigh that the evaluation does not decide. First, Pemberton offered an alternate for item 4 at 200 lb test doublewall for $1.512 a carton against $1.735 as specified. Section 4.4 keeps it out of the evaluation, but it can be taken up with Pemberton after award if engineering will accept the lighter board. It is worth about $2,676.00 a year. Second, the award rests on the recomputation of one extension, and Pemberton has not been asked to confirm the unit price. PP-3.4.2 makes the recomputed figure the evaluated figure regardless, but you may want the confirmation in the file before the notice goes out.</t>
  </si>
  <si>
    <t>For the bidders that were low on paper: tell Brannock that its bid did not acknowledge addendum 2 and priced two items to the superseded quantity and grade, and that PP-3.6.1 gives it a debriefing on its own bid. Tell Ridgecrest that its unit prices were the lowest responsive prices and that the freight on an FOB origin bid under section 5.4 is what placed it second. Under PP-3.6.1 both are notified in writing within five business days of award.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</si>
</sst>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xf numFmtId="0" fontId="0" fillId="0" borderId="0" xfId="0" applyAlignment="1">
      <alignment horizontal="left" vertical="top" wrapText="1"/>
    </xf>
    <xf numFmtId="4" fontId="0" fillId="0" borderId="0" xfId="0" applyNumberFormat="1" applyAlignment="1">
      <alignment horizontal="left" vertical="top" wrapText="1"/>
    </xf>
    <xf numFmtId="0" fontId="2" fillId="0" borderId="0" xfId="0" applyFont="1"/>
    <xf numFmtId="0" fontId="0" fillId="0" borderId="0" xfId="0" applyAlignment="1">
      <alignment horizontal="left"/>
    </xf>
    <xf numFmtId="4" fontId="0" fillId="0" borderId="0" xfId="0" applyNumberFormat="1" applyAlignment="1">
      <alignment horizontal="left"/>
    </xf>
    <xf numFmtId="164" fontId="0" fillId="0" borderId="0" xfId="0" applyNumberFormat="1"/>
    <xf numFmtId="4" fontId="0" fillId="0" borderId="0" xfId="0" applyNumberFormat="1"/>
    <xf numFmtId="2" fontId="0" fillId="0" borderId="0" xfId="0" applyNumberFormat="1"/>
    <xf numFmtId="4" fontId="2" fillId="0" borderId="0" xfId="0" applyNumberFormat="1" applyFont="1"/>
    <xf numFmtId="9"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tabSelected="1" workbookViewId="0"/>
  </sheetViews>
  <sheetFormatPr baseColWidth="10" defaultColWidth="8.83203125" defaultRowHeight="15" x14ac:dyDescent="0.2"/>
  <cols>
    <col min="1" max="1" width="46" customWidth="1"/>
    <col min="2" max="5" width="24" customWidth="1"/>
    <col min="6" max="6" width="22" customWidth="1"/>
  </cols>
  <sheetData>
    <row r="1" spans="1:6" ht="17" x14ac:dyDescent="0.2">
      <c r="A1" s="1" t="s">
        <v>0</v>
      </c>
    </row>
    <row r="2" spans="1:6" x14ac:dyDescent="0.2">
      <c r="A2" t="s">
        <v>1</v>
      </c>
    </row>
    <row r="4" spans="1:6" x14ac:dyDescent="0.2">
      <c r="A4" s="2" t="s">
        <v>2</v>
      </c>
      <c r="B4" s="2" t="str">
        <f>Evaluation!B3</f>
        <v>Pemberton Container</v>
      </c>
      <c r="C4" s="2" t="str">
        <f>Evaluation!C3</f>
        <v>Ridgecrest Packaging</v>
      </c>
      <c r="D4" s="2" t="str">
        <f>Evaluation!D3</f>
        <v>Brannock Box Company</v>
      </c>
      <c r="E4" s="2" t="str">
        <f>Evaluation!E3</f>
        <v>Halvard Corrugated</v>
      </c>
      <c r="F4" s="2" t="s">
        <v>3</v>
      </c>
    </row>
    <row r="5" spans="1:6" ht="16" x14ac:dyDescent="0.2">
      <c r="A5" t="s">
        <v>4</v>
      </c>
      <c r="B5" s="3" t="str">
        <f>Terms!B4&amp;", "&amp;Terms!C4</f>
        <v>Neenah, WI</v>
      </c>
      <c r="C5" s="3" t="str">
        <f>Terms!B5&amp;", "&amp;Terms!C5</f>
        <v>Cedar Rapids, IA</v>
      </c>
      <c r="D5" s="3" t="str">
        <f>Terms!B6&amp;", "&amp;Terms!C6</f>
        <v>Rockford, IL</v>
      </c>
      <c r="E5" s="3" t="str">
        <f>Terms!B7&amp;", "&amp;Terms!C7</f>
        <v>Fargo, ND</v>
      </c>
      <c r="F5" t="s">
        <v>5</v>
      </c>
    </row>
    <row r="6" spans="1:6" ht="16" x14ac:dyDescent="0.2">
      <c r="A6" t="s">
        <v>6</v>
      </c>
      <c r="B6" s="3" t="str">
        <f>Responsiveness!G4</f>
        <v>Responsive</v>
      </c>
      <c r="C6" s="3" t="str">
        <f>Responsiveness!G5</f>
        <v>Responsive</v>
      </c>
      <c r="D6" s="3" t="str">
        <f>Responsiveness!G6</f>
        <v>Non-responsive</v>
      </c>
      <c r="E6" s="3" t="str">
        <f>Responsiveness!G7</f>
        <v>Non-responsive</v>
      </c>
      <c r="F6" t="s">
        <v>6</v>
      </c>
    </row>
    <row r="7" spans="1:6" ht="16" x14ac:dyDescent="0.2">
      <c r="A7" t="s">
        <v>7</v>
      </c>
      <c r="B7" s="3" t="str">
        <f>Responsiveness!H4</f>
        <v/>
      </c>
      <c r="C7" s="3" t="str">
        <f>Responsiveness!H5</f>
        <v/>
      </c>
      <c r="D7" s="3" t="str">
        <f>Responsiveness!H6</f>
        <v>Addendum 2 not acknowledged, section 3.2; bid on the superseded item 3 quantity and item 5 grade, PP-3.4.5.</v>
      </c>
      <c r="E7" s="3" t="str">
        <f>Responsiveness!H7</f>
        <v>Exception to the twelve month price hold, a material term under section 4.3, section 5.2 and PP-3.4.4.</v>
      </c>
      <c r="F7" t="s">
        <v>6</v>
      </c>
    </row>
    <row r="8" spans="1:6" ht="16" x14ac:dyDescent="0.2">
      <c r="A8" t="s">
        <v>8</v>
      </c>
      <c r="B8" s="4">
        <f>Evaluation!B17</f>
        <v>144726</v>
      </c>
      <c r="C8" s="4">
        <f>Evaluation!C17</f>
        <v>131646</v>
      </c>
      <c r="D8" s="4">
        <f>Evaluation!D17</f>
        <v>130500</v>
      </c>
      <c r="E8" s="4">
        <f>Evaluation!E17</f>
        <v>132460</v>
      </c>
      <c r="F8" t="s">
        <v>9</v>
      </c>
    </row>
    <row r="9" spans="1:6" ht="16" x14ac:dyDescent="0.2">
      <c r="A9" t="s">
        <v>10</v>
      </c>
      <c r="B9" s="4">
        <f>Evaluation!B9</f>
        <v>132876</v>
      </c>
      <c r="C9" s="4">
        <f>Evaluation!C9</f>
        <v>129246</v>
      </c>
      <c r="D9" s="4">
        <f>Evaluation!D9</f>
        <v>125688</v>
      </c>
      <c r="E9" s="4">
        <f>Evaluation!E9</f>
        <v>130860</v>
      </c>
      <c r="F9" t="s">
        <v>11</v>
      </c>
    </row>
    <row r="10" spans="1:6" ht="16" x14ac:dyDescent="0.2">
      <c r="A10" t="s">
        <v>12</v>
      </c>
      <c r="B10" s="4">
        <f>Evaluation!B10</f>
        <v>1850</v>
      </c>
      <c r="C10" s="4">
        <f>Evaluation!C10</f>
        <v>2400</v>
      </c>
      <c r="D10" s="4">
        <f>Evaluation!D10</f>
        <v>1500</v>
      </c>
      <c r="E10" s="4">
        <f>Evaluation!E10</f>
        <v>1600</v>
      </c>
      <c r="F10" t="s">
        <v>11</v>
      </c>
    </row>
    <row r="11" spans="1:6" ht="16" x14ac:dyDescent="0.2">
      <c r="A11" t="s">
        <v>13</v>
      </c>
      <c r="B11" s="4">
        <f>Evaluation!B12</f>
        <v>0</v>
      </c>
      <c r="C11" s="4">
        <f>Evaluation!C12</f>
        <v>8933.7</v>
      </c>
      <c r="D11" s="4">
        <f>Evaluation!D12</f>
        <v>0</v>
      </c>
      <c r="E11" s="4">
        <f>Evaluation!E12</f>
        <v>0</v>
      </c>
      <c r="F11" t="s">
        <v>11</v>
      </c>
    </row>
    <row r="12" spans="1:6" ht="16" x14ac:dyDescent="0.2">
      <c r="A12" t="s">
        <v>14</v>
      </c>
      <c r="B12" s="4">
        <f>Evaluation!B15</f>
        <v>0</v>
      </c>
      <c r="C12" s="4">
        <f>Evaluation!C15</f>
        <v>1292.46</v>
      </c>
      <c r="D12" s="4">
        <f>Evaluation!D15</f>
        <v>0</v>
      </c>
      <c r="E12" s="4">
        <f>Evaluation!E15</f>
        <v>2617.2</v>
      </c>
      <c r="F12" t="s">
        <v>11</v>
      </c>
    </row>
    <row r="13" spans="1:6" ht="16" x14ac:dyDescent="0.2">
      <c r="A13" t="s">
        <v>15</v>
      </c>
      <c r="B13" s="4">
        <f>Evaluation!B16</f>
        <v>134726</v>
      </c>
      <c r="C13" s="4">
        <f>Evaluation!C16</f>
        <v>139287.24</v>
      </c>
      <c r="D13" s="4">
        <f>Evaluation!D16</f>
        <v>127188</v>
      </c>
      <c r="E13" s="4">
        <f>Evaluation!E16</f>
        <v>129842.8</v>
      </c>
      <c r="F13" t="s">
        <v>11</v>
      </c>
    </row>
    <row r="14" spans="1:6" ht="16" x14ac:dyDescent="0.2">
      <c r="A14" t="s">
        <v>16</v>
      </c>
      <c r="B14" s="3">
        <f>Evaluation!B19</f>
        <v>1</v>
      </c>
      <c r="C14" s="3">
        <f>Evaluation!C19</f>
        <v>2</v>
      </c>
      <c r="D14" s="3" t="str">
        <f>Evaluation!D19</f>
        <v>Set aside</v>
      </c>
      <c r="E14" s="3" t="str">
        <f>Evaluation!E19</f>
        <v>Set aside</v>
      </c>
      <c r="F14" t="s">
        <v>11</v>
      </c>
    </row>
    <row r="15" spans="1:6" x14ac:dyDescent="0.2">
      <c r="A15" s="5" t="s">
        <v>17</v>
      </c>
    </row>
    <row r="16" spans="1:6" x14ac:dyDescent="0.2">
      <c r="A16" t="s">
        <v>18</v>
      </c>
      <c r="B16" s="6" t="str">
        <f>Evaluation!B22</f>
        <v>Pemberton Container</v>
      </c>
      <c r="F16" t="s">
        <v>11</v>
      </c>
    </row>
    <row r="17" spans="1:6" x14ac:dyDescent="0.2">
      <c r="A17" t="s">
        <v>19</v>
      </c>
      <c r="B17" s="7">
        <f>Evaluation!B21</f>
        <v>134726</v>
      </c>
      <c r="F17" t="s">
        <v>11</v>
      </c>
    </row>
    <row r="18" spans="1:6" x14ac:dyDescent="0.2">
      <c r="A18" t="s">
        <v>20</v>
      </c>
      <c r="B18" s="6" t="str">
        <f>Evaluation!B23</f>
        <v>Ridgecrest Packaging</v>
      </c>
      <c r="F18" t="s">
        <v>11</v>
      </c>
    </row>
    <row r="19" spans="1:6" x14ac:dyDescent="0.2">
      <c r="A19" t="s">
        <v>21</v>
      </c>
      <c r="B19" s="7">
        <f>Evaluation!B25</f>
        <v>4561.24</v>
      </c>
      <c r="F19" t="s">
        <v>11</v>
      </c>
    </row>
    <row r="20" spans="1:6" x14ac:dyDescent="0.2">
      <c r="A20" t="s">
        <v>22</v>
      </c>
      <c r="B20" s="6">
        <f>Responsiveness!B9</f>
        <v>2</v>
      </c>
      <c r="F20" t="s">
        <v>6</v>
      </c>
    </row>
    <row r="21" spans="1:6" x14ac:dyDescent="0.2">
      <c r="A21" t="s">
        <v>23</v>
      </c>
      <c r="B21" s="6">
        <f>Responsiveness!B10</f>
        <v>2</v>
      </c>
      <c r="F21" t="s">
        <v>6</v>
      </c>
    </row>
    <row r="22" spans="1:6" x14ac:dyDescent="0.2">
      <c r="A22" t="s">
        <v>24</v>
      </c>
      <c r="B22" s="6" t="str">
        <f>Evaluation!B26</f>
        <v>Brannock Box Company</v>
      </c>
      <c r="F22" t="s">
        <v>11</v>
      </c>
    </row>
    <row r="23" spans="1:6" x14ac:dyDescent="0.2">
      <c r="A23" t="s">
        <v>25</v>
      </c>
      <c r="B23" s="6" t="str">
        <f>Evaluation!B27</f>
        <v>Vice president of operations</v>
      </c>
      <c r="F23" t="s">
        <v>11</v>
      </c>
    </row>
    <row r="24" spans="1:6" x14ac:dyDescent="0.2">
      <c r="A24" t="s">
        <v>26</v>
      </c>
      <c r="B24" s="6">
        <f>Extensions!G24</f>
        <v>2</v>
      </c>
      <c r="F24" t="s">
        <v>27</v>
      </c>
    </row>
    <row r="25" spans="1:6" x14ac:dyDescent="0.2">
      <c r="A25" t="s">
        <v>28</v>
      </c>
      <c r="B25" s="7">
        <f>Extensions!E5</f>
        <v>45112</v>
      </c>
      <c r="F25" t="s">
        <v>27</v>
      </c>
    </row>
    <row r="26" spans="1:6" x14ac:dyDescent="0.2">
      <c r="A26" t="s">
        <v>29</v>
      </c>
      <c r="B26" s="7">
        <f>Extensions!F5</f>
        <v>35112</v>
      </c>
      <c r="F26" t="s">
        <v>27</v>
      </c>
    </row>
    <row r="28" spans="1:6" x14ac:dyDescent="0.2">
      <c r="A28" t="s">
        <v>30</v>
      </c>
    </row>
    <row r="30" spans="1:6" x14ac:dyDescent="0.2">
      <c r="A30" s="5" t="s">
        <v>31</v>
      </c>
      <c r="B30" t="s">
        <v>32</v>
      </c>
      <c r="C30" t="s">
        <v>33</v>
      </c>
      <c r="D30" t="s">
        <v>34</v>
      </c>
    </row>
    <row r="31" spans="1:6" x14ac:dyDescent="0.2">
      <c r="A31" s="5" t="s">
        <v>35</v>
      </c>
      <c r="B31" t="s">
        <v>36</v>
      </c>
      <c r="C31" t="s">
        <v>33</v>
      </c>
      <c r="D31" t="s">
        <v>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sheetViews>
  <sheetFormatPr baseColWidth="10" defaultColWidth="8.83203125" defaultRowHeight="15" x14ac:dyDescent="0.2"/>
  <cols>
    <col min="1" max="1" width="56" customWidth="1"/>
    <col min="2" max="2" width="14" customWidth="1"/>
    <col min="3" max="3" width="40" customWidth="1"/>
  </cols>
  <sheetData>
    <row r="1" spans="1:3" ht="17" x14ac:dyDescent="0.2">
      <c r="A1" s="1" t="s">
        <v>37</v>
      </c>
    </row>
    <row r="3" spans="1:3" x14ac:dyDescent="0.2">
      <c r="A3" s="2" t="s">
        <v>38</v>
      </c>
      <c r="B3" s="2" t="s">
        <v>39</v>
      </c>
      <c r="C3" s="2" t="s">
        <v>40</v>
      </c>
    </row>
    <row r="4" spans="1:3" x14ac:dyDescent="0.2">
      <c r="A4" t="s">
        <v>41</v>
      </c>
      <c r="B4">
        <v>20</v>
      </c>
      <c r="C4" t="s">
        <v>42</v>
      </c>
    </row>
    <row r="5" spans="1:3" x14ac:dyDescent="0.2">
      <c r="A5" t="s">
        <v>43</v>
      </c>
      <c r="B5">
        <v>100000</v>
      </c>
      <c r="C5" t="s">
        <v>44</v>
      </c>
    </row>
    <row r="6" spans="1:3" x14ac:dyDescent="0.2">
      <c r="A6" t="s">
        <v>45</v>
      </c>
      <c r="B6">
        <v>12</v>
      </c>
      <c r="C6" t="s">
        <v>46</v>
      </c>
    </row>
    <row r="7" spans="1:3" x14ac:dyDescent="0.2">
      <c r="A7" t="s">
        <v>47</v>
      </c>
      <c r="B7">
        <v>100</v>
      </c>
      <c r="C7" t="s">
        <v>48</v>
      </c>
    </row>
    <row r="8" spans="1:3" x14ac:dyDescent="0.2">
      <c r="A8" t="s">
        <v>49</v>
      </c>
      <c r="B8">
        <v>100</v>
      </c>
      <c r="C8" t="s">
        <v>50</v>
      </c>
    </row>
    <row r="9" spans="1:3" x14ac:dyDescent="0.2">
      <c r="A9" t="s">
        <v>51</v>
      </c>
      <c r="B9">
        <v>2</v>
      </c>
      <c r="C9" t="s">
        <v>52</v>
      </c>
    </row>
    <row r="11" spans="1:3" x14ac:dyDescent="0.2">
      <c r="A11" s="2" t="s">
        <v>53</v>
      </c>
      <c r="B11" s="2" t="s">
        <v>54</v>
      </c>
      <c r="C11" s="2" t="s">
        <v>40</v>
      </c>
    </row>
    <row r="12" spans="1:3" x14ac:dyDescent="0.2">
      <c r="A12">
        <v>1</v>
      </c>
      <c r="B12">
        <v>60000</v>
      </c>
      <c r="C12" t="s">
        <v>55</v>
      </c>
    </row>
    <row r="13" spans="1:3" x14ac:dyDescent="0.2">
      <c r="A13">
        <v>2</v>
      </c>
      <c r="B13">
        <v>84000</v>
      </c>
      <c r="C13" t="s">
        <v>55</v>
      </c>
    </row>
    <row r="14" spans="1:3" x14ac:dyDescent="0.2">
      <c r="A14">
        <v>3</v>
      </c>
      <c r="B14">
        <v>36000</v>
      </c>
      <c r="C14" t="s">
        <v>56</v>
      </c>
    </row>
    <row r="15" spans="1:3" x14ac:dyDescent="0.2">
      <c r="A15">
        <v>4</v>
      </c>
      <c r="B15">
        <v>12000</v>
      </c>
      <c r="C15" t="s">
        <v>55</v>
      </c>
    </row>
    <row r="16" spans="1:3" x14ac:dyDescent="0.2">
      <c r="A16">
        <v>5</v>
      </c>
      <c r="B16">
        <v>30000</v>
      </c>
      <c r="C16" t="s">
        <v>55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
  <sheetViews>
    <sheetView workbookViewId="0"/>
  </sheetViews>
  <sheetFormatPr baseColWidth="10" defaultColWidth="8.83203125" defaultRowHeight="15" x14ac:dyDescent="0.2"/>
  <cols>
    <col min="1" max="1" width="30" customWidth="1"/>
    <col min="2" max="2" width="56" customWidth="1"/>
    <col min="3" max="3" width="16" customWidth="1"/>
    <col min="4" max="4" width="20" customWidth="1"/>
    <col min="5" max="5" width="16" customWidth="1"/>
    <col min="6" max="6" width="20" customWidth="1"/>
    <col min="7" max="7" width="16" customWidth="1"/>
    <col min="8" max="8" width="20" customWidth="1"/>
    <col min="9" max="9" width="16" customWidth="1"/>
    <col min="10" max="10" width="20" customWidth="1"/>
  </cols>
  <sheetData>
    <row r="1" spans="1:10" ht="17" x14ac:dyDescent="0.2">
      <c r="A1" s="1" t="s">
        <v>57</v>
      </c>
    </row>
    <row r="4" spans="1:10" x14ac:dyDescent="0.2">
      <c r="A4" s="2" t="s">
        <v>58</v>
      </c>
      <c r="B4" s="2" t="s">
        <v>59</v>
      </c>
      <c r="C4" s="2" t="s">
        <v>60</v>
      </c>
      <c r="D4" s="2" t="s">
        <v>61</v>
      </c>
      <c r="E4" s="2" t="s">
        <v>62</v>
      </c>
      <c r="F4" s="2" t="s">
        <v>63</v>
      </c>
      <c r="G4" s="2" t="s">
        <v>64</v>
      </c>
      <c r="H4" s="2" t="s">
        <v>65</v>
      </c>
      <c r="I4" s="2" t="s">
        <v>66</v>
      </c>
      <c r="J4" s="2" t="s">
        <v>67</v>
      </c>
    </row>
    <row r="5" spans="1:10" x14ac:dyDescent="0.2">
      <c r="A5">
        <v>1</v>
      </c>
      <c r="B5" t="s">
        <v>68</v>
      </c>
      <c r="C5" s="8">
        <v>0.612</v>
      </c>
      <c r="D5" s="9">
        <v>36720</v>
      </c>
      <c r="E5" s="8">
        <v>0.598</v>
      </c>
      <c r="F5" s="9">
        <v>35880</v>
      </c>
      <c r="G5" s="8">
        <v>0.571</v>
      </c>
      <c r="H5" s="9">
        <v>34260</v>
      </c>
      <c r="I5" s="8">
        <v>0.605</v>
      </c>
      <c r="J5" s="9">
        <v>36300</v>
      </c>
    </row>
    <row r="6" spans="1:10" x14ac:dyDescent="0.2">
      <c r="A6">
        <v>2</v>
      </c>
      <c r="B6" t="s">
        <v>69</v>
      </c>
      <c r="C6" s="8">
        <v>0.418</v>
      </c>
      <c r="D6" s="9">
        <v>45112</v>
      </c>
      <c r="E6" s="8">
        <v>0.405</v>
      </c>
      <c r="F6" s="9">
        <v>34020</v>
      </c>
      <c r="G6" s="8">
        <v>0.398</v>
      </c>
      <c r="H6" s="9">
        <v>33432</v>
      </c>
      <c r="I6" s="8">
        <v>0.412</v>
      </c>
      <c r="J6" s="9">
        <v>34608</v>
      </c>
    </row>
    <row r="7" spans="1:10" x14ac:dyDescent="0.2">
      <c r="A7">
        <v>3</v>
      </c>
      <c r="B7" t="s">
        <v>70</v>
      </c>
      <c r="C7" s="8">
        <v>0.294</v>
      </c>
      <c r="D7" s="9">
        <v>10584</v>
      </c>
      <c r="E7" s="8">
        <v>0.281</v>
      </c>
      <c r="F7" s="9">
        <v>10116</v>
      </c>
      <c r="G7" s="8">
        <v>0.276</v>
      </c>
      <c r="H7" s="9">
        <v>13248</v>
      </c>
      <c r="I7" s="8">
        <v>0.288</v>
      </c>
      <c r="J7" s="9">
        <v>10368</v>
      </c>
    </row>
    <row r="8" spans="1:10" x14ac:dyDescent="0.2">
      <c r="A8">
        <v>4</v>
      </c>
      <c r="B8" t="s">
        <v>71</v>
      </c>
      <c r="C8" s="8">
        <v>1.735</v>
      </c>
      <c r="D8" s="9">
        <v>20820</v>
      </c>
      <c r="E8" s="8">
        <v>1.69</v>
      </c>
      <c r="F8" s="9">
        <v>20280</v>
      </c>
      <c r="G8" s="8">
        <v>1.655</v>
      </c>
      <c r="H8" s="9">
        <v>19860</v>
      </c>
      <c r="I8" s="8">
        <v>1.702</v>
      </c>
      <c r="J8" s="9">
        <v>20424</v>
      </c>
    </row>
    <row r="9" spans="1:10" x14ac:dyDescent="0.2">
      <c r="A9">
        <v>5</v>
      </c>
      <c r="B9" t="s">
        <v>72</v>
      </c>
      <c r="C9" s="8">
        <v>0.988</v>
      </c>
      <c r="D9" s="9">
        <v>29640</v>
      </c>
      <c r="E9" s="8">
        <v>0.965</v>
      </c>
      <c r="F9" s="9">
        <v>28950</v>
      </c>
      <c r="G9" s="8">
        <v>0.94</v>
      </c>
      <c r="H9" s="9">
        <v>28200</v>
      </c>
      <c r="I9" s="8">
        <v>0.972</v>
      </c>
      <c r="J9" s="9">
        <v>29160</v>
      </c>
    </row>
    <row r="10" spans="1:10" x14ac:dyDescent="0.2">
      <c r="A10" t="s">
        <v>73</v>
      </c>
      <c r="D10" s="9">
        <v>1850</v>
      </c>
      <c r="F10" s="9">
        <v>2400</v>
      </c>
      <c r="H10" s="9">
        <v>1500</v>
      </c>
      <c r="J10" s="9">
        <v>1600</v>
      </c>
    </row>
    <row r="11" spans="1:10" x14ac:dyDescent="0.2">
      <c r="A11" t="s">
        <v>8</v>
      </c>
      <c r="D11" s="9">
        <f>SUM(D5:D10)</f>
        <v>144726</v>
      </c>
      <c r="F11" s="9">
        <f>SUM(F5:F10)</f>
        <v>131646</v>
      </c>
      <c r="H11" s="9">
        <f>SUM(H5:H10)</f>
        <v>130500</v>
      </c>
      <c r="J11" s="9">
        <f>SUM(J5:J10)</f>
        <v>132460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
  <sheetViews>
    <sheetView workbookViewId="0"/>
  </sheetViews>
  <sheetFormatPr baseColWidth="10" defaultColWidth="8.83203125" defaultRowHeight="15" x14ac:dyDescent="0.2"/>
  <cols>
    <col min="1" max="1" width="24" customWidth="1"/>
    <col min="2" max="2" width="14" customWidth="1"/>
    <col min="3" max="3" width="12" customWidth="1"/>
    <col min="4" max="4" width="26" customWidth="1"/>
    <col min="5" max="5" width="16" customWidth="1"/>
    <col min="6" max="6" width="14" customWidth="1"/>
    <col min="7" max="7" width="20" customWidth="1"/>
    <col min="8" max="8" width="16" customWidth="1"/>
    <col min="9" max="9" width="40" customWidth="1"/>
    <col min="10" max="10" width="70" customWidth="1"/>
    <col min="11" max="11" width="18" customWidth="1"/>
  </cols>
  <sheetData>
    <row r="1" spans="1:11" ht="17" x14ac:dyDescent="0.2">
      <c r="A1" s="1" t="s">
        <v>74</v>
      </c>
    </row>
    <row r="3" spans="1:11" x14ac:dyDescent="0.2">
      <c r="A3" s="2" t="s">
        <v>75</v>
      </c>
      <c r="B3" s="2" t="s">
        <v>76</v>
      </c>
      <c r="C3" s="2" t="s">
        <v>77</v>
      </c>
      <c r="D3" s="2" t="s">
        <v>78</v>
      </c>
      <c r="E3" s="2" t="s">
        <v>79</v>
      </c>
      <c r="F3" s="2" t="s">
        <v>80</v>
      </c>
      <c r="G3" s="2" t="s">
        <v>81</v>
      </c>
      <c r="H3" s="2" t="s">
        <v>82</v>
      </c>
      <c r="I3" s="2" t="s">
        <v>83</v>
      </c>
      <c r="J3" s="2" t="s">
        <v>84</v>
      </c>
      <c r="K3" s="2" t="s">
        <v>85</v>
      </c>
    </row>
    <row r="4" spans="1:11" x14ac:dyDescent="0.2">
      <c r="A4" t="s">
        <v>86</v>
      </c>
      <c r="B4" t="s">
        <v>87</v>
      </c>
      <c r="C4" t="s">
        <v>88</v>
      </c>
      <c r="D4" t="s">
        <v>89</v>
      </c>
      <c r="E4" t="s">
        <v>90</v>
      </c>
      <c r="F4" t="s">
        <v>91</v>
      </c>
      <c r="G4" t="s">
        <v>92</v>
      </c>
      <c r="H4" t="s">
        <v>91</v>
      </c>
      <c r="I4" t="s">
        <v>93</v>
      </c>
      <c r="J4" t="s">
        <v>94</v>
      </c>
      <c r="K4" t="s">
        <v>95</v>
      </c>
    </row>
    <row r="5" spans="1:11" x14ac:dyDescent="0.2">
      <c r="A5" t="s">
        <v>96</v>
      </c>
      <c r="B5" t="s">
        <v>97</v>
      </c>
      <c r="C5" t="s">
        <v>98</v>
      </c>
      <c r="D5" t="s">
        <v>99</v>
      </c>
      <c r="E5" t="s">
        <v>100</v>
      </c>
      <c r="F5" t="s">
        <v>91</v>
      </c>
      <c r="G5" t="s">
        <v>92</v>
      </c>
      <c r="H5" t="s">
        <v>91</v>
      </c>
      <c r="I5" t="s">
        <v>93</v>
      </c>
      <c r="J5" t="s">
        <v>101</v>
      </c>
      <c r="K5" t="s">
        <v>102</v>
      </c>
    </row>
    <row r="6" spans="1:11" x14ac:dyDescent="0.2">
      <c r="A6" t="s">
        <v>103</v>
      </c>
      <c r="B6" t="s">
        <v>104</v>
      </c>
      <c r="C6" t="s">
        <v>105</v>
      </c>
      <c r="D6" t="s">
        <v>89</v>
      </c>
      <c r="E6" t="s">
        <v>106</v>
      </c>
      <c r="F6" t="s">
        <v>91</v>
      </c>
      <c r="G6" t="s">
        <v>107</v>
      </c>
      <c r="H6" t="s">
        <v>91</v>
      </c>
      <c r="I6" t="s">
        <v>93</v>
      </c>
      <c r="J6" t="s">
        <v>101</v>
      </c>
      <c r="K6" t="s">
        <v>108</v>
      </c>
    </row>
    <row r="7" spans="1:11" x14ac:dyDescent="0.2">
      <c r="A7" t="s">
        <v>109</v>
      </c>
      <c r="B7" t="s">
        <v>110</v>
      </c>
      <c r="C7" t="s">
        <v>111</v>
      </c>
      <c r="D7" t="s">
        <v>89</v>
      </c>
      <c r="E7" t="s">
        <v>112</v>
      </c>
      <c r="F7" t="s">
        <v>91</v>
      </c>
      <c r="G7" t="s">
        <v>92</v>
      </c>
      <c r="H7" t="s">
        <v>91</v>
      </c>
      <c r="I7" t="s">
        <v>113</v>
      </c>
      <c r="J7" t="s">
        <v>114</v>
      </c>
      <c r="K7" t="s">
        <v>115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
  <sheetViews>
    <sheetView workbookViewId="0"/>
  </sheetViews>
  <sheetFormatPr baseColWidth="10" defaultColWidth="8.83203125" defaultRowHeight="15" x14ac:dyDescent="0.2"/>
  <cols>
    <col min="1" max="2" width="14" customWidth="1"/>
    <col min="4" max="4" width="8" customWidth="1"/>
    <col min="5" max="5" width="14" customWidth="1"/>
    <col min="6" max="6" width="12" customWidth="1"/>
    <col min="7" max="7" width="14" customWidth="1"/>
  </cols>
  <sheetData>
    <row r="1" spans="1:7" ht="17" x14ac:dyDescent="0.2">
      <c r="A1" s="1" t="s">
        <v>116</v>
      </c>
    </row>
    <row r="3" spans="1:7" x14ac:dyDescent="0.2">
      <c r="A3" s="2" t="s">
        <v>117</v>
      </c>
      <c r="B3" s="2" t="s">
        <v>118</v>
      </c>
      <c r="D3" s="2" t="s">
        <v>58</v>
      </c>
      <c r="E3" s="2" t="s">
        <v>119</v>
      </c>
      <c r="F3" s="2" t="s">
        <v>120</v>
      </c>
      <c r="G3" s="2" t="s">
        <v>121</v>
      </c>
    </row>
    <row r="4" spans="1:7" x14ac:dyDescent="0.2">
      <c r="A4" t="s">
        <v>122</v>
      </c>
      <c r="B4" s="10">
        <v>3.4</v>
      </c>
      <c r="D4">
        <v>1</v>
      </c>
      <c r="E4" s="10">
        <v>0.9</v>
      </c>
      <c r="F4">
        <f>Parameters!B12</f>
        <v>60000</v>
      </c>
      <c r="G4" s="9">
        <f>ROUND(E4*F4,2)</f>
        <v>54000</v>
      </c>
    </row>
    <row r="5" spans="1:7" x14ac:dyDescent="0.2">
      <c r="A5" t="s">
        <v>98</v>
      </c>
      <c r="B5" s="10">
        <v>4.85</v>
      </c>
      <c r="D5">
        <v>2</v>
      </c>
      <c r="E5" s="10">
        <v>0.55</v>
      </c>
      <c r="F5">
        <f>Parameters!B13</f>
        <v>84000</v>
      </c>
      <c r="G5" s="9">
        <f>ROUND(E5*F5,2)</f>
        <v>46200</v>
      </c>
    </row>
    <row r="6" spans="1:7" x14ac:dyDescent="0.2">
      <c r="A6" t="s">
        <v>88</v>
      </c>
      <c r="B6" s="10">
        <v>5.1</v>
      </c>
      <c r="D6">
        <v>3</v>
      </c>
      <c r="E6" s="10">
        <v>0.3</v>
      </c>
      <c r="F6">
        <f>Parameters!B14</f>
        <v>36000</v>
      </c>
      <c r="G6" s="9">
        <f>ROUND(E6*F6,2)</f>
        <v>10800</v>
      </c>
    </row>
    <row r="7" spans="1:7" x14ac:dyDescent="0.2">
      <c r="A7" t="s">
        <v>105</v>
      </c>
      <c r="B7" s="10">
        <v>5.6</v>
      </c>
      <c r="D7">
        <v>4</v>
      </c>
      <c r="E7" s="10">
        <v>2.6</v>
      </c>
      <c r="F7">
        <f>Parameters!B15</f>
        <v>12000</v>
      </c>
      <c r="G7" s="9">
        <f>ROUND(E7*F7,2)</f>
        <v>31200</v>
      </c>
    </row>
    <row r="8" spans="1:7" x14ac:dyDescent="0.2">
      <c r="A8" t="s">
        <v>111</v>
      </c>
      <c r="B8" s="10">
        <v>4.2</v>
      </c>
      <c r="D8">
        <v>5</v>
      </c>
      <c r="E8" s="10">
        <v>1.4</v>
      </c>
      <c r="F8">
        <f>Parameters!B16</f>
        <v>30000</v>
      </c>
      <c r="G8" s="9">
        <f>ROUND(E8*F8,2)</f>
        <v>42000</v>
      </c>
    </row>
    <row r="9" spans="1:7" x14ac:dyDescent="0.2">
      <c r="A9" t="s">
        <v>123</v>
      </c>
      <c r="B9" s="10">
        <v>4.6</v>
      </c>
      <c r="D9" s="5" t="s">
        <v>124</v>
      </c>
      <c r="G9" s="9">
        <f>SUM(G4:G8)</f>
        <v>184200</v>
      </c>
    </row>
    <row r="10" spans="1:7" x14ac:dyDescent="0.2">
      <c r="A10" t="s">
        <v>125</v>
      </c>
      <c r="B10" s="10">
        <v>5.35</v>
      </c>
      <c r="D10" s="5" t="s">
        <v>126</v>
      </c>
      <c r="G10" s="9">
        <f>G9/Parameters!$B$8</f>
        <v>1842</v>
      </c>
    </row>
    <row r="13" spans="1:7" x14ac:dyDescent="0.2">
      <c r="A13" t="s">
        <v>127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2"/>
  <sheetViews>
    <sheetView workbookViewId="0"/>
  </sheetViews>
  <sheetFormatPr baseColWidth="10" defaultColWidth="8.83203125" defaultRowHeight="15" x14ac:dyDescent="0.2"/>
  <cols>
    <col min="1" max="1" width="24" customWidth="1"/>
    <col min="2" max="2" width="10" customWidth="1"/>
    <col min="3" max="3" width="24" customWidth="1"/>
    <col min="4" max="4" width="10" customWidth="1"/>
    <col min="5" max="5" width="28" customWidth="1"/>
    <col min="6" max="6" width="18" customWidth="1"/>
    <col min="7" max="7" width="16" customWidth="1"/>
    <col min="8" max="8" width="70" customWidth="1"/>
  </cols>
  <sheetData>
    <row r="1" spans="1:8" ht="17" x14ac:dyDescent="0.2">
      <c r="A1" s="1" t="s">
        <v>128</v>
      </c>
    </row>
    <row r="3" spans="1:8" x14ac:dyDescent="0.2">
      <c r="A3" s="2" t="s">
        <v>75</v>
      </c>
      <c r="B3" s="2" t="s">
        <v>129</v>
      </c>
      <c r="C3" s="2" t="s">
        <v>130</v>
      </c>
      <c r="D3" s="2" t="s">
        <v>131</v>
      </c>
      <c r="E3" s="2" t="s">
        <v>132</v>
      </c>
      <c r="F3" s="2" t="s">
        <v>133</v>
      </c>
      <c r="G3" s="2" t="s">
        <v>134</v>
      </c>
      <c r="H3" s="2" t="s">
        <v>135</v>
      </c>
    </row>
    <row r="4" spans="1:8" x14ac:dyDescent="0.2">
      <c r="A4" t="str">
        <f>Terms!A4</f>
        <v>Pemberton Container</v>
      </c>
      <c r="B4" t="str">
        <f>IF(Terms!F4="Yes","Yes","No")</f>
        <v>Yes</v>
      </c>
      <c r="C4" t="str">
        <f>IF(ISNUMBER(SEARCH(Parameters!$B$9,Terms!G4)),"Yes","No")</f>
        <v>Yes</v>
      </c>
      <c r="D4" t="str">
        <f>IF(Terms!H4="Yes","Yes","No")</f>
        <v>Yes</v>
      </c>
      <c r="E4" t="str">
        <f>IF(ISNUMBER(SEARCH("Exception",Terms!J4)),"Yes","No")</f>
        <v>No</v>
      </c>
      <c r="F4" t="str">
        <f>IF(ISNUMBER(SEARCH("Alternate",Terms!J4)),"Yes, not evaluated","No")</f>
        <v>Yes, not evaluated</v>
      </c>
      <c r="G4" t="str">
        <f>IF(AND(B4="Yes",C4="Yes",D4="Yes",E4="No"),"Responsive","Non-responsive")</f>
        <v>Responsive</v>
      </c>
      <c r="H4" t="str">
        <f>TRIM(IF(B4="No","No bid bond, section 3.2. ","")&amp;IF(C4="No","Addendum 2 not acknowledged, section 3.2; bid on the superseded item 3 quantity and item 5 grade, PP-3.4.5. ","")&amp;IF(D4="No","Samples not received, section 3.2. ","")&amp;IF(E4="Yes","Exception to the twelve month price hold, a material term under section 4.3, section 5.2 and PP-3.4.4. ",""))</f>
        <v/>
      </c>
    </row>
    <row r="5" spans="1:8" x14ac:dyDescent="0.2">
      <c r="A5" t="str">
        <f>Terms!A5</f>
        <v>Ridgecrest Packaging</v>
      </c>
      <c r="B5" t="str">
        <f>IF(Terms!F5="Yes","Yes","No")</f>
        <v>Yes</v>
      </c>
      <c r="C5" t="str">
        <f>IF(ISNUMBER(SEARCH(Parameters!$B$9,Terms!G5)),"Yes","No")</f>
        <v>Yes</v>
      </c>
      <c r="D5" t="str">
        <f>IF(Terms!H5="Yes","Yes","No")</f>
        <v>Yes</v>
      </c>
      <c r="E5" t="str">
        <f>IF(ISNUMBER(SEARCH("Exception",Terms!J5)),"Yes","No")</f>
        <v>No</v>
      </c>
      <c r="F5" t="str">
        <f>IF(ISNUMBER(SEARCH("Alternate",Terms!J5)),"Yes, not evaluated","No")</f>
        <v>No</v>
      </c>
      <c r="G5" t="str">
        <f>IF(AND(B5="Yes",C5="Yes",D5="Yes",E5="No"),"Responsive","Non-responsive")</f>
        <v>Responsive</v>
      </c>
      <c r="H5" t="str">
        <f>TRIM(IF(B5="No","No bid bond, section 3.2. ","")&amp;IF(C5="No","Addendum 2 not acknowledged, section 3.2; bid on the superseded item 3 quantity and item 5 grade, PP-3.4.5. ","")&amp;IF(D5="No","Samples not received, section 3.2. ","")&amp;IF(E5="Yes","Exception to the twelve month price hold, a material term under section 4.3, section 5.2 and PP-3.4.4. ",""))</f>
        <v/>
      </c>
    </row>
    <row r="6" spans="1:8" x14ac:dyDescent="0.2">
      <c r="A6" t="str">
        <f>Terms!A6</f>
        <v>Brannock Box Company</v>
      </c>
      <c r="B6" t="str">
        <f>IF(Terms!F6="Yes","Yes","No")</f>
        <v>Yes</v>
      </c>
      <c r="C6" t="str">
        <f>IF(ISNUMBER(SEARCH(Parameters!$B$9,Terms!G6)),"Yes","No")</f>
        <v>No</v>
      </c>
      <c r="D6" t="str">
        <f>IF(Terms!H6="Yes","Yes","No")</f>
        <v>Yes</v>
      </c>
      <c r="E6" t="str">
        <f>IF(ISNUMBER(SEARCH("Exception",Terms!J6)),"Yes","No")</f>
        <v>No</v>
      </c>
      <c r="F6" t="str">
        <f>IF(ISNUMBER(SEARCH("Alternate",Terms!J6)),"Yes, not evaluated","No")</f>
        <v>No</v>
      </c>
      <c r="G6" t="str">
        <f>IF(AND(B6="Yes",C6="Yes",D6="Yes",E6="No"),"Responsive","Non-responsive")</f>
        <v>Non-responsive</v>
      </c>
      <c r="H6" t="str">
        <f>TRIM(IF(B6="No","No bid bond, section 3.2. ","")&amp;IF(C6="No","Addendum 2 not acknowledged, section 3.2; bid on the superseded item 3 quantity and item 5 grade, PP-3.4.5. ","")&amp;IF(D6="No","Samples not received, section 3.2. ","")&amp;IF(E6="Yes","Exception to the twelve month price hold, a material term under section 4.3, section 5.2 and PP-3.4.4. ",""))</f>
        <v>Addendum 2 not acknowledged, section 3.2; bid on the superseded item 3 quantity and item 5 grade, PP-3.4.5.</v>
      </c>
    </row>
    <row r="7" spans="1:8" x14ac:dyDescent="0.2">
      <c r="A7" t="str">
        <f>Terms!A7</f>
        <v>Halvard Corrugated</v>
      </c>
      <c r="B7" t="str">
        <f>IF(Terms!F7="Yes","Yes","No")</f>
        <v>Yes</v>
      </c>
      <c r="C7" t="str">
        <f>IF(ISNUMBER(SEARCH(Parameters!$B$9,Terms!G7)),"Yes","No")</f>
        <v>Yes</v>
      </c>
      <c r="D7" t="str">
        <f>IF(Terms!H7="Yes","Yes","No")</f>
        <v>Yes</v>
      </c>
      <c r="E7" t="str">
        <f>IF(ISNUMBER(SEARCH("Exception",Terms!J7)),"Yes","No")</f>
        <v>Yes</v>
      </c>
      <c r="F7" t="str">
        <f>IF(ISNUMBER(SEARCH("Alternate",Terms!J7)),"Yes, not evaluated","No")</f>
        <v>No</v>
      </c>
      <c r="G7" t="str">
        <f>IF(AND(B7="Yes",C7="Yes",D7="Yes",E7="No"),"Responsive","Non-responsive")</f>
        <v>Non-responsive</v>
      </c>
      <c r="H7" t="str">
        <f>TRIM(IF(B7="No","No bid bond, section 3.2. ","")&amp;IF(C7="No","Addendum 2 not acknowledged, section 3.2; bid on the superseded item 3 quantity and item 5 grade, PP-3.4.5. ","")&amp;IF(D7="No","Samples not received, section 3.2. ","")&amp;IF(E7="Yes","Exception to the twelve month price hold, a material term under section 4.3, section 5.2 and PP-3.4.4. ",""))</f>
        <v>Exception to the twelve month price hold, a material term under section 4.3, section 5.2 and PP-3.4.4.</v>
      </c>
    </row>
    <row r="9" spans="1:8" x14ac:dyDescent="0.2">
      <c r="A9" t="s">
        <v>22</v>
      </c>
      <c r="B9">
        <f>COUNTIF(G4:G7,"Responsive")</f>
        <v>2</v>
      </c>
    </row>
    <row r="10" spans="1:8" x14ac:dyDescent="0.2">
      <c r="A10" t="s">
        <v>23</v>
      </c>
      <c r="B10">
        <f>COUNTIF(G4:G7,"Non-responsive")</f>
        <v>2</v>
      </c>
    </row>
    <row r="12" spans="1:8" x14ac:dyDescent="0.2">
      <c r="A12" t="s">
        <v>136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7"/>
  <sheetViews>
    <sheetView workbookViewId="0"/>
  </sheetViews>
  <sheetFormatPr baseColWidth="10" defaultColWidth="8.83203125" defaultRowHeight="15" x14ac:dyDescent="0.2"/>
  <cols>
    <col min="1" max="1" width="46" customWidth="1"/>
    <col min="2" max="5" width="22" customWidth="1"/>
    <col min="6" max="6" width="30" customWidth="1"/>
  </cols>
  <sheetData>
    <row r="1" spans="1:6" ht="17" x14ac:dyDescent="0.2">
      <c r="A1" s="1" t="s">
        <v>137</v>
      </c>
    </row>
    <row r="3" spans="1:6" x14ac:dyDescent="0.2">
      <c r="A3" s="2" t="s">
        <v>138</v>
      </c>
      <c r="B3" s="2" t="s">
        <v>86</v>
      </c>
      <c r="C3" s="2" t="s">
        <v>96</v>
      </c>
      <c r="D3" s="2" t="s">
        <v>103</v>
      </c>
      <c r="E3" s="2" t="s">
        <v>109</v>
      </c>
      <c r="F3" s="2" t="s">
        <v>40</v>
      </c>
    </row>
    <row r="4" spans="1:6" x14ac:dyDescent="0.2">
      <c r="A4" t="s">
        <v>139</v>
      </c>
      <c r="B4" s="9">
        <f>ROUND('Bids as Written'!C5*Parameters!$B$12,2)</f>
        <v>36720</v>
      </c>
      <c r="C4" s="9">
        <f>ROUND('Bids as Written'!E5*Parameters!$B$12,2)</f>
        <v>35880</v>
      </c>
      <c r="D4" s="9">
        <f>ROUND('Bids as Written'!G5*Parameters!$B$12,2)</f>
        <v>34260</v>
      </c>
      <c r="E4" s="9">
        <f>ROUND('Bids as Written'!I5*Parameters!$B$12,2)</f>
        <v>36300</v>
      </c>
      <c r="F4" t="s">
        <v>140</v>
      </c>
    </row>
    <row r="5" spans="1:6" x14ac:dyDescent="0.2">
      <c r="A5" t="s">
        <v>141</v>
      </c>
      <c r="B5" s="9">
        <f>ROUND('Bids as Written'!C6*Parameters!$B$13,2)</f>
        <v>35112</v>
      </c>
      <c r="C5" s="9">
        <f>ROUND('Bids as Written'!E6*Parameters!$B$13,2)</f>
        <v>34020</v>
      </c>
      <c r="D5" s="9">
        <f>ROUND('Bids as Written'!G6*Parameters!$B$13,2)</f>
        <v>33432</v>
      </c>
      <c r="E5" s="9">
        <f>ROUND('Bids as Written'!I6*Parameters!$B$13,2)</f>
        <v>34608</v>
      </c>
      <c r="F5" t="s">
        <v>140</v>
      </c>
    </row>
    <row r="6" spans="1:6" x14ac:dyDescent="0.2">
      <c r="A6" t="s">
        <v>142</v>
      </c>
      <c r="B6" s="9">
        <f>ROUND('Bids as Written'!C7*Parameters!$B$14,2)</f>
        <v>10584</v>
      </c>
      <c r="C6" s="9">
        <f>ROUND('Bids as Written'!E7*Parameters!$B$14,2)</f>
        <v>10116</v>
      </c>
      <c r="D6" s="9">
        <f>ROUND('Bids as Written'!G7*Parameters!$B$14,2)</f>
        <v>9936</v>
      </c>
      <c r="E6" s="9">
        <f>ROUND('Bids as Written'!I7*Parameters!$B$14,2)</f>
        <v>10368</v>
      </c>
      <c r="F6" t="s">
        <v>140</v>
      </c>
    </row>
    <row r="7" spans="1:6" x14ac:dyDescent="0.2">
      <c r="A7" t="s">
        <v>143</v>
      </c>
      <c r="B7" s="9">
        <f>ROUND('Bids as Written'!C8*Parameters!$B$15,2)</f>
        <v>20820</v>
      </c>
      <c r="C7" s="9">
        <f>ROUND('Bids as Written'!E8*Parameters!$B$15,2)</f>
        <v>20280</v>
      </c>
      <c r="D7" s="9">
        <f>ROUND('Bids as Written'!G8*Parameters!$B$15,2)</f>
        <v>19860</v>
      </c>
      <c r="E7" s="9">
        <f>ROUND('Bids as Written'!I8*Parameters!$B$15,2)</f>
        <v>20424</v>
      </c>
      <c r="F7" t="s">
        <v>140</v>
      </c>
    </row>
    <row r="8" spans="1:6" x14ac:dyDescent="0.2">
      <c r="A8" t="s">
        <v>144</v>
      </c>
      <c r="B8" s="9">
        <f>ROUND('Bids as Written'!C9*Parameters!$B$16,2)</f>
        <v>29640</v>
      </c>
      <c r="C8" s="9">
        <f>ROUND('Bids as Written'!E9*Parameters!$B$16,2)</f>
        <v>28950</v>
      </c>
      <c r="D8" s="9">
        <f>ROUND('Bids as Written'!G9*Parameters!$B$16,2)</f>
        <v>28200</v>
      </c>
      <c r="E8" s="9">
        <f>ROUND('Bids as Written'!I9*Parameters!$B$16,2)</f>
        <v>29160</v>
      </c>
      <c r="F8" t="s">
        <v>140</v>
      </c>
    </row>
    <row r="9" spans="1:6" x14ac:dyDescent="0.2">
      <c r="A9" s="5" t="s">
        <v>145</v>
      </c>
      <c r="B9" s="11">
        <f>SUM(B4:B8)</f>
        <v>132876</v>
      </c>
      <c r="C9" s="11">
        <f>SUM(C4:C8)</f>
        <v>129246</v>
      </c>
      <c r="D9" s="11">
        <f>SUM(D4:D8)</f>
        <v>125688</v>
      </c>
      <c r="E9" s="11">
        <f>SUM(E4:E8)</f>
        <v>130860</v>
      </c>
      <c r="F9" t="s">
        <v>146</v>
      </c>
    </row>
    <row r="10" spans="1:6" x14ac:dyDescent="0.2">
      <c r="A10" t="s">
        <v>147</v>
      </c>
      <c r="B10" s="9">
        <f>'Bids as Written'!D10</f>
        <v>1850</v>
      </c>
      <c r="C10" s="9">
        <f>'Bids as Written'!F10</f>
        <v>2400</v>
      </c>
      <c r="D10" s="9">
        <f>'Bids as Written'!H10</f>
        <v>1500</v>
      </c>
      <c r="E10" s="9">
        <f>'Bids as Written'!J10</f>
        <v>1600</v>
      </c>
      <c r="F10" t="s">
        <v>148</v>
      </c>
    </row>
    <row r="11" spans="1:6" x14ac:dyDescent="0.2">
      <c r="A11" t="s">
        <v>149</v>
      </c>
      <c r="B11" t="str">
        <f>Terms!D4</f>
        <v>Destination</v>
      </c>
      <c r="C11" t="str">
        <f>Terms!D5</f>
        <v>Origin, Cedar Rapids plant</v>
      </c>
      <c r="D11" t="str">
        <f>Terms!D6</f>
        <v>Destination</v>
      </c>
      <c r="E11" t="str">
        <f>Terms!D7</f>
        <v>Destination</v>
      </c>
      <c r="F11" t="s">
        <v>150</v>
      </c>
    </row>
    <row r="12" spans="1:6" x14ac:dyDescent="0.2">
      <c r="A12" t="s">
        <v>13</v>
      </c>
      <c r="B12" s="9">
        <f>IF(LEFT(B11,6)="Origin",ROUND(Freight!$G$10*INDEX(Freight!$B$4:$B$10,MATCH(Terms!C4,Freight!$A$4:$A$10,0)),2),0)</f>
        <v>0</v>
      </c>
      <c r="C12" s="9">
        <f>IF(LEFT(C11,6)="Origin",ROUND(Freight!$G$10*INDEX(Freight!$B$4:$B$10,MATCH(Terms!C5,Freight!$A$4:$A$10,0)),2),0)</f>
        <v>8933.7</v>
      </c>
      <c r="D12" s="9">
        <f>IF(LEFT(D11,6)="Origin",ROUND(Freight!$G$10*INDEX(Freight!$B$4:$B$10,MATCH(Terms!C6,Freight!$A$4:$A$10,0)),2),0)</f>
        <v>0</v>
      </c>
      <c r="E12" s="9">
        <f>IF(LEFT(E11,6)="Origin",ROUND(Freight!$G$10*INDEX(Freight!$B$4:$B$10,MATCH(Terms!C7,Freight!$A$4:$A$10,0)),2),0)</f>
        <v>0</v>
      </c>
      <c r="F12" t="s">
        <v>151</v>
      </c>
    </row>
    <row r="13" spans="1:6" x14ac:dyDescent="0.2">
      <c r="A13" t="s">
        <v>152</v>
      </c>
      <c r="B13" s="12">
        <f>IFERROR(VALUE(LEFT(Terms!E4,FIND("%",Terms!E4)-1))/100,0)</f>
        <v>0.02</v>
      </c>
      <c r="C13" s="12">
        <f>IFERROR(VALUE(LEFT(Terms!E5,FIND("%",Terms!E5)-1))/100,0)</f>
        <v>0.01</v>
      </c>
      <c r="D13" s="12">
        <f>IFERROR(VALUE(LEFT(Terms!E6,FIND("%",Terms!E6)-1))/100,0)</f>
        <v>0</v>
      </c>
      <c r="E13" s="12">
        <f>IFERROR(VALUE(LEFT(Terms!E7,FIND("%",Terms!E7)-1))/100,0)</f>
        <v>0.02</v>
      </c>
      <c r="F13" t="s">
        <v>150</v>
      </c>
    </row>
    <row r="14" spans="1:6" x14ac:dyDescent="0.2">
      <c r="A14" t="s">
        <v>153</v>
      </c>
      <c r="B14">
        <f>IFERROR(VALUE(MID(Terms!E4,FIND("%",Terms!E4)+2,FIND(",",Terms!E4)-FIND("%",Terms!E4)-2)),0)</f>
        <v>10</v>
      </c>
      <c r="C14">
        <f>IFERROR(VALUE(MID(Terms!E5,FIND("%",Terms!E5)+2,FIND(",",Terms!E5)-FIND("%",Terms!E5)-2)),0)</f>
        <v>20</v>
      </c>
      <c r="D14">
        <f>IFERROR(VALUE(MID(Terms!E6,FIND("%",Terms!E6)+2,FIND(",",Terms!E6)-FIND("%",Terms!E6)-2)),0)</f>
        <v>0</v>
      </c>
      <c r="E14">
        <f>IFERROR(VALUE(MID(Terms!E7,FIND("%",Terms!E7)+2,FIND(",",Terms!E7)-FIND("%",Terms!E7)-2)),0)</f>
        <v>30</v>
      </c>
      <c r="F14" t="s">
        <v>150</v>
      </c>
    </row>
    <row r="15" spans="1:6" x14ac:dyDescent="0.2">
      <c r="A15" t="s">
        <v>14</v>
      </c>
      <c r="B15" s="9">
        <f>IF(B14&gt;=Parameters!$B$4,ROUND(B9*B13,2),0)</f>
        <v>0</v>
      </c>
      <c r="C15" s="9">
        <f>IF(C14&gt;=Parameters!$B$4,ROUND(C9*C13,2),0)</f>
        <v>1292.46</v>
      </c>
      <c r="D15" s="9">
        <f>IF(D14&gt;=Parameters!$B$4,ROUND(D9*D13,2),0)</f>
        <v>0</v>
      </c>
      <c r="E15" s="9">
        <f>IF(E14&gt;=Parameters!$B$4,ROUND(E9*E13,2),0)</f>
        <v>2617.2</v>
      </c>
      <c r="F15" t="s">
        <v>42</v>
      </c>
    </row>
    <row r="16" spans="1:6" x14ac:dyDescent="0.2">
      <c r="A16" s="5" t="s">
        <v>15</v>
      </c>
      <c r="B16" s="11">
        <f>ROUND(B9+B10+B12-B15,2)</f>
        <v>134726</v>
      </c>
      <c r="C16" s="11">
        <f>ROUND(C9+C10+C12-C15,2)</f>
        <v>139287.24</v>
      </c>
      <c r="D16" s="11">
        <f>ROUND(D9+D10+D12-D15,2)</f>
        <v>127188</v>
      </c>
      <c r="E16" s="11">
        <f>ROUND(E9+E10+E12-E15,2)</f>
        <v>129842.8</v>
      </c>
      <c r="F16" t="s">
        <v>146</v>
      </c>
    </row>
    <row r="17" spans="1:6" x14ac:dyDescent="0.2">
      <c r="A17" t="s">
        <v>8</v>
      </c>
      <c r="B17" s="9">
        <f>'Bids as Written'!D11</f>
        <v>144726</v>
      </c>
      <c r="C17" s="9">
        <f>'Bids as Written'!F11</f>
        <v>131646</v>
      </c>
      <c r="D17" s="9">
        <f>'Bids as Written'!H11</f>
        <v>130500</v>
      </c>
      <c r="E17" s="9">
        <f>'Bids as Written'!J11</f>
        <v>132460</v>
      </c>
      <c r="F17" t="s">
        <v>9</v>
      </c>
    </row>
    <row r="18" spans="1:6" x14ac:dyDescent="0.2">
      <c r="A18" t="s">
        <v>6</v>
      </c>
      <c r="B18" t="str">
        <f>Responsiveness!G4</f>
        <v>Responsive</v>
      </c>
      <c r="C18" t="str">
        <f>Responsiveness!G5</f>
        <v>Responsive</v>
      </c>
      <c r="D18" t="str">
        <f>Responsiveness!G6</f>
        <v>Non-responsive</v>
      </c>
      <c r="E18" t="str">
        <f>Responsiveness!G7</f>
        <v>Non-responsive</v>
      </c>
      <c r="F18" t="s">
        <v>6</v>
      </c>
    </row>
    <row r="19" spans="1:6" x14ac:dyDescent="0.2">
      <c r="A19" t="s">
        <v>16</v>
      </c>
      <c r="B19">
        <f>IF(B18="Responsive",COUNTIFS($B$18:$E$18,"Responsive",$B$16:$E$16,"&lt;"&amp;B16)+1,"Set aside")</f>
        <v>1</v>
      </c>
      <c r="C19">
        <f>IF(C18="Responsive",COUNTIFS($B$18:$E$18,"Responsive",$B$16:$E$16,"&lt;"&amp;C16)+1,"Set aside")</f>
        <v>2</v>
      </c>
      <c r="D19" t="str">
        <f>IF(D18="Responsive",COUNTIFS($B$18:$E$18,"Responsive",$B$16:$E$16,"&lt;"&amp;D16)+1,"Set aside")</f>
        <v>Set aside</v>
      </c>
      <c r="E19" t="str">
        <f>IF(E18="Responsive",COUNTIFS($B$18:$E$18,"Responsive",$B$16:$E$16,"&lt;"&amp;E16)+1,"Set aside")</f>
        <v>Set aside</v>
      </c>
      <c r="F19" t="s">
        <v>154</v>
      </c>
    </row>
    <row r="20" spans="1:6" x14ac:dyDescent="0.2">
      <c r="A20" t="s">
        <v>155</v>
      </c>
      <c r="B20" s="9">
        <f>Freight!$G$10</f>
        <v>1842</v>
      </c>
      <c r="C20" s="9">
        <f>Freight!$G$10</f>
        <v>1842</v>
      </c>
      <c r="D20" s="9">
        <f>Freight!$G$10</f>
        <v>1842</v>
      </c>
      <c r="E20" s="9">
        <f>Freight!$G$10</f>
        <v>1842</v>
      </c>
    </row>
    <row r="21" spans="1:6" x14ac:dyDescent="0.2">
      <c r="A21" t="s">
        <v>156</v>
      </c>
      <c r="B21" s="9">
        <f>_xlfn.MINIFS(B16:E16,B18:E18,"Responsive")</f>
        <v>134726</v>
      </c>
    </row>
    <row r="22" spans="1:6" x14ac:dyDescent="0.2">
      <c r="A22" t="s">
        <v>157</v>
      </c>
      <c r="B22" t="str">
        <f>INDEX($B$3:$E$3,MATCH(1,$B$19:$E$19,0))</f>
        <v>Pemberton Container</v>
      </c>
    </row>
    <row r="23" spans="1:6" x14ac:dyDescent="0.2">
      <c r="A23" t="s">
        <v>20</v>
      </c>
      <c r="B23" t="str">
        <f>IFERROR(INDEX($B$3:$E$3,MATCH(2,$B$19:$E$19,0)),"None")</f>
        <v>Ridgecrest Packaging</v>
      </c>
    </row>
    <row r="24" spans="1:6" x14ac:dyDescent="0.2">
      <c r="A24" t="s">
        <v>158</v>
      </c>
      <c r="B24" s="9">
        <f>IFERROR(INDEX($B$16:$E$16,MATCH(2,$B$19:$E$19,0)),0)</f>
        <v>139287.24</v>
      </c>
    </row>
    <row r="25" spans="1:6" x14ac:dyDescent="0.2">
      <c r="A25" t="s">
        <v>21</v>
      </c>
      <c r="B25" s="9">
        <f>ROUND(B24-B21,2)</f>
        <v>4561.24</v>
      </c>
    </row>
    <row r="26" spans="1:6" x14ac:dyDescent="0.2">
      <c r="A26" t="s">
        <v>159</v>
      </c>
      <c r="B26" t="str">
        <f>INDEX($B$3:$E$3,MATCH(MIN(B17:E17),B17:E17,0))</f>
        <v>Brannock Box Company</v>
      </c>
    </row>
    <row r="27" spans="1:6" x14ac:dyDescent="0.2">
      <c r="A27" t="s">
        <v>25</v>
      </c>
      <c r="B27" t="str">
        <f>IF(B21&gt;Parameters!$B$5,"Vice president of operations","Director of supply chain")</f>
        <v>Vice president of operations</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workbookViewId="0"/>
  </sheetViews>
  <sheetFormatPr baseColWidth="10" defaultColWidth="8.83203125" defaultRowHeight="15" x14ac:dyDescent="0.2"/>
  <cols>
    <col min="1" max="1" width="24" customWidth="1"/>
    <col min="2" max="2" width="6" customWidth="1"/>
    <col min="3" max="4" width="11" customWidth="1"/>
    <col min="5" max="6" width="20" customWidth="1"/>
    <col min="7" max="7" width="14" customWidth="1"/>
    <col min="8" max="8" width="40" customWidth="1"/>
  </cols>
  <sheetData>
    <row r="1" spans="1:8" ht="17" x14ac:dyDescent="0.2">
      <c r="A1" s="1" t="s">
        <v>160</v>
      </c>
    </row>
    <row r="3" spans="1:8" x14ac:dyDescent="0.2">
      <c r="A3" s="2" t="s">
        <v>75</v>
      </c>
      <c r="B3" s="2" t="s">
        <v>58</v>
      </c>
      <c r="C3" s="2" t="s">
        <v>161</v>
      </c>
      <c r="D3" s="2" t="s">
        <v>120</v>
      </c>
      <c r="E3" s="2" t="s">
        <v>162</v>
      </c>
      <c r="F3" s="2" t="s">
        <v>163</v>
      </c>
      <c r="G3" s="2" t="s">
        <v>164</v>
      </c>
      <c r="H3" s="2" t="s">
        <v>165</v>
      </c>
    </row>
    <row r="4" spans="1:8" x14ac:dyDescent="0.2">
      <c r="A4" t="s">
        <v>86</v>
      </c>
      <c r="B4">
        <v>1</v>
      </c>
      <c r="C4" s="8">
        <f>'Bids as Written'!C5</f>
        <v>0.612</v>
      </c>
      <c r="D4">
        <f>Parameters!B12</f>
        <v>60000</v>
      </c>
      <c r="E4" s="9">
        <f>'Bids as Written'!D5</f>
        <v>36720</v>
      </c>
      <c r="F4" s="9">
        <f>Evaluation!B4</f>
        <v>36720</v>
      </c>
      <c r="G4" s="9">
        <f t="shared" ref="G4:G23" si="0">ROUND(F4-E4,2)</f>
        <v>0</v>
      </c>
      <c r="H4" t="str">
        <f t="shared" ref="H4:H23" si="1">IF(G4=0,"",IF(D4*C4&lt;&gt;E4/1,"Extension corrected, unit price governs, 4.1",""))</f>
        <v/>
      </c>
    </row>
    <row r="5" spans="1:8" x14ac:dyDescent="0.2">
      <c r="A5" t="s">
        <v>86</v>
      </c>
      <c r="B5">
        <v>2</v>
      </c>
      <c r="C5" s="8">
        <f>'Bids as Written'!C6</f>
        <v>0.418</v>
      </c>
      <c r="D5">
        <f>Parameters!B13</f>
        <v>84000</v>
      </c>
      <c r="E5" s="9">
        <f>'Bids as Written'!D6</f>
        <v>45112</v>
      </c>
      <c r="F5" s="9">
        <f>Evaluation!B5</f>
        <v>35112</v>
      </c>
      <c r="G5" s="9">
        <f t="shared" si="0"/>
        <v>-10000</v>
      </c>
      <c r="H5" t="str">
        <f t="shared" si="1"/>
        <v>Extension corrected, unit price governs, 4.1</v>
      </c>
    </row>
    <row r="6" spans="1:8" x14ac:dyDescent="0.2">
      <c r="A6" t="s">
        <v>86</v>
      </c>
      <c r="B6">
        <v>3</v>
      </c>
      <c r="C6" s="8">
        <f>'Bids as Written'!C7</f>
        <v>0.294</v>
      </c>
      <c r="D6">
        <f>Parameters!B14</f>
        <v>36000</v>
      </c>
      <c r="E6" s="9">
        <f>'Bids as Written'!D7</f>
        <v>10584</v>
      </c>
      <c r="F6" s="9">
        <f>Evaluation!B6</f>
        <v>10584</v>
      </c>
      <c r="G6" s="9">
        <f t="shared" si="0"/>
        <v>0</v>
      </c>
      <c r="H6" t="str">
        <f t="shared" si="1"/>
        <v/>
      </c>
    </row>
    <row r="7" spans="1:8" x14ac:dyDescent="0.2">
      <c r="A7" t="s">
        <v>86</v>
      </c>
      <c r="B7">
        <v>4</v>
      </c>
      <c r="C7" s="8">
        <f>'Bids as Written'!C8</f>
        <v>1.735</v>
      </c>
      <c r="D7">
        <f>Parameters!B15</f>
        <v>12000</v>
      </c>
      <c r="E7" s="9">
        <f>'Bids as Written'!D8</f>
        <v>20820</v>
      </c>
      <c r="F7" s="9">
        <f>Evaluation!B7</f>
        <v>20820</v>
      </c>
      <c r="G7" s="9">
        <f t="shared" si="0"/>
        <v>0</v>
      </c>
      <c r="H7" t="str">
        <f t="shared" si="1"/>
        <v/>
      </c>
    </row>
    <row r="8" spans="1:8" x14ac:dyDescent="0.2">
      <c r="A8" t="s">
        <v>86</v>
      </c>
      <c r="B8">
        <v>5</v>
      </c>
      <c r="C8" s="8">
        <f>'Bids as Written'!C9</f>
        <v>0.988</v>
      </c>
      <c r="D8">
        <f>Parameters!B16</f>
        <v>30000</v>
      </c>
      <c r="E8" s="9">
        <f>'Bids as Written'!D9</f>
        <v>29640</v>
      </c>
      <c r="F8" s="9">
        <f>Evaluation!B8</f>
        <v>29640</v>
      </c>
      <c r="G8" s="9">
        <f t="shared" si="0"/>
        <v>0</v>
      </c>
      <c r="H8" t="str">
        <f t="shared" si="1"/>
        <v/>
      </c>
    </row>
    <row r="9" spans="1:8" x14ac:dyDescent="0.2">
      <c r="A9" t="s">
        <v>96</v>
      </c>
      <c r="B9">
        <v>1</v>
      </c>
      <c r="C9" s="8">
        <f>'Bids as Written'!E5</f>
        <v>0.598</v>
      </c>
      <c r="D9">
        <f>Parameters!B12</f>
        <v>60000</v>
      </c>
      <c r="E9" s="9">
        <f>'Bids as Written'!F5</f>
        <v>35880</v>
      </c>
      <c r="F9" s="9">
        <f>Evaluation!C4</f>
        <v>35880</v>
      </c>
      <c r="G9" s="9">
        <f t="shared" si="0"/>
        <v>0</v>
      </c>
      <c r="H9" t="str">
        <f t="shared" si="1"/>
        <v/>
      </c>
    </row>
    <row r="10" spans="1:8" x14ac:dyDescent="0.2">
      <c r="A10" t="s">
        <v>96</v>
      </c>
      <c r="B10">
        <v>2</v>
      </c>
      <c r="C10" s="8">
        <f>'Bids as Written'!E6</f>
        <v>0.405</v>
      </c>
      <c r="D10">
        <f>Parameters!B13</f>
        <v>84000</v>
      </c>
      <c r="E10" s="9">
        <f>'Bids as Written'!F6</f>
        <v>34020</v>
      </c>
      <c r="F10" s="9">
        <f>Evaluation!C5</f>
        <v>34020</v>
      </c>
      <c r="G10" s="9">
        <f t="shared" si="0"/>
        <v>0</v>
      </c>
      <c r="H10" t="str">
        <f t="shared" si="1"/>
        <v/>
      </c>
    </row>
    <row r="11" spans="1:8" x14ac:dyDescent="0.2">
      <c r="A11" t="s">
        <v>96</v>
      </c>
      <c r="B11">
        <v>3</v>
      </c>
      <c r="C11" s="8">
        <f>'Bids as Written'!E7</f>
        <v>0.281</v>
      </c>
      <c r="D11">
        <f>Parameters!B14</f>
        <v>36000</v>
      </c>
      <c r="E11" s="9">
        <f>'Bids as Written'!F7</f>
        <v>10116</v>
      </c>
      <c r="F11" s="9">
        <f>Evaluation!C6</f>
        <v>10116</v>
      </c>
      <c r="G11" s="9">
        <f t="shared" si="0"/>
        <v>0</v>
      </c>
      <c r="H11" t="str">
        <f t="shared" si="1"/>
        <v/>
      </c>
    </row>
    <row r="12" spans="1:8" x14ac:dyDescent="0.2">
      <c r="A12" t="s">
        <v>96</v>
      </c>
      <c r="B12">
        <v>4</v>
      </c>
      <c r="C12" s="8">
        <f>'Bids as Written'!E8</f>
        <v>1.69</v>
      </c>
      <c r="D12">
        <f>Parameters!B15</f>
        <v>12000</v>
      </c>
      <c r="E12" s="9">
        <f>'Bids as Written'!F8</f>
        <v>20280</v>
      </c>
      <c r="F12" s="9">
        <f>Evaluation!C7</f>
        <v>20280</v>
      </c>
      <c r="G12" s="9">
        <f t="shared" si="0"/>
        <v>0</v>
      </c>
      <c r="H12" t="str">
        <f t="shared" si="1"/>
        <v/>
      </c>
    </row>
    <row r="13" spans="1:8" x14ac:dyDescent="0.2">
      <c r="A13" t="s">
        <v>96</v>
      </c>
      <c r="B13">
        <v>5</v>
      </c>
      <c r="C13" s="8">
        <f>'Bids as Written'!E9</f>
        <v>0.965</v>
      </c>
      <c r="D13">
        <f>Parameters!B16</f>
        <v>30000</v>
      </c>
      <c r="E13" s="9">
        <f>'Bids as Written'!F9</f>
        <v>28950</v>
      </c>
      <c r="F13" s="9">
        <f>Evaluation!C8</f>
        <v>28950</v>
      </c>
      <c r="G13" s="9">
        <f t="shared" si="0"/>
        <v>0</v>
      </c>
      <c r="H13" t="str">
        <f t="shared" si="1"/>
        <v/>
      </c>
    </row>
    <row r="14" spans="1:8" x14ac:dyDescent="0.2">
      <c r="A14" t="s">
        <v>103</v>
      </c>
      <c r="B14">
        <v>1</v>
      </c>
      <c r="C14" s="8">
        <f>'Bids as Written'!G5</f>
        <v>0.571</v>
      </c>
      <c r="D14">
        <f>Parameters!B12</f>
        <v>60000</v>
      </c>
      <c r="E14" s="9">
        <f>'Bids as Written'!H5</f>
        <v>34260</v>
      </c>
      <c r="F14" s="9">
        <f>Evaluation!D4</f>
        <v>34260</v>
      </c>
      <c r="G14" s="9">
        <f t="shared" si="0"/>
        <v>0</v>
      </c>
      <c r="H14" t="str">
        <f t="shared" si="1"/>
        <v/>
      </c>
    </row>
    <row r="15" spans="1:8" x14ac:dyDescent="0.2">
      <c r="A15" t="s">
        <v>103</v>
      </c>
      <c r="B15">
        <v>2</v>
      </c>
      <c r="C15" s="8">
        <f>'Bids as Written'!G6</f>
        <v>0.398</v>
      </c>
      <c r="D15">
        <f>Parameters!B13</f>
        <v>84000</v>
      </c>
      <c r="E15" s="9">
        <f>'Bids as Written'!H6</f>
        <v>33432</v>
      </c>
      <c r="F15" s="9">
        <f>Evaluation!D5</f>
        <v>33432</v>
      </c>
      <c r="G15" s="9">
        <f t="shared" si="0"/>
        <v>0</v>
      </c>
      <c r="H15" t="str">
        <f t="shared" si="1"/>
        <v/>
      </c>
    </row>
    <row r="16" spans="1:8" x14ac:dyDescent="0.2">
      <c r="A16" t="s">
        <v>103</v>
      </c>
      <c r="B16">
        <v>3</v>
      </c>
      <c r="C16" s="8">
        <f>'Bids as Written'!G7</f>
        <v>0.276</v>
      </c>
      <c r="D16">
        <f>Parameters!B14</f>
        <v>36000</v>
      </c>
      <c r="E16" s="9">
        <f>'Bids as Written'!H7</f>
        <v>13248</v>
      </c>
      <c r="F16" s="9">
        <f>Evaluation!D6</f>
        <v>9936</v>
      </c>
      <c r="G16" s="9">
        <f t="shared" si="0"/>
        <v>-3312</v>
      </c>
      <c r="H16" t="str">
        <f t="shared" si="1"/>
        <v>Extension corrected, unit price governs, 4.1</v>
      </c>
    </row>
    <row r="17" spans="1:8" x14ac:dyDescent="0.2">
      <c r="A17" t="s">
        <v>103</v>
      </c>
      <c r="B17">
        <v>4</v>
      </c>
      <c r="C17" s="8">
        <f>'Bids as Written'!G8</f>
        <v>1.655</v>
      </c>
      <c r="D17">
        <f>Parameters!B15</f>
        <v>12000</v>
      </c>
      <c r="E17" s="9">
        <f>'Bids as Written'!H8</f>
        <v>19860</v>
      </c>
      <c r="F17" s="9">
        <f>Evaluation!D7</f>
        <v>19860</v>
      </c>
      <c r="G17" s="9">
        <f t="shared" si="0"/>
        <v>0</v>
      </c>
      <c r="H17" t="str">
        <f t="shared" si="1"/>
        <v/>
      </c>
    </row>
    <row r="18" spans="1:8" x14ac:dyDescent="0.2">
      <c r="A18" t="s">
        <v>103</v>
      </c>
      <c r="B18">
        <v>5</v>
      </c>
      <c r="C18" s="8">
        <f>'Bids as Written'!G9</f>
        <v>0.94</v>
      </c>
      <c r="D18">
        <f>Parameters!B16</f>
        <v>30000</v>
      </c>
      <c r="E18" s="9">
        <f>'Bids as Written'!H9</f>
        <v>28200</v>
      </c>
      <c r="F18" s="9">
        <f>Evaluation!D8</f>
        <v>28200</v>
      </c>
      <c r="G18" s="9">
        <f t="shared" si="0"/>
        <v>0</v>
      </c>
      <c r="H18" t="str">
        <f t="shared" si="1"/>
        <v/>
      </c>
    </row>
    <row r="19" spans="1:8" x14ac:dyDescent="0.2">
      <c r="A19" t="s">
        <v>109</v>
      </c>
      <c r="B19">
        <v>1</v>
      </c>
      <c r="C19" s="8">
        <f>'Bids as Written'!I5</f>
        <v>0.605</v>
      </c>
      <c r="D19">
        <f>Parameters!B12</f>
        <v>60000</v>
      </c>
      <c r="E19" s="9">
        <f>'Bids as Written'!J5</f>
        <v>36300</v>
      </c>
      <c r="F19" s="9">
        <f>Evaluation!E4</f>
        <v>36300</v>
      </c>
      <c r="G19" s="9">
        <f t="shared" si="0"/>
        <v>0</v>
      </c>
      <c r="H19" t="str">
        <f t="shared" si="1"/>
        <v/>
      </c>
    </row>
    <row r="20" spans="1:8" x14ac:dyDescent="0.2">
      <c r="A20" t="s">
        <v>109</v>
      </c>
      <c r="B20">
        <v>2</v>
      </c>
      <c r="C20" s="8">
        <f>'Bids as Written'!I6</f>
        <v>0.412</v>
      </c>
      <c r="D20">
        <f>Parameters!B13</f>
        <v>84000</v>
      </c>
      <c r="E20" s="9">
        <f>'Bids as Written'!J6</f>
        <v>34608</v>
      </c>
      <c r="F20" s="9">
        <f>Evaluation!E5</f>
        <v>34608</v>
      </c>
      <c r="G20" s="9">
        <f t="shared" si="0"/>
        <v>0</v>
      </c>
      <c r="H20" t="str">
        <f t="shared" si="1"/>
        <v/>
      </c>
    </row>
    <row r="21" spans="1:8" x14ac:dyDescent="0.2">
      <c r="A21" t="s">
        <v>109</v>
      </c>
      <c r="B21">
        <v>3</v>
      </c>
      <c r="C21" s="8">
        <f>'Bids as Written'!I7</f>
        <v>0.288</v>
      </c>
      <c r="D21">
        <f>Parameters!B14</f>
        <v>36000</v>
      </c>
      <c r="E21" s="9">
        <f>'Bids as Written'!J7</f>
        <v>10368</v>
      </c>
      <c r="F21" s="9">
        <f>Evaluation!E6</f>
        <v>10368</v>
      </c>
      <c r="G21" s="9">
        <f t="shared" si="0"/>
        <v>0</v>
      </c>
      <c r="H21" t="str">
        <f t="shared" si="1"/>
        <v/>
      </c>
    </row>
    <row r="22" spans="1:8" x14ac:dyDescent="0.2">
      <c r="A22" t="s">
        <v>109</v>
      </c>
      <c r="B22">
        <v>4</v>
      </c>
      <c r="C22" s="8">
        <f>'Bids as Written'!I8</f>
        <v>1.702</v>
      </c>
      <c r="D22">
        <f>Parameters!B15</f>
        <v>12000</v>
      </c>
      <c r="E22" s="9">
        <f>'Bids as Written'!J8</f>
        <v>20424</v>
      </c>
      <c r="F22" s="9">
        <f>Evaluation!E7</f>
        <v>20424</v>
      </c>
      <c r="G22" s="9">
        <f t="shared" si="0"/>
        <v>0</v>
      </c>
      <c r="H22" t="str">
        <f t="shared" si="1"/>
        <v/>
      </c>
    </row>
    <row r="23" spans="1:8" x14ac:dyDescent="0.2">
      <c r="A23" t="s">
        <v>109</v>
      </c>
      <c r="B23">
        <v>5</v>
      </c>
      <c r="C23" s="8">
        <f>'Bids as Written'!I9</f>
        <v>0.972</v>
      </c>
      <c r="D23">
        <f>Parameters!B16</f>
        <v>30000</v>
      </c>
      <c r="E23" s="9">
        <f>'Bids as Written'!J9</f>
        <v>29160</v>
      </c>
      <c r="F23" s="9">
        <f>Evaluation!E8</f>
        <v>29160</v>
      </c>
      <c r="G23" s="9">
        <f t="shared" si="0"/>
        <v>0</v>
      </c>
      <c r="H23" t="str">
        <f t="shared" si="1"/>
        <v/>
      </c>
    </row>
    <row r="24" spans="1:8" x14ac:dyDescent="0.2">
      <c r="A24" s="5" t="s">
        <v>26</v>
      </c>
      <c r="G24">
        <f>COUNTIF(H4:H23,"Extension*")</f>
        <v>2</v>
      </c>
    </row>
    <row r="26" spans="1:8" x14ac:dyDescent="0.2">
      <c r="A26" t="s">
        <v>166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
  <sheetViews>
    <sheetView workbookViewId="0"/>
  </sheetViews>
  <sheetFormatPr baseColWidth="10" defaultColWidth="8.83203125" defaultRowHeight="15" x14ac:dyDescent="0.2"/>
  <cols>
    <col min="1" max="1" width="120" customWidth="1"/>
  </cols>
  <sheetData>
    <row r="1" spans="1:1" ht="17" x14ac:dyDescent="0.2">
      <c r="A1" s="1" t="s">
        <v>167</v>
      </c>
    </row>
    <row r="3" spans="1:1" ht="48" x14ac:dyDescent="0.2">
      <c r="A3" s="13" t="s">
        <v>168</v>
      </c>
    </row>
    <row r="4" spans="1:1" ht="48" x14ac:dyDescent="0.2">
      <c r="A4" s="13" t="s">
        <v>169</v>
      </c>
    </row>
    <row r="5" spans="1:1" ht="64" x14ac:dyDescent="0.2">
      <c r="A5" s="13" t="s">
        <v>170</v>
      </c>
    </row>
    <row r="6" spans="1:1" ht="64" x14ac:dyDescent="0.2">
      <c r="A6" s="13" t="s">
        <v>171</v>
      </c>
    </row>
    <row r="7" spans="1:1" ht="64" x14ac:dyDescent="0.2">
      <c r="A7" s="13" t="s">
        <v>172</v>
      </c>
    </row>
    <row r="8" spans="1:1" ht="80" x14ac:dyDescent="0.2">
      <c r="A8" s="13" t="s">
        <v>173</v>
      </c>
    </row>
    <row r="9" spans="1:1" ht="80" x14ac:dyDescent="0.2">
      <c r="A9" s="13" t="s">
        <v>174</v>
      </c>
    </row>
    <row r="10" spans="1:1" ht="48" x14ac:dyDescent="0.2">
      <c r="A10" s="13" t="s">
        <v>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Recommendation</vt:lpstr>
      <vt:lpstr>Parameters</vt:lpstr>
      <vt:lpstr>Bids as Written</vt:lpstr>
      <vt:lpstr>Terms</vt:lpstr>
      <vt:lpstr>Freight</vt:lpstr>
      <vt:lpstr>Responsiveness</vt:lpstr>
      <vt:lpstr>Evaluation</vt:lpstr>
      <vt:lpstr>Extensions</vt:lpstr>
      <vt:lpstr>Note to Torsten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Bid evaluation ITB 2026-17</dc:title>
  <dcterms:created xmlns:dcterms="http://purl.org/dc/terms/" xmlns:xsi="http://www.w3.org/2001/XMLSchema-instance" xsi:type="dcterms:W3CDTF">2026-10-19T08:15:27Z</dcterms:created>
  <dcterms:modified xmlns:dcterms="http://purl.org/dc/terms/" xmlns:xsi="http://www.w3.org/2001/XMLSchema-instance" xsi:type="dcterms:W3CDTF">2026-10-23T09:36:50Z</dcterms:modified>
  <cp:lastModifiedBy>Nordvik Manufacturing</cp:lastModifiedBy>
</cp:coreProperties>
</file>