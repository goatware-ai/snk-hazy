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xr:revisionPtr revIDLastSave="0" documentId="13_ncr:1_{FABB50D2-67A2-1A48-AB4C-151DDBA35EC9}" xr6:coauthVersionLast="47" xr6:coauthVersionMax="47" xr10:uidLastSave="{00000000-0000-0000-0000-000000000000}"/>
  <bookViews>
    <workbookView xWindow="0" yWindow="0" windowWidth="21600" windowHeight="38400" xr2:uid="{00000000-000D-0000-FFFF-FFFF00000000}"/>
  </bookViews>
  <sheets>
    <sheet name="Recommendation" sheetId="1" r:id="rId1"/>
    <sheet name="Parameters" sheetId="2" r:id="rId2"/>
    <sheet name="Bids as Written" sheetId="3" r:id="rId3"/>
    <sheet name="Terms" sheetId="4" r:id="rId4"/>
    <sheet name="Bid Conditions" sheetId="5" r:id="rId5"/>
    <sheet name="Later Writings" sheetId="6" r:id="rId6"/>
    <sheet name="Bid Security" sheetId="7" r:id="rId7"/>
    <sheet name="Bid Receipt" sheetId="8" r:id="rId8"/>
    <sheet name="Holds on Bidders" sheetId="9" r:id="rId9"/>
    <sheet name="Freight" sheetId="10" r:id="rId10"/>
    <sheet name="Responsiveness" sheetId="11" r:id="rId11"/>
    <sheet name="Responsibility" sheetId="12" r:id="rId12"/>
    <sheet name="Evaluation" sheetId="13" r:id="rId13"/>
    <sheet name="Extensions" sheetId="14" r:id="rId14"/>
    <sheet name="Note to Torsten"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14" l="1"/>
  <c r="E58" i="14"/>
  <c r="C58" i="14"/>
  <c r="F57" i="14"/>
  <c r="E57" i="14"/>
  <c r="C57" i="14"/>
  <c r="F56" i="14"/>
  <c r="E56" i="14"/>
  <c r="C56" i="14"/>
  <c r="F55" i="14"/>
  <c r="E55" i="14"/>
  <c r="C55" i="14"/>
  <c r="F54" i="14"/>
  <c r="E54" i="14"/>
  <c r="C54" i="14"/>
  <c r="F53" i="14"/>
  <c r="E53" i="14"/>
  <c r="C53" i="14"/>
  <c r="F52" i="14"/>
  <c r="E52" i="14"/>
  <c r="C52" i="14"/>
  <c r="F51" i="14"/>
  <c r="E51" i="14"/>
  <c r="C51" i="14"/>
  <c r="F50" i="14"/>
  <c r="E50" i="14"/>
  <c r="C50" i="14"/>
  <c r="F49" i="14"/>
  <c r="E49" i="14"/>
  <c r="C49" i="14"/>
  <c r="F48" i="14"/>
  <c r="E48" i="14"/>
  <c r="C48" i="14"/>
  <c r="F47" i="14"/>
  <c r="E47" i="14"/>
  <c r="C47" i="14"/>
  <c r="F46" i="14"/>
  <c r="E46" i="14"/>
  <c r="C46" i="14"/>
  <c r="F45" i="14"/>
  <c r="E45" i="14"/>
  <c r="C45" i="14"/>
  <c r="F44" i="14"/>
  <c r="E44" i="14"/>
  <c r="C44" i="14"/>
  <c r="F43" i="14"/>
  <c r="E43" i="14"/>
  <c r="C43" i="14"/>
  <c r="F42" i="14"/>
  <c r="E42" i="14"/>
  <c r="C42" i="14"/>
  <c r="F41" i="14"/>
  <c r="E41" i="14"/>
  <c r="C41" i="14"/>
  <c r="F40" i="14"/>
  <c r="E40" i="14"/>
  <c r="C40" i="14"/>
  <c r="F39" i="14"/>
  <c r="E39" i="14"/>
  <c r="C39" i="14"/>
  <c r="F38" i="14"/>
  <c r="E38" i="14"/>
  <c r="C38" i="14"/>
  <c r="F37" i="14"/>
  <c r="E37" i="14"/>
  <c r="C37" i="14"/>
  <c r="F36" i="14"/>
  <c r="E36" i="14"/>
  <c r="C36" i="14"/>
  <c r="F35" i="14"/>
  <c r="E35" i="14"/>
  <c r="C35" i="14"/>
  <c r="F34" i="14"/>
  <c r="E34" i="14"/>
  <c r="C34" i="14"/>
  <c r="F33" i="14"/>
  <c r="E33" i="14"/>
  <c r="C33" i="14"/>
  <c r="F32" i="14"/>
  <c r="E32" i="14"/>
  <c r="C32" i="14"/>
  <c r="F31" i="14"/>
  <c r="E31" i="14"/>
  <c r="C31" i="14"/>
  <c r="F30" i="14"/>
  <c r="E30" i="14"/>
  <c r="C30" i="14"/>
  <c r="F29" i="14"/>
  <c r="E29" i="14"/>
  <c r="C29" i="14"/>
  <c r="F28" i="14"/>
  <c r="E28" i="14"/>
  <c r="C28" i="14"/>
  <c r="F27" i="14"/>
  <c r="E27" i="14"/>
  <c r="C27" i="14"/>
  <c r="F26" i="14"/>
  <c r="E26" i="14"/>
  <c r="C26" i="14"/>
  <c r="F25" i="14"/>
  <c r="E25" i="14"/>
  <c r="C25" i="14"/>
  <c r="F24" i="14"/>
  <c r="E24" i="14"/>
  <c r="C24" i="14"/>
  <c r="F23" i="14"/>
  <c r="E23" i="14"/>
  <c r="C23" i="14"/>
  <c r="F22" i="14"/>
  <c r="E22" i="14"/>
  <c r="C22" i="14"/>
  <c r="F21" i="14"/>
  <c r="E21" i="14"/>
  <c r="C21" i="14"/>
  <c r="F20" i="14"/>
  <c r="E20" i="14"/>
  <c r="C20" i="14"/>
  <c r="F19" i="14"/>
  <c r="E19" i="14"/>
  <c r="C19" i="14"/>
  <c r="F18" i="14"/>
  <c r="E18" i="14"/>
  <c r="C18" i="14"/>
  <c r="F17" i="14"/>
  <c r="E17" i="14"/>
  <c r="C17" i="14"/>
  <c r="F16" i="14"/>
  <c r="E16" i="14"/>
  <c r="C16" i="14"/>
  <c r="F15" i="14"/>
  <c r="E15" i="14"/>
  <c r="C15" i="14"/>
  <c r="F14" i="14"/>
  <c r="E14" i="14"/>
  <c r="C14" i="14"/>
  <c r="F13" i="14"/>
  <c r="E13" i="14"/>
  <c r="C13" i="14"/>
  <c r="F12" i="14"/>
  <c r="E12" i="14"/>
  <c r="C12" i="14"/>
  <c r="F11" i="14"/>
  <c r="E11" i="14"/>
  <c r="C11" i="14"/>
  <c r="F10" i="14"/>
  <c r="E10" i="14"/>
  <c r="C10" i="14"/>
  <c r="F9" i="14"/>
  <c r="E9" i="14"/>
  <c r="C9" i="14"/>
  <c r="F8" i="14"/>
  <c r="E8" i="14"/>
  <c r="C8" i="14"/>
  <c r="F7" i="14"/>
  <c r="E7" i="14"/>
  <c r="C7" i="14"/>
  <c r="F6" i="14"/>
  <c r="E6" i="14"/>
  <c r="C6" i="14"/>
  <c r="F5" i="14"/>
  <c r="E5" i="14"/>
  <c r="C5" i="14"/>
  <c r="F4" i="14"/>
  <c r="E4" i="14"/>
  <c r="C4" i="14"/>
  <c r="K24" i="13"/>
  <c r="J24" i="13"/>
  <c r="I24" i="13"/>
  <c r="H24" i="13"/>
  <c r="G24" i="13"/>
  <c r="F24" i="13"/>
  <c r="E24" i="13"/>
  <c r="D24" i="13"/>
  <c r="C24" i="13"/>
  <c r="B24" i="13"/>
  <c r="L19" i="13"/>
  <c r="K19" i="13"/>
  <c r="J19" i="13"/>
  <c r="I19" i="13"/>
  <c r="I20" i="13" s="1"/>
  <c r="I13" i="1" s="1"/>
  <c r="H19" i="13"/>
  <c r="H20" i="13" s="1"/>
  <c r="H13" i="1" s="1"/>
  <c r="G19" i="13"/>
  <c r="F19" i="13"/>
  <c r="E19" i="13"/>
  <c r="D19" i="13"/>
  <c r="C19" i="13"/>
  <c r="B19" i="13"/>
  <c r="B20" i="13" s="1"/>
  <c r="B13" i="1" s="1"/>
  <c r="L18" i="13"/>
  <c r="K18" i="13"/>
  <c r="J18" i="13"/>
  <c r="I18" i="13"/>
  <c r="H18" i="13"/>
  <c r="G18" i="13"/>
  <c r="F18" i="13"/>
  <c r="E18" i="13"/>
  <c r="D18" i="13"/>
  <c r="C18" i="13"/>
  <c r="B18" i="13"/>
  <c r="L17" i="13"/>
  <c r="L12" i="1" s="1"/>
  <c r="K17" i="13"/>
  <c r="K12" i="1" s="1"/>
  <c r="I17" i="13"/>
  <c r="I12" i="1" s="1"/>
  <c r="H17" i="13"/>
  <c r="H12" i="1" s="1"/>
  <c r="F17" i="13"/>
  <c r="F12" i="1" s="1"/>
  <c r="E17" i="13"/>
  <c r="E12" i="1" s="1"/>
  <c r="D17" i="13"/>
  <c r="D12" i="1" s="1"/>
  <c r="C17" i="13"/>
  <c r="C12" i="1" s="1"/>
  <c r="B17" i="13"/>
  <c r="B12" i="1" s="1"/>
  <c r="L16" i="13"/>
  <c r="K16" i="13"/>
  <c r="J16" i="13"/>
  <c r="I16" i="13"/>
  <c r="H16" i="13"/>
  <c r="G16" i="13"/>
  <c r="F16" i="13"/>
  <c r="E16" i="13"/>
  <c r="D16" i="13"/>
  <c r="C16" i="13"/>
  <c r="B16" i="13"/>
  <c r="L15" i="13"/>
  <c r="L11" i="1" s="1"/>
  <c r="K15" i="13"/>
  <c r="K11" i="1" s="1"/>
  <c r="J15" i="13"/>
  <c r="J11" i="1" s="1"/>
  <c r="I15" i="13"/>
  <c r="I11" i="1" s="1"/>
  <c r="H15" i="13"/>
  <c r="H11" i="1" s="1"/>
  <c r="G15" i="13"/>
  <c r="G11" i="1" s="1"/>
  <c r="F15" i="13"/>
  <c r="F11" i="1" s="1"/>
  <c r="E15" i="13"/>
  <c r="E11" i="1" s="1"/>
  <c r="D15" i="13"/>
  <c r="D11" i="1" s="1"/>
  <c r="C15" i="13"/>
  <c r="C11" i="1" s="1"/>
  <c r="B15" i="13"/>
  <c r="B11" i="1" s="1"/>
  <c r="E12" i="13"/>
  <c r="G22" i="14" s="1"/>
  <c r="H22" i="14" s="1"/>
  <c r="I22" i="14" s="1"/>
  <c r="D12" i="13"/>
  <c r="G17" i="14" s="1"/>
  <c r="H17" i="14" s="1"/>
  <c r="I17" i="14" s="1"/>
  <c r="C12" i="13"/>
  <c r="G12" i="14" s="1"/>
  <c r="H12" i="14" s="1"/>
  <c r="I12" i="14" s="1"/>
  <c r="B12" i="13"/>
  <c r="G7" i="14" s="1"/>
  <c r="H7" i="14" s="1"/>
  <c r="I7" i="14" s="1"/>
  <c r="K11" i="13"/>
  <c r="G51" i="14" s="1"/>
  <c r="H51" i="14" s="1"/>
  <c r="I51" i="14" s="1"/>
  <c r="I11" i="13"/>
  <c r="G41" i="14" s="1"/>
  <c r="H41" i="14" s="1"/>
  <c r="I41" i="14" s="1"/>
  <c r="H11" i="13"/>
  <c r="G36" i="14" s="1"/>
  <c r="H36" i="14" s="1"/>
  <c r="I36" i="14" s="1"/>
  <c r="G11" i="13"/>
  <c r="G31" i="14" s="1"/>
  <c r="H31" i="14" s="1"/>
  <c r="I31" i="14" s="1"/>
  <c r="F11" i="13"/>
  <c r="G26" i="14" s="1"/>
  <c r="H26" i="14" s="1"/>
  <c r="I26" i="14" s="1"/>
  <c r="E11" i="13"/>
  <c r="G21" i="14" s="1"/>
  <c r="H21" i="14" s="1"/>
  <c r="I21" i="14" s="1"/>
  <c r="D11" i="13"/>
  <c r="G16" i="14" s="1"/>
  <c r="H16" i="14" s="1"/>
  <c r="I16" i="14" s="1"/>
  <c r="C11" i="13"/>
  <c r="G11" i="14" s="1"/>
  <c r="H11" i="14" s="1"/>
  <c r="I11" i="14" s="1"/>
  <c r="B11" i="13"/>
  <c r="G6" i="14" s="1"/>
  <c r="H6" i="14" s="1"/>
  <c r="K10" i="13"/>
  <c r="G50" i="14" s="1"/>
  <c r="H50" i="14" s="1"/>
  <c r="I50" i="14" s="1"/>
  <c r="J10" i="13"/>
  <c r="G45" i="14" s="1"/>
  <c r="H45" i="14" s="1"/>
  <c r="I45" i="14" s="1"/>
  <c r="I10" i="13"/>
  <c r="G40" i="14" s="1"/>
  <c r="H10" i="13"/>
  <c r="G35" i="14" s="1"/>
  <c r="H35" i="14" s="1"/>
  <c r="I35" i="14" s="1"/>
  <c r="G10" i="13"/>
  <c r="G30" i="14" s="1"/>
  <c r="H30" i="14" s="1"/>
  <c r="I30" i="14" s="1"/>
  <c r="F10" i="13"/>
  <c r="G25" i="14" s="1"/>
  <c r="H25" i="14" s="1"/>
  <c r="I25" i="14" s="1"/>
  <c r="E10" i="13"/>
  <c r="G20" i="14" s="1"/>
  <c r="H20" i="14" s="1"/>
  <c r="I20" i="14" s="1"/>
  <c r="D10" i="13"/>
  <c r="G15" i="14" s="1"/>
  <c r="H15" i="14" s="1"/>
  <c r="I15" i="14" s="1"/>
  <c r="C10" i="13"/>
  <c r="G10" i="14" s="1"/>
  <c r="H10" i="14" s="1"/>
  <c r="I10" i="14" s="1"/>
  <c r="B10" i="13"/>
  <c r="G5" i="14" s="1"/>
  <c r="H5" i="14" s="1"/>
  <c r="I5" i="14" s="1"/>
  <c r="K9" i="13"/>
  <c r="G49" i="14" s="1"/>
  <c r="H49" i="14" s="1"/>
  <c r="I49" i="14" s="1"/>
  <c r="J9" i="13"/>
  <c r="G44" i="14" s="1"/>
  <c r="H44" i="14" s="1"/>
  <c r="I44" i="14" s="1"/>
  <c r="H9" i="13"/>
  <c r="G34" i="14" s="1"/>
  <c r="H34" i="14" s="1"/>
  <c r="I34" i="14" s="1"/>
  <c r="G9" i="13"/>
  <c r="F9" i="13"/>
  <c r="K8" i="13"/>
  <c r="J8" i="13"/>
  <c r="I8" i="13"/>
  <c r="H8" i="13"/>
  <c r="G8" i="13"/>
  <c r="F8" i="13"/>
  <c r="E8" i="13"/>
  <c r="D8" i="13"/>
  <c r="C8" i="13"/>
  <c r="B8" i="13"/>
  <c r="K7" i="13"/>
  <c r="J7" i="13"/>
  <c r="I7" i="13"/>
  <c r="H7" i="13"/>
  <c r="G7" i="13"/>
  <c r="F7" i="13"/>
  <c r="E7" i="13"/>
  <c r="D22" i="14" s="1"/>
  <c r="D7" i="13"/>
  <c r="D17" i="14" s="1"/>
  <c r="C7" i="13"/>
  <c r="D12" i="14" s="1"/>
  <c r="B7" i="13"/>
  <c r="D7" i="14" s="1"/>
  <c r="K6" i="13"/>
  <c r="D51" i="14" s="1"/>
  <c r="I6" i="13"/>
  <c r="D41" i="14" s="1"/>
  <c r="H6" i="13"/>
  <c r="D36" i="14" s="1"/>
  <c r="G6" i="13"/>
  <c r="D31" i="14" s="1"/>
  <c r="F6" i="13"/>
  <c r="D26" i="14" s="1"/>
  <c r="E6" i="13"/>
  <c r="D21" i="14" s="1"/>
  <c r="D6" i="13"/>
  <c r="D16" i="14" s="1"/>
  <c r="C6" i="13"/>
  <c r="D11" i="14" s="1"/>
  <c r="B6" i="13"/>
  <c r="D6" i="14" s="1"/>
  <c r="K5" i="13"/>
  <c r="D50" i="14" s="1"/>
  <c r="J5" i="13"/>
  <c r="D45" i="14" s="1"/>
  <c r="I5" i="13"/>
  <c r="D40" i="14" s="1"/>
  <c r="H5" i="13"/>
  <c r="D35" i="14" s="1"/>
  <c r="G5" i="13"/>
  <c r="D30" i="14" s="1"/>
  <c r="F5" i="13"/>
  <c r="D25" i="14" s="1"/>
  <c r="E5" i="13"/>
  <c r="D20" i="14" s="1"/>
  <c r="D5" i="13"/>
  <c r="D15" i="14" s="1"/>
  <c r="C5" i="13"/>
  <c r="D10" i="14" s="1"/>
  <c r="B5" i="13"/>
  <c r="D5" i="14" s="1"/>
  <c r="K4" i="13"/>
  <c r="D49" i="14" s="1"/>
  <c r="J4" i="13"/>
  <c r="D44" i="14" s="1"/>
  <c r="H4" i="13"/>
  <c r="D34" i="14" s="1"/>
  <c r="G4" i="13"/>
  <c r="D29" i="14" s="1"/>
  <c r="F4" i="13"/>
  <c r="D24" i="14" s="1"/>
  <c r="E4" i="13"/>
  <c r="D4" i="13"/>
  <c r="C4" i="13"/>
  <c r="B4" i="13"/>
  <c r="J14" i="11"/>
  <c r="I14" i="11"/>
  <c r="H14" i="11"/>
  <c r="E14" i="11"/>
  <c r="D14" i="11"/>
  <c r="C14" i="11"/>
  <c r="A14" i="11"/>
  <c r="J13" i="11"/>
  <c r="I13" i="11"/>
  <c r="H13" i="11"/>
  <c r="E13" i="11"/>
  <c r="D13" i="11"/>
  <c r="C13" i="11"/>
  <c r="A13" i="11"/>
  <c r="J12" i="11"/>
  <c r="I12" i="11"/>
  <c r="H12" i="11"/>
  <c r="E12" i="11"/>
  <c r="D12" i="11"/>
  <c r="C12" i="11"/>
  <c r="A12" i="11"/>
  <c r="J11" i="11"/>
  <c r="I11" i="11"/>
  <c r="H11" i="11"/>
  <c r="E11" i="11"/>
  <c r="D11" i="11"/>
  <c r="C11" i="11"/>
  <c r="A11" i="11"/>
  <c r="J10" i="11"/>
  <c r="I10" i="11"/>
  <c r="H10" i="11"/>
  <c r="E10" i="11"/>
  <c r="D10" i="11"/>
  <c r="C10" i="11"/>
  <c r="A10" i="11"/>
  <c r="J9" i="11"/>
  <c r="I9" i="11"/>
  <c r="H9" i="11"/>
  <c r="E9" i="11"/>
  <c r="D9" i="11"/>
  <c r="C9" i="11"/>
  <c r="A9" i="11"/>
  <c r="J8" i="11"/>
  <c r="I8" i="11"/>
  <c r="H8" i="11"/>
  <c r="E8" i="11"/>
  <c r="D8" i="11"/>
  <c r="C8" i="11"/>
  <c r="A8" i="11"/>
  <c r="J7" i="11"/>
  <c r="I7" i="11"/>
  <c r="H7" i="11"/>
  <c r="E7" i="11"/>
  <c r="D7" i="11"/>
  <c r="C7" i="11"/>
  <c r="A7" i="11"/>
  <c r="J6" i="11"/>
  <c r="I6" i="11"/>
  <c r="H6" i="11"/>
  <c r="E6" i="11"/>
  <c r="D6" i="11"/>
  <c r="C6" i="11"/>
  <c r="A6" i="11"/>
  <c r="J5" i="11"/>
  <c r="I5" i="11"/>
  <c r="H5" i="11"/>
  <c r="E5" i="11"/>
  <c r="D5" i="11"/>
  <c r="C5" i="11"/>
  <c r="A5" i="11"/>
  <c r="J4" i="11"/>
  <c r="I4" i="11"/>
  <c r="H4" i="11"/>
  <c r="E4" i="11"/>
  <c r="D4" i="11"/>
  <c r="C4" i="11"/>
  <c r="A4" i="11"/>
  <c r="I13" i="10"/>
  <c r="D13" i="10"/>
  <c r="E13" i="10" s="1"/>
  <c r="F13" i="10" s="1"/>
  <c r="J13" i="10" s="1"/>
  <c r="I12" i="10"/>
  <c r="D12" i="10"/>
  <c r="E12" i="10" s="1"/>
  <c r="F12" i="10" s="1"/>
  <c r="J12" i="10" s="1"/>
  <c r="I11" i="10"/>
  <c r="D11" i="10"/>
  <c r="E11" i="10" s="1"/>
  <c r="F11" i="10" s="1"/>
  <c r="J11" i="10" s="1"/>
  <c r="I10" i="10"/>
  <c r="D10" i="10"/>
  <c r="E10" i="10" s="1"/>
  <c r="F10" i="10" s="1"/>
  <c r="J10" i="10" s="1"/>
  <c r="I9" i="10"/>
  <c r="D9" i="10"/>
  <c r="E9" i="10" s="1"/>
  <c r="F9" i="10" s="1"/>
  <c r="I8" i="10"/>
  <c r="D8" i="10"/>
  <c r="E8" i="10" s="1"/>
  <c r="F8" i="10" s="1"/>
  <c r="I7" i="10"/>
  <c r="D7" i="10"/>
  <c r="E7" i="10" s="1"/>
  <c r="F7" i="10" s="1"/>
  <c r="J7" i="10" s="1"/>
  <c r="I6" i="10"/>
  <c r="D6" i="10"/>
  <c r="E6" i="10" s="1"/>
  <c r="F6" i="10" s="1"/>
  <c r="J6" i="10" s="1"/>
  <c r="I5" i="10"/>
  <c r="D5" i="10"/>
  <c r="E5" i="10" s="1"/>
  <c r="F5" i="10" s="1"/>
  <c r="J5" i="10" s="1"/>
  <c r="I4" i="10"/>
  <c r="E4" i="10"/>
  <c r="F4" i="10" s="1"/>
  <c r="D4" i="10"/>
  <c r="I7" i="9"/>
  <c r="I6" i="9"/>
  <c r="I5" i="9"/>
  <c r="I4" i="9"/>
  <c r="F14" i="8"/>
  <c r="A14" i="8"/>
  <c r="F13" i="8"/>
  <c r="A13" i="8"/>
  <c r="F12" i="8"/>
  <c r="A12" i="8"/>
  <c r="F11" i="8"/>
  <c r="A11" i="8"/>
  <c r="F10" i="8"/>
  <c r="A10" i="8"/>
  <c r="F9" i="8"/>
  <c r="A9" i="8"/>
  <c r="F8" i="8"/>
  <c r="A8" i="8"/>
  <c r="F7" i="8"/>
  <c r="A7" i="8"/>
  <c r="F6" i="8"/>
  <c r="A6" i="8"/>
  <c r="F5" i="8"/>
  <c r="A5" i="8"/>
  <c r="F4" i="8"/>
  <c r="A4" i="8"/>
  <c r="B14" i="7"/>
  <c r="A14" i="7"/>
  <c r="F13" i="7"/>
  <c r="G13" i="7" s="1"/>
  <c r="B13" i="11" s="1"/>
  <c r="B13" i="7"/>
  <c r="A13" i="7"/>
  <c r="F12" i="7"/>
  <c r="G12" i="7" s="1"/>
  <c r="B12" i="11" s="1"/>
  <c r="B12" i="7"/>
  <c r="A12" i="7"/>
  <c r="F11" i="7"/>
  <c r="G11" i="7" s="1"/>
  <c r="B11" i="11" s="1"/>
  <c r="B11" i="7"/>
  <c r="A11" i="7"/>
  <c r="F10" i="7"/>
  <c r="G10" i="7" s="1"/>
  <c r="B10" i="11" s="1"/>
  <c r="B10" i="7"/>
  <c r="A10" i="7"/>
  <c r="F9" i="7"/>
  <c r="G9" i="7" s="1"/>
  <c r="B9" i="11" s="1"/>
  <c r="B9" i="7"/>
  <c r="A9" i="7"/>
  <c r="B8" i="7"/>
  <c r="A8" i="7"/>
  <c r="F7" i="7"/>
  <c r="G7" i="7" s="1"/>
  <c r="B7" i="11" s="1"/>
  <c r="B7" i="7"/>
  <c r="A7" i="7"/>
  <c r="F6" i="7"/>
  <c r="G6" i="7" s="1"/>
  <c r="B6" i="11" s="1"/>
  <c r="B6" i="7"/>
  <c r="A6" i="7"/>
  <c r="B5" i="7"/>
  <c r="A5" i="7"/>
  <c r="F4" i="7"/>
  <c r="G4" i="7" s="1"/>
  <c r="B4" i="11" s="1"/>
  <c r="B4" i="7"/>
  <c r="A4" i="7"/>
  <c r="G19" i="6"/>
  <c r="G18" i="6"/>
  <c r="G17" i="6"/>
  <c r="G16" i="6"/>
  <c r="G15" i="6"/>
  <c r="G14" i="6"/>
  <c r="G13" i="6"/>
  <c r="G9" i="6"/>
  <c r="H9" i="6" s="1"/>
  <c r="G8" i="6"/>
  <c r="H8" i="6" s="1"/>
  <c r="G7" i="6"/>
  <c r="H7" i="6" s="1"/>
  <c r="F14" i="6" s="1"/>
  <c r="J6" i="13" s="1"/>
  <c r="G6" i="6"/>
  <c r="H6" i="6" s="1"/>
  <c r="F13" i="6" s="1"/>
  <c r="G5" i="6"/>
  <c r="H5" i="6" s="1"/>
  <c r="G4" i="6"/>
  <c r="H4" i="6" s="1"/>
  <c r="A14" i="5"/>
  <c r="A13" i="5"/>
  <c r="A12" i="5"/>
  <c r="A11" i="5"/>
  <c r="A10" i="5"/>
  <c r="A9" i="5"/>
  <c r="A8" i="5"/>
  <c r="A7" i="5"/>
  <c r="A6" i="5"/>
  <c r="A5" i="5"/>
  <c r="A4" i="5"/>
  <c r="X11" i="3"/>
  <c r="V11" i="3"/>
  <c r="T11" i="3"/>
  <c r="R11" i="3"/>
  <c r="P11" i="3"/>
  <c r="N11" i="3"/>
  <c r="L11" i="3"/>
  <c r="J11" i="3"/>
  <c r="H11" i="3"/>
  <c r="F11" i="3"/>
  <c r="D11" i="3"/>
  <c r="B35" i="1"/>
  <c r="L16" i="1"/>
  <c r="K16" i="1"/>
  <c r="J16" i="1"/>
  <c r="I16" i="1"/>
  <c r="H16" i="1"/>
  <c r="G16" i="1"/>
  <c r="F16" i="1"/>
  <c r="E16" i="1"/>
  <c r="D16" i="1"/>
  <c r="C16" i="1"/>
  <c r="B16" i="1"/>
  <c r="L5" i="1"/>
  <c r="K5" i="1"/>
  <c r="J5" i="1"/>
  <c r="I5" i="1"/>
  <c r="H5" i="1"/>
  <c r="G5" i="1"/>
  <c r="F5" i="1"/>
  <c r="E5" i="1"/>
  <c r="D5" i="1"/>
  <c r="C5" i="1"/>
  <c r="B5" i="1"/>
  <c r="L4" i="1"/>
  <c r="K4" i="1"/>
  <c r="J4" i="1"/>
  <c r="I4" i="1"/>
  <c r="H4" i="1"/>
  <c r="G4" i="1"/>
  <c r="F4" i="1"/>
  <c r="E4" i="1"/>
  <c r="D4" i="1"/>
  <c r="C4" i="1"/>
  <c r="B4" i="1"/>
  <c r="H40" i="14" l="1"/>
  <c r="I40" i="14" s="1"/>
  <c r="B36" i="1"/>
  <c r="G29" i="14"/>
  <c r="H29" i="14" s="1"/>
  <c r="I29" i="14" s="1"/>
  <c r="G24" i="14"/>
  <c r="H24" i="14" s="1"/>
  <c r="I24" i="14" s="1"/>
  <c r="D53" i="14"/>
  <c r="K13" i="13"/>
  <c r="G53" i="14" s="1"/>
  <c r="H53" i="14" s="1"/>
  <c r="I53" i="14" s="1"/>
  <c r="J13" i="13"/>
  <c r="G48" i="14" s="1"/>
  <c r="H48" i="14" s="1"/>
  <c r="I48" i="14" s="1"/>
  <c r="D48" i="14"/>
  <c r="D43" i="14"/>
  <c r="I13" i="13"/>
  <c r="G43" i="14" s="1"/>
  <c r="H43" i="14" s="1"/>
  <c r="I43" i="14" s="1"/>
  <c r="H13" i="13"/>
  <c r="G38" i="14" s="1"/>
  <c r="H38" i="14" s="1"/>
  <c r="I38" i="14" s="1"/>
  <c r="D38" i="14"/>
  <c r="G13" i="13"/>
  <c r="G33" i="14" s="1"/>
  <c r="H33" i="14" s="1"/>
  <c r="I33" i="14" s="1"/>
  <c r="D33" i="14"/>
  <c r="F13" i="13"/>
  <c r="G28" i="14" s="1"/>
  <c r="H28" i="14" s="1"/>
  <c r="I28" i="14" s="1"/>
  <c r="D28" i="14"/>
  <c r="D23" i="14"/>
  <c r="E13" i="13"/>
  <c r="G23" i="14" s="1"/>
  <c r="H23" i="14" s="1"/>
  <c r="I23" i="14" s="1"/>
  <c r="D13" i="13"/>
  <c r="G18" i="14" s="1"/>
  <c r="H18" i="14" s="1"/>
  <c r="I18" i="14" s="1"/>
  <c r="D18" i="14"/>
  <c r="D13" i="14"/>
  <c r="C13" i="13"/>
  <c r="G13" i="14" s="1"/>
  <c r="H13" i="14" s="1"/>
  <c r="I13" i="14" s="1"/>
  <c r="B13" i="13"/>
  <c r="G8" i="14" s="1"/>
  <c r="H8" i="14" s="1"/>
  <c r="I8" i="14" s="1"/>
  <c r="D8" i="14"/>
  <c r="D52" i="14"/>
  <c r="K12" i="13"/>
  <c r="D47" i="14"/>
  <c r="J12" i="13"/>
  <c r="G47" i="14" s="1"/>
  <c r="H47" i="14" s="1"/>
  <c r="I47" i="14" s="1"/>
  <c r="D42" i="14"/>
  <c r="I12" i="13"/>
  <c r="G42" i="14" s="1"/>
  <c r="H42" i="14" s="1"/>
  <c r="I42" i="14" s="1"/>
  <c r="H12" i="13"/>
  <c r="D37" i="14"/>
  <c r="G12" i="13"/>
  <c r="D32" i="14"/>
  <c r="D27" i="14"/>
  <c r="F12" i="13"/>
  <c r="D19" i="14"/>
  <c r="E9" i="13"/>
  <c r="D14" i="14"/>
  <c r="D9" i="13"/>
  <c r="D9" i="14"/>
  <c r="C9" i="13"/>
  <c r="B9" i="13"/>
  <c r="D4" i="14"/>
  <c r="J9" i="10"/>
  <c r="F18" i="10"/>
  <c r="F17" i="10"/>
  <c r="J8" i="10"/>
  <c r="J4" i="10"/>
  <c r="F16" i="10"/>
  <c r="B16" i="8"/>
  <c r="L24" i="13"/>
  <c r="K13" i="11"/>
  <c r="L13" i="11"/>
  <c r="K7" i="1" s="1"/>
  <c r="K12" i="11"/>
  <c r="L12" i="11"/>
  <c r="J7" i="1" s="1"/>
  <c r="K11" i="11"/>
  <c r="L11" i="11"/>
  <c r="I7" i="1" s="1"/>
  <c r="K10" i="11"/>
  <c r="L10" i="11"/>
  <c r="H7" i="1" s="1"/>
  <c r="K9" i="11"/>
  <c r="L9" i="11"/>
  <c r="G7" i="1" s="1"/>
  <c r="K7" i="11"/>
  <c r="L7" i="11"/>
  <c r="E7" i="1" s="1"/>
  <c r="K6" i="11"/>
  <c r="L6" i="11"/>
  <c r="D7" i="1" s="1"/>
  <c r="L4" i="11"/>
  <c r="B7" i="1" s="1"/>
  <c r="K4" i="11"/>
  <c r="J11" i="13"/>
  <c r="D46" i="14"/>
  <c r="I4" i="13"/>
  <c r="F15" i="6"/>
  <c r="F16" i="6"/>
  <c r="F17" i="6"/>
  <c r="L6" i="13" s="1"/>
  <c r="F18" i="6"/>
  <c r="L7" i="13" s="1"/>
  <c r="F19" i="6"/>
  <c r="L8" i="13" s="1"/>
  <c r="D14" i="7"/>
  <c r="E14" i="7" s="1"/>
  <c r="F14" i="7" s="1"/>
  <c r="G14" i="7" s="1"/>
  <c r="B14" i="11" s="1"/>
  <c r="L22" i="13"/>
  <c r="L9" i="1" s="1"/>
  <c r="K22" i="13"/>
  <c r="K9" i="1" s="1"/>
  <c r="D13" i="7"/>
  <c r="E13" i="7" s="1"/>
  <c r="D12" i="7"/>
  <c r="E12" i="7" s="1"/>
  <c r="J22" i="13"/>
  <c r="J9" i="1" s="1"/>
  <c r="D11" i="7"/>
  <c r="E11" i="7" s="1"/>
  <c r="I22" i="13"/>
  <c r="I9" i="1" s="1"/>
  <c r="D10" i="7"/>
  <c r="E10" i="7" s="1"/>
  <c r="H22" i="13"/>
  <c r="H9" i="1" s="1"/>
  <c r="D9" i="7"/>
  <c r="E9" i="7" s="1"/>
  <c r="G22" i="13"/>
  <c r="G9" i="1" s="1"/>
  <c r="D8" i="7"/>
  <c r="E8" i="7" s="1"/>
  <c r="F8" i="7" s="1"/>
  <c r="G8" i="7" s="1"/>
  <c r="B8" i="11" s="1"/>
  <c r="F22" i="13"/>
  <c r="F9" i="1" s="1"/>
  <c r="E22" i="13"/>
  <c r="E9" i="1" s="1"/>
  <c r="D7" i="7"/>
  <c r="E7" i="7" s="1"/>
  <c r="D6" i="7"/>
  <c r="E6" i="7" s="1"/>
  <c r="D22" i="13"/>
  <c r="D9" i="1" s="1"/>
  <c r="C22" i="13"/>
  <c r="C9" i="1" s="1"/>
  <c r="D5" i="7"/>
  <c r="E5" i="7" s="1"/>
  <c r="F5" i="7" s="1"/>
  <c r="G5" i="7" s="1"/>
  <c r="B5" i="11" s="1"/>
  <c r="D4" i="7"/>
  <c r="E4" i="7" s="1"/>
  <c r="B22" i="13"/>
  <c r="I6" i="14"/>
  <c r="K14" i="13" l="1"/>
  <c r="G52" i="14"/>
  <c r="H52" i="14" s="1"/>
  <c r="I52" i="14" s="1"/>
  <c r="H14" i="13"/>
  <c r="G37" i="14"/>
  <c r="H37" i="14" s="1"/>
  <c r="I37" i="14" s="1"/>
  <c r="E14" i="13"/>
  <c r="G19" i="14"/>
  <c r="H19" i="14" s="1"/>
  <c r="I19" i="14" s="1"/>
  <c r="D14" i="13"/>
  <c r="G14" i="14"/>
  <c r="H14" i="14" s="1"/>
  <c r="I14" i="14" s="1"/>
  <c r="C14" i="13"/>
  <c r="G9" i="14"/>
  <c r="H9" i="14" s="1"/>
  <c r="I9" i="14" s="1"/>
  <c r="G4" i="14"/>
  <c r="H4" i="14" s="1"/>
  <c r="I4" i="14" s="1"/>
  <c r="B14" i="13"/>
  <c r="J15" i="10"/>
  <c r="G17" i="13"/>
  <c r="G12" i="1" s="1"/>
  <c r="J14" i="10"/>
  <c r="J17" i="13"/>
  <c r="J12" i="1" s="1"/>
  <c r="K6" i="1"/>
  <c r="K23" i="13"/>
  <c r="K25" i="13" s="1"/>
  <c r="K15" i="1" s="1"/>
  <c r="J6" i="1"/>
  <c r="J23" i="13"/>
  <c r="I23" i="13"/>
  <c r="I6" i="1"/>
  <c r="H23" i="13"/>
  <c r="H25" i="13" s="1"/>
  <c r="H15" i="1" s="1"/>
  <c r="H6" i="1"/>
  <c r="G23" i="13"/>
  <c r="G25" i="13" s="1"/>
  <c r="G15" i="1" s="1"/>
  <c r="G6" i="1"/>
  <c r="E23" i="13"/>
  <c r="E25" i="13" s="1"/>
  <c r="E15" i="1" s="1"/>
  <c r="E6" i="1"/>
  <c r="D23" i="13"/>
  <c r="D25" i="13" s="1"/>
  <c r="D15" i="1" s="1"/>
  <c r="D6" i="1"/>
  <c r="B6" i="1"/>
  <c r="B23" i="13"/>
  <c r="G46" i="14"/>
  <c r="H46" i="14" s="1"/>
  <c r="I46" i="14" s="1"/>
  <c r="J14" i="13"/>
  <c r="D39" i="14"/>
  <c r="I9" i="13"/>
  <c r="L11" i="13"/>
  <c r="G56" i="14" s="1"/>
  <c r="H56" i="14" s="1"/>
  <c r="I56" i="14" s="1"/>
  <c r="D56" i="14"/>
  <c r="L12" i="13"/>
  <c r="G57" i="14" s="1"/>
  <c r="H57" i="14" s="1"/>
  <c r="I57" i="14" s="1"/>
  <c r="D57" i="14"/>
  <c r="L13" i="13"/>
  <c r="G58" i="14" s="1"/>
  <c r="H58" i="14" s="1"/>
  <c r="I58" i="14" s="1"/>
  <c r="D58" i="14"/>
  <c r="K14" i="11"/>
  <c r="L14" i="11"/>
  <c r="L7" i="1" s="1"/>
  <c r="K8" i="11"/>
  <c r="L8" i="11"/>
  <c r="F7" i="1" s="1"/>
  <c r="L5" i="11"/>
  <c r="C7" i="1" s="1"/>
  <c r="K5" i="11"/>
  <c r="B9" i="1"/>
  <c r="B31" i="13"/>
  <c r="B33" i="1" s="1"/>
  <c r="G32" i="14"/>
  <c r="H32" i="14" s="1"/>
  <c r="I32" i="14" s="1"/>
  <c r="G14" i="13"/>
  <c r="G27" i="14"/>
  <c r="H27" i="14" s="1"/>
  <c r="I27" i="14" s="1"/>
  <c r="F14" i="13"/>
  <c r="L4" i="13"/>
  <c r="B21" i="6"/>
  <c r="B37" i="1" s="1"/>
  <c r="L5" i="13"/>
  <c r="B22" i="6"/>
  <c r="B38" i="1" s="1"/>
  <c r="K20" i="13" l="1"/>
  <c r="K13" i="1" s="1"/>
  <c r="K10" i="1"/>
  <c r="K21" i="13"/>
  <c r="K14" i="1" s="1"/>
  <c r="H21" i="13"/>
  <c r="H14" i="1" s="1"/>
  <c r="H10" i="1"/>
  <c r="E20" i="13"/>
  <c r="E13" i="1" s="1"/>
  <c r="E10" i="1"/>
  <c r="E21" i="13"/>
  <c r="E14" i="1" s="1"/>
  <c r="D20" i="13"/>
  <c r="D13" i="1" s="1"/>
  <c r="D10" i="1"/>
  <c r="D21" i="13"/>
  <c r="D14" i="1" s="1"/>
  <c r="C20" i="13"/>
  <c r="C13" i="1" s="1"/>
  <c r="C10" i="1"/>
  <c r="C21" i="13"/>
  <c r="C14" i="1" s="1"/>
  <c r="B10" i="1"/>
  <c r="B21" i="13"/>
  <c r="B14" i="1" s="1"/>
  <c r="B25" i="13"/>
  <c r="J20" i="13"/>
  <c r="J13" i="1" s="1"/>
  <c r="J21" i="13"/>
  <c r="J10" i="1"/>
  <c r="I14" i="13"/>
  <c r="G39" i="14"/>
  <c r="H39" i="14" s="1"/>
  <c r="I39" i="14" s="1"/>
  <c r="L6" i="1"/>
  <c r="L23" i="13"/>
  <c r="F23" i="13"/>
  <c r="F6" i="1"/>
  <c r="C23" i="13"/>
  <c r="C6" i="1"/>
  <c r="G10" i="1"/>
  <c r="G20" i="13"/>
  <c r="F10" i="1"/>
  <c r="F20" i="13"/>
  <c r="L9" i="13"/>
  <c r="D54" i="14"/>
  <c r="D55" i="14"/>
  <c r="L10" i="13"/>
  <c r="G55" i="14" s="1"/>
  <c r="H55" i="14" s="1"/>
  <c r="I55" i="14" s="1"/>
  <c r="B16" i="11"/>
  <c r="B28" i="1" s="1"/>
  <c r="B17" i="11"/>
  <c r="B29" i="1" s="1"/>
  <c r="B15" i="1" l="1"/>
  <c r="J14" i="1"/>
  <c r="I10" i="1"/>
  <c r="I21" i="13"/>
  <c r="L14" i="13"/>
  <c r="G54" i="14"/>
  <c r="H54" i="14" s="1"/>
  <c r="I54" i="14" s="1"/>
  <c r="C25" i="13"/>
  <c r="C15" i="1" s="1"/>
  <c r="G13" i="1"/>
  <c r="G21" i="13"/>
  <c r="G14" i="1" s="1"/>
  <c r="F13" i="1"/>
  <c r="F21" i="13"/>
  <c r="I14" i="1" l="1"/>
  <c r="L20" i="13"/>
  <c r="L10" i="1"/>
  <c r="H59" i="14"/>
  <c r="B34" i="1" s="1"/>
  <c r="H60" i="14"/>
  <c r="F14" i="1"/>
  <c r="L13" i="1" l="1"/>
  <c r="L21" i="13"/>
  <c r="L14" i="1" l="1"/>
  <c r="L25" i="13"/>
  <c r="L15" i="1" s="1"/>
  <c r="I25" i="13"/>
  <c r="I15" i="1" s="1"/>
  <c r="B27" i="13"/>
  <c r="J25" i="13"/>
  <c r="J15" i="1" s="1"/>
  <c r="F25" i="13"/>
  <c r="F15" i="1" l="1"/>
  <c r="B14" i="12"/>
  <c r="B4" i="12"/>
  <c r="B28" i="13"/>
  <c r="B5" i="12"/>
  <c r="B7" i="12"/>
  <c r="B9" i="12"/>
  <c r="B10" i="12"/>
  <c r="B11" i="12"/>
  <c r="B12" i="12"/>
  <c r="B13" i="12"/>
  <c r="B6" i="12"/>
  <c r="B8" i="12"/>
  <c r="G14" i="12" l="1"/>
  <c r="C14" i="12"/>
  <c r="H14" i="12"/>
  <c r="F14" i="12"/>
  <c r="E14" i="12"/>
  <c r="D14" i="12"/>
  <c r="C4" i="12"/>
  <c r="D4" i="12"/>
  <c r="E4" i="12"/>
  <c r="F4" i="12" s="1"/>
  <c r="K8" i="1"/>
  <c r="H8" i="1"/>
  <c r="G8" i="1"/>
  <c r="D8" i="1"/>
  <c r="C8" i="1"/>
  <c r="E8" i="1"/>
  <c r="B8" i="1"/>
  <c r="D5" i="12"/>
  <c r="E5" i="12"/>
  <c r="C5" i="12"/>
  <c r="E7" i="12"/>
  <c r="C7" i="12"/>
  <c r="D7" i="12"/>
  <c r="G9" i="12"/>
  <c r="H9" i="12"/>
  <c r="E9" i="12"/>
  <c r="F9" i="12"/>
  <c r="D9" i="12"/>
  <c r="C9" i="12"/>
  <c r="H10" i="12"/>
  <c r="E10" i="12"/>
  <c r="C10" i="12"/>
  <c r="G10" i="12"/>
  <c r="F10" i="12"/>
  <c r="D10" i="12"/>
  <c r="F11" i="12"/>
  <c r="E11" i="12"/>
  <c r="C11" i="12"/>
  <c r="H11" i="12"/>
  <c r="G11" i="12"/>
  <c r="D11" i="12"/>
  <c r="H12" i="12"/>
  <c r="G12" i="12"/>
  <c r="F12" i="12"/>
  <c r="E12" i="12"/>
  <c r="D12" i="12"/>
  <c r="C12" i="12"/>
  <c r="G13" i="12"/>
  <c r="E13" i="12"/>
  <c r="D13" i="12"/>
  <c r="C13" i="12"/>
  <c r="H13" i="12"/>
  <c r="F13" i="12"/>
  <c r="C6" i="12"/>
  <c r="D6" i="12"/>
  <c r="E6" i="12"/>
  <c r="F8" i="12"/>
  <c r="D8" i="12"/>
  <c r="G8" i="12"/>
  <c r="C8" i="12"/>
  <c r="H8" i="12"/>
  <c r="E8" i="12"/>
  <c r="B20" i="12" l="1"/>
  <c r="B22" i="1" s="1"/>
  <c r="B24" i="12"/>
  <c r="B26" i="1" s="1"/>
  <c r="B26" i="12"/>
  <c r="B30" i="1" s="1"/>
  <c r="B18" i="12"/>
  <c r="B21" i="12"/>
  <c r="B23" i="1" s="1"/>
  <c r="B25" i="12"/>
  <c r="B27" i="1" s="1"/>
  <c r="B19" i="12"/>
  <c r="B27" i="12"/>
  <c r="B31" i="1" s="1"/>
  <c r="G4" i="12"/>
  <c r="F8" i="1" s="1"/>
  <c r="H4" i="12"/>
  <c r="F5" i="12"/>
  <c r="B29" i="13" l="1"/>
  <c r="B19" i="1"/>
  <c r="B28" i="12"/>
  <c r="B32" i="1" s="1"/>
  <c r="B30" i="13"/>
  <c r="B32" i="13" s="1"/>
  <c r="B21" i="1" s="1"/>
  <c r="B20" i="1"/>
  <c r="B22" i="12"/>
  <c r="B24" i="1" s="1"/>
  <c r="B23" i="12"/>
  <c r="B25" i="1" s="1"/>
  <c r="H5" i="12"/>
  <c r="G5" i="12"/>
  <c r="I8" i="1" s="1"/>
  <c r="F6" i="12"/>
  <c r="F7" i="12"/>
  <c r="H6" i="12" l="1"/>
  <c r="G6" i="12"/>
  <c r="J8" i="1" s="1"/>
  <c r="H7" i="12"/>
  <c r="G7" i="12"/>
  <c r="L8" i="1" s="1"/>
</calcChain>
</file>

<file path=xl/sharedStrings.xml><?xml version="1.0" encoding="utf-8"?>
<sst xmlns="http://schemas.openxmlformats.org/spreadsheetml/2006/main" count="791" uniqueCount="458">
  <si>
    <t>Award recommendation, ITB 2026-17, corrugated shipping cartons, annual requirement</t>
  </si>
  <si>
    <t>Prepared for Torsten Nordvik, vice president of operations, under PP-3.5; recommendation prepared October 23, 2026</t>
  </si>
  <si>
    <t>Bidder</t>
  </si>
  <si>
    <t>Read from</t>
  </si>
  <si>
    <t>Plant</t>
  </si>
  <si>
    <t>Terms</t>
  </si>
  <si>
    <t>Responsiveness</t>
  </si>
  <si>
    <t>Reason set aside</t>
  </si>
  <si>
    <t>Responsibility of the bidder in line, PP-3.7.1</t>
  </si>
  <si>
    <t>Responsibility</t>
  </si>
  <si>
    <t>Total bid as written</t>
  </si>
  <si>
    <t>Bids as Written</t>
  </si>
  <si>
    <t>Corrected extensions</t>
  </si>
  <si>
    <t>Evaluation</t>
  </si>
  <si>
    <t>Tooling</t>
  </si>
  <si>
    <t>Freight added, FOB origin</t>
  </si>
  <si>
    <t>Payment discount credit</t>
  </si>
  <si>
    <t>Total evaluated price</t>
  </si>
  <si>
    <t>Order in line among responsive bids, 5.1 and 5.6</t>
  </si>
  <si>
    <t>Bid received</t>
  </si>
  <si>
    <t>Bid Receipt</t>
  </si>
  <si>
    <t>Award</t>
  </si>
  <si>
    <t>Recommended award</t>
  </si>
  <si>
    <t>Recommended award, total evaluated price</t>
  </si>
  <si>
    <t>Approver required by PP-3.5.3</t>
  </si>
  <si>
    <t>Next responsive bidder in line</t>
  </si>
  <si>
    <t>Next bidder in line, total evaluated price</t>
  </si>
  <si>
    <t>Recommended award above the next bid in line by</t>
  </si>
  <si>
    <t>Order between the two bids rests on</t>
  </si>
  <si>
    <t>Recommended bid received</t>
  </si>
  <si>
    <t>Next bid in line received</t>
  </si>
  <si>
    <t>Responsive bids</t>
  </si>
  <si>
    <t>Bids set aside as non-responsive</t>
  </si>
  <si>
    <t>Responsive bid passed over, open quality hold</t>
  </si>
  <si>
    <t>Passed-over bid, total evaluated price</t>
  </si>
  <si>
    <t>Passed-over bid below the recommended award by</t>
  </si>
  <si>
    <t>Lowest bid as written</t>
  </si>
  <si>
    <t>Extensions corrected for arithmetic or quantity</t>
  </si>
  <si>
    <t>Extensions</t>
  </si>
  <si>
    <t>Extension corrected on the recommended bid, as written</t>
  </si>
  <si>
    <t>Extension corrected on the recommended bid, corrected</t>
  </si>
  <si>
    <t>Unit price changes applied from a timely signed modification</t>
  </si>
  <si>
    <t>Later Writings</t>
  </si>
  <si>
    <t>Unit price changes not considered under section 3.4</t>
  </si>
  <si>
    <t>Award is by lot to the responsive and responsible bidder first in the order of 5.1 and 5.6, checked under PP-3.7.1; every figure on this page reads from the tab named beside it.</t>
  </si>
  <si>
    <t>The award value is at or under one hundred thousand dollars, so PP-3.5.3 places the approval with the director of supply chain; the signature line below follows the policy.</t>
  </si>
  <si>
    <t>Recommended by</t>
  </si>
  <si>
    <t>Purchasing manager</t>
  </si>
  <si>
    <t>Signature: ______________________</t>
  </si>
  <si>
    <t>Date: ____________</t>
  </si>
  <si>
    <t>Approved</t>
  </si>
  <si>
    <t>Director of supply chain</t>
  </si>
  <si>
    <t>Terms the evaluation applies, from ITB 2026-17 as amended and policy PP-3</t>
  </si>
  <si>
    <t>Term</t>
  </si>
  <si>
    <t>Value</t>
  </si>
  <si>
    <t>Source</t>
  </si>
  <si>
    <t>Discount period floor for a credit (days)</t>
  </si>
  <si>
    <t>section 5.5</t>
  </si>
  <si>
    <t>Approval threshold, vice president above (dollars)</t>
  </si>
  <si>
    <t>PP-3.5.3</t>
  </si>
  <si>
    <t>Price hold required (months from award)</t>
  </si>
  <si>
    <t>section 4.3</t>
  </si>
  <si>
    <t>Band on total evaluated price inside which the bid received first prevails (dollars)</t>
  </si>
  <si>
    <t>5.6</t>
  </si>
  <si>
    <t>Pounds per hundredweight</t>
  </si>
  <si>
    <t>section 5.4</t>
  </si>
  <si>
    <t>Addendum that must be acknowledged</t>
  </si>
  <si>
    <t>Addendum 2; section 3.2</t>
  </si>
  <si>
    <t>Item 3 quantity superseded by addendum 2</t>
  </si>
  <si>
    <t>section 2; Addendum 2 change 1</t>
  </si>
  <si>
    <t>Bid security, share of the total bid as written</t>
  </si>
  <si>
    <t>section 3.2; Addendum 2</t>
  </si>
  <si>
    <t>Bid due time as a log key, year month day hour minute</t>
  </si>
  <si>
    <t>section 3.1; section 3.4</t>
  </si>
  <si>
    <t>Item</t>
  </si>
  <si>
    <t>Quantity, addendum 2</t>
  </si>
  <si>
    <t>section 2</t>
  </si>
  <si>
    <t>Addendum 2 change 1</t>
  </si>
  <si>
    <t>Bids as written on the signed bid forms in bid_forms_itb_2026_17.docx; eleven bids in alphabetical order</t>
  </si>
  <si>
    <t>ITEM</t>
  </si>
  <si>
    <t>DESCRIPTION</t>
  </si>
  <si>
    <t>BRANNOCK_UNIT</t>
  </si>
  <si>
    <t>BRANNOCK_EXTENSION</t>
  </si>
  <si>
    <t>DAHLGREN_UNIT</t>
  </si>
  <si>
    <t>DAHLGREN_EXTENSION</t>
  </si>
  <si>
    <t>HALVARD_UNIT</t>
  </si>
  <si>
    <t>HALVARD_EXTENSION</t>
  </si>
  <si>
    <t>KESSEL_UNIT</t>
  </si>
  <si>
    <t>KESSEL_EXTENSION</t>
  </si>
  <si>
    <t>LOKEN_VIK_UNIT</t>
  </si>
  <si>
    <t>LOKEN_VIK_EXTENSION</t>
  </si>
  <si>
    <t>MESABI_UNIT</t>
  </si>
  <si>
    <t>MESABI_EXTENSION</t>
  </si>
  <si>
    <t>OTTER_TAIL_UNIT</t>
  </si>
  <si>
    <t>OTTER_TAIL_EXTENSION</t>
  </si>
  <si>
    <t>PEMBERTON_UNIT</t>
  </si>
  <si>
    <t>PEMBERTON_EXTENSION</t>
  </si>
  <si>
    <t>RIDGECREST_UNIT</t>
  </si>
  <si>
    <t>RIDGECREST_EXTENSION</t>
  </si>
  <si>
    <t>THORSGARD_UNIT</t>
  </si>
  <si>
    <t>THORSGARD_EXTENSION</t>
  </si>
  <si>
    <t>WENZEL_KRAUSE_UNIT</t>
  </si>
  <si>
    <t>WENZEL_KRAUSE_EXTENSION</t>
  </si>
  <si>
    <t>RSC 24 x 18 x 12, 200 lb test C flute, kraft, unprinted</t>
  </si>
  <si>
    <t>RSC 18 x 12 x 10, 32 ECT B flute, kraft, unprinted</t>
  </si>
  <si>
    <t>Die-cut mailer 12 x 9 x 4, 32 ECT E flute, white, unprinted</t>
  </si>
  <si>
    <t>RSC 36 x 24 x 24, 275 lb test doublewall, kraft, unprinted</t>
  </si>
  <si>
    <t>RSC 20 x 20 x 20, 44 ECT C flute, kraft, two-color print</t>
  </si>
  <si>
    <t>Tooling, plates and dies, one time</t>
  </si>
  <si>
    <t>The unit prices are read from the signed forms, which PP-3.4.2 makes the bid. The tabulation as opened keys Ridgecrest's item 4 unit price as 1.557 where the signed form reads 1.575; the form's extension of 14,175.00 agrees with 1.575, and the form governs.</t>
  </si>
  <si>
    <t>Bidder terms and submittals as marked on the bid forms, with the plant that ships each item</t>
  </si>
  <si>
    <t>BIDDER</t>
  </si>
  <si>
    <t>PLANT_CITY</t>
  </si>
  <si>
    <t>PLANT_STATE</t>
  </si>
  <si>
    <t>FOB_TERMS</t>
  </si>
  <si>
    <t>PAYMENT_TERMS</t>
  </si>
  <si>
    <t>BID_SECURITY_ENCLOSED</t>
  </si>
  <si>
    <t>SECURITY_FORM</t>
  </si>
  <si>
    <t>ADDENDA_ACKNOWLEDGED</t>
  </si>
  <si>
    <t>SAMPLES_RECEIVED</t>
  </si>
  <si>
    <t>SHIPPING_PLANT_BY_ITEM</t>
  </si>
  <si>
    <t>Brannock Box Company</t>
  </si>
  <si>
    <t>Rockford</t>
  </si>
  <si>
    <t>IL</t>
  </si>
  <si>
    <t>Destination</t>
  </si>
  <si>
    <t>Net 30</t>
  </si>
  <si>
    <t>Yes</t>
  </si>
  <si>
    <t>Surety bond</t>
  </si>
  <si>
    <t>1</t>
  </si>
  <si>
    <t>All items Rockford, IL</t>
  </si>
  <si>
    <t>Dahlgren Paper Box Co.</t>
  </si>
  <si>
    <t>St. Cloud</t>
  </si>
  <si>
    <t>MN</t>
  </si>
  <si>
    <t>1% 30, net 45</t>
  </si>
  <si>
    <t>Cashier's check, $4,904.75, no. 20871</t>
  </si>
  <si>
    <t>1, 2</t>
  </si>
  <si>
    <t>All items St. Cloud, MN</t>
  </si>
  <si>
    <t>Halvard Corrugated</t>
  </si>
  <si>
    <t>Fargo</t>
  </si>
  <si>
    <t>ND</t>
  </si>
  <si>
    <t>2% 30, net 60</t>
  </si>
  <si>
    <t>All items Fargo, ND</t>
  </si>
  <si>
    <t>Kessel Container Corp.</t>
  </si>
  <si>
    <t>Des Moines</t>
  </si>
  <si>
    <t>IA</t>
  </si>
  <si>
    <t>1% 20, net 30</t>
  </si>
  <si>
    <t>All items Des Moines, IA</t>
  </si>
  <si>
    <t>Loken &amp; Vik Container</t>
  </si>
  <si>
    <t>Sioux Falls</t>
  </si>
  <si>
    <t>SD</t>
  </si>
  <si>
    <t>2% 20, net 45</t>
  </si>
  <si>
    <t>Cashier's check, $5,060.70, no. 4471820</t>
  </si>
  <si>
    <t>All items Sioux Falls, SD</t>
  </si>
  <si>
    <t>Mesabi Container Co.</t>
  </si>
  <si>
    <t>Duluth</t>
  </si>
  <si>
    <t>Origin, Duluth plant</t>
  </si>
  <si>
    <t>All items Duluth, MN (FOB origin)</t>
  </si>
  <si>
    <t>Otter Tail Corrugated</t>
  </si>
  <si>
    <t>Fergus Falls</t>
  </si>
  <si>
    <t>1% 15, net 30</t>
  </si>
  <si>
    <t>All items Fergus Falls, MN</t>
  </si>
  <si>
    <t>Pemberton Container</t>
  </si>
  <si>
    <t>Neenah</t>
  </si>
  <si>
    <t>WI</t>
  </si>
  <si>
    <t>2% 10, net 30</t>
  </si>
  <si>
    <t>All items Neenah, WI</t>
  </si>
  <si>
    <t>Ridgecrest Packaging</t>
  </si>
  <si>
    <t>Cedar Rapids</t>
  </si>
  <si>
    <t>Origin, shipping plant</t>
  </si>
  <si>
    <t>1% 20, net 45</t>
  </si>
  <si>
    <t>Items 1 to 4 Cedar Rapids, IA; item 5 Omaha, NE</t>
  </si>
  <si>
    <t>Thorsgard Box &amp; Label</t>
  </si>
  <si>
    <t>Moorhead</t>
  </si>
  <si>
    <t>2% 25, net 45</t>
  </si>
  <si>
    <t>All items Moorhead, MN</t>
  </si>
  <si>
    <t>Wenzel &amp; Krause Corrugated</t>
  </si>
  <si>
    <t>La Crosse</t>
  </si>
  <si>
    <t>2% 20, net 30</t>
  </si>
  <si>
    <t>Cashier's check, $5,300.00, no. 553106</t>
  </si>
  <si>
    <t>All items La Crosse, WI</t>
  </si>
  <si>
    <t>Pricing conditions, exceptions and alternates read from each bid form and letter in bid_forms_itb_2026_17.docx</t>
  </si>
  <si>
    <t>CONDITION_AS_STATED</t>
  </si>
  <si>
    <t>TERM_AFFECTED</t>
  </si>
  <si>
    <t>MATERIAL_TERM_EXCEPTION</t>
  </si>
  <si>
    <t>RULE_APPLIED</t>
  </si>
  <si>
    <t>PRICES_FIRM_THROUGH</t>
  </si>
  <si>
    <t>None stated; the form acknowledges addendum 1 only and prices item 3 at 36,000 with item 5 on 32 ECT board</t>
  </si>
  <si>
    <t>Quantity and specification as amended</t>
  </si>
  <si>
    <t>No</t>
  </si>
  <si>
    <t>Handled under addendum 2 and PP-3.4.5 on the Responsiveness tab, not as an exception</t>
  </si>
  <si>
    <t>Twelve months from award</t>
  </si>
  <si>
    <t>None; releases taken in any pallet quantity</t>
  </si>
  <si>
    <t>None</t>
  </si>
  <si>
    <t>No condition on price, quantity, quality, delivery or FOB terms; the bid security is tested on the Bid Security tab</t>
  </si>
  <si>
    <t>Prices held firm for six months from award, then adjusted quarterly to the Pulp and Paper Week 42 lb kraft linerboard index</t>
  </si>
  <si>
    <t>Price hold, section 4.3</t>
  </si>
  <si>
    <t>section 4.3; section 5.2; addendum 2 answer on a shorter hold or an index; PP-3.4.4</t>
  </si>
  <si>
    <t>None; prices hold through December 31, 2027, which runs past twelve months from any award this year</t>
  </si>
  <si>
    <t>The hold meets section 4.3; the item 2 description is tested on the Responsiveness tab under PP-3.4.5</t>
  </si>
  <si>
    <t>12/31/2027</t>
  </si>
  <si>
    <t>None; releases requested at least ten working days ahead of delivery</t>
  </si>
  <si>
    <t>A scheduling request, not a condition on price, quantity, quality, delivery or FOB terms</t>
  </si>
  <si>
    <t>Item 4 offered on 200 lb test doublewall only, the Duluth plant not running 275 lb test; FOB origin, all five items from Duluth</t>
  </si>
  <si>
    <t>Item as specified, section 5.2; alternate under 4.4</t>
  </si>
  <si>
    <t>No bid on item 4 as specified; the alternate cannot stand alone under 4.4 and the addendum 2 answer, tested on the Responsiveness tab under 5.2. Freight is added under section 5.4 at the Minnesota rate</t>
  </si>
  <si>
    <t>Pricing assumes releases in full truckload quantities of 26 pallets; a release below a full truckload carries a $185 stop charge; the form box reads None</t>
  </si>
  <si>
    <t>Quantity, releases in pallet multiples, section 1</t>
  </si>
  <si>
    <t>section 5.2; addendum 2 answer on truckload releases; PP-3.4.4; the letter of October 8 reached the office after the due time, section 3.4</t>
  </si>
  <si>
    <t>Alternate for item 4 at 200 lb test doublewall, $1.512 per carton, beside the bid on the item as specified</t>
  </si>
  <si>
    <t>None; an alternate under section 4.4</t>
  </si>
  <si>
    <t>section 4.4; the alternate is not evaluated for award</t>
  </si>
  <si>
    <t>None; FOB origin, items 1 to 4 shipped from Cedar Rapids and item 5 from Omaha; tooling credited back if the award arrives by October 30</t>
  </si>
  <si>
    <t>FOB terms as permitted by 3.3</t>
  </si>
  <si>
    <t>3.3; freight added under section 5.4; the tooling credit is not an adjustment the invitation names, so tooling is added in full, 4.2 and PP-3.4.3</t>
  </si>
  <si>
    <t>Prices firm through September 30, 2027; the form box reads Yes to twelve months from award</t>
  </si>
  <si>
    <t>section 4.3; section 5.2; PP-3.4.4; twelve months from an award made after the October 6, 2026 opening runs past September 30, 2027</t>
  </si>
  <si>
    <t>09/30/2027</t>
  </si>
  <si>
    <t>None; the letter follows the linerboard index and holds prices firm for twelve months whatever the index does, and offers stock holding after award that the prices do not depend on</t>
  </si>
  <si>
    <t>Prices are not conditioned on the index or on the stock offer, section 4.3</t>
  </si>
  <si>
    <t>A condition is a material term exception where it would change price, price hold, quantity, quality, delivery or FOB terms, PP-3.4.4; the buyer does not negotiate it away before award.</t>
  </si>
  <si>
    <t>Writings and messages received on the bids other than the bids themselves, from bid_correspondence_itb_2026_17.docx and bid_receipt_log_itb_2026_17.xlsx</t>
  </si>
  <si>
    <t>WRITING</t>
  </si>
  <si>
    <t>DATED</t>
  </si>
  <si>
    <t>LOG_NO</t>
  </si>
  <si>
    <t>RECEIVED_DATE</t>
  </si>
  <si>
    <t>RECEIVED_TIME</t>
  </si>
  <si>
    <t>RECEIVED_KEY</t>
  </si>
  <si>
    <t>BEFORE_THE_DUE_TIME</t>
  </si>
  <si>
    <t>SIGNED_WRITING</t>
  </si>
  <si>
    <t>EFFECT_ON_THE_EVALUATION</t>
  </si>
  <si>
    <t>Letter withdrawing the bid delivered October 2</t>
  </si>
  <si>
    <t>10/05/2026</t>
  </si>
  <si>
    <t>R-1048</t>
  </si>
  <si>
    <t>15:52</t>
  </si>
  <si>
    <t>Bid withdrawn and resubmitted; the bid opened is the one received October 6 at 08:15, section 3.4</t>
  </si>
  <si>
    <t>Facsimile changing the five unit prices</t>
  </si>
  <si>
    <t>R-1060</t>
  </si>
  <si>
    <t>10/06/2026</t>
  </si>
  <si>
    <t>10:07</t>
  </si>
  <si>
    <t>Not considered; the bid stands at its sealed prices, section 3.4</t>
  </si>
  <si>
    <t>Facsimile changing the item 1 unit price</t>
  </si>
  <si>
    <t>R-1053</t>
  </si>
  <si>
    <t>09:12</t>
  </si>
  <si>
    <t>Applied; item 1 is evaluated at 0.578, and the bid keeps its receipt time, section 3.4</t>
  </si>
  <si>
    <t>Telephone message asking that item 3 be read at 0.255</t>
  </si>
  <si>
    <t>R-1056</t>
  </si>
  <si>
    <t>09:35</t>
  </si>
  <si>
    <t>Not considered; a modification is a signed writing, section 3.4; item 3 stands at 0.262 on the signed form</t>
  </si>
  <si>
    <t>Letter withdrawing the stop charge</t>
  </si>
  <si>
    <t>10/08/2026</t>
  </si>
  <si>
    <t>R-1062</t>
  </si>
  <si>
    <t>10/09/2026</t>
  </si>
  <si>
    <t>11:46</t>
  </si>
  <si>
    <t>Not considered; the exception in the bid stands, section 3.4 and PP-3.4.4</t>
  </si>
  <si>
    <t>Letter on the edge crush complaint, hold QH-26-031</t>
  </si>
  <si>
    <t>10/12/2026</t>
  </si>
  <si>
    <t>R-1063</t>
  </si>
  <si>
    <t>16:44</t>
  </si>
  <si>
    <t>Not a change to the bid; the hold is cleared only by quality engineering, PP-3.7.1</t>
  </si>
  <si>
    <t>UNIT_AS_BID</t>
  </si>
  <si>
    <t>UNIT_AS_CHANGED</t>
  </si>
  <si>
    <t>WRITING_ROW</t>
  </si>
  <si>
    <t>APPLIED</t>
  </si>
  <si>
    <t>CHANGE_IN_EXTENSION</t>
  </si>
  <si>
    <t>Unit price changes applied</t>
  </si>
  <si>
    <t>Unit price changes not considered</t>
  </si>
  <si>
    <t>A modification counts when it is a signed writing that reaches the purchasing office before 10:00 on October 6, whatever date it carries, section 3.4. The Wenzel &amp; Krause facsimile is dated October 5 and came off the machine at 10:07 on October 6. The telephone message from Ridgecrest at 09:35 is not a writing. The log enters the facsimiles and the message under the names of the people who sent them.</t>
  </si>
  <si>
    <t>Bid security against five percent of the total bid as written, section 3.2 and addendum 2</t>
  </si>
  <si>
    <t>AMOUNT_STATED</t>
  </si>
  <si>
    <t>TOTAL_BID_AS_WRITTEN</t>
  </si>
  <si>
    <t>FIVE_PERCENT_REQUIRED</t>
  </si>
  <si>
    <t>SHORT_BY</t>
  </si>
  <si>
    <t>MEETS_SECTION_3.2</t>
  </si>
  <si>
    <t>A surety bond is written at five percent of the total bid and meets section 3.2 at any total. A cashier's check is a fixed amount and is tested against five percent of the total bid as written, tooling included, per addendum 2.</t>
  </si>
  <si>
    <t>When each bid that was opened reached the purchasing office, from bid_receipt_log_itb_2026_17.xlsx</t>
  </si>
  <si>
    <t>NAME_IN_THE_LOG</t>
  </si>
  <si>
    <t>NOTE</t>
  </si>
  <si>
    <t>Brannock Box</t>
  </si>
  <si>
    <t>R-1049</t>
  </si>
  <si>
    <t>16:02</t>
  </si>
  <si>
    <t>Dahlgren Box, St. Cloud</t>
  </si>
  <si>
    <t>R-1055</t>
  </si>
  <si>
    <t>09:33</t>
  </si>
  <si>
    <t>Halvard</t>
  </si>
  <si>
    <t>R-1058</t>
  </si>
  <si>
    <t>09:58</t>
  </si>
  <si>
    <t>Kessel Container, Des Moines</t>
  </si>
  <si>
    <t>R-1040</t>
  </si>
  <si>
    <t>10/02/2026</t>
  </si>
  <si>
    <t>09:47</t>
  </si>
  <si>
    <t>Loken &amp; Vik</t>
  </si>
  <si>
    <t>R-1059</t>
  </si>
  <si>
    <t>10:00</t>
  </si>
  <si>
    <t>Handed over at 10:00, the due time; a bid is due by 10:00 and only a bid received after that time goes back unopened, section 3.1</t>
  </si>
  <si>
    <t>Mesabi Container, Duluth</t>
  </si>
  <si>
    <t>R-1052</t>
  </si>
  <si>
    <t>09:05</t>
  </si>
  <si>
    <t>Otter Tail Corr.</t>
  </si>
  <si>
    <t>R-1051</t>
  </si>
  <si>
    <t>08:52</t>
  </si>
  <si>
    <t>Pemberton, Neenah</t>
  </si>
  <si>
    <t>R-1047</t>
  </si>
  <si>
    <t>11:37</t>
  </si>
  <si>
    <t>The facsimile of October 6 changes the bid and leaves this receipt time, section 3.4</t>
  </si>
  <si>
    <t>A. Delaney</t>
  </si>
  <si>
    <t>R-1050</t>
  </si>
  <si>
    <t>08:15</t>
  </si>
  <si>
    <t>The envelope logged R-1041 on 10/02/2026 was withdrawn and handed back under R-1048; the bid opened is the resubmitted one, section 3.4</t>
  </si>
  <si>
    <t>Thorsgard, Moorhead</t>
  </si>
  <si>
    <t>R-1054</t>
  </si>
  <si>
    <t>09:27</t>
  </si>
  <si>
    <t>W &amp; K Corrugated, La Crosse</t>
  </si>
  <si>
    <t>R-1057</t>
  </si>
  <si>
    <t>09:41</t>
  </si>
  <si>
    <t>Bids received by the due time</t>
  </si>
  <si>
    <t>A twelfth envelope, from Siouxland Container, reached the office at 10:22 on October 6 and went back unopened under section 3.1; it is not a bid in this evaluation. Loken &amp; Vik's envelope was handed over at 10:00, which section 3.1 makes the last minute a bid is due, and it was opened.</t>
  </si>
  <si>
    <t>Quality holds recorded against any bidder in supplier_quality_holds_2026.xlsx, matched to the bidder by name, with clearances since the extract</t>
  </si>
  <si>
    <t>HOLD_NO</t>
  </si>
  <si>
    <t>SUPPLIER_AS_REGISTERED</t>
  </si>
  <si>
    <t>COMMODITY</t>
  </si>
  <si>
    <t>OPENED</t>
  </si>
  <si>
    <t>STATUS_IN_THE_EXTRACT</t>
  </si>
  <si>
    <t>CLEARED</t>
  </si>
  <si>
    <t>SOURCE_OF_THE_CLEARANCE</t>
  </si>
  <si>
    <t>STATUS_AT_RECOMMENDATION</t>
  </si>
  <si>
    <t>QH-25-024</t>
  </si>
  <si>
    <t>Corrugated, RSC 30 x 20 x 16</t>
  </si>
  <si>
    <t>10/08/2025</t>
  </si>
  <si>
    <t>Cleared</t>
  </si>
  <si>
    <t>11/04/2025</t>
  </si>
  <si>
    <t>Register extract of October 7</t>
  </si>
  <si>
    <t>QH-26-009</t>
  </si>
  <si>
    <t>Corrugated, RSC 24 x 18 x 12</t>
  </si>
  <si>
    <t>03/04/2026</t>
  </si>
  <si>
    <t>05/12/2026</t>
  </si>
  <si>
    <t>QH-26-031</t>
  </si>
  <si>
    <t>Loken &amp; Vik Container Corp.</t>
  </si>
  <si>
    <t>Corrugated, RSC 16 x 12 x 8</t>
  </si>
  <si>
    <t>08/27/2026</t>
  </si>
  <si>
    <t>Open</t>
  </si>
  <si>
    <t>None; verification lot not yet run</t>
  </si>
  <si>
    <t>QH-26-034</t>
  </si>
  <si>
    <t>Pemberton Container, Neenah plant</t>
  </si>
  <si>
    <t>09/10/2026</t>
  </si>
  <si>
    <t>10/15/2026</t>
  </si>
  <si>
    <t>Quality engineering clearance notice of October 15</t>
  </si>
  <si>
    <t>Loken Bros. Pallet &amp; Crate carries an open hold in the register and is a different supplier from Loken &amp; Vik Container. Loken &amp; Vik's letter of October 12 reports its own tests and a verification lot to ship October 27; quality engineering has recorded no clearance of QH-26-031.</t>
  </si>
  <si>
    <t>Freight on the FOB origin bid under 5.4: current item weights, the plant that ships each item, and the schedule rate for that plant's state</t>
  </si>
  <si>
    <t>DRAWING_REV</t>
  </si>
  <si>
    <t>LB_PER_CARTON</t>
  </si>
  <si>
    <t>QUANTITY</t>
  </si>
  <si>
    <t>SHIPPING_LB</t>
  </si>
  <si>
    <t>HUNDREDWEIGHT</t>
  </si>
  <si>
    <t>SHIPPING_PLANT</t>
  </si>
  <si>
    <t>STATE</t>
  </si>
  <si>
    <t>RATE_PER_CWT</t>
  </si>
  <si>
    <t>FREIGHT</t>
  </si>
  <si>
    <t>FOB_ORIGIN_BIDDER</t>
  </si>
  <si>
    <t>ORIGIN_STATE</t>
  </si>
  <si>
    <t>NM-CTN-26-01 rev A</t>
  </si>
  <si>
    <t>NM-CTN-26-02 rev B</t>
  </si>
  <si>
    <t>NM-CTN-26-03 rev A</t>
  </si>
  <si>
    <t>NM-CTN-26-04 rev A</t>
  </si>
  <si>
    <t>NM-CTN-26-05 rev B</t>
  </si>
  <si>
    <t>Omaha</t>
  </si>
  <si>
    <t>NE</t>
  </si>
  <si>
    <t>Freight on the Ridgecrest bid</t>
  </si>
  <si>
    <t>Freight on the Mesabi bid</t>
  </si>
  <si>
    <t>Hundredweight from Cedar Rapids, Iowa</t>
  </si>
  <si>
    <t>Hundredweight from Omaha, Nebraska</t>
  </si>
  <si>
    <t>Hundredweight from Duluth, Minnesota</t>
  </si>
  <si>
    <t>Freight for a bid offered FOB origin is each item's hundredweight at the rate for the state of the plant that ships it, per section 5.4; no truckload allowance applies, per addendum 2.</t>
  </si>
  <si>
    <t>Item 2 is weighed at drawing NM-CTN-26-02 revision B and item 5 at NM-CTN-26-05 revision B, the revisions addenda 1 and 2 put in place; revision A of each, at 0.61 lb and 1.40 lb, is superseded.</t>
  </si>
  <si>
    <t>Ridgecrest's letter ships items 1 to 4 from Cedar Rapids and item 5 from Omaha, so 1,072 hundredweight is rated at the Iowa rate and 396 hundredweight at the Nebraska rate. Mesabi ships all five items from Duluth, so its 1,468 hundredweight is rated at the Minnesota rate.</t>
  </si>
  <si>
    <t>Responsiveness of each bid under section 3.2, section 4.3, section 4.4, section 5.2 and PP-3.4, decided before price</t>
  </si>
  <si>
    <t>BID_SECURITY</t>
  </si>
  <si>
    <t>ADDENDUM_2_ACKNOWLEDGED</t>
  </si>
  <si>
    <t>SAMPLES</t>
  </si>
  <si>
    <t>ITEM_3_PRICED_AT_THE_AMENDED_QUANTITY</t>
  </si>
  <si>
    <t>ITEMS_DESCRIBED_AS_AMENDED</t>
  </si>
  <si>
    <t>EVERY_ITEM_BID_AS_SPECIFIED</t>
  </si>
  <si>
    <t>EXCEPTION_TO_A_MATERIAL_TERM</t>
  </si>
  <si>
    <t>CONDITION_STATED</t>
  </si>
  <si>
    <t>ALTERNATE_OFFERED</t>
  </si>
  <si>
    <t>STATUS</t>
  </si>
  <si>
    <t>REASON</t>
  </si>
  <si>
    <t>No, item 5 on 32 ECT</t>
  </si>
  <si>
    <t>No, item 2 as 18 x 12 x 12</t>
  </si>
  <si>
    <t>No, item 4 as an alternate only</t>
  </si>
  <si>
    <t>Responsiveness is decided on the invitation as amended before any price is compared, per PP-3.4.1; a bid set aside is shown on the Evaluation tab for the record and does not compete for award. Responsibility under PP-3.7 is decided afterwards, for the bidder in line, on the Responsibility tab.</t>
  </si>
  <si>
    <t>The description column of each form is read against the items as amended. Kessel's form acknowledges both addenda and describes item 2 as 18 x 12 x 12, the size addendum 1 replaced with 18 x 12 x 10. Mesabi's form carries item 4 on 200 lb test doublewall as an alternate with no line on the 275 lb test board as specified; 4.4 lets an alternate stand only alongside a bid on the item as specified.</t>
  </si>
  <si>
    <t>Responsibility of the bidder in line for award under PP-3.7.1, checked in the order 5.1 and 5.6 give among the responsive bids</t>
  </si>
  <si>
    <t>IN_LINE_ORDER</t>
  </si>
  <si>
    <t>TOTAL_EVALUATED_PRICE</t>
  </si>
  <si>
    <t>BID_RECEIVED</t>
  </si>
  <si>
    <t>OPEN_HOLDS</t>
  </si>
  <si>
    <t>DECISION</t>
  </si>
  <si>
    <t>RESPONSIBILITY</t>
  </si>
  <si>
    <t>RULE</t>
  </si>
  <si>
    <t>The order in line is by total evaluated price, and 5.6 puts the bid received first ahead where two responsive bids stand within $100 of each other. An open hold at the date of the recommendation makes the bidder in line not responsible and passes it over, and the next bid is checked in turn, PP-3.7.1.</t>
  </si>
  <si>
    <t>The register names Loken &amp; Vik Container Corp. for the bidder that signs as Loken &amp; Vik Container. Pemberton's hold QH-26-034 was open in the extract of October 7 and was cleared by quality engineering on October 15.</t>
  </si>
  <si>
    <t>Total evaluated price of each bid under 5.3: corrected extensions, tooling, freight for FOB origin, less the discount credit</t>
  </si>
  <si>
    <t>Line</t>
  </si>
  <si>
    <t>Item 1, unit price evaluated</t>
  </si>
  <si>
    <t>Bid form; section 3.4</t>
  </si>
  <si>
    <t>Item 2, unit price evaluated</t>
  </si>
  <si>
    <t>Item 3, unit price evaluated</t>
  </si>
  <si>
    <t>Item 4, unit price evaluated</t>
  </si>
  <si>
    <t>Item 5, unit price evaluated</t>
  </si>
  <si>
    <t>Item 1, corrected extension at the addendum quantity</t>
  </si>
  <si>
    <t>4.1; PP-3.4.2</t>
  </si>
  <si>
    <t>Item 2, corrected extension at the addendum quantity</t>
  </si>
  <si>
    <t>Item 3, corrected extension at the addendum quantity</t>
  </si>
  <si>
    <t>Item 4, corrected extension at the addendum quantity</t>
  </si>
  <si>
    <t>Item 5, corrected extension at the addendum quantity</t>
  </si>
  <si>
    <t>Corrected extensions, sum of items</t>
  </si>
  <si>
    <t>5.3</t>
  </si>
  <si>
    <t>Tooling, plates and dies, added in full</t>
  </si>
  <si>
    <t>4.2</t>
  </si>
  <si>
    <t>FOB terms</t>
  </si>
  <si>
    <t>Bid form</t>
  </si>
  <si>
    <t>section 5.4; Freight tab</t>
  </si>
  <si>
    <t>Discount rate offered</t>
  </si>
  <si>
    <t>Discount period offered (days)</t>
  </si>
  <si>
    <t>Bid received, log key</t>
  </si>
  <si>
    <t>Order in line among responsive bids</t>
  </si>
  <si>
    <t>5.1; 5.6</t>
  </si>
  <si>
    <t>Lowest total evaluated price among responsive bids</t>
  </si>
  <si>
    <t>Responsive bid lowest in evaluated price</t>
  </si>
  <si>
    <t>Recommended bidder after the 5.6 order and the PP-3.7.1 check</t>
  </si>
  <si>
    <t>Lowest bid as written, any bidder</t>
  </si>
  <si>
    <t>A bid set aside is carried through the same lines for the record and takes no place in the order. Where two responsive bids stand within $100 of each other, the one received first stands ahead, 5.6.</t>
  </si>
  <si>
    <t>Every extension as written beside the corrected extension, per PP-3.5.2</t>
  </si>
  <si>
    <t>UNIT_ON_THE_FORM</t>
  </si>
  <si>
    <t>UNIT_EVALUATED</t>
  </si>
  <si>
    <t>EXTENSION_AS_WRITTEN</t>
  </si>
  <si>
    <t>CORRECTED_EXTENSION</t>
  </si>
  <si>
    <t>DIFFERENCE</t>
  </si>
  <si>
    <t>CORRECTION</t>
  </si>
  <si>
    <t>Extensions moved by a timely modification</t>
  </si>
  <si>
    <t>A written extension that differs from the unit price times the addendum quantity is corrected. The two corrections are Pemberton's item 2, written as 26,912.00 against 26,112.00 at the unit price, and Brannock's item 3, priced at the superseded quantity.</t>
  </si>
  <si>
    <t>Note to Torsten Nordvik on the ITB 2026-17 award recommendation</t>
  </si>
  <si>
    <t>Torsten, this is the evaluation of the eleven bids on ITB 2026-17 opened on October 6. The recommendation on the first tab reads from the tabs behind it, and nothing on it is typed in, so a protest can be answered from the workbook.</t>
  </si>
  <si>
    <t>The recommendation is award of the lot to Pemberton Container of Neenah at a total evaluated price of $99,959.00. Four of the eleven bids are responsive, and one of the four is passed over. The award value is under one hundred thousand dollars, so PP-3.5.3 places the approval with the director of supply chain and not with you. I have set the signature line that way, and you will want to pass the page on.</t>
  </si>
  <si>
    <t>Pemberton is not the lowest evaluated price among the bids left in line. Ridgecrest Packaging evaluates at $99,927.25, which is $31.75 lower. The two bids are within $100 of each other, and 5.6 gives the award to the bid received first. Pemberton's envelope was logged at 11:37 on October 5. Ridgecrest withdrew the envelope it delivered on October 2 and delivered a new one at 08:15 on October 6, and section 3.4 times a resubmitted bid from the resubmission.</t>
  </si>
  <si>
    <t>Loken &amp; Vik Container of Sioux Falls is responsive and has the lowest total evaluated price at $99,230.72, which is $728.28 below Pemberton. Its envelope was handed over at 10:00 on October 6, the minute the bids were due, and section 3.1 makes a bid due by 10:00 and returns only a bid received after that time. It is passed over because hold QH-26-031 against Loken &amp; Vik Container Corp. is open, and PP-3.7.1 makes a bidder on an open hold not responsible until quality engineering has cleared it. Its letter of October 12 reports its own tests and a verification lot to ship October 27. Whether to hold the award until that lot is judged is a matter to weigh, and the evaluation does not decide it. The current carton contract ends at the end of the month.</t>
  </si>
  <si>
    <t>Pemberton's own hold QH-26-034 was open in the register extract of October 7. Quality engineering cleared it on October 15 after the verification lot passed, so Pemberton is responsible at the date of this recommendation.</t>
  </si>
  <si>
    <t>Pemberton's price rests on two readings of its bid. Its form extends item 2 at $26,912.00, which is not 64,000 cartons at $0.408; the extension is $26,112.00, and 4.1 has the unit price govern. Its facsimile changing the item 1 unit price from $0.602 to $0.578 was logged at 09:12 on October 6, before the due time, so section 3.4 applies it. Corrected, the extensions sum to $98,109.00, with $1,850.00 of tooling and no freight. Its 2 percent discount has a ten day period, under the twenty day floor in section 5.5, and is not credited.</t>
  </si>
  <si>
    <t>Ridgecrest is the low bid on paper at $93,499.00 because its prices are FOB origin. Section 5.4 adds freight on 1,072 hundredweight from Cedar Rapids at $4.87 and 396 hundredweight from Omaha at $5.35, which is $7,339.24 at the current drawing revisions, each item rated for the plant that ships it. Its 1 percent, twenty day discount is credited at $910.99. Its tooling of $2,400.00 is added in full; the credit its letter offers for an award by October 30 is not an adjustment the invitation names. The tabulation keys its item 4 unit price as 1.557, and the signed form reads 1.575, which is the price evaluated. The desk log records a telephone message from Ridgecrest at 09:35 on October 6 asking that item 3 be read at 0.255; section 3.4 changes a bid only by a signed writing, so item 3 stands at the $0.262 on the form. Read at 0.255, Ridgecrest would have been more than $100 below Pemberton and first in line, and it will ask.</t>
  </si>
  <si>
    <t>Mesabi Container Co. of Duluth is set aside on item 4. Its form prices item 4 on 200 lb test doublewall as an alternate and carries no price for the 275 lb test board as specified, and its letter says the Duluth plant does not run that board. Section 4.4 and the answer in addendum 2 allow an alternate only alongside a bid on the item as specified, and 5.2 makes a bid responsive only where it offers every item as specified. Its prices are FOB origin from one plant, so freight of $4,991.20 on 1,468 hundredweight at the Minnesota rate is shown for the record, and it would have evaluated at $98,963.18, the lowest figure in the file. It will ask, and the answer is that the invitation asked for a price on the item as specified.</t>
  </si>
  <si>
    <t>Brannock Box Company is the lowest delivered bid as written at $100,058.00 and is set aside. Its form acknowledges addendum 1 only, prices item 3 at the superseded 36,000 cartons, and describes item 5 on 32 ECT board. Its figures are shown for the record and do not compete.</t>
  </si>
  <si>
    <t>Dahlgren Paper Box is set aside on its bid security. Its cashier's check is $4,904.75, and five percent of its total bid as written of $100,045.00 is $5,002.25, so the check is $97.50 short. Addendum 2 treats a bid with less than five percent as a bid without security. It would have evaluated at $99,064.05.</t>
  </si>
  <si>
    <t>Kessel Container Corp. is set aside under PP-3.4.5. Its form acknowledges both addenda and describes item 2 as 18 x 12 x 12, the size that addendum 1 replaced with 18 x 12 x 10, so it is a bid on a superseded specification. It would have evaluated at $98,895.24.</t>
  </si>
  <si>
    <t>Halvard Corrugated and Thorsgard Box &amp; Label are set aside for exceptions to the price hold, a material term. Halvard's letter holds prices for six months and then adjusts them quarterly to a linerboard index. Thorsgard's form marks the twelve months Yes, and its letter holds prices firm through September 30, 2027, which is short of twelve months from any award made after the opening. They would have evaluated at $98,627.84 and $98,883.64.</t>
  </si>
  <si>
    <t>Otter Tail Corrugated is set aside for conditioning its prices on full truckload releases, with a $185 stop charge on smaller releases. Addendum 2 calls that an exception to the quantity term. Its letter of October 8 withdrawing the stop charge reached the office after the due time, and PP-3.4.4 does not let the buyer negotiate an exception away before award. It would have evaluated at $99,567.00.</t>
  </si>
  <si>
    <t>Wenzel &amp; Krause Corrugated is responsive at $103,793.46 on its sealed prices. Its facsimile lowering all five unit prices is dated October 5 and was logged at 10:07 on October 6, after the due time, so section 3.4 does not consider it. At the changed prices it would have evaluated at $98,535.76, and it will ask.</t>
  </si>
  <si>
    <t>Two other things to weigh that the evaluation does not decide. First, Pemberton offered an alternate for item 4 at 200 lb test doublewall for $1.512 a carton against $1.704 as specified. Section 4.4 keeps it out of the evaluation, and it can be taken up after award if engineering accepts the lighter board. Second, the award rests on the recomputation of one extension, and Pemberton has not been asked to confirm the unit price. That confirmation belongs in the file before the notice goes out.</t>
  </si>
  <si>
    <t>For the bidder that was low on paper: tell Ridgecrest that its prices were FOB origin, that freight under section 5.4 and its discount credit put its total evaluated price at $99,927.25, that a price change by telephone is not a modification under section 3.4, and that 5.6 gave the award to a bid within $100 that was received first. Tell Mesabi that the invitation asked for a price on item 4 as specified. Tell Brannock that its bid did not acknowledge addendum 2. Tell Loken &amp; Vik that its bid was responsive and lowest in evaluated price and was passed over under PP-3.7.1 for the open hold. Under PP-3.6.1 the unsuccessful bidders are notified in writing within five business days of award, and a debriefing is limited to the bidder's own bid.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</si>
</sst>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b/>
      <sz val="13"/>
      <name val="Calibri"/>
      <family val="2"/>
    </font>
    <font>
      <b/>
      <sz val="11"/>
      <name val="Calibri"/>
      <family val="2"/>
    </font>
    <font>
      <sz val="11"/>
      <name val="Calibri"/>
      <family val="2"/>
    </font>
  </fonts>
  <fills count="3">
    <fill>
      <patternFill patternType="none"/>
    </fill>
    <fill>
      <patternFill patternType="gray125"/>
    </fill>
    <fill>
      <patternFill patternType="solid">
        <fgColor rgb="FFEDE7D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3" fillId="0" borderId="0" xfId="0" applyFont="1"/>
    <xf numFmtId="0" fontId="2" fillId="2" borderId="0" xfId="0" applyFont="1" applyFill="1"/>
    <xf numFmtId="0" fontId="3" fillId="0" borderId="0" xfId="0" applyFont="1" applyAlignment="1">
      <alignment vertical="top" wrapText="1"/>
    </xf>
    <xf numFmtId="4" fontId="3" fillId="0" borderId="0" xfId="0" applyNumberFormat="1" applyFont="1" applyAlignment="1">
      <alignment vertical="top" wrapText="1"/>
    </xf>
    <xf numFmtId="0" fontId="2" fillId="0" borderId="0" xfId="0" applyFont="1"/>
    <xf numFmtId="4" fontId="3" fillId="0" borderId="0" xfId="0" applyNumberFormat="1" applyFont="1"/>
    <xf numFmtId="2" fontId="3" fillId="0" borderId="0" xfId="0" applyNumberFormat="1" applyFont="1"/>
    <xf numFmtId="1" fontId="3" fillId="0" borderId="0" xfId="0" applyNumberFormat="1" applyFont="1"/>
    <xf numFmtId="164" fontId="3" fillId="0" borderId="0" xfId="0" applyNumberFormat="1" applyFont="1"/>
    <xf numFmtId="4" fontId="2" fillId="0" borderId="0" xfId="0" applyNumberFormat="1" applyFont="1"/>
    <xf numFmtId="9"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
  <sheetViews>
    <sheetView tabSelected="1" workbookViewId="0"/>
  </sheetViews>
  <sheetFormatPr baseColWidth="10" defaultColWidth="8.83203125" defaultRowHeight="15" x14ac:dyDescent="0.2"/>
  <cols>
    <col min="1" max="1" width="50" customWidth="1"/>
    <col min="2" max="12" width="24" customWidth="1"/>
    <col min="13" max="13" width="22" customWidth="1"/>
  </cols>
  <sheetData>
    <row r="1" spans="1:13" ht="17" customHeight="1" x14ac:dyDescent="0.2">
      <c r="A1" s="1" t="s">
        <v>0</v>
      </c>
    </row>
    <row r="2" spans="1:13" x14ac:dyDescent="0.2">
      <c r="A2" s="2" t="s">
        <v>1</v>
      </c>
    </row>
    <row r="4" spans="1:13" x14ac:dyDescent="0.2">
      <c r="A4" s="3" t="s">
        <v>2</v>
      </c>
      <c r="B4" s="3" t="str">
        <f>Evaluation!B3</f>
        <v>Brannock Box Company</v>
      </c>
      <c r="C4" s="3" t="str">
        <f>Evaluation!C3</f>
        <v>Dahlgren Paper Box Co.</v>
      </c>
      <c r="D4" s="3" t="str">
        <f>Evaluation!D3</f>
        <v>Halvard Corrugated</v>
      </c>
      <c r="E4" s="3" t="str">
        <f>Evaluation!E3</f>
        <v>Kessel Container Corp.</v>
      </c>
      <c r="F4" s="3" t="str">
        <f>Evaluation!F3</f>
        <v>Loken &amp; Vik Container</v>
      </c>
      <c r="G4" s="3" t="str">
        <f>Evaluation!G3</f>
        <v>Mesabi Container Co.</v>
      </c>
      <c r="H4" s="3" t="str">
        <f>Evaluation!H3</f>
        <v>Otter Tail Corrugated</v>
      </c>
      <c r="I4" s="3" t="str">
        <f>Evaluation!I3</f>
        <v>Pemberton Container</v>
      </c>
      <c r="J4" s="3" t="str">
        <f>Evaluation!J3</f>
        <v>Ridgecrest Packaging</v>
      </c>
      <c r="K4" s="3" t="str">
        <f>Evaluation!K3</f>
        <v>Thorsgard Box &amp; Label</v>
      </c>
      <c r="L4" s="3" t="str">
        <f>Evaluation!L3</f>
        <v>Wenzel &amp; Krause Corrugated</v>
      </c>
      <c r="M4" s="3" t="s">
        <v>3</v>
      </c>
    </row>
    <row r="5" spans="1:13" ht="16" customHeight="1" x14ac:dyDescent="0.2">
      <c r="A5" s="2" t="s">
        <v>4</v>
      </c>
      <c r="B5" s="4" t="str">
        <f>Terms!B4&amp;", "&amp;Terms!C4</f>
        <v>Rockford, IL</v>
      </c>
      <c r="C5" s="4" t="str">
        <f>Terms!B5&amp;", "&amp;Terms!C5</f>
        <v>St. Cloud, MN</v>
      </c>
      <c r="D5" s="4" t="str">
        <f>Terms!B6&amp;", "&amp;Terms!C6</f>
        <v>Fargo, ND</v>
      </c>
      <c r="E5" s="4" t="str">
        <f>Terms!B7&amp;", "&amp;Terms!C7</f>
        <v>Des Moines, IA</v>
      </c>
      <c r="F5" s="4" t="str">
        <f>Terms!B8&amp;", "&amp;Terms!C8</f>
        <v>Sioux Falls, SD</v>
      </c>
      <c r="G5" s="4" t="str">
        <f>Terms!B9&amp;", "&amp;Terms!C9</f>
        <v>Duluth, MN</v>
      </c>
      <c r="H5" s="4" t="str">
        <f>Terms!B10&amp;", "&amp;Terms!C10</f>
        <v>Fergus Falls, MN</v>
      </c>
      <c r="I5" s="4" t="str">
        <f>Terms!B11&amp;", "&amp;Terms!C11</f>
        <v>Neenah, WI</v>
      </c>
      <c r="J5" s="4" t="str">
        <f>Terms!B12&amp;", "&amp;Terms!C12</f>
        <v>Cedar Rapids, IA</v>
      </c>
      <c r="K5" s="4" t="str">
        <f>Terms!B13&amp;", "&amp;Terms!C13</f>
        <v>Moorhead, MN</v>
      </c>
      <c r="L5" s="4" t="str">
        <f>Terms!B14&amp;", "&amp;Terms!C14</f>
        <v>La Crosse, WI</v>
      </c>
      <c r="M5" s="2" t="s">
        <v>5</v>
      </c>
    </row>
    <row r="6" spans="1:13" ht="16" customHeight="1" x14ac:dyDescent="0.2">
      <c r="A6" s="2" t="s">
        <v>6</v>
      </c>
      <c r="B6" s="4" t="str">
        <f>Responsiveness!K4</f>
        <v>Non-responsive</v>
      </c>
      <c r="C6" s="4" t="str">
        <f>Responsiveness!K5</f>
        <v>Non-responsive</v>
      </c>
      <c r="D6" s="4" t="str">
        <f>Responsiveness!K6</f>
        <v>Non-responsive</v>
      </c>
      <c r="E6" s="4" t="str">
        <f>Responsiveness!K7</f>
        <v>Non-responsive</v>
      </c>
      <c r="F6" s="4" t="str">
        <f>Responsiveness!K8</f>
        <v>Responsive</v>
      </c>
      <c r="G6" s="4" t="str">
        <f>Responsiveness!K9</f>
        <v>Non-responsive</v>
      </c>
      <c r="H6" s="4" t="str">
        <f>Responsiveness!K10</f>
        <v>Non-responsive</v>
      </c>
      <c r="I6" s="4" t="str">
        <f>Responsiveness!K11</f>
        <v>Responsive</v>
      </c>
      <c r="J6" s="4" t="str">
        <f>Responsiveness!K12</f>
        <v>Responsive</v>
      </c>
      <c r="K6" s="4" t="str">
        <f>Responsiveness!K13</f>
        <v>Non-responsive</v>
      </c>
      <c r="L6" s="4" t="str">
        <f>Responsiveness!K14</f>
        <v>Responsive</v>
      </c>
      <c r="M6" s="2" t="s">
        <v>6</v>
      </c>
    </row>
    <row r="7" spans="1:13" ht="64" customHeight="1" x14ac:dyDescent="0.2">
      <c r="A7" s="2" t="s">
        <v>7</v>
      </c>
      <c r="B7" s="4" t="str">
        <f>Responsiveness!L4</f>
        <v>Addendum 2 not acknowledged, section 3.2; bid on the superseded item 3 quantity and item 5 grade, PP-3.4.5.</v>
      </c>
      <c r="C7" s="4" t="str">
        <f>Responsiveness!L5</f>
        <v>Bid security under five percent of the total bid as written, section 3.2 and addendum 2.</v>
      </c>
      <c r="D7" s="4" t="str">
        <f>Responsiveness!L6</f>
        <v>Exception to a material term, Price hold, section 4.3, section 5.2 and PP-3.4.4.</v>
      </c>
      <c r="E7" s="4" t="str">
        <f>Responsiveness!L7</f>
        <v>Bid on a superseded specification, item 2 as 18 x 12 x 12, PP-3.4.5.</v>
      </c>
      <c r="F7" s="4" t="str">
        <f>Responsiveness!L8</f>
        <v/>
      </c>
      <c r="G7" s="4" t="str">
        <f>Responsiveness!L9</f>
        <v>Item 4 offered only as an alternate, with no bid on the item as specified, section 5.2 and 4.4.</v>
      </c>
      <c r="H7" s="4" t="str">
        <f>Responsiveness!L10</f>
        <v>Exception to a material term, Quantity, releases in pallet multiples, section 1, section 5.2 and PP-3.4.4.</v>
      </c>
      <c r="I7" s="4" t="str">
        <f>Responsiveness!L11</f>
        <v/>
      </c>
      <c r="J7" s="4" t="str">
        <f>Responsiveness!L12</f>
        <v/>
      </c>
      <c r="K7" s="4" t="str">
        <f>Responsiveness!L13</f>
        <v>Exception to a material term, Price hold, section 4.3, section 5.2 and PP-3.4.4.</v>
      </c>
      <c r="L7" s="4" t="str">
        <f>Responsiveness!L14</f>
        <v/>
      </c>
      <c r="M7" s="2" t="s">
        <v>6</v>
      </c>
    </row>
    <row r="8" spans="1:13" ht="16" customHeight="1" x14ac:dyDescent="0.2">
      <c r="A8" s="2" t="s">
        <v>8</v>
      </c>
      <c r="B8" s="4" t="str">
        <f>IFERROR(INDEX(Responsibility!$G$4:$G$14,MATCH(B4,Responsibility!$B$4:$B$14,0)),"Set aside before price")</f>
        <v>Set aside before price</v>
      </c>
      <c r="C8" s="4" t="str">
        <f>IFERROR(INDEX(Responsibility!$G$4:$G$14,MATCH(C4,Responsibility!$B$4:$B$14,0)),"Set aside before price")</f>
        <v>Set aside before price</v>
      </c>
      <c r="D8" s="4" t="str">
        <f>IFERROR(INDEX(Responsibility!$G$4:$G$14,MATCH(D4,Responsibility!$B$4:$B$14,0)),"Set aside before price")</f>
        <v>Set aside before price</v>
      </c>
      <c r="E8" s="4" t="str">
        <f>IFERROR(INDEX(Responsibility!$G$4:$G$14,MATCH(E4,Responsibility!$B$4:$B$14,0)),"Set aside before price")</f>
        <v>Set aside before price</v>
      </c>
      <c r="F8" s="4" t="str">
        <f>IFERROR(INDEX(Responsibility!$G$4:$G$14,MATCH(F4,Responsibility!$B$4:$B$14,0)),"Set aside before price")</f>
        <v>Not responsible, open quality hold, PP-3.7.1</v>
      </c>
      <c r="G8" s="4" t="str">
        <f>IFERROR(INDEX(Responsibility!$G$4:$G$14,MATCH(G4,Responsibility!$B$4:$B$14,0)),"Set aside before price")</f>
        <v>Set aside before price</v>
      </c>
      <c r="H8" s="4" t="str">
        <f>IFERROR(INDEX(Responsibility!$G$4:$G$14,MATCH(H4,Responsibility!$B$4:$B$14,0)),"Set aside before price")</f>
        <v>Set aside before price</v>
      </c>
      <c r="I8" s="4" t="str">
        <f>IFERROR(INDEX(Responsibility!$G$4:$G$14,MATCH(I4,Responsibility!$B$4:$B$14,0)),"Set aside before price")</f>
        <v>Responsible</v>
      </c>
      <c r="J8" s="4" t="str">
        <f>IFERROR(INDEX(Responsibility!$G$4:$G$14,MATCH(J4,Responsibility!$B$4:$B$14,0)),"Set aside before price")</f>
        <v>Not decided, PP-3.7.1</v>
      </c>
      <c r="K8" s="4" t="str">
        <f>IFERROR(INDEX(Responsibility!$G$4:$G$14,MATCH(K4,Responsibility!$B$4:$B$14,0)),"Set aside before price")</f>
        <v>Set aside before price</v>
      </c>
      <c r="L8" s="4" t="str">
        <f>IFERROR(INDEX(Responsibility!$G$4:$G$14,MATCH(L4,Responsibility!$B$4:$B$14,0)),"Set aside before price")</f>
        <v>Not decided, PP-3.7.1</v>
      </c>
      <c r="M8" s="2" t="s">
        <v>9</v>
      </c>
    </row>
    <row r="9" spans="1:13" ht="16" customHeight="1" x14ac:dyDescent="0.2">
      <c r="A9" s="2" t="s">
        <v>10</v>
      </c>
      <c r="B9" s="5">
        <f>Evaluation!B22</f>
        <v>100058</v>
      </c>
      <c r="C9" s="5">
        <f>Evaluation!C22</f>
        <v>100045</v>
      </c>
      <c r="D9" s="5">
        <f>Evaluation!D22</f>
        <v>100608</v>
      </c>
      <c r="E9" s="5">
        <f>Evaluation!E22</f>
        <v>99876</v>
      </c>
      <c r="F9" s="5">
        <f>Evaluation!F22</f>
        <v>101214</v>
      </c>
      <c r="G9" s="5">
        <f>Evaluation!G22</f>
        <v>94902</v>
      </c>
      <c r="H9" s="5">
        <f>Evaluation!H22</f>
        <v>99567</v>
      </c>
      <c r="I9" s="5">
        <f>Evaluation!I22</f>
        <v>101839</v>
      </c>
      <c r="J9" s="5">
        <f>Evaluation!J22</f>
        <v>93499</v>
      </c>
      <c r="K9" s="5">
        <f>Evaluation!K22</f>
        <v>100868</v>
      </c>
      <c r="L9" s="5">
        <f>Evaluation!L22</f>
        <v>105877</v>
      </c>
      <c r="M9" s="2" t="s">
        <v>11</v>
      </c>
    </row>
    <row r="10" spans="1:13" ht="16" customHeight="1" x14ac:dyDescent="0.2">
      <c r="A10" s="2" t="s">
        <v>12</v>
      </c>
      <c r="B10" s="5">
        <f>Evaluation!B14</f>
        <v>96074</v>
      </c>
      <c r="C10" s="5">
        <f>Evaluation!C14</f>
        <v>98095</v>
      </c>
      <c r="D10" s="5">
        <f>Evaluation!D14</f>
        <v>99008</v>
      </c>
      <c r="E10" s="5">
        <f>Evaluation!E14</f>
        <v>98076</v>
      </c>
      <c r="F10" s="5">
        <f>Evaluation!F14</f>
        <v>99164</v>
      </c>
      <c r="G10" s="5">
        <f>Evaluation!G14</f>
        <v>93002</v>
      </c>
      <c r="H10" s="5">
        <f>Evaluation!H14</f>
        <v>97842</v>
      </c>
      <c r="I10" s="5">
        <f>Evaluation!I14</f>
        <v>98109</v>
      </c>
      <c r="J10" s="5">
        <f>Evaluation!J14</f>
        <v>91099</v>
      </c>
      <c r="K10" s="5">
        <f>Evaluation!K14</f>
        <v>99218</v>
      </c>
      <c r="L10" s="5">
        <f>Evaluation!L14</f>
        <v>104177</v>
      </c>
      <c r="M10" s="2" t="s">
        <v>13</v>
      </c>
    </row>
    <row r="11" spans="1:13" ht="16" customHeight="1" x14ac:dyDescent="0.2">
      <c r="A11" s="2" t="s">
        <v>14</v>
      </c>
      <c r="B11" s="5">
        <f>Evaluation!B15</f>
        <v>1500</v>
      </c>
      <c r="C11" s="5">
        <f>Evaluation!C15</f>
        <v>1950</v>
      </c>
      <c r="D11" s="5">
        <f>Evaluation!D15</f>
        <v>1600</v>
      </c>
      <c r="E11" s="5">
        <f>Evaluation!E15</f>
        <v>1800</v>
      </c>
      <c r="F11" s="5">
        <f>Evaluation!F15</f>
        <v>2050</v>
      </c>
      <c r="G11" s="5">
        <f>Evaluation!G15</f>
        <v>1900</v>
      </c>
      <c r="H11" s="5">
        <f>Evaluation!H15</f>
        <v>1725</v>
      </c>
      <c r="I11" s="5">
        <f>Evaluation!I15</f>
        <v>1850</v>
      </c>
      <c r="J11" s="5">
        <f>Evaluation!J15</f>
        <v>2400</v>
      </c>
      <c r="K11" s="5">
        <f>Evaluation!K15</f>
        <v>1650</v>
      </c>
      <c r="L11" s="5">
        <f>Evaluation!L15</f>
        <v>1700</v>
      </c>
      <c r="M11" s="2" t="s">
        <v>13</v>
      </c>
    </row>
    <row r="12" spans="1:13" ht="16" customHeight="1" x14ac:dyDescent="0.2">
      <c r="A12" s="2" t="s">
        <v>15</v>
      </c>
      <c r="B12" s="5">
        <f>Evaluation!B17</f>
        <v>0</v>
      </c>
      <c r="C12" s="5">
        <f>Evaluation!C17</f>
        <v>0</v>
      </c>
      <c r="D12" s="5">
        <f>Evaluation!D17</f>
        <v>0</v>
      </c>
      <c r="E12" s="5">
        <f>Evaluation!E17</f>
        <v>0</v>
      </c>
      <c r="F12" s="5">
        <f>Evaluation!F17</f>
        <v>0</v>
      </c>
      <c r="G12" s="5">
        <f>Evaluation!G17</f>
        <v>4991.2</v>
      </c>
      <c r="H12" s="5">
        <f>Evaluation!H17</f>
        <v>0</v>
      </c>
      <c r="I12" s="5">
        <f>Evaluation!I17</f>
        <v>0</v>
      </c>
      <c r="J12" s="5">
        <f>Evaluation!J17</f>
        <v>7339.24</v>
      </c>
      <c r="K12" s="5">
        <f>Evaluation!K17</f>
        <v>0</v>
      </c>
      <c r="L12" s="5">
        <f>Evaluation!L17</f>
        <v>0</v>
      </c>
      <c r="M12" s="2" t="s">
        <v>13</v>
      </c>
    </row>
    <row r="13" spans="1:13" ht="16" customHeight="1" x14ac:dyDescent="0.2">
      <c r="A13" s="2" t="s">
        <v>16</v>
      </c>
      <c r="B13" s="5">
        <f>Evaluation!B20</f>
        <v>0</v>
      </c>
      <c r="C13" s="5">
        <f>Evaluation!C20</f>
        <v>980.95</v>
      </c>
      <c r="D13" s="5">
        <f>Evaluation!D20</f>
        <v>1980.16</v>
      </c>
      <c r="E13" s="5">
        <f>Evaluation!E20</f>
        <v>980.76</v>
      </c>
      <c r="F13" s="5">
        <f>Evaluation!F20</f>
        <v>1983.28</v>
      </c>
      <c r="G13" s="5">
        <f>Evaluation!G20</f>
        <v>930.02</v>
      </c>
      <c r="H13" s="5">
        <f>Evaluation!H20</f>
        <v>0</v>
      </c>
      <c r="I13" s="5">
        <f>Evaluation!I20</f>
        <v>0</v>
      </c>
      <c r="J13" s="5">
        <f>Evaluation!J20</f>
        <v>910.99</v>
      </c>
      <c r="K13" s="5">
        <f>Evaluation!K20</f>
        <v>1984.36</v>
      </c>
      <c r="L13" s="5">
        <f>Evaluation!L20</f>
        <v>2083.54</v>
      </c>
      <c r="M13" s="2" t="s">
        <v>13</v>
      </c>
    </row>
    <row r="14" spans="1:13" ht="16" customHeight="1" x14ac:dyDescent="0.2">
      <c r="A14" s="2" t="s">
        <v>17</v>
      </c>
      <c r="B14" s="5">
        <f>Evaluation!B21</f>
        <v>97574</v>
      </c>
      <c r="C14" s="5">
        <f>Evaluation!C21</f>
        <v>99064.05</v>
      </c>
      <c r="D14" s="5">
        <f>Evaluation!D21</f>
        <v>98627.84</v>
      </c>
      <c r="E14" s="5">
        <f>Evaluation!E21</f>
        <v>98895.24</v>
      </c>
      <c r="F14" s="5">
        <f>Evaluation!F21</f>
        <v>99230.72</v>
      </c>
      <c r="G14" s="5">
        <f>Evaluation!G21</f>
        <v>98963.18</v>
      </c>
      <c r="H14" s="5">
        <f>Evaluation!H21</f>
        <v>99567</v>
      </c>
      <c r="I14" s="5">
        <f>Evaluation!I21</f>
        <v>99959</v>
      </c>
      <c r="J14" s="5">
        <f>Evaluation!J21</f>
        <v>99927.25</v>
      </c>
      <c r="K14" s="5">
        <f>Evaluation!K21</f>
        <v>98883.64</v>
      </c>
      <c r="L14" s="5">
        <f>Evaluation!L21</f>
        <v>103793.46</v>
      </c>
      <c r="M14" s="2" t="s">
        <v>13</v>
      </c>
    </row>
    <row r="15" spans="1:13" ht="16" customHeight="1" x14ac:dyDescent="0.2">
      <c r="A15" s="2" t="s">
        <v>18</v>
      </c>
      <c r="B15" s="4" t="str">
        <f>Evaluation!B25</f>
        <v>Set aside</v>
      </c>
      <c r="C15" s="4" t="str">
        <f>Evaluation!C25</f>
        <v>Set aside</v>
      </c>
      <c r="D15" s="4" t="str">
        <f>Evaluation!D25</f>
        <v>Set aside</v>
      </c>
      <c r="E15" s="4" t="str">
        <f>Evaluation!E25</f>
        <v>Set aside</v>
      </c>
      <c r="F15" s="4">
        <f>Evaluation!F25</f>
        <v>1</v>
      </c>
      <c r="G15" s="4" t="str">
        <f>Evaluation!G25</f>
        <v>Set aside</v>
      </c>
      <c r="H15" s="4" t="str">
        <f>Evaluation!H25</f>
        <v>Set aside</v>
      </c>
      <c r="I15" s="4">
        <f>Evaluation!I25</f>
        <v>2</v>
      </c>
      <c r="J15" s="4">
        <f>Evaluation!J25</f>
        <v>3</v>
      </c>
      <c r="K15" s="4" t="str">
        <f>Evaluation!K25</f>
        <v>Set aside</v>
      </c>
      <c r="L15" s="4">
        <f>Evaluation!L25</f>
        <v>4</v>
      </c>
      <c r="M15" s="2" t="s">
        <v>13</v>
      </c>
    </row>
    <row r="16" spans="1:13" ht="16" customHeight="1" x14ac:dyDescent="0.2">
      <c r="A16" s="2" t="s">
        <v>19</v>
      </c>
      <c r="B16" s="4" t="str">
        <f>INDEX('Bid Receipt'!$D$4:$D$14,1)&amp;" "&amp;INDEX('Bid Receipt'!$E$4:$E$14,1)</f>
        <v>10/05/2026 16:02</v>
      </c>
      <c r="C16" s="4" t="str">
        <f>INDEX('Bid Receipt'!$D$4:$D$14,2)&amp;" "&amp;INDEX('Bid Receipt'!$E$4:$E$14,2)</f>
        <v>10/06/2026 09:33</v>
      </c>
      <c r="D16" s="4" t="str">
        <f>INDEX('Bid Receipt'!$D$4:$D$14,3)&amp;" "&amp;INDEX('Bid Receipt'!$E$4:$E$14,3)</f>
        <v>10/06/2026 09:58</v>
      </c>
      <c r="E16" s="4" t="str">
        <f>INDEX('Bid Receipt'!$D$4:$D$14,4)&amp;" "&amp;INDEX('Bid Receipt'!$E$4:$E$14,4)</f>
        <v>10/02/2026 09:47</v>
      </c>
      <c r="F16" s="4" t="str">
        <f>INDEX('Bid Receipt'!$D$4:$D$14,5)&amp;" "&amp;INDEX('Bid Receipt'!$E$4:$E$14,5)</f>
        <v>10/06/2026 10:00</v>
      </c>
      <c r="G16" s="4" t="str">
        <f>INDEX('Bid Receipt'!$D$4:$D$14,6)&amp;" "&amp;INDEX('Bid Receipt'!$E$4:$E$14,6)</f>
        <v>10/06/2026 09:05</v>
      </c>
      <c r="H16" s="4" t="str">
        <f>INDEX('Bid Receipt'!$D$4:$D$14,7)&amp;" "&amp;INDEX('Bid Receipt'!$E$4:$E$14,7)</f>
        <v>10/06/2026 08:52</v>
      </c>
      <c r="I16" s="4" t="str">
        <f>INDEX('Bid Receipt'!$D$4:$D$14,8)&amp;" "&amp;INDEX('Bid Receipt'!$E$4:$E$14,8)</f>
        <v>10/05/2026 11:37</v>
      </c>
      <c r="J16" s="4" t="str">
        <f>INDEX('Bid Receipt'!$D$4:$D$14,9)&amp;" "&amp;INDEX('Bid Receipt'!$E$4:$E$14,9)</f>
        <v>10/06/2026 08:15</v>
      </c>
      <c r="K16" s="4" t="str">
        <f>INDEX('Bid Receipt'!$D$4:$D$14,10)&amp;" "&amp;INDEX('Bid Receipt'!$E$4:$E$14,10)</f>
        <v>10/06/2026 09:27</v>
      </c>
      <c r="L16" s="4" t="str">
        <f>INDEX('Bid Receipt'!$D$4:$D$14,11)&amp;" "&amp;INDEX('Bid Receipt'!$E$4:$E$14,11)</f>
        <v>10/06/2026 09:41</v>
      </c>
      <c r="M16" s="2" t="s">
        <v>20</v>
      </c>
    </row>
    <row r="18" spans="1:13" x14ac:dyDescent="0.2">
      <c r="A18" s="6" t="s">
        <v>21</v>
      </c>
    </row>
    <row r="19" spans="1:13" x14ac:dyDescent="0.2">
      <c r="A19" s="2" t="s">
        <v>22</v>
      </c>
      <c r="B19" s="2" t="str">
        <f>Responsibility!B18</f>
        <v>Pemberton Container</v>
      </c>
      <c r="M19" s="2" t="s">
        <v>9</v>
      </c>
    </row>
    <row r="20" spans="1:13" x14ac:dyDescent="0.2">
      <c r="A20" s="2" t="s">
        <v>23</v>
      </c>
      <c r="B20" s="7">
        <f>Responsibility!B19</f>
        <v>99959</v>
      </c>
      <c r="M20" s="2" t="s">
        <v>9</v>
      </c>
    </row>
    <row r="21" spans="1:13" x14ac:dyDescent="0.2">
      <c r="A21" s="2" t="s">
        <v>24</v>
      </c>
      <c r="B21" s="2" t="str">
        <f>Evaluation!B32</f>
        <v>Director of supply chain</v>
      </c>
      <c r="M21" s="2" t="s">
        <v>13</v>
      </c>
    </row>
    <row r="22" spans="1:13" x14ac:dyDescent="0.2">
      <c r="A22" s="2" t="s">
        <v>25</v>
      </c>
      <c r="B22" s="2" t="str">
        <f>Responsibility!B20</f>
        <v>Ridgecrest Packaging</v>
      </c>
      <c r="M22" s="2" t="s">
        <v>9</v>
      </c>
    </row>
    <row r="23" spans="1:13" x14ac:dyDescent="0.2">
      <c r="A23" s="2" t="s">
        <v>26</v>
      </c>
      <c r="B23" s="7">
        <f>Responsibility!B21</f>
        <v>99927.25</v>
      </c>
      <c r="M23" s="2" t="s">
        <v>9</v>
      </c>
    </row>
    <row r="24" spans="1:13" x14ac:dyDescent="0.2">
      <c r="A24" s="2" t="s">
        <v>27</v>
      </c>
      <c r="B24" s="7">
        <f>Responsibility!B22</f>
        <v>31.75</v>
      </c>
      <c r="M24" s="2" t="s">
        <v>9</v>
      </c>
    </row>
    <row r="25" spans="1:13" x14ac:dyDescent="0.2">
      <c r="A25" s="2" t="s">
        <v>28</v>
      </c>
      <c r="B25" s="2" t="str">
        <f>Responsibility!B23</f>
        <v>5.6, within $100 of each other, the bid received first prevails</v>
      </c>
      <c r="M25" s="2" t="s">
        <v>9</v>
      </c>
    </row>
    <row r="26" spans="1:13" x14ac:dyDescent="0.2">
      <c r="A26" s="2" t="s">
        <v>29</v>
      </c>
      <c r="B26" s="2" t="str">
        <f>Responsibility!B24</f>
        <v>10/05/2026 11:37</v>
      </c>
      <c r="M26" s="2" t="s">
        <v>20</v>
      </c>
    </row>
    <row r="27" spans="1:13" x14ac:dyDescent="0.2">
      <c r="A27" s="2" t="s">
        <v>30</v>
      </c>
      <c r="B27" s="2" t="str">
        <f>Responsibility!B25</f>
        <v>10/06/2026 08:15</v>
      </c>
      <c r="M27" s="2" t="s">
        <v>20</v>
      </c>
    </row>
    <row r="28" spans="1:13" x14ac:dyDescent="0.2">
      <c r="A28" s="2" t="s">
        <v>31</v>
      </c>
      <c r="B28" s="2">
        <f>Responsiveness!B16</f>
        <v>4</v>
      </c>
      <c r="M28" s="2" t="s">
        <v>6</v>
      </c>
    </row>
    <row r="29" spans="1:13" x14ac:dyDescent="0.2">
      <c r="A29" s="2" t="s">
        <v>32</v>
      </c>
      <c r="B29" s="2">
        <f>Responsiveness!B17</f>
        <v>7</v>
      </c>
      <c r="M29" s="2" t="s">
        <v>6</v>
      </c>
    </row>
    <row r="30" spans="1:13" x14ac:dyDescent="0.2">
      <c r="A30" s="2" t="s">
        <v>33</v>
      </c>
      <c r="B30" s="2" t="str">
        <f>Responsibility!B26</f>
        <v>Loken &amp; Vik Container</v>
      </c>
      <c r="M30" s="2" t="s">
        <v>9</v>
      </c>
    </row>
    <row r="31" spans="1:13" x14ac:dyDescent="0.2">
      <c r="A31" s="2" t="s">
        <v>34</v>
      </c>
      <c r="B31" s="7">
        <f>Responsibility!B27</f>
        <v>99230.72</v>
      </c>
      <c r="M31" s="2" t="s">
        <v>9</v>
      </c>
    </row>
    <row r="32" spans="1:13" x14ac:dyDescent="0.2">
      <c r="A32" s="2" t="s">
        <v>35</v>
      </c>
      <c r="B32" s="7">
        <f>Responsibility!B28</f>
        <v>728.28</v>
      </c>
      <c r="M32" s="2" t="s">
        <v>9</v>
      </c>
    </row>
    <row r="33" spans="1:13" x14ac:dyDescent="0.2">
      <c r="A33" s="2" t="s">
        <v>36</v>
      </c>
      <c r="B33" s="2" t="str">
        <f>Evaluation!B31</f>
        <v>Ridgecrest Packaging</v>
      </c>
      <c r="M33" s="2" t="s">
        <v>13</v>
      </c>
    </row>
    <row r="34" spans="1:13" x14ac:dyDescent="0.2">
      <c r="A34" s="2" t="s">
        <v>37</v>
      </c>
      <c r="B34" s="2">
        <f>Extensions!H59</f>
        <v>2</v>
      </c>
      <c r="M34" s="2" t="s">
        <v>38</v>
      </c>
    </row>
    <row r="35" spans="1:13" x14ac:dyDescent="0.2">
      <c r="A35" s="2" t="s">
        <v>39</v>
      </c>
      <c r="B35" s="7">
        <f>Extensions!F40</f>
        <v>26912</v>
      </c>
      <c r="M35" s="2" t="s">
        <v>38</v>
      </c>
    </row>
    <row r="36" spans="1:13" x14ac:dyDescent="0.2">
      <c r="A36" s="2" t="s">
        <v>40</v>
      </c>
      <c r="B36" s="7">
        <f>Extensions!G40</f>
        <v>26112</v>
      </c>
      <c r="M36" s="2" t="s">
        <v>38</v>
      </c>
    </row>
    <row r="37" spans="1:13" x14ac:dyDescent="0.2">
      <c r="A37" s="2" t="s">
        <v>41</v>
      </c>
      <c r="B37" s="2">
        <f>'Later Writings'!B21</f>
        <v>1</v>
      </c>
      <c r="M37" s="2" t="s">
        <v>42</v>
      </c>
    </row>
    <row r="38" spans="1:13" x14ac:dyDescent="0.2">
      <c r="A38" s="2" t="s">
        <v>43</v>
      </c>
      <c r="B38" s="2">
        <f>'Later Writings'!B22</f>
        <v>6</v>
      </c>
      <c r="M38" s="2" t="s">
        <v>42</v>
      </c>
    </row>
    <row r="40" spans="1:13" x14ac:dyDescent="0.2">
      <c r="A40" s="2" t="s">
        <v>44</v>
      </c>
    </row>
    <row r="41" spans="1:13" x14ac:dyDescent="0.2">
      <c r="A41" s="2" t="s">
        <v>45</v>
      </c>
    </row>
    <row r="43" spans="1:13" x14ac:dyDescent="0.2">
      <c r="A43" s="2" t="s">
        <v>46</v>
      </c>
      <c r="B43" s="2" t="s">
        <v>47</v>
      </c>
      <c r="C43" s="2" t="s">
        <v>48</v>
      </c>
      <c r="D43" s="2" t="s">
        <v>49</v>
      </c>
    </row>
    <row r="44" spans="1:13" x14ac:dyDescent="0.2">
      <c r="A44" s="2" t="s">
        <v>50</v>
      </c>
      <c r="B44" s="2" t="s">
        <v>51</v>
      </c>
      <c r="C44" s="2" t="s">
        <v>48</v>
      </c>
      <c r="D44" s="2"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baseColWidth="10" defaultColWidth="8.83203125" defaultRowHeight="15" x14ac:dyDescent="0.2"/>
  <cols>
    <col min="1" max="1" width="58" customWidth="1"/>
    <col min="2" max="2" width="16" customWidth="1"/>
    <col min="3" max="3" width="44" customWidth="1"/>
  </cols>
  <sheetData>
    <row r="1" spans="1:3" ht="17" customHeight="1" x14ac:dyDescent="0.2">
      <c r="A1" s="1" t="s">
        <v>52</v>
      </c>
    </row>
    <row r="3" spans="1:3" x14ac:dyDescent="0.2">
      <c r="A3" s="3" t="s">
        <v>53</v>
      </c>
      <c r="B3" s="3" t="s">
        <v>54</v>
      </c>
      <c r="C3" s="3" t="s">
        <v>55</v>
      </c>
    </row>
    <row r="4" spans="1:3" x14ac:dyDescent="0.2">
      <c r="A4" s="2" t="s">
        <v>56</v>
      </c>
      <c r="B4" s="2">
        <v>20</v>
      </c>
      <c r="C4" s="2" t="s">
        <v>57</v>
      </c>
    </row>
    <row r="5" spans="1:3" x14ac:dyDescent="0.2">
      <c r="A5" s="2" t="s">
        <v>58</v>
      </c>
      <c r="B5" s="2">
        <v>100000</v>
      </c>
      <c r="C5" s="2" t="s">
        <v>59</v>
      </c>
    </row>
    <row r="6" spans="1:3" x14ac:dyDescent="0.2">
      <c r="A6" s="2" t="s">
        <v>60</v>
      </c>
      <c r="B6" s="2">
        <v>12</v>
      </c>
      <c r="C6" s="2" t="s">
        <v>61</v>
      </c>
    </row>
    <row r="7" spans="1:3" x14ac:dyDescent="0.2">
      <c r="A7" s="2" t="s">
        <v>62</v>
      </c>
      <c r="B7" s="2">
        <v>100</v>
      </c>
      <c r="C7" s="2" t="s">
        <v>63</v>
      </c>
    </row>
    <row r="8" spans="1:3" x14ac:dyDescent="0.2">
      <c r="A8" s="2" t="s">
        <v>64</v>
      </c>
      <c r="B8" s="2">
        <v>100</v>
      </c>
      <c r="C8" s="2" t="s">
        <v>65</v>
      </c>
    </row>
    <row r="9" spans="1:3" x14ac:dyDescent="0.2">
      <c r="A9" s="2" t="s">
        <v>66</v>
      </c>
      <c r="B9" s="2">
        <v>2</v>
      </c>
      <c r="C9" s="2" t="s">
        <v>67</v>
      </c>
    </row>
    <row r="10" spans="1:3" x14ac:dyDescent="0.2">
      <c r="A10" s="2" t="s">
        <v>68</v>
      </c>
      <c r="B10" s="2">
        <v>36000</v>
      </c>
      <c r="C10" s="2" t="s">
        <v>69</v>
      </c>
    </row>
    <row r="11" spans="1:3" x14ac:dyDescent="0.2">
      <c r="A11" s="2" t="s">
        <v>70</v>
      </c>
      <c r="B11" s="8">
        <v>0.05</v>
      </c>
      <c r="C11" s="2" t="s">
        <v>71</v>
      </c>
    </row>
    <row r="12" spans="1:3" x14ac:dyDescent="0.2">
      <c r="A12" s="2" t="s">
        <v>72</v>
      </c>
      <c r="B12" s="9">
        <v>202610061000</v>
      </c>
      <c r="C12" s="2" t="s">
        <v>73</v>
      </c>
    </row>
    <row r="14" spans="1:3" x14ac:dyDescent="0.2">
      <c r="A14" s="3" t="s">
        <v>74</v>
      </c>
      <c r="B14" s="3" t="s">
        <v>75</v>
      </c>
      <c r="C14" s="3" t="s">
        <v>55</v>
      </c>
    </row>
    <row r="15" spans="1:3" x14ac:dyDescent="0.2">
      <c r="A15" s="2">
        <v>1</v>
      </c>
      <c r="B15" s="2">
        <v>45000</v>
      </c>
      <c r="C15" s="2" t="s">
        <v>76</v>
      </c>
    </row>
    <row r="16" spans="1:3" x14ac:dyDescent="0.2">
      <c r="A16" s="2">
        <v>2</v>
      </c>
      <c r="B16" s="2">
        <v>64000</v>
      </c>
      <c r="C16" s="2" t="s">
        <v>76</v>
      </c>
    </row>
    <row r="17" spans="1:3" x14ac:dyDescent="0.2">
      <c r="A17" s="2">
        <v>3</v>
      </c>
      <c r="B17" s="2">
        <v>27000</v>
      </c>
      <c r="C17" s="2" t="s">
        <v>77</v>
      </c>
    </row>
    <row r="18" spans="1:3" x14ac:dyDescent="0.2">
      <c r="A18" s="2">
        <v>4</v>
      </c>
      <c r="B18" s="2">
        <v>9000</v>
      </c>
      <c r="C18" s="2" t="s">
        <v>76</v>
      </c>
    </row>
    <row r="19" spans="1:3" x14ac:dyDescent="0.2">
      <c r="A19" s="2">
        <v>5</v>
      </c>
      <c r="B19" s="2">
        <v>24000</v>
      </c>
      <c r="C19" s="2" t="s">
        <v>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3"/>
  <sheetViews>
    <sheetView workbookViewId="0"/>
  </sheetViews>
  <sheetFormatPr baseColWidth="10" defaultColWidth="8.83203125" defaultRowHeight="15" x14ac:dyDescent="0.2"/>
  <cols>
    <col min="1" max="1" width="30" customWidth="1"/>
    <col min="2" max="2" width="56" customWidth="1"/>
    <col min="3" max="3" width="16" customWidth="1"/>
    <col min="4" max="4" width="20" customWidth="1"/>
    <col min="5" max="5" width="16" customWidth="1"/>
    <col min="6" max="6" width="20" customWidth="1"/>
    <col min="7" max="7" width="16" customWidth="1"/>
    <col min="8" max="8" width="20" customWidth="1"/>
    <col min="9" max="9" width="16" customWidth="1"/>
    <col min="10" max="10" width="20" customWidth="1"/>
    <col min="11" max="11" width="16" customWidth="1"/>
    <col min="12" max="12" width="20" customWidth="1"/>
    <col min="13" max="13" width="16" customWidth="1"/>
    <col min="14" max="14" width="20" customWidth="1"/>
    <col min="15" max="15" width="16" customWidth="1"/>
    <col min="16" max="16" width="20" customWidth="1"/>
    <col min="17" max="17" width="16" customWidth="1"/>
    <col min="18" max="18" width="20" customWidth="1"/>
    <col min="19" max="19" width="16" customWidth="1"/>
    <col min="20" max="20" width="20" customWidth="1"/>
    <col min="21" max="21" width="16" customWidth="1"/>
    <col min="22" max="22" width="20" customWidth="1"/>
    <col min="23" max="23" width="16" customWidth="1"/>
    <col min="24" max="24" width="20" customWidth="1"/>
  </cols>
  <sheetData>
    <row r="1" spans="1:24" ht="17" customHeight="1" x14ac:dyDescent="0.2">
      <c r="A1" s="1" t="s">
        <v>78</v>
      </c>
    </row>
    <row r="4" spans="1:24" x14ac:dyDescent="0.2">
      <c r="A4" s="3" t="s">
        <v>79</v>
      </c>
      <c r="B4" s="3" t="s">
        <v>80</v>
      </c>
      <c r="C4" s="3" t="s">
        <v>81</v>
      </c>
      <c r="D4" s="3" t="s">
        <v>82</v>
      </c>
      <c r="E4" s="3" t="s">
        <v>83</v>
      </c>
      <c r="F4" s="3" t="s">
        <v>84</v>
      </c>
      <c r="G4" s="3" t="s">
        <v>85</v>
      </c>
      <c r="H4" s="3" t="s">
        <v>86</v>
      </c>
      <c r="I4" s="3" t="s">
        <v>87</v>
      </c>
      <c r="J4" s="3" t="s">
        <v>88</v>
      </c>
      <c r="K4" s="3" t="s">
        <v>89</v>
      </c>
      <c r="L4" s="3" t="s">
        <v>90</v>
      </c>
      <c r="M4" s="3" t="s">
        <v>91</v>
      </c>
      <c r="N4" s="3" t="s">
        <v>92</v>
      </c>
      <c r="O4" s="3" t="s">
        <v>93</v>
      </c>
      <c r="P4" s="3" t="s">
        <v>94</v>
      </c>
      <c r="Q4" s="3" t="s">
        <v>95</v>
      </c>
      <c r="R4" s="3" t="s">
        <v>96</v>
      </c>
      <c r="S4" s="3" t="s">
        <v>97</v>
      </c>
      <c r="T4" s="3" t="s">
        <v>98</v>
      </c>
      <c r="U4" s="3" t="s">
        <v>99</v>
      </c>
      <c r="V4" s="3" t="s">
        <v>100</v>
      </c>
      <c r="W4" s="3" t="s">
        <v>101</v>
      </c>
      <c r="X4" s="3" t="s">
        <v>102</v>
      </c>
    </row>
    <row r="5" spans="1:24" x14ac:dyDescent="0.2">
      <c r="A5" s="2">
        <v>1</v>
      </c>
      <c r="B5" s="2" t="s">
        <v>103</v>
      </c>
      <c r="C5" s="10">
        <v>0.571</v>
      </c>
      <c r="D5" s="7">
        <v>25695</v>
      </c>
      <c r="E5" s="10">
        <v>0.591</v>
      </c>
      <c r="F5" s="7">
        <v>26595</v>
      </c>
      <c r="G5" s="10">
        <v>0.594</v>
      </c>
      <c r="H5" s="7">
        <v>26730</v>
      </c>
      <c r="I5" s="10">
        <v>0.59</v>
      </c>
      <c r="J5" s="7">
        <v>26550</v>
      </c>
      <c r="K5" s="10">
        <v>0.598</v>
      </c>
      <c r="L5" s="7">
        <v>26910</v>
      </c>
      <c r="M5" s="10">
        <v>0.562</v>
      </c>
      <c r="N5" s="7">
        <v>25290</v>
      </c>
      <c r="O5" s="10">
        <v>0.583</v>
      </c>
      <c r="P5" s="7">
        <v>26235</v>
      </c>
      <c r="Q5" s="10">
        <v>0.602</v>
      </c>
      <c r="R5" s="7">
        <v>27090</v>
      </c>
      <c r="S5" s="10">
        <v>0.546</v>
      </c>
      <c r="T5" s="7">
        <v>24570</v>
      </c>
      <c r="U5" s="10">
        <v>0.604</v>
      </c>
      <c r="V5" s="7">
        <v>27180</v>
      </c>
      <c r="W5" s="10">
        <v>0.628</v>
      </c>
      <c r="X5" s="7">
        <v>28260</v>
      </c>
    </row>
    <row r="6" spans="1:24" x14ac:dyDescent="0.2">
      <c r="A6" s="2">
        <v>2</v>
      </c>
      <c r="B6" s="2" t="s">
        <v>104</v>
      </c>
      <c r="C6" s="10">
        <v>0.398</v>
      </c>
      <c r="D6" s="7">
        <v>25472</v>
      </c>
      <c r="E6" s="10">
        <v>0.397</v>
      </c>
      <c r="F6" s="7">
        <v>25408</v>
      </c>
      <c r="G6" s="10">
        <v>0.404</v>
      </c>
      <c r="H6" s="7">
        <v>25856</v>
      </c>
      <c r="I6" s="10">
        <v>0.402</v>
      </c>
      <c r="J6" s="7">
        <v>25728</v>
      </c>
      <c r="K6" s="10">
        <v>0.401</v>
      </c>
      <c r="L6" s="7">
        <v>25664</v>
      </c>
      <c r="M6" s="10">
        <v>0.386</v>
      </c>
      <c r="N6" s="7">
        <v>24704</v>
      </c>
      <c r="O6" s="10">
        <v>0.399</v>
      </c>
      <c r="P6" s="7">
        <v>25536</v>
      </c>
      <c r="Q6" s="10">
        <v>0.408</v>
      </c>
      <c r="R6" s="7">
        <v>26912</v>
      </c>
      <c r="S6" s="10">
        <v>0.37</v>
      </c>
      <c r="T6" s="7">
        <v>23680</v>
      </c>
      <c r="U6" s="10">
        <v>0.407</v>
      </c>
      <c r="V6" s="7">
        <v>26048</v>
      </c>
      <c r="W6" s="10">
        <v>0.428</v>
      </c>
      <c r="X6" s="7">
        <v>27392</v>
      </c>
    </row>
    <row r="7" spans="1:24" x14ac:dyDescent="0.2">
      <c r="A7" s="2">
        <v>3</v>
      </c>
      <c r="B7" s="2" t="s">
        <v>105</v>
      </c>
      <c r="C7" s="10">
        <v>0.276</v>
      </c>
      <c r="D7" s="7">
        <v>9936</v>
      </c>
      <c r="E7" s="10">
        <v>0.284</v>
      </c>
      <c r="F7" s="7">
        <v>7668</v>
      </c>
      <c r="G7" s="10">
        <v>0.288</v>
      </c>
      <c r="H7" s="7">
        <v>7776</v>
      </c>
      <c r="I7" s="10">
        <v>0.285</v>
      </c>
      <c r="J7" s="7">
        <v>7695</v>
      </c>
      <c r="K7" s="10">
        <v>0.287</v>
      </c>
      <c r="L7" s="7">
        <v>7749</v>
      </c>
      <c r="M7" s="10">
        <v>0.268</v>
      </c>
      <c r="N7" s="7">
        <v>7236</v>
      </c>
      <c r="O7" s="10">
        <v>0.283</v>
      </c>
      <c r="P7" s="7">
        <v>7641</v>
      </c>
      <c r="Q7" s="10">
        <v>0.289</v>
      </c>
      <c r="R7" s="7">
        <v>7803</v>
      </c>
      <c r="S7" s="10">
        <v>0.262</v>
      </c>
      <c r="T7" s="7">
        <v>7074</v>
      </c>
      <c r="U7" s="10">
        <v>0.281</v>
      </c>
      <c r="V7" s="7">
        <v>7587</v>
      </c>
      <c r="W7" s="10">
        <v>0.301</v>
      </c>
      <c r="X7" s="7">
        <v>8127</v>
      </c>
    </row>
    <row r="8" spans="1:24" x14ac:dyDescent="0.2">
      <c r="A8" s="2">
        <v>4</v>
      </c>
      <c r="B8" s="2" t="s">
        <v>106</v>
      </c>
      <c r="C8" s="10">
        <v>1.655</v>
      </c>
      <c r="D8" s="7">
        <v>14895</v>
      </c>
      <c r="E8" s="10">
        <v>1.688</v>
      </c>
      <c r="F8" s="7">
        <v>15192</v>
      </c>
      <c r="G8" s="10">
        <v>1.702</v>
      </c>
      <c r="H8" s="7">
        <v>15318</v>
      </c>
      <c r="I8" s="10">
        <v>1.679</v>
      </c>
      <c r="J8" s="7">
        <v>15111</v>
      </c>
      <c r="K8" s="10">
        <v>1.713</v>
      </c>
      <c r="L8" s="7">
        <v>15417</v>
      </c>
      <c r="M8" s="10">
        <v>1.548</v>
      </c>
      <c r="N8" s="7">
        <v>13932</v>
      </c>
      <c r="O8" s="10">
        <v>1.694</v>
      </c>
      <c r="P8" s="7">
        <v>15246</v>
      </c>
      <c r="Q8" s="10">
        <v>1.704</v>
      </c>
      <c r="R8" s="7">
        <v>15336</v>
      </c>
      <c r="S8" s="10">
        <v>1.575</v>
      </c>
      <c r="T8" s="7">
        <v>14175</v>
      </c>
      <c r="U8" s="10">
        <v>1.699</v>
      </c>
      <c r="V8" s="7">
        <v>15291</v>
      </c>
      <c r="W8" s="10">
        <v>1.79</v>
      </c>
      <c r="X8" s="7">
        <v>16110</v>
      </c>
    </row>
    <row r="9" spans="1:24" x14ac:dyDescent="0.2">
      <c r="A9" s="2">
        <v>5</v>
      </c>
      <c r="B9" s="2" t="s">
        <v>107</v>
      </c>
      <c r="C9" s="10">
        <v>0.94</v>
      </c>
      <c r="D9" s="7">
        <v>22560</v>
      </c>
      <c r="E9" s="10">
        <v>0.968</v>
      </c>
      <c r="F9" s="7">
        <v>23232</v>
      </c>
      <c r="G9" s="10">
        <v>0.972</v>
      </c>
      <c r="H9" s="7">
        <v>23328</v>
      </c>
      <c r="I9" s="10">
        <v>0.958</v>
      </c>
      <c r="J9" s="7">
        <v>22992</v>
      </c>
      <c r="K9" s="10">
        <v>0.976</v>
      </c>
      <c r="L9" s="7">
        <v>23424</v>
      </c>
      <c r="M9" s="10">
        <v>0.91</v>
      </c>
      <c r="N9" s="7">
        <v>21840</v>
      </c>
      <c r="O9" s="10">
        <v>0.966</v>
      </c>
      <c r="P9" s="7">
        <v>23184</v>
      </c>
      <c r="Q9" s="10">
        <v>0.952</v>
      </c>
      <c r="R9" s="7">
        <v>22848</v>
      </c>
      <c r="S9" s="10">
        <v>0.9</v>
      </c>
      <c r="T9" s="7">
        <v>21600</v>
      </c>
      <c r="U9" s="10">
        <v>0.963</v>
      </c>
      <c r="V9" s="7">
        <v>23112</v>
      </c>
      <c r="W9" s="10">
        <v>1.012</v>
      </c>
      <c r="X9" s="7">
        <v>24288</v>
      </c>
    </row>
    <row r="10" spans="1:24" x14ac:dyDescent="0.2">
      <c r="A10" s="6" t="s">
        <v>108</v>
      </c>
      <c r="D10" s="7">
        <v>1500</v>
      </c>
      <c r="F10" s="7">
        <v>1950</v>
      </c>
      <c r="H10" s="7">
        <v>1600</v>
      </c>
      <c r="J10" s="7">
        <v>1800</v>
      </c>
      <c r="L10" s="7">
        <v>2050</v>
      </c>
      <c r="N10" s="7">
        <v>1900</v>
      </c>
      <c r="P10" s="7">
        <v>1725</v>
      </c>
      <c r="R10" s="7">
        <v>1850</v>
      </c>
      <c r="T10" s="7">
        <v>2400</v>
      </c>
      <c r="V10" s="7">
        <v>1650</v>
      </c>
      <c r="X10" s="7">
        <v>1700</v>
      </c>
    </row>
    <row r="11" spans="1:24" x14ac:dyDescent="0.2">
      <c r="A11" s="6" t="s">
        <v>10</v>
      </c>
      <c r="D11" s="11">
        <f>SUM(D5:D10)</f>
        <v>100058</v>
      </c>
      <c r="F11" s="11">
        <f>SUM(F5:F10)</f>
        <v>100045</v>
      </c>
      <c r="H11" s="11">
        <f>SUM(H5:H10)</f>
        <v>100608</v>
      </c>
      <c r="J11" s="11">
        <f>SUM(J5:J10)</f>
        <v>99876</v>
      </c>
      <c r="L11" s="11">
        <f>SUM(L5:L10)</f>
        <v>101214</v>
      </c>
      <c r="N11" s="11">
        <f>SUM(N5:N10)</f>
        <v>94902</v>
      </c>
      <c r="P11" s="11">
        <f>SUM(P5:P10)</f>
        <v>99567</v>
      </c>
      <c r="R11" s="11">
        <f>SUM(R5:R10)</f>
        <v>101839</v>
      </c>
      <c r="T11" s="11">
        <f>SUM(T5:T10)</f>
        <v>93499</v>
      </c>
      <c r="V11" s="11">
        <f>SUM(V5:V10)</f>
        <v>100868</v>
      </c>
      <c r="X11" s="11">
        <f>SUM(X5:X10)</f>
        <v>105877</v>
      </c>
    </row>
    <row r="13" spans="1:24" x14ac:dyDescent="0.2">
      <c r="A13" s="2" t="s">
        <v>109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
  <sheetViews>
    <sheetView workbookViewId="0"/>
  </sheetViews>
  <sheetFormatPr baseColWidth="10" defaultColWidth="8.83203125" defaultRowHeight="15" x14ac:dyDescent="0.2"/>
  <cols>
    <col min="1" max="1" width="28" customWidth="1"/>
    <col min="2" max="2" width="14" customWidth="1"/>
    <col min="3" max="3" width="12" customWidth="1"/>
    <col min="4" max="4" width="26" customWidth="1"/>
    <col min="5" max="5" width="16" customWidth="1"/>
    <col min="6" max="6" width="24" customWidth="1"/>
    <col min="7" max="7" width="40" customWidth="1"/>
    <col min="8" max="8" width="22" customWidth="1"/>
    <col min="9" max="9" width="18" customWidth="1"/>
    <col min="10" max="10" width="46" customWidth="1"/>
  </cols>
  <sheetData>
    <row r="1" spans="1:10" ht="17" customHeight="1" x14ac:dyDescent="0.2">
      <c r="A1" s="1" t="s">
        <v>110</v>
      </c>
    </row>
    <row r="3" spans="1:10" x14ac:dyDescent="0.2">
      <c r="A3" s="3" t="s">
        <v>111</v>
      </c>
      <c r="B3" s="3" t="s">
        <v>112</v>
      </c>
      <c r="C3" s="3" t="s">
        <v>113</v>
      </c>
      <c r="D3" s="3" t="s">
        <v>114</v>
      </c>
      <c r="E3" s="3" t="s">
        <v>115</v>
      </c>
      <c r="F3" s="3" t="s">
        <v>116</v>
      </c>
      <c r="G3" s="3" t="s">
        <v>117</v>
      </c>
      <c r="H3" s="3" t="s">
        <v>118</v>
      </c>
      <c r="I3" s="3" t="s">
        <v>119</v>
      </c>
      <c r="J3" s="3" t="s">
        <v>120</v>
      </c>
    </row>
    <row r="4" spans="1:10" x14ac:dyDescent="0.2">
      <c r="A4" s="2" t="s">
        <v>121</v>
      </c>
      <c r="B4" s="2" t="s">
        <v>122</v>
      </c>
      <c r="C4" s="2" t="s">
        <v>123</v>
      </c>
      <c r="D4" s="2" t="s">
        <v>124</v>
      </c>
      <c r="E4" s="2" t="s">
        <v>125</v>
      </c>
      <c r="F4" s="2" t="s">
        <v>126</v>
      </c>
      <c r="G4" s="2" t="s">
        <v>127</v>
      </c>
      <c r="H4" s="2" t="s">
        <v>128</v>
      </c>
      <c r="I4" s="2" t="s">
        <v>126</v>
      </c>
      <c r="J4" s="2" t="s">
        <v>129</v>
      </c>
    </row>
    <row r="5" spans="1:10" x14ac:dyDescent="0.2">
      <c r="A5" s="2" t="s">
        <v>130</v>
      </c>
      <c r="B5" s="2" t="s">
        <v>131</v>
      </c>
      <c r="C5" s="2" t="s">
        <v>132</v>
      </c>
      <c r="D5" s="2" t="s">
        <v>124</v>
      </c>
      <c r="E5" s="2" t="s">
        <v>133</v>
      </c>
      <c r="F5" s="2" t="s">
        <v>126</v>
      </c>
      <c r="G5" s="2" t="s">
        <v>134</v>
      </c>
      <c r="H5" s="2" t="s">
        <v>135</v>
      </c>
      <c r="I5" s="2" t="s">
        <v>126</v>
      </c>
      <c r="J5" s="2" t="s">
        <v>136</v>
      </c>
    </row>
    <row r="6" spans="1:10" x14ac:dyDescent="0.2">
      <c r="A6" s="2" t="s">
        <v>137</v>
      </c>
      <c r="B6" s="2" t="s">
        <v>138</v>
      </c>
      <c r="C6" s="2" t="s">
        <v>139</v>
      </c>
      <c r="D6" s="2" t="s">
        <v>124</v>
      </c>
      <c r="E6" s="2" t="s">
        <v>140</v>
      </c>
      <c r="F6" s="2" t="s">
        <v>126</v>
      </c>
      <c r="G6" s="2" t="s">
        <v>127</v>
      </c>
      <c r="H6" s="2" t="s">
        <v>135</v>
      </c>
      <c r="I6" s="2" t="s">
        <v>126</v>
      </c>
      <c r="J6" s="2" t="s">
        <v>141</v>
      </c>
    </row>
    <row r="7" spans="1:10" x14ac:dyDescent="0.2">
      <c r="A7" s="2" t="s">
        <v>142</v>
      </c>
      <c r="B7" s="2" t="s">
        <v>143</v>
      </c>
      <c r="C7" s="2" t="s">
        <v>144</v>
      </c>
      <c r="D7" s="2" t="s">
        <v>124</v>
      </c>
      <c r="E7" s="2" t="s">
        <v>145</v>
      </c>
      <c r="F7" s="2" t="s">
        <v>126</v>
      </c>
      <c r="G7" s="2" t="s">
        <v>127</v>
      </c>
      <c r="H7" s="2" t="s">
        <v>135</v>
      </c>
      <c r="I7" s="2" t="s">
        <v>126</v>
      </c>
      <c r="J7" s="2" t="s">
        <v>146</v>
      </c>
    </row>
    <row r="8" spans="1:10" x14ac:dyDescent="0.2">
      <c r="A8" s="2" t="s">
        <v>147</v>
      </c>
      <c r="B8" s="2" t="s">
        <v>148</v>
      </c>
      <c r="C8" s="2" t="s">
        <v>149</v>
      </c>
      <c r="D8" s="2" t="s">
        <v>124</v>
      </c>
      <c r="E8" s="2" t="s">
        <v>150</v>
      </c>
      <c r="F8" s="2" t="s">
        <v>126</v>
      </c>
      <c r="G8" s="2" t="s">
        <v>151</v>
      </c>
      <c r="H8" s="2" t="s">
        <v>135</v>
      </c>
      <c r="I8" s="2" t="s">
        <v>126</v>
      </c>
      <c r="J8" s="2" t="s">
        <v>152</v>
      </c>
    </row>
    <row r="9" spans="1:10" x14ac:dyDescent="0.2">
      <c r="A9" s="2" t="s">
        <v>153</v>
      </c>
      <c r="B9" s="2" t="s">
        <v>154</v>
      </c>
      <c r="C9" s="2" t="s">
        <v>132</v>
      </c>
      <c r="D9" s="2" t="s">
        <v>155</v>
      </c>
      <c r="E9" s="2" t="s">
        <v>145</v>
      </c>
      <c r="F9" s="2" t="s">
        <v>126</v>
      </c>
      <c r="G9" s="2" t="s">
        <v>127</v>
      </c>
      <c r="H9" s="2" t="s">
        <v>135</v>
      </c>
      <c r="I9" s="2" t="s">
        <v>126</v>
      </c>
      <c r="J9" s="2" t="s">
        <v>156</v>
      </c>
    </row>
    <row r="10" spans="1:10" x14ac:dyDescent="0.2">
      <c r="A10" s="2" t="s">
        <v>157</v>
      </c>
      <c r="B10" s="2" t="s">
        <v>158</v>
      </c>
      <c r="C10" s="2" t="s">
        <v>132</v>
      </c>
      <c r="D10" s="2" t="s">
        <v>124</v>
      </c>
      <c r="E10" s="2" t="s">
        <v>159</v>
      </c>
      <c r="F10" s="2" t="s">
        <v>126</v>
      </c>
      <c r="G10" s="2" t="s">
        <v>127</v>
      </c>
      <c r="H10" s="2" t="s">
        <v>135</v>
      </c>
      <c r="I10" s="2" t="s">
        <v>126</v>
      </c>
      <c r="J10" s="2" t="s">
        <v>160</v>
      </c>
    </row>
    <row r="11" spans="1:10" x14ac:dyDescent="0.2">
      <c r="A11" s="2" t="s">
        <v>161</v>
      </c>
      <c r="B11" s="2" t="s">
        <v>162</v>
      </c>
      <c r="C11" s="2" t="s">
        <v>163</v>
      </c>
      <c r="D11" s="2" t="s">
        <v>124</v>
      </c>
      <c r="E11" s="2" t="s">
        <v>164</v>
      </c>
      <c r="F11" s="2" t="s">
        <v>126</v>
      </c>
      <c r="G11" s="2" t="s">
        <v>127</v>
      </c>
      <c r="H11" s="2" t="s">
        <v>135</v>
      </c>
      <c r="I11" s="2" t="s">
        <v>126</v>
      </c>
      <c r="J11" s="2" t="s">
        <v>165</v>
      </c>
    </row>
    <row r="12" spans="1:10" x14ac:dyDescent="0.2">
      <c r="A12" s="2" t="s">
        <v>166</v>
      </c>
      <c r="B12" s="2" t="s">
        <v>167</v>
      </c>
      <c r="C12" s="2" t="s">
        <v>144</v>
      </c>
      <c r="D12" s="2" t="s">
        <v>168</v>
      </c>
      <c r="E12" s="2" t="s">
        <v>169</v>
      </c>
      <c r="F12" s="2" t="s">
        <v>126</v>
      </c>
      <c r="G12" s="2" t="s">
        <v>127</v>
      </c>
      <c r="H12" s="2" t="s">
        <v>135</v>
      </c>
      <c r="I12" s="2" t="s">
        <v>126</v>
      </c>
      <c r="J12" s="2" t="s">
        <v>170</v>
      </c>
    </row>
    <row r="13" spans="1:10" x14ac:dyDescent="0.2">
      <c r="A13" s="2" t="s">
        <v>171</v>
      </c>
      <c r="B13" s="2" t="s">
        <v>172</v>
      </c>
      <c r="C13" s="2" t="s">
        <v>132</v>
      </c>
      <c r="D13" s="2" t="s">
        <v>124</v>
      </c>
      <c r="E13" s="2" t="s">
        <v>173</v>
      </c>
      <c r="F13" s="2" t="s">
        <v>126</v>
      </c>
      <c r="G13" s="2" t="s">
        <v>127</v>
      </c>
      <c r="H13" s="2" t="s">
        <v>135</v>
      </c>
      <c r="I13" s="2" t="s">
        <v>126</v>
      </c>
      <c r="J13" s="2" t="s">
        <v>174</v>
      </c>
    </row>
    <row r="14" spans="1:10" x14ac:dyDescent="0.2">
      <c r="A14" s="2" t="s">
        <v>175</v>
      </c>
      <c r="B14" s="2" t="s">
        <v>176</v>
      </c>
      <c r="C14" s="2" t="s">
        <v>163</v>
      </c>
      <c r="D14" s="2" t="s">
        <v>124</v>
      </c>
      <c r="E14" s="2" t="s">
        <v>177</v>
      </c>
      <c r="F14" s="2" t="s">
        <v>126</v>
      </c>
      <c r="G14" s="2" t="s">
        <v>178</v>
      </c>
      <c r="H14" s="2" t="s">
        <v>135</v>
      </c>
      <c r="I14" s="2" t="s">
        <v>126</v>
      </c>
      <c r="J14" s="2" t="s">
        <v>179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workbookViewId="0"/>
  </sheetViews>
  <sheetFormatPr baseColWidth="10" defaultColWidth="8.83203125" defaultRowHeight="15" x14ac:dyDescent="0.2"/>
  <cols>
    <col min="1" max="1" width="28" customWidth="1"/>
    <col min="2" max="2" width="84" customWidth="1"/>
    <col min="3" max="3" width="34" customWidth="1"/>
    <col min="4" max="4" width="26" customWidth="1"/>
    <col min="5" max="5" width="64" customWidth="1"/>
    <col min="6" max="6" width="26" customWidth="1"/>
  </cols>
  <sheetData>
    <row r="1" spans="1:6" ht="17" customHeight="1" x14ac:dyDescent="0.2">
      <c r="A1" s="1" t="s">
        <v>180</v>
      </c>
    </row>
    <row r="3" spans="1:6" x14ac:dyDescent="0.2">
      <c r="A3" s="3" t="s">
        <v>111</v>
      </c>
      <c r="B3" s="3" t="s">
        <v>181</v>
      </c>
      <c r="C3" s="3" t="s">
        <v>182</v>
      </c>
      <c r="D3" s="3" t="s">
        <v>183</v>
      </c>
      <c r="E3" s="3" t="s">
        <v>184</v>
      </c>
      <c r="F3" s="3" t="s">
        <v>185</v>
      </c>
    </row>
    <row r="4" spans="1:6" ht="32" customHeight="1" x14ac:dyDescent="0.2">
      <c r="A4" s="2" t="str">
        <f>Terms!A4</f>
        <v>Brannock Box Company</v>
      </c>
      <c r="B4" s="4" t="s">
        <v>186</v>
      </c>
      <c r="C4" s="4" t="s">
        <v>187</v>
      </c>
      <c r="D4" s="4" t="s">
        <v>188</v>
      </c>
      <c r="E4" s="4" t="s">
        <v>189</v>
      </c>
      <c r="F4" s="2" t="s">
        <v>190</v>
      </c>
    </row>
    <row r="5" spans="1:6" ht="32" customHeight="1" x14ac:dyDescent="0.2">
      <c r="A5" s="2" t="str">
        <f>Terms!A5</f>
        <v>Dahlgren Paper Box Co.</v>
      </c>
      <c r="B5" s="4" t="s">
        <v>191</v>
      </c>
      <c r="C5" s="4" t="s">
        <v>192</v>
      </c>
      <c r="D5" s="4" t="s">
        <v>188</v>
      </c>
      <c r="E5" s="4" t="s">
        <v>193</v>
      </c>
      <c r="F5" s="2" t="s">
        <v>190</v>
      </c>
    </row>
    <row r="6" spans="1:6" ht="32" customHeight="1" x14ac:dyDescent="0.2">
      <c r="A6" s="2" t="str">
        <f>Terms!A6</f>
        <v>Halvard Corrugated</v>
      </c>
      <c r="B6" s="4" t="s">
        <v>194</v>
      </c>
      <c r="C6" s="4" t="s">
        <v>195</v>
      </c>
      <c r="D6" s="4" t="s">
        <v>126</v>
      </c>
      <c r="E6" s="4" t="s">
        <v>196</v>
      </c>
      <c r="F6" s="2" t="s">
        <v>190</v>
      </c>
    </row>
    <row r="7" spans="1:6" ht="32" customHeight="1" x14ac:dyDescent="0.2">
      <c r="A7" s="2" t="str">
        <f>Terms!A7</f>
        <v>Kessel Container Corp.</v>
      </c>
      <c r="B7" s="4" t="s">
        <v>197</v>
      </c>
      <c r="C7" s="4" t="s">
        <v>192</v>
      </c>
      <c r="D7" s="4" t="s">
        <v>188</v>
      </c>
      <c r="E7" s="4" t="s">
        <v>198</v>
      </c>
      <c r="F7" s="2" t="s">
        <v>199</v>
      </c>
    </row>
    <row r="8" spans="1:6" ht="32" customHeight="1" x14ac:dyDescent="0.2">
      <c r="A8" s="2" t="str">
        <f>Terms!A8</f>
        <v>Loken &amp; Vik Container</v>
      </c>
      <c r="B8" s="4" t="s">
        <v>200</v>
      </c>
      <c r="C8" s="4" t="s">
        <v>192</v>
      </c>
      <c r="D8" s="4" t="s">
        <v>188</v>
      </c>
      <c r="E8" s="4" t="s">
        <v>201</v>
      </c>
      <c r="F8" s="2" t="s">
        <v>190</v>
      </c>
    </row>
    <row r="9" spans="1:6" ht="32" customHeight="1" x14ac:dyDescent="0.2">
      <c r="A9" s="2" t="str">
        <f>Terms!A9</f>
        <v>Mesabi Container Co.</v>
      </c>
      <c r="B9" s="4" t="s">
        <v>202</v>
      </c>
      <c r="C9" s="4" t="s">
        <v>203</v>
      </c>
      <c r="D9" s="4" t="s">
        <v>188</v>
      </c>
      <c r="E9" s="4" t="s">
        <v>204</v>
      </c>
      <c r="F9" s="2" t="s">
        <v>190</v>
      </c>
    </row>
    <row r="10" spans="1:6" ht="32" customHeight="1" x14ac:dyDescent="0.2">
      <c r="A10" s="2" t="str">
        <f>Terms!A10</f>
        <v>Otter Tail Corrugated</v>
      </c>
      <c r="B10" s="4" t="s">
        <v>205</v>
      </c>
      <c r="C10" s="4" t="s">
        <v>206</v>
      </c>
      <c r="D10" s="4" t="s">
        <v>126</v>
      </c>
      <c r="E10" s="4" t="s">
        <v>207</v>
      </c>
      <c r="F10" s="2" t="s">
        <v>190</v>
      </c>
    </row>
    <row r="11" spans="1:6" ht="32" customHeight="1" x14ac:dyDescent="0.2">
      <c r="A11" s="2" t="str">
        <f>Terms!A11</f>
        <v>Pemberton Container</v>
      </c>
      <c r="B11" s="4" t="s">
        <v>208</v>
      </c>
      <c r="C11" s="4" t="s">
        <v>209</v>
      </c>
      <c r="D11" s="4" t="s">
        <v>188</v>
      </c>
      <c r="E11" s="4" t="s">
        <v>210</v>
      </c>
      <c r="F11" s="2" t="s">
        <v>190</v>
      </c>
    </row>
    <row r="12" spans="1:6" ht="32" customHeight="1" x14ac:dyDescent="0.2">
      <c r="A12" s="2" t="str">
        <f>Terms!A12</f>
        <v>Ridgecrest Packaging</v>
      </c>
      <c r="B12" s="4" t="s">
        <v>211</v>
      </c>
      <c r="C12" s="4" t="s">
        <v>212</v>
      </c>
      <c r="D12" s="4" t="s">
        <v>188</v>
      </c>
      <c r="E12" s="4" t="s">
        <v>213</v>
      </c>
      <c r="F12" s="2" t="s">
        <v>190</v>
      </c>
    </row>
    <row r="13" spans="1:6" ht="32" customHeight="1" x14ac:dyDescent="0.2">
      <c r="A13" s="2" t="str">
        <f>Terms!A13</f>
        <v>Thorsgard Box &amp; Label</v>
      </c>
      <c r="B13" s="4" t="s">
        <v>214</v>
      </c>
      <c r="C13" s="4" t="s">
        <v>195</v>
      </c>
      <c r="D13" s="4" t="s">
        <v>126</v>
      </c>
      <c r="E13" s="4" t="s">
        <v>215</v>
      </c>
      <c r="F13" s="2" t="s">
        <v>216</v>
      </c>
    </row>
    <row r="14" spans="1:6" ht="32" customHeight="1" x14ac:dyDescent="0.2">
      <c r="A14" s="2" t="str">
        <f>Terms!A14</f>
        <v>Wenzel &amp; Krause Corrugated</v>
      </c>
      <c r="B14" s="4" t="s">
        <v>217</v>
      </c>
      <c r="C14" s="4" t="s">
        <v>192</v>
      </c>
      <c r="D14" s="4" t="s">
        <v>188</v>
      </c>
      <c r="E14" s="4" t="s">
        <v>218</v>
      </c>
      <c r="F14" s="2" t="s">
        <v>190</v>
      </c>
    </row>
    <row r="16" spans="1:6" x14ac:dyDescent="0.2">
      <c r="A16" s="2" t="s">
        <v>219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4"/>
  <sheetViews>
    <sheetView workbookViewId="0"/>
  </sheetViews>
  <sheetFormatPr baseColWidth="10" defaultColWidth="8.83203125" defaultRowHeight="15" x14ac:dyDescent="0.2"/>
  <cols>
    <col min="1" max="1" width="28" customWidth="1"/>
    <col min="2" max="2" width="46" customWidth="1"/>
    <col min="3" max="3" width="12" customWidth="1"/>
    <col min="4" max="4" width="10" customWidth="1"/>
    <col min="5" max="5" width="14" customWidth="1"/>
    <col min="6" max="6" width="10" customWidth="1"/>
    <col min="7" max="7" width="18" customWidth="1"/>
    <col min="8" max="8" width="22" customWidth="1"/>
    <col min="9" max="9" width="16" customWidth="1"/>
    <col min="10" max="10" width="70" customWidth="1"/>
  </cols>
  <sheetData>
    <row r="1" spans="1:10" ht="17" customHeight="1" x14ac:dyDescent="0.2">
      <c r="A1" s="1" t="s">
        <v>220</v>
      </c>
    </row>
    <row r="3" spans="1:10" x14ac:dyDescent="0.2">
      <c r="A3" s="3" t="s">
        <v>111</v>
      </c>
      <c r="B3" s="3" t="s">
        <v>221</v>
      </c>
      <c r="C3" s="3" t="s">
        <v>222</v>
      </c>
      <c r="D3" s="3" t="s">
        <v>223</v>
      </c>
      <c r="E3" s="3" t="s">
        <v>224</v>
      </c>
      <c r="F3" s="3" t="s">
        <v>225</v>
      </c>
      <c r="G3" s="3" t="s">
        <v>226</v>
      </c>
      <c r="H3" s="3" t="s">
        <v>227</v>
      </c>
      <c r="I3" s="3" t="s">
        <v>228</v>
      </c>
      <c r="J3" s="3" t="s">
        <v>229</v>
      </c>
    </row>
    <row r="4" spans="1:10" x14ac:dyDescent="0.2">
      <c r="A4" s="2" t="s">
        <v>166</v>
      </c>
      <c r="B4" s="2" t="s">
        <v>230</v>
      </c>
      <c r="C4" s="2" t="s">
        <v>231</v>
      </c>
      <c r="D4" s="2" t="s">
        <v>232</v>
      </c>
      <c r="E4" s="2" t="s">
        <v>231</v>
      </c>
      <c r="F4" s="2" t="s">
        <v>233</v>
      </c>
      <c r="G4" s="9">
        <f t="shared" ref="G4:G9" si="0">VALUE(RIGHT(E4,4)&amp;LEFT(E4,2)&amp;MID(E4,4,2)&amp;LEFT(F4,2)&amp;RIGHT(F4,2))</f>
        <v>202610051552</v>
      </c>
      <c r="H4" s="2" t="str">
        <f>IF(G4&lt;Parameters!$B$12,"Yes","No")</f>
        <v>Yes</v>
      </c>
      <c r="I4" s="2" t="s">
        <v>126</v>
      </c>
      <c r="J4" s="2" t="s">
        <v>234</v>
      </c>
    </row>
    <row r="5" spans="1:10" x14ac:dyDescent="0.2">
      <c r="A5" s="2" t="s">
        <v>175</v>
      </c>
      <c r="B5" s="2" t="s">
        <v>235</v>
      </c>
      <c r="C5" s="2" t="s">
        <v>231</v>
      </c>
      <c r="D5" s="2" t="s">
        <v>236</v>
      </c>
      <c r="E5" s="2" t="s">
        <v>237</v>
      </c>
      <c r="F5" s="2" t="s">
        <v>238</v>
      </c>
      <c r="G5" s="9">
        <f t="shared" si="0"/>
        <v>202610061007</v>
      </c>
      <c r="H5" s="2" t="str">
        <f>IF(G5&lt;Parameters!$B$12,"Yes","No")</f>
        <v>No</v>
      </c>
      <c r="I5" s="2" t="s">
        <v>126</v>
      </c>
      <c r="J5" s="2" t="s">
        <v>239</v>
      </c>
    </row>
    <row r="6" spans="1:10" x14ac:dyDescent="0.2">
      <c r="A6" s="2" t="s">
        <v>161</v>
      </c>
      <c r="B6" s="2" t="s">
        <v>240</v>
      </c>
      <c r="C6" s="2" t="s">
        <v>237</v>
      </c>
      <c r="D6" s="2" t="s">
        <v>241</v>
      </c>
      <c r="E6" s="2" t="s">
        <v>237</v>
      </c>
      <c r="F6" s="2" t="s">
        <v>242</v>
      </c>
      <c r="G6" s="9">
        <f t="shared" si="0"/>
        <v>202610060912</v>
      </c>
      <c r="H6" s="2" t="str">
        <f>IF(G6&lt;Parameters!$B$12,"Yes","No")</f>
        <v>Yes</v>
      </c>
      <c r="I6" s="2" t="s">
        <v>126</v>
      </c>
      <c r="J6" s="2" t="s">
        <v>243</v>
      </c>
    </row>
    <row r="7" spans="1:10" x14ac:dyDescent="0.2">
      <c r="A7" s="2" t="s">
        <v>166</v>
      </c>
      <c r="B7" s="2" t="s">
        <v>244</v>
      </c>
      <c r="C7" s="2" t="s">
        <v>237</v>
      </c>
      <c r="D7" s="2" t="s">
        <v>245</v>
      </c>
      <c r="E7" s="2" t="s">
        <v>237</v>
      </c>
      <c r="F7" s="2" t="s">
        <v>246</v>
      </c>
      <c r="G7" s="9">
        <f t="shared" si="0"/>
        <v>202610060935</v>
      </c>
      <c r="H7" s="2" t="str">
        <f>IF(G7&lt;Parameters!$B$12,"Yes","No")</f>
        <v>Yes</v>
      </c>
      <c r="I7" s="2" t="s">
        <v>188</v>
      </c>
      <c r="J7" s="2" t="s">
        <v>247</v>
      </c>
    </row>
    <row r="8" spans="1:10" x14ac:dyDescent="0.2">
      <c r="A8" s="2" t="s">
        <v>157</v>
      </c>
      <c r="B8" s="2" t="s">
        <v>248</v>
      </c>
      <c r="C8" s="2" t="s">
        <v>249</v>
      </c>
      <c r="D8" s="2" t="s">
        <v>250</v>
      </c>
      <c r="E8" s="2" t="s">
        <v>251</v>
      </c>
      <c r="F8" s="2" t="s">
        <v>252</v>
      </c>
      <c r="G8" s="9">
        <f t="shared" si="0"/>
        <v>202610091146</v>
      </c>
      <c r="H8" s="2" t="str">
        <f>IF(G8&lt;Parameters!$B$12,"Yes","No")</f>
        <v>No</v>
      </c>
      <c r="I8" s="2" t="s">
        <v>126</v>
      </c>
      <c r="J8" s="2" t="s">
        <v>253</v>
      </c>
    </row>
    <row r="9" spans="1:10" x14ac:dyDescent="0.2">
      <c r="A9" s="2" t="s">
        <v>147</v>
      </c>
      <c r="B9" s="2" t="s">
        <v>254</v>
      </c>
      <c r="C9" s="2" t="s">
        <v>255</v>
      </c>
      <c r="D9" s="2" t="s">
        <v>256</v>
      </c>
      <c r="E9" s="2" t="s">
        <v>255</v>
      </c>
      <c r="F9" s="2" t="s">
        <v>257</v>
      </c>
      <c r="G9" s="9">
        <f t="shared" si="0"/>
        <v>202610121644</v>
      </c>
      <c r="H9" s="2" t="str">
        <f>IF(G9&lt;Parameters!$B$12,"Yes","No")</f>
        <v>No</v>
      </c>
      <c r="I9" s="2" t="s">
        <v>126</v>
      </c>
      <c r="J9" s="2" t="s">
        <v>258</v>
      </c>
    </row>
    <row r="12" spans="1:10" x14ac:dyDescent="0.2">
      <c r="A12" s="3" t="s">
        <v>111</v>
      </c>
      <c r="B12" s="3" t="s">
        <v>79</v>
      </c>
      <c r="C12" s="3" t="s">
        <v>259</v>
      </c>
      <c r="D12" s="3" t="s">
        <v>260</v>
      </c>
      <c r="E12" s="3" t="s">
        <v>261</v>
      </c>
      <c r="F12" s="3" t="s">
        <v>262</v>
      </c>
      <c r="G12" s="3" t="s">
        <v>263</v>
      </c>
    </row>
    <row r="13" spans="1:10" x14ac:dyDescent="0.2">
      <c r="A13" s="2" t="s">
        <v>161</v>
      </c>
      <c r="B13" s="2">
        <v>1</v>
      </c>
      <c r="C13" s="10">
        <v>0.602</v>
      </c>
      <c r="D13" s="10">
        <v>0.578</v>
      </c>
      <c r="E13" s="2">
        <v>6</v>
      </c>
      <c r="F13" s="2" t="str">
        <f t="shared" ref="F13:F19" si="1">IF(AND(INDEX($H$4:$H$9,E13-3)="Yes",INDEX($I$4:$I$9,E13-3)="Yes"),"Yes","No")</f>
        <v>Yes</v>
      </c>
      <c r="G13" s="7">
        <f>ROUND((D13-C13)*INDEX(Parameters!$B$15:$B$19,B13),2)</f>
        <v>-1080</v>
      </c>
    </row>
    <row r="14" spans="1:10" x14ac:dyDescent="0.2">
      <c r="A14" s="2" t="s">
        <v>166</v>
      </c>
      <c r="B14" s="2">
        <v>3</v>
      </c>
      <c r="C14" s="10">
        <v>0.262</v>
      </c>
      <c r="D14" s="10">
        <v>0.255</v>
      </c>
      <c r="E14" s="2">
        <v>7</v>
      </c>
      <c r="F14" s="2" t="str">
        <f t="shared" si="1"/>
        <v>No</v>
      </c>
      <c r="G14" s="7">
        <f>ROUND((D14-C14)*INDEX(Parameters!$B$15:$B$19,B14),2)</f>
        <v>-189</v>
      </c>
    </row>
    <row r="15" spans="1:10" x14ac:dyDescent="0.2">
      <c r="A15" s="2" t="s">
        <v>175</v>
      </c>
      <c r="B15" s="2">
        <v>1</v>
      </c>
      <c r="C15" s="10">
        <v>0.628</v>
      </c>
      <c r="D15" s="10">
        <v>0.598</v>
      </c>
      <c r="E15" s="2">
        <v>5</v>
      </c>
      <c r="F15" s="2" t="str">
        <f t="shared" si="1"/>
        <v>No</v>
      </c>
      <c r="G15" s="7">
        <f>ROUND((D15-C15)*INDEX(Parameters!$B$15:$B$19,B15),2)</f>
        <v>-1350</v>
      </c>
    </row>
    <row r="16" spans="1:10" x14ac:dyDescent="0.2">
      <c r="A16" s="2" t="s">
        <v>175</v>
      </c>
      <c r="B16" s="2">
        <v>2</v>
      </c>
      <c r="C16" s="10">
        <v>0.428</v>
      </c>
      <c r="D16" s="10">
        <v>0.403</v>
      </c>
      <c r="E16" s="2">
        <v>5</v>
      </c>
      <c r="F16" s="2" t="str">
        <f t="shared" si="1"/>
        <v>No</v>
      </c>
      <c r="G16" s="7">
        <f>ROUND((D16-C16)*INDEX(Parameters!$B$15:$B$19,B16),2)</f>
        <v>-1600</v>
      </c>
    </row>
    <row r="17" spans="1:7" x14ac:dyDescent="0.2">
      <c r="A17" s="2" t="s">
        <v>175</v>
      </c>
      <c r="B17" s="2">
        <v>3</v>
      </c>
      <c r="C17" s="10">
        <v>0.301</v>
      </c>
      <c r="D17" s="10">
        <v>0.286</v>
      </c>
      <c r="E17" s="2">
        <v>5</v>
      </c>
      <c r="F17" s="2" t="str">
        <f t="shared" si="1"/>
        <v>No</v>
      </c>
      <c r="G17" s="7">
        <f>ROUND((D17-C17)*INDEX(Parameters!$B$15:$B$19,B17),2)</f>
        <v>-405</v>
      </c>
    </row>
    <row r="18" spans="1:7" x14ac:dyDescent="0.2">
      <c r="A18" s="2" t="s">
        <v>175</v>
      </c>
      <c r="B18" s="2">
        <v>4</v>
      </c>
      <c r="C18" s="10">
        <v>1.79</v>
      </c>
      <c r="D18" s="10">
        <v>1.7</v>
      </c>
      <c r="E18" s="2">
        <v>5</v>
      </c>
      <c r="F18" s="2" t="str">
        <f t="shared" si="1"/>
        <v>No</v>
      </c>
      <c r="G18" s="7">
        <f>ROUND((D18-C18)*INDEX(Parameters!$B$15:$B$19,B18),2)</f>
        <v>-810</v>
      </c>
    </row>
    <row r="19" spans="1:7" x14ac:dyDescent="0.2">
      <c r="A19" s="2" t="s">
        <v>175</v>
      </c>
      <c r="B19" s="2">
        <v>5</v>
      </c>
      <c r="C19" s="10">
        <v>1.012</v>
      </c>
      <c r="D19" s="10">
        <v>0.962</v>
      </c>
      <c r="E19" s="2">
        <v>5</v>
      </c>
      <c r="F19" s="2" t="str">
        <f t="shared" si="1"/>
        <v>No</v>
      </c>
      <c r="G19" s="7">
        <f>ROUND((D19-C19)*INDEX(Parameters!$B$15:$B$19,B19),2)</f>
        <v>-1200</v>
      </c>
    </row>
    <row r="21" spans="1:7" x14ac:dyDescent="0.2">
      <c r="A21" s="2" t="s">
        <v>264</v>
      </c>
      <c r="B21" s="2">
        <f>COUNTIF(F13:F19,"Yes")</f>
        <v>1</v>
      </c>
    </row>
    <row r="22" spans="1:7" x14ac:dyDescent="0.2">
      <c r="A22" s="2" t="s">
        <v>265</v>
      </c>
      <c r="B22" s="2">
        <f>COUNTIF(F13:F19,"No")</f>
        <v>6</v>
      </c>
    </row>
    <row r="24" spans="1:7" x14ac:dyDescent="0.2">
      <c r="A24" s="2" t="s">
        <v>266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6"/>
  <sheetViews>
    <sheetView workbookViewId="0"/>
  </sheetViews>
  <sheetFormatPr baseColWidth="10" defaultColWidth="8.83203125" defaultRowHeight="15" x14ac:dyDescent="0.2"/>
  <cols>
    <col min="1" max="1" width="28" customWidth="1"/>
    <col min="2" max="2" width="40" customWidth="1"/>
    <col min="3" max="3" width="20" customWidth="1"/>
    <col min="4" max="5" width="22" customWidth="1"/>
    <col min="6" max="6" width="16" customWidth="1"/>
    <col min="7" max="7" width="22" customWidth="1"/>
  </cols>
  <sheetData>
    <row r="1" spans="1:7" ht="17" customHeight="1" x14ac:dyDescent="0.2">
      <c r="A1" s="1" t="s">
        <v>267</v>
      </c>
    </row>
    <row r="3" spans="1:7" x14ac:dyDescent="0.2">
      <c r="A3" s="3" t="s">
        <v>111</v>
      </c>
      <c r="B3" s="3" t="s">
        <v>117</v>
      </c>
      <c r="C3" s="3" t="s">
        <v>268</v>
      </c>
      <c r="D3" s="3" t="s">
        <v>269</v>
      </c>
      <c r="E3" s="3" t="s">
        <v>270</v>
      </c>
      <c r="F3" s="3" t="s">
        <v>271</v>
      </c>
      <c r="G3" s="3" t="s">
        <v>272</v>
      </c>
    </row>
    <row r="4" spans="1:7" x14ac:dyDescent="0.2">
      <c r="A4" s="2" t="str">
        <f>Terms!A4</f>
        <v>Brannock Box Company</v>
      </c>
      <c r="B4" s="2" t="str">
        <f>Terms!G4</f>
        <v>Surety bond</v>
      </c>
      <c r="D4" s="7">
        <f>'Bids as Written'!D11</f>
        <v>100058</v>
      </c>
      <c r="E4" s="7">
        <f>ROUND(D4*Parameters!$B$11,2)</f>
        <v>5002.9</v>
      </c>
      <c r="F4" s="7">
        <f t="shared" ref="F4:F14" si="0">IF(C4="",0,MAX(0,ROUND(E4-C4,2)))</f>
        <v>0</v>
      </c>
      <c r="G4" s="2" t="str">
        <f>IF(Terms!F4&lt;&gt;"Yes","No",IF(F4&gt;0,"No, short","Yes"))</f>
        <v>Yes</v>
      </c>
    </row>
    <row r="5" spans="1:7" x14ac:dyDescent="0.2">
      <c r="A5" s="2" t="str">
        <f>Terms!A5</f>
        <v>Dahlgren Paper Box Co.</v>
      </c>
      <c r="B5" s="2" t="str">
        <f>Terms!G5</f>
        <v>Cashier's check, $4,904.75, no. 20871</v>
      </c>
      <c r="C5" s="7">
        <v>4904.75</v>
      </c>
      <c r="D5" s="7">
        <f>'Bids as Written'!F11</f>
        <v>100045</v>
      </c>
      <c r="E5" s="7">
        <f>ROUND(D5*Parameters!$B$11,2)</f>
        <v>5002.25</v>
      </c>
      <c r="F5" s="7">
        <f t="shared" si="0"/>
        <v>97.5</v>
      </c>
      <c r="G5" s="2" t="str">
        <f>IF(Terms!F5&lt;&gt;"Yes","No",IF(F5&gt;0,"No, short","Yes"))</f>
        <v>No, short</v>
      </c>
    </row>
    <row r="6" spans="1:7" x14ac:dyDescent="0.2">
      <c r="A6" s="2" t="str">
        <f>Terms!A6</f>
        <v>Halvard Corrugated</v>
      </c>
      <c r="B6" s="2" t="str">
        <f>Terms!G6</f>
        <v>Surety bond</v>
      </c>
      <c r="D6" s="7">
        <f>'Bids as Written'!H11</f>
        <v>100608</v>
      </c>
      <c r="E6" s="7">
        <f>ROUND(D6*Parameters!$B$11,2)</f>
        <v>5030.4</v>
      </c>
      <c r="F6" s="7">
        <f t="shared" si="0"/>
        <v>0</v>
      </c>
      <c r="G6" s="2" t="str">
        <f>IF(Terms!F6&lt;&gt;"Yes","No",IF(F6&gt;0,"No, short","Yes"))</f>
        <v>Yes</v>
      </c>
    </row>
    <row r="7" spans="1:7" x14ac:dyDescent="0.2">
      <c r="A7" s="2" t="str">
        <f>Terms!A7</f>
        <v>Kessel Container Corp.</v>
      </c>
      <c r="B7" s="2" t="str">
        <f>Terms!G7</f>
        <v>Surety bond</v>
      </c>
      <c r="D7" s="7">
        <f>'Bids as Written'!J11</f>
        <v>99876</v>
      </c>
      <c r="E7" s="7">
        <f>ROUND(D7*Parameters!$B$11,2)</f>
        <v>4993.8</v>
      </c>
      <c r="F7" s="7">
        <f t="shared" si="0"/>
        <v>0</v>
      </c>
      <c r="G7" s="2" t="str">
        <f>IF(Terms!F7&lt;&gt;"Yes","No",IF(F7&gt;0,"No, short","Yes"))</f>
        <v>Yes</v>
      </c>
    </row>
    <row r="8" spans="1:7" x14ac:dyDescent="0.2">
      <c r="A8" s="2" t="str">
        <f>Terms!A8</f>
        <v>Loken &amp; Vik Container</v>
      </c>
      <c r="B8" s="2" t="str">
        <f>Terms!G8</f>
        <v>Cashier's check, $5,060.70, no. 4471820</v>
      </c>
      <c r="C8" s="7">
        <v>5060.7</v>
      </c>
      <c r="D8" s="7">
        <f>'Bids as Written'!L11</f>
        <v>101214</v>
      </c>
      <c r="E8" s="7">
        <f>ROUND(D8*Parameters!$B$11,2)</f>
        <v>5060.7</v>
      </c>
      <c r="F8" s="7">
        <f t="shared" si="0"/>
        <v>0</v>
      </c>
      <c r="G8" s="2" t="str">
        <f>IF(Terms!F8&lt;&gt;"Yes","No",IF(F8&gt;0,"No, short","Yes"))</f>
        <v>Yes</v>
      </c>
    </row>
    <row r="9" spans="1:7" x14ac:dyDescent="0.2">
      <c r="A9" s="2" t="str">
        <f>Terms!A9</f>
        <v>Mesabi Container Co.</v>
      </c>
      <c r="B9" s="2" t="str">
        <f>Terms!G9</f>
        <v>Surety bond</v>
      </c>
      <c r="D9" s="7">
        <f>'Bids as Written'!N11</f>
        <v>94902</v>
      </c>
      <c r="E9" s="7">
        <f>ROUND(D9*Parameters!$B$11,2)</f>
        <v>4745.1</v>
      </c>
      <c r="F9" s="7">
        <f t="shared" si="0"/>
        <v>0</v>
      </c>
      <c r="G9" s="2" t="str">
        <f>IF(Terms!F9&lt;&gt;"Yes","No",IF(F9&gt;0,"No, short","Yes"))</f>
        <v>Yes</v>
      </c>
    </row>
    <row r="10" spans="1:7" x14ac:dyDescent="0.2">
      <c r="A10" s="2" t="str">
        <f>Terms!A10</f>
        <v>Otter Tail Corrugated</v>
      </c>
      <c r="B10" s="2" t="str">
        <f>Terms!G10</f>
        <v>Surety bond</v>
      </c>
      <c r="D10" s="7">
        <f>'Bids as Written'!P11</f>
        <v>99567</v>
      </c>
      <c r="E10" s="7">
        <f>ROUND(D10*Parameters!$B$11,2)</f>
        <v>4978.35</v>
      </c>
      <c r="F10" s="7">
        <f t="shared" si="0"/>
        <v>0</v>
      </c>
      <c r="G10" s="2" t="str">
        <f>IF(Terms!F10&lt;&gt;"Yes","No",IF(F10&gt;0,"No, short","Yes"))</f>
        <v>Yes</v>
      </c>
    </row>
    <row r="11" spans="1:7" x14ac:dyDescent="0.2">
      <c r="A11" s="2" t="str">
        <f>Terms!A11</f>
        <v>Pemberton Container</v>
      </c>
      <c r="B11" s="2" t="str">
        <f>Terms!G11</f>
        <v>Surety bond</v>
      </c>
      <c r="D11" s="7">
        <f>'Bids as Written'!R11</f>
        <v>101839</v>
      </c>
      <c r="E11" s="7">
        <f>ROUND(D11*Parameters!$B$11,2)</f>
        <v>5091.95</v>
      </c>
      <c r="F11" s="7">
        <f t="shared" si="0"/>
        <v>0</v>
      </c>
      <c r="G11" s="2" t="str">
        <f>IF(Terms!F11&lt;&gt;"Yes","No",IF(F11&gt;0,"No, short","Yes"))</f>
        <v>Yes</v>
      </c>
    </row>
    <row r="12" spans="1:7" x14ac:dyDescent="0.2">
      <c r="A12" s="2" t="str">
        <f>Terms!A12</f>
        <v>Ridgecrest Packaging</v>
      </c>
      <c r="B12" s="2" t="str">
        <f>Terms!G12</f>
        <v>Surety bond</v>
      </c>
      <c r="D12" s="7">
        <f>'Bids as Written'!T11</f>
        <v>93499</v>
      </c>
      <c r="E12" s="7">
        <f>ROUND(D12*Parameters!$B$11,2)</f>
        <v>4674.95</v>
      </c>
      <c r="F12" s="7">
        <f t="shared" si="0"/>
        <v>0</v>
      </c>
      <c r="G12" s="2" t="str">
        <f>IF(Terms!F12&lt;&gt;"Yes","No",IF(F12&gt;0,"No, short","Yes"))</f>
        <v>Yes</v>
      </c>
    </row>
    <row r="13" spans="1:7" x14ac:dyDescent="0.2">
      <c r="A13" s="2" t="str">
        <f>Terms!A13</f>
        <v>Thorsgard Box &amp; Label</v>
      </c>
      <c r="B13" s="2" t="str">
        <f>Terms!G13</f>
        <v>Surety bond</v>
      </c>
      <c r="D13" s="7">
        <f>'Bids as Written'!V11</f>
        <v>100868</v>
      </c>
      <c r="E13" s="7">
        <f>ROUND(D13*Parameters!$B$11,2)</f>
        <v>5043.4</v>
      </c>
      <c r="F13" s="7">
        <f t="shared" si="0"/>
        <v>0</v>
      </c>
      <c r="G13" s="2" t="str">
        <f>IF(Terms!F13&lt;&gt;"Yes","No",IF(F13&gt;0,"No, short","Yes"))</f>
        <v>Yes</v>
      </c>
    </row>
    <row r="14" spans="1:7" x14ac:dyDescent="0.2">
      <c r="A14" s="2" t="str">
        <f>Terms!A14</f>
        <v>Wenzel &amp; Krause Corrugated</v>
      </c>
      <c r="B14" s="2" t="str">
        <f>Terms!G14</f>
        <v>Cashier's check, $5,300.00, no. 553106</v>
      </c>
      <c r="C14" s="7">
        <v>5300</v>
      </c>
      <c r="D14" s="7">
        <f>'Bids as Written'!X11</f>
        <v>105877</v>
      </c>
      <c r="E14" s="7">
        <f>ROUND(D14*Parameters!$B$11,2)</f>
        <v>5293.85</v>
      </c>
      <c r="F14" s="7">
        <f t="shared" si="0"/>
        <v>0</v>
      </c>
      <c r="G14" s="2" t="str">
        <f>IF(Terms!F14&lt;&gt;"Yes","No",IF(F14&gt;0,"No, short","Yes"))</f>
        <v>Yes</v>
      </c>
    </row>
    <row r="16" spans="1:7" x14ac:dyDescent="0.2">
      <c r="A16" s="2" t="s">
        <v>273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workbookViewId="0"/>
  </sheetViews>
  <sheetFormatPr baseColWidth="10" defaultColWidth="8.83203125" defaultRowHeight="15" x14ac:dyDescent="0.2"/>
  <cols>
    <col min="1" max="1" width="28" customWidth="1"/>
    <col min="2" max="2" width="30" customWidth="1"/>
    <col min="3" max="3" width="10" customWidth="1"/>
    <col min="4" max="4" width="14" customWidth="1"/>
    <col min="5" max="5" width="10" customWidth="1"/>
    <col min="6" max="6" width="18" customWidth="1"/>
    <col min="7" max="7" width="70" customWidth="1"/>
  </cols>
  <sheetData>
    <row r="1" spans="1:7" ht="17" customHeight="1" x14ac:dyDescent="0.2">
      <c r="A1" s="1" t="s">
        <v>274</v>
      </c>
    </row>
    <row r="3" spans="1:7" x14ac:dyDescent="0.2">
      <c r="A3" s="3" t="s">
        <v>111</v>
      </c>
      <c r="B3" s="3" t="s">
        <v>275</v>
      </c>
      <c r="C3" s="3" t="s">
        <v>223</v>
      </c>
      <c r="D3" s="3" t="s">
        <v>224</v>
      </c>
      <c r="E3" s="3" t="s">
        <v>225</v>
      </c>
      <c r="F3" s="3" t="s">
        <v>226</v>
      </c>
      <c r="G3" s="3" t="s">
        <v>276</v>
      </c>
    </row>
    <row r="4" spans="1:7" x14ac:dyDescent="0.2">
      <c r="A4" s="2" t="str">
        <f>Terms!A4</f>
        <v>Brannock Box Company</v>
      </c>
      <c r="B4" s="2" t="s">
        <v>277</v>
      </c>
      <c r="C4" s="2" t="s">
        <v>278</v>
      </c>
      <c r="D4" s="2" t="s">
        <v>231</v>
      </c>
      <c r="E4" s="2" t="s">
        <v>279</v>
      </c>
      <c r="F4" s="9">
        <f t="shared" ref="F4:F14" si="0">VALUE(RIGHT(D4,4)&amp;LEFT(D4,2)&amp;MID(D4,4,2)&amp;LEFT(E4,2)&amp;RIGHT(E4,2))</f>
        <v>202610051602</v>
      </c>
    </row>
    <row r="5" spans="1:7" x14ac:dyDescent="0.2">
      <c r="A5" s="2" t="str">
        <f>Terms!A5</f>
        <v>Dahlgren Paper Box Co.</v>
      </c>
      <c r="B5" s="2" t="s">
        <v>280</v>
      </c>
      <c r="C5" s="2" t="s">
        <v>281</v>
      </c>
      <c r="D5" s="2" t="s">
        <v>237</v>
      </c>
      <c r="E5" s="2" t="s">
        <v>282</v>
      </c>
      <c r="F5" s="9">
        <f t="shared" si="0"/>
        <v>202610060933</v>
      </c>
    </row>
    <row r="6" spans="1:7" x14ac:dyDescent="0.2">
      <c r="A6" s="2" t="str">
        <f>Terms!A6</f>
        <v>Halvard Corrugated</v>
      </c>
      <c r="B6" s="2" t="s">
        <v>283</v>
      </c>
      <c r="C6" s="2" t="s">
        <v>284</v>
      </c>
      <c r="D6" s="2" t="s">
        <v>237</v>
      </c>
      <c r="E6" s="2" t="s">
        <v>285</v>
      </c>
      <c r="F6" s="9">
        <f t="shared" si="0"/>
        <v>202610060958</v>
      </c>
    </row>
    <row r="7" spans="1:7" x14ac:dyDescent="0.2">
      <c r="A7" s="2" t="str">
        <f>Terms!A7</f>
        <v>Kessel Container Corp.</v>
      </c>
      <c r="B7" s="2" t="s">
        <v>286</v>
      </c>
      <c r="C7" s="2" t="s">
        <v>287</v>
      </c>
      <c r="D7" s="2" t="s">
        <v>288</v>
      </c>
      <c r="E7" s="2" t="s">
        <v>289</v>
      </c>
      <c r="F7" s="9">
        <f t="shared" si="0"/>
        <v>202610020947</v>
      </c>
    </row>
    <row r="8" spans="1:7" x14ac:dyDescent="0.2">
      <c r="A8" s="2" t="str">
        <f>Terms!A8</f>
        <v>Loken &amp; Vik Container</v>
      </c>
      <c r="B8" s="2" t="s">
        <v>290</v>
      </c>
      <c r="C8" s="2" t="s">
        <v>291</v>
      </c>
      <c r="D8" s="2" t="s">
        <v>237</v>
      </c>
      <c r="E8" s="2" t="s">
        <v>292</v>
      </c>
      <c r="F8" s="9">
        <f t="shared" si="0"/>
        <v>202610061000</v>
      </c>
      <c r="G8" s="2" t="s">
        <v>293</v>
      </c>
    </row>
    <row r="9" spans="1:7" x14ac:dyDescent="0.2">
      <c r="A9" s="2" t="str">
        <f>Terms!A9</f>
        <v>Mesabi Container Co.</v>
      </c>
      <c r="B9" s="2" t="s">
        <v>294</v>
      </c>
      <c r="C9" s="2" t="s">
        <v>295</v>
      </c>
      <c r="D9" s="2" t="s">
        <v>237</v>
      </c>
      <c r="E9" s="2" t="s">
        <v>296</v>
      </c>
      <c r="F9" s="9">
        <f t="shared" si="0"/>
        <v>202610060905</v>
      </c>
    </row>
    <row r="10" spans="1:7" x14ac:dyDescent="0.2">
      <c r="A10" s="2" t="str">
        <f>Terms!A10</f>
        <v>Otter Tail Corrugated</v>
      </c>
      <c r="B10" s="2" t="s">
        <v>297</v>
      </c>
      <c r="C10" s="2" t="s">
        <v>298</v>
      </c>
      <c r="D10" s="2" t="s">
        <v>237</v>
      </c>
      <c r="E10" s="2" t="s">
        <v>299</v>
      </c>
      <c r="F10" s="9">
        <f t="shared" si="0"/>
        <v>202610060852</v>
      </c>
    </row>
    <row r="11" spans="1:7" x14ac:dyDescent="0.2">
      <c r="A11" s="2" t="str">
        <f>Terms!A11</f>
        <v>Pemberton Container</v>
      </c>
      <c r="B11" s="2" t="s">
        <v>300</v>
      </c>
      <c r="C11" s="2" t="s">
        <v>301</v>
      </c>
      <c r="D11" s="2" t="s">
        <v>231</v>
      </c>
      <c r="E11" s="2" t="s">
        <v>302</v>
      </c>
      <c r="F11" s="9">
        <f t="shared" si="0"/>
        <v>202610051137</v>
      </c>
      <c r="G11" s="2" t="s">
        <v>303</v>
      </c>
    </row>
    <row r="12" spans="1:7" x14ac:dyDescent="0.2">
      <c r="A12" s="2" t="str">
        <f>Terms!A12</f>
        <v>Ridgecrest Packaging</v>
      </c>
      <c r="B12" s="2" t="s">
        <v>304</v>
      </c>
      <c r="C12" s="2" t="s">
        <v>305</v>
      </c>
      <c r="D12" s="2" t="s">
        <v>237</v>
      </c>
      <c r="E12" s="2" t="s">
        <v>306</v>
      </c>
      <c r="F12" s="9">
        <f t="shared" si="0"/>
        <v>202610060815</v>
      </c>
      <c r="G12" s="2" t="s">
        <v>307</v>
      </c>
    </row>
    <row r="13" spans="1:7" x14ac:dyDescent="0.2">
      <c r="A13" s="2" t="str">
        <f>Terms!A13</f>
        <v>Thorsgard Box &amp; Label</v>
      </c>
      <c r="B13" s="2" t="s">
        <v>308</v>
      </c>
      <c r="C13" s="2" t="s">
        <v>309</v>
      </c>
      <c r="D13" s="2" t="s">
        <v>237</v>
      </c>
      <c r="E13" s="2" t="s">
        <v>310</v>
      </c>
      <c r="F13" s="9">
        <f t="shared" si="0"/>
        <v>202610060927</v>
      </c>
    </row>
    <row r="14" spans="1:7" x14ac:dyDescent="0.2">
      <c r="A14" s="2" t="str">
        <f>Terms!A14</f>
        <v>Wenzel &amp; Krause Corrugated</v>
      </c>
      <c r="B14" s="2" t="s">
        <v>311</v>
      </c>
      <c r="C14" s="2" t="s">
        <v>312</v>
      </c>
      <c r="D14" s="2" t="s">
        <v>237</v>
      </c>
      <c r="E14" s="2" t="s">
        <v>313</v>
      </c>
      <c r="F14" s="9">
        <f t="shared" si="0"/>
        <v>202610060941</v>
      </c>
    </row>
    <row r="16" spans="1:7" x14ac:dyDescent="0.2">
      <c r="A16" s="2" t="s">
        <v>314</v>
      </c>
      <c r="B16" s="2">
        <f>COUNTIF(F4:F14,"&lt;="&amp;Parameters!$B$12)</f>
        <v>11</v>
      </c>
    </row>
    <row r="18" spans="1:1" x14ac:dyDescent="0.2">
      <c r="A18" s="2" t="s">
        <v>315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
  <sheetViews>
    <sheetView workbookViewId="0"/>
  </sheetViews>
  <sheetFormatPr baseColWidth="10" defaultColWidth="8.83203125" defaultRowHeight="15" x14ac:dyDescent="0.2"/>
  <cols>
    <col min="1" max="1" width="12" customWidth="1"/>
    <col min="2" max="2" width="34" customWidth="1"/>
    <col min="3" max="3" width="26" customWidth="1"/>
    <col min="4" max="4" width="30" customWidth="1"/>
    <col min="5" max="5" width="12" customWidth="1"/>
    <col min="6" max="6" width="20" customWidth="1"/>
    <col min="7" max="7" width="14" customWidth="1"/>
    <col min="8" max="8" width="44" customWidth="1"/>
    <col min="9" max="9" width="26" customWidth="1"/>
  </cols>
  <sheetData>
    <row r="1" spans="1:9" ht="17" customHeight="1" x14ac:dyDescent="0.2">
      <c r="A1" s="1" t="s">
        <v>316</v>
      </c>
    </row>
    <row r="3" spans="1:9" x14ac:dyDescent="0.2">
      <c r="A3" s="3" t="s">
        <v>317</v>
      </c>
      <c r="B3" s="3" t="s">
        <v>318</v>
      </c>
      <c r="C3" s="3" t="s">
        <v>111</v>
      </c>
      <c r="D3" s="3" t="s">
        <v>319</v>
      </c>
      <c r="E3" s="3" t="s">
        <v>320</v>
      </c>
      <c r="F3" s="3" t="s">
        <v>321</v>
      </c>
      <c r="G3" s="3" t="s">
        <v>322</v>
      </c>
      <c r="H3" s="3" t="s">
        <v>323</v>
      </c>
      <c r="I3" s="3" t="s">
        <v>324</v>
      </c>
    </row>
    <row r="4" spans="1:9" x14ac:dyDescent="0.2">
      <c r="A4" s="2" t="s">
        <v>325</v>
      </c>
      <c r="B4" s="2" t="s">
        <v>137</v>
      </c>
      <c r="C4" s="2" t="s">
        <v>137</v>
      </c>
      <c r="D4" s="2" t="s">
        <v>326</v>
      </c>
      <c r="E4" s="2" t="s">
        <v>327</v>
      </c>
      <c r="F4" s="2" t="s">
        <v>328</v>
      </c>
      <c r="G4" s="2" t="s">
        <v>329</v>
      </c>
      <c r="H4" s="2" t="s">
        <v>330</v>
      </c>
      <c r="I4" s="2" t="str">
        <f>IF(G4="","Open","Cleared")</f>
        <v>Cleared</v>
      </c>
    </row>
    <row r="5" spans="1:9" x14ac:dyDescent="0.2">
      <c r="A5" s="2" t="s">
        <v>331</v>
      </c>
      <c r="B5" s="2" t="s">
        <v>161</v>
      </c>
      <c r="C5" s="2" t="s">
        <v>161</v>
      </c>
      <c r="D5" s="2" t="s">
        <v>332</v>
      </c>
      <c r="E5" s="2" t="s">
        <v>333</v>
      </c>
      <c r="F5" s="2" t="s">
        <v>328</v>
      </c>
      <c r="G5" s="2" t="s">
        <v>334</v>
      </c>
      <c r="H5" s="2" t="s">
        <v>330</v>
      </c>
      <c r="I5" s="2" t="str">
        <f>IF(G5="","Open","Cleared")</f>
        <v>Cleared</v>
      </c>
    </row>
    <row r="6" spans="1:9" x14ac:dyDescent="0.2">
      <c r="A6" s="2" t="s">
        <v>335</v>
      </c>
      <c r="B6" s="2" t="s">
        <v>336</v>
      </c>
      <c r="C6" s="2" t="s">
        <v>147</v>
      </c>
      <c r="D6" s="2" t="s">
        <v>337</v>
      </c>
      <c r="E6" s="2" t="s">
        <v>338</v>
      </c>
      <c r="F6" s="2" t="s">
        <v>339</v>
      </c>
      <c r="H6" s="2" t="s">
        <v>340</v>
      </c>
      <c r="I6" s="2" t="str">
        <f>IF(G6="","Open","Cleared")</f>
        <v>Open</v>
      </c>
    </row>
    <row r="7" spans="1:9" x14ac:dyDescent="0.2">
      <c r="A7" s="2" t="s">
        <v>341</v>
      </c>
      <c r="B7" s="2" t="s">
        <v>342</v>
      </c>
      <c r="C7" s="2" t="s">
        <v>161</v>
      </c>
      <c r="D7" s="2" t="s">
        <v>332</v>
      </c>
      <c r="E7" s="2" t="s">
        <v>343</v>
      </c>
      <c r="F7" s="2" t="s">
        <v>339</v>
      </c>
      <c r="G7" s="2" t="s">
        <v>344</v>
      </c>
      <c r="H7" s="2" t="s">
        <v>345</v>
      </c>
      <c r="I7" s="2" t="str">
        <f>IF(G7="","Open","Cleared")</f>
        <v>Cleared</v>
      </c>
    </row>
    <row r="9" spans="1:9" x14ac:dyDescent="0.2">
      <c r="A9" s="2" t="s">
        <v>346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2"/>
  <sheetViews>
    <sheetView workbookViewId="0"/>
  </sheetViews>
  <sheetFormatPr baseColWidth="10" defaultColWidth="8.83203125" defaultRowHeight="15" x14ac:dyDescent="0.2"/>
  <cols>
    <col min="1" max="1" width="8" customWidth="1"/>
    <col min="2" max="2" width="22" customWidth="1"/>
    <col min="3" max="3" width="14" customWidth="1"/>
    <col min="4" max="4" width="12" customWidth="1"/>
    <col min="5" max="5" width="14" customWidth="1"/>
    <col min="6" max="6" width="16" customWidth="1"/>
    <col min="7" max="7" width="26" customWidth="1"/>
    <col min="8" max="8" width="10" customWidth="1"/>
    <col min="9" max="10" width="14" customWidth="1"/>
    <col min="11" max="11" width="24" customWidth="1"/>
    <col min="13" max="14" width="14" customWidth="1"/>
  </cols>
  <sheetData>
    <row r="1" spans="1:14" ht="17" customHeight="1" x14ac:dyDescent="0.2">
      <c r="A1" s="1" t="s">
        <v>347</v>
      </c>
    </row>
    <row r="3" spans="1:14" x14ac:dyDescent="0.2">
      <c r="A3" s="3" t="s">
        <v>79</v>
      </c>
      <c r="B3" s="3" t="s">
        <v>348</v>
      </c>
      <c r="C3" s="3" t="s">
        <v>349</v>
      </c>
      <c r="D3" s="3" t="s">
        <v>350</v>
      </c>
      <c r="E3" s="3" t="s">
        <v>351</v>
      </c>
      <c r="F3" s="3" t="s">
        <v>352</v>
      </c>
      <c r="G3" s="3" t="s">
        <v>353</v>
      </c>
      <c r="H3" s="3" t="s">
        <v>354</v>
      </c>
      <c r="I3" s="3" t="s">
        <v>355</v>
      </c>
      <c r="J3" s="3" t="s">
        <v>356</v>
      </c>
      <c r="K3" s="3" t="s">
        <v>357</v>
      </c>
      <c r="M3" s="3" t="s">
        <v>358</v>
      </c>
      <c r="N3" s="3" t="s">
        <v>355</v>
      </c>
    </row>
    <row r="4" spans="1:14" x14ac:dyDescent="0.2">
      <c r="A4" s="2">
        <v>1</v>
      </c>
      <c r="B4" s="2" t="s">
        <v>359</v>
      </c>
      <c r="C4" s="8">
        <v>0.9</v>
      </c>
      <c r="D4" s="2">
        <f>Parameters!B15</f>
        <v>45000</v>
      </c>
      <c r="E4" s="7">
        <f t="shared" ref="E4:E13" si="0">ROUND(C4*D4,2)</f>
        <v>40500</v>
      </c>
      <c r="F4" s="7">
        <f>ROUND(E4/Parameters!$B$8,2)</f>
        <v>405</v>
      </c>
      <c r="G4" s="2" t="s">
        <v>167</v>
      </c>
      <c r="H4" s="2" t="s">
        <v>144</v>
      </c>
      <c r="I4" s="8">
        <f t="shared" ref="I4:I13" si="1">INDEX($N$4:$N$10,MATCH(H4,$M$4:$M$10,0))</f>
        <v>4.87</v>
      </c>
      <c r="J4" s="7">
        <f t="shared" ref="J4:J13" si="2">ROUND(F4*I4,2)</f>
        <v>1972.35</v>
      </c>
      <c r="K4" s="2" t="s">
        <v>166</v>
      </c>
      <c r="M4" s="2" t="s">
        <v>132</v>
      </c>
      <c r="N4" s="8">
        <v>3.4</v>
      </c>
    </row>
    <row r="5" spans="1:14" x14ac:dyDescent="0.2">
      <c r="A5" s="2">
        <v>2</v>
      </c>
      <c r="B5" s="2" t="s">
        <v>360</v>
      </c>
      <c r="C5" s="8">
        <v>0.55</v>
      </c>
      <c r="D5" s="2">
        <f>Parameters!B16</f>
        <v>64000</v>
      </c>
      <c r="E5" s="7">
        <f t="shared" si="0"/>
        <v>35200</v>
      </c>
      <c r="F5" s="7">
        <f>ROUND(E5/Parameters!$B$8,2)</f>
        <v>352</v>
      </c>
      <c r="G5" s="2" t="s">
        <v>167</v>
      </c>
      <c r="H5" s="2" t="s">
        <v>144</v>
      </c>
      <c r="I5" s="8">
        <f t="shared" si="1"/>
        <v>4.87</v>
      </c>
      <c r="J5" s="7">
        <f t="shared" si="2"/>
        <v>1714.24</v>
      </c>
      <c r="K5" s="2" t="s">
        <v>166</v>
      </c>
      <c r="M5" s="2" t="s">
        <v>144</v>
      </c>
      <c r="N5" s="8">
        <v>4.87</v>
      </c>
    </row>
    <row r="6" spans="1:14" x14ac:dyDescent="0.2">
      <c r="A6" s="2">
        <v>3</v>
      </c>
      <c r="B6" s="2" t="s">
        <v>361</v>
      </c>
      <c r="C6" s="8">
        <v>0.3</v>
      </c>
      <c r="D6" s="2">
        <f>Parameters!B17</f>
        <v>27000</v>
      </c>
      <c r="E6" s="7">
        <f t="shared" si="0"/>
        <v>8100</v>
      </c>
      <c r="F6" s="7">
        <f>ROUND(E6/Parameters!$B$8,2)</f>
        <v>81</v>
      </c>
      <c r="G6" s="2" t="s">
        <v>167</v>
      </c>
      <c r="H6" s="2" t="s">
        <v>144</v>
      </c>
      <c r="I6" s="8">
        <f t="shared" si="1"/>
        <v>4.87</v>
      </c>
      <c r="J6" s="7">
        <f t="shared" si="2"/>
        <v>394.47</v>
      </c>
      <c r="K6" s="2" t="s">
        <v>166</v>
      </c>
      <c r="M6" s="2" t="s">
        <v>163</v>
      </c>
      <c r="N6" s="8">
        <v>5.1</v>
      </c>
    </row>
    <row r="7" spans="1:14" x14ac:dyDescent="0.2">
      <c r="A7" s="2">
        <v>4</v>
      </c>
      <c r="B7" s="2" t="s">
        <v>362</v>
      </c>
      <c r="C7" s="8">
        <v>2.6</v>
      </c>
      <c r="D7" s="2">
        <f>Parameters!B18</f>
        <v>9000</v>
      </c>
      <c r="E7" s="7">
        <f t="shared" si="0"/>
        <v>23400</v>
      </c>
      <c r="F7" s="7">
        <f>ROUND(E7/Parameters!$B$8,2)</f>
        <v>234</v>
      </c>
      <c r="G7" s="2" t="s">
        <v>167</v>
      </c>
      <c r="H7" s="2" t="s">
        <v>144</v>
      </c>
      <c r="I7" s="8">
        <f t="shared" si="1"/>
        <v>4.87</v>
      </c>
      <c r="J7" s="7">
        <f t="shared" si="2"/>
        <v>1139.58</v>
      </c>
      <c r="K7" s="2" t="s">
        <v>166</v>
      </c>
      <c r="M7" s="2" t="s">
        <v>123</v>
      </c>
      <c r="N7" s="8">
        <v>5.6</v>
      </c>
    </row>
    <row r="8" spans="1:14" x14ac:dyDescent="0.2">
      <c r="A8" s="2">
        <v>5</v>
      </c>
      <c r="B8" s="2" t="s">
        <v>363</v>
      </c>
      <c r="C8" s="8">
        <v>1.65</v>
      </c>
      <c r="D8" s="2">
        <f>Parameters!B19</f>
        <v>24000</v>
      </c>
      <c r="E8" s="7">
        <f t="shared" si="0"/>
        <v>39600</v>
      </c>
      <c r="F8" s="7">
        <f>ROUND(E8/Parameters!$B$8,2)</f>
        <v>396</v>
      </c>
      <c r="G8" s="2" t="s">
        <v>364</v>
      </c>
      <c r="H8" s="2" t="s">
        <v>365</v>
      </c>
      <c r="I8" s="8">
        <f t="shared" si="1"/>
        <v>5.35</v>
      </c>
      <c r="J8" s="7">
        <f t="shared" si="2"/>
        <v>2118.6</v>
      </c>
      <c r="K8" s="2" t="s">
        <v>166</v>
      </c>
      <c r="M8" s="2" t="s">
        <v>139</v>
      </c>
      <c r="N8" s="8">
        <v>4.2</v>
      </c>
    </row>
    <row r="9" spans="1:14" x14ac:dyDescent="0.2">
      <c r="A9" s="2">
        <v>1</v>
      </c>
      <c r="B9" s="2" t="s">
        <v>359</v>
      </c>
      <c r="C9" s="8">
        <v>0.9</v>
      </c>
      <c r="D9" s="2">
        <f>Parameters!B15</f>
        <v>45000</v>
      </c>
      <c r="E9" s="7">
        <f t="shared" si="0"/>
        <v>40500</v>
      </c>
      <c r="F9" s="7">
        <f>ROUND(E9/Parameters!$B$8,2)</f>
        <v>405</v>
      </c>
      <c r="G9" s="2" t="s">
        <v>154</v>
      </c>
      <c r="H9" s="2" t="s">
        <v>132</v>
      </c>
      <c r="I9" s="8">
        <f t="shared" si="1"/>
        <v>3.4</v>
      </c>
      <c r="J9" s="7">
        <f t="shared" si="2"/>
        <v>1377</v>
      </c>
      <c r="K9" s="2" t="s">
        <v>153</v>
      </c>
      <c r="M9" s="2" t="s">
        <v>149</v>
      </c>
      <c r="N9" s="8">
        <v>4.6</v>
      </c>
    </row>
    <row r="10" spans="1:14" x14ac:dyDescent="0.2">
      <c r="A10" s="2">
        <v>2</v>
      </c>
      <c r="B10" s="2" t="s">
        <v>360</v>
      </c>
      <c r="C10" s="8">
        <v>0.55</v>
      </c>
      <c r="D10" s="2">
        <f>Parameters!B16</f>
        <v>64000</v>
      </c>
      <c r="E10" s="7">
        <f t="shared" si="0"/>
        <v>35200</v>
      </c>
      <c r="F10" s="7">
        <f>ROUND(E10/Parameters!$B$8,2)</f>
        <v>352</v>
      </c>
      <c r="G10" s="2" t="s">
        <v>154</v>
      </c>
      <c r="H10" s="2" t="s">
        <v>132</v>
      </c>
      <c r="I10" s="8">
        <f t="shared" si="1"/>
        <v>3.4</v>
      </c>
      <c r="J10" s="7">
        <f t="shared" si="2"/>
        <v>1196.8</v>
      </c>
      <c r="K10" s="2" t="s">
        <v>153</v>
      </c>
      <c r="M10" s="2" t="s">
        <v>365</v>
      </c>
      <c r="N10" s="8">
        <v>5.35</v>
      </c>
    </row>
    <row r="11" spans="1:14" x14ac:dyDescent="0.2">
      <c r="A11" s="2">
        <v>3</v>
      </c>
      <c r="B11" s="2" t="s">
        <v>361</v>
      </c>
      <c r="C11" s="8">
        <v>0.3</v>
      </c>
      <c r="D11" s="2">
        <f>Parameters!B17</f>
        <v>27000</v>
      </c>
      <c r="E11" s="7">
        <f t="shared" si="0"/>
        <v>8100</v>
      </c>
      <c r="F11" s="7">
        <f>ROUND(E11/Parameters!$B$8,2)</f>
        <v>81</v>
      </c>
      <c r="G11" s="2" t="s">
        <v>154</v>
      </c>
      <c r="H11" s="2" t="s">
        <v>132</v>
      </c>
      <c r="I11" s="8">
        <f t="shared" si="1"/>
        <v>3.4</v>
      </c>
      <c r="J11" s="7">
        <f t="shared" si="2"/>
        <v>275.4</v>
      </c>
      <c r="K11" s="2" t="s">
        <v>153</v>
      </c>
    </row>
    <row r="12" spans="1:14" x14ac:dyDescent="0.2">
      <c r="A12" s="2">
        <v>4</v>
      </c>
      <c r="B12" s="2" t="s">
        <v>362</v>
      </c>
      <c r="C12" s="8">
        <v>2.6</v>
      </c>
      <c r="D12" s="2">
        <f>Parameters!B18</f>
        <v>9000</v>
      </c>
      <c r="E12" s="7">
        <f t="shared" si="0"/>
        <v>23400</v>
      </c>
      <c r="F12" s="7">
        <f>ROUND(E12/Parameters!$B$8,2)</f>
        <v>234</v>
      </c>
      <c r="G12" s="2" t="s">
        <v>154</v>
      </c>
      <c r="H12" s="2" t="s">
        <v>132</v>
      </c>
      <c r="I12" s="8">
        <f t="shared" si="1"/>
        <v>3.4</v>
      </c>
      <c r="J12" s="7">
        <f t="shared" si="2"/>
        <v>795.6</v>
      </c>
      <c r="K12" s="2" t="s">
        <v>153</v>
      </c>
    </row>
    <row r="13" spans="1:14" x14ac:dyDescent="0.2">
      <c r="A13" s="2">
        <v>5</v>
      </c>
      <c r="B13" s="2" t="s">
        <v>363</v>
      </c>
      <c r="C13" s="8">
        <v>1.65</v>
      </c>
      <c r="D13" s="2">
        <f>Parameters!B19</f>
        <v>24000</v>
      </c>
      <c r="E13" s="7">
        <f t="shared" si="0"/>
        <v>39600</v>
      </c>
      <c r="F13" s="7">
        <f>ROUND(E13/Parameters!$B$8,2)</f>
        <v>396</v>
      </c>
      <c r="G13" s="2" t="s">
        <v>154</v>
      </c>
      <c r="H13" s="2" t="s">
        <v>132</v>
      </c>
      <c r="I13" s="8">
        <f t="shared" si="1"/>
        <v>3.4</v>
      </c>
      <c r="J13" s="7">
        <f t="shared" si="2"/>
        <v>1346.4</v>
      </c>
      <c r="K13" s="2" t="s">
        <v>153</v>
      </c>
    </row>
    <row r="14" spans="1:14" x14ac:dyDescent="0.2">
      <c r="A14" s="6" t="s">
        <v>366</v>
      </c>
      <c r="J14" s="11">
        <f>SUMIFS(J4:J13,K4:K13,"Ridgecrest Packaging")</f>
        <v>7339.24</v>
      </c>
    </row>
    <row r="15" spans="1:14" x14ac:dyDescent="0.2">
      <c r="A15" s="6" t="s">
        <v>367</v>
      </c>
      <c r="J15" s="11">
        <f>SUMIFS(J4:J13,K4:K13,"Mesabi Container Co.")</f>
        <v>4991.2</v>
      </c>
    </row>
    <row r="16" spans="1:14" x14ac:dyDescent="0.2">
      <c r="A16" s="2" t="s">
        <v>368</v>
      </c>
      <c r="F16" s="7">
        <f>SUMIFS(F4:F13,H4:H13,"IA")</f>
        <v>1072</v>
      </c>
    </row>
    <row r="17" spans="1:6" x14ac:dyDescent="0.2">
      <c r="A17" s="2" t="s">
        <v>369</v>
      </c>
      <c r="F17" s="7">
        <f>SUMIFS(F4:F13,H4:H13,"NE")</f>
        <v>396</v>
      </c>
    </row>
    <row r="18" spans="1:6" x14ac:dyDescent="0.2">
      <c r="A18" s="2" t="s">
        <v>370</v>
      </c>
      <c r="F18" s="7">
        <f>SUMIFS(F4:F13,H4:H13,"MN")</f>
        <v>1468</v>
      </c>
    </row>
    <row r="20" spans="1:6" x14ac:dyDescent="0.2">
      <c r="A20" s="2" t="s">
        <v>371</v>
      </c>
    </row>
    <row r="21" spans="1:6" x14ac:dyDescent="0.2">
      <c r="A21" s="2" t="s">
        <v>372</v>
      </c>
    </row>
    <row r="22" spans="1:6" x14ac:dyDescent="0.2">
      <c r="A22" s="2" t="s">
        <v>373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0"/>
  <sheetViews>
    <sheetView workbookViewId="0"/>
  </sheetViews>
  <sheetFormatPr baseColWidth="10" defaultColWidth="8.83203125" defaultRowHeight="15" x14ac:dyDescent="0.2"/>
  <cols>
    <col min="1" max="1" width="28" customWidth="1"/>
    <col min="2" max="2" width="14" customWidth="1"/>
    <col min="3" max="3" width="26" customWidth="1"/>
    <col min="4" max="4" width="10" customWidth="1"/>
    <col min="5" max="5" width="32" customWidth="1"/>
    <col min="6" max="7" width="30" customWidth="1"/>
    <col min="8" max="8" width="28" customWidth="1"/>
    <col min="9" max="9" width="64" customWidth="1"/>
    <col min="10" max="10" width="18" customWidth="1"/>
    <col min="11" max="11" width="16" customWidth="1"/>
    <col min="12" max="12" width="90" customWidth="1"/>
  </cols>
  <sheetData>
    <row r="1" spans="1:12" ht="17" customHeight="1" x14ac:dyDescent="0.2">
      <c r="A1" s="1" t="s">
        <v>374</v>
      </c>
    </row>
    <row r="3" spans="1:12" x14ac:dyDescent="0.2">
      <c r="A3" s="3" t="s">
        <v>111</v>
      </c>
      <c r="B3" s="3" t="s">
        <v>375</v>
      </c>
      <c r="C3" s="3" t="s">
        <v>376</v>
      </c>
      <c r="D3" s="3" t="s">
        <v>377</v>
      </c>
      <c r="E3" s="3" t="s">
        <v>378</v>
      </c>
      <c r="F3" s="3" t="s">
        <v>379</v>
      </c>
      <c r="G3" s="3" t="s">
        <v>380</v>
      </c>
      <c r="H3" s="3" t="s">
        <v>381</v>
      </c>
      <c r="I3" s="3" t="s">
        <v>382</v>
      </c>
      <c r="J3" s="3" t="s">
        <v>383</v>
      </c>
      <c r="K3" s="3" t="s">
        <v>384</v>
      </c>
      <c r="L3" s="3" t="s">
        <v>385</v>
      </c>
    </row>
    <row r="4" spans="1:12" ht="16" customHeight="1" x14ac:dyDescent="0.2">
      <c r="A4" s="2" t="str">
        <f>Terms!A4</f>
        <v>Brannock Box Company</v>
      </c>
      <c r="B4" s="2" t="str">
        <f>'Bid Security'!G4</f>
        <v>Yes</v>
      </c>
      <c r="C4" s="2" t="str">
        <f>IF(ISNUMBER(SEARCH(Parameters!$B$9,Terms!H4)),"Yes","No")</f>
        <v>No</v>
      </c>
      <c r="D4" s="2" t="str">
        <f>IF(Terms!I4="Yes","Yes","No")</f>
        <v>Yes</v>
      </c>
      <c r="E4" s="2" t="str">
        <f>IF(ROUND('Bids as Written'!D7,2)=ROUND('Bids as Written'!C7*Parameters!$B$10,2),"No, superseded 36,000","Yes")</f>
        <v>No, superseded 36,000</v>
      </c>
      <c r="F4" s="2" t="s">
        <v>386</v>
      </c>
      <c r="G4" s="2" t="s">
        <v>126</v>
      </c>
      <c r="H4" s="2" t="str">
        <f>'Bid Conditions'!D4</f>
        <v>No</v>
      </c>
      <c r="I4" s="4" t="str">
        <f>'Bid Conditions'!B4</f>
        <v>None stated; the form acknowledges addendum 1 only and prices item 3 at 36,000 with item 5 on 32 ECT board</v>
      </c>
      <c r="J4" s="2" t="str">
        <f>IF(ISNUMBER(SEARCH("lternate",'Bid Conditions'!B4)),"Yes, not evaluated","No")</f>
        <v>No</v>
      </c>
      <c r="K4" s="2" t="str">
        <f t="shared" ref="K4:K14" si="0">IF(AND(B4="Yes",C4="Yes",D4="Yes",LEFT(E4,3)="Yes",F4="Yes",G4="Yes",H4="No"),"Responsive","Non-responsive")</f>
        <v>Non-responsive</v>
      </c>
      <c r="L4" s="4" t="str">
        <f>TRIM(IF(B4="No","No bid security, section 3.2. ","")&amp;IF(B4="No, short","Bid security under five percent of the total bid as written, section 3.2 and addendum 2. ","")&amp;IF(C4="No","Addendum 2 not acknowledged, section 3.2; bid on the superseded item 3 quantity and item 5 grade, PP-3.4.5. ","")&amp;IF(D4="No","Samples not received, section 3.2. ","")&amp;IF(AND(C4="Yes",LEFT(E4,2)="No"),"Item 3 priced at the superseded quantity, PP-3.4.5. ","")&amp;IF(AND(C4="Yes",LEFT(F4,2)="No"),"Bid on a superseded specification, "&amp;MID(F4,5,40)&amp;", PP-3.4.5. ","")&amp;IF(LEFT(G4,2)="No","Item 4 offered only as an alternate, with no bid on the item as specified, section 5.2 and 4.4. ","")&amp;IF(H4="Yes","Exception to a material term, "&amp;'Bid Conditions'!C4&amp;", section 5.2 and PP-3.4.4. ",""))</f>
        <v>Addendum 2 not acknowledged, section 3.2; bid on the superseded item 3 quantity and item 5 grade, PP-3.4.5.</v>
      </c>
    </row>
    <row r="5" spans="1:12" ht="16" customHeight="1" x14ac:dyDescent="0.2">
      <c r="A5" s="2" t="str">
        <f>Terms!A5</f>
        <v>Dahlgren Paper Box Co.</v>
      </c>
      <c r="B5" s="2" t="str">
        <f>'Bid Security'!G5</f>
        <v>No, short</v>
      </c>
      <c r="C5" s="2" t="str">
        <f>IF(ISNUMBER(SEARCH(Parameters!$B$9,Terms!H5)),"Yes","No")</f>
        <v>Yes</v>
      </c>
      <c r="D5" s="2" t="str">
        <f>IF(Terms!I5="Yes","Yes","No")</f>
        <v>Yes</v>
      </c>
      <c r="E5" s="2" t="str">
        <f>IF(ROUND('Bids as Written'!F7,2)=ROUND('Bids as Written'!E7*Parameters!$B$10,2),"No, superseded 36,000","Yes")</f>
        <v>Yes</v>
      </c>
      <c r="F5" s="2" t="s">
        <v>126</v>
      </c>
      <c r="G5" s="2" t="s">
        <v>126</v>
      </c>
      <c r="H5" s="2" t="str">
        <f>'Bid Conditions'!D5</f>
        <v>No</v>
      </c>
      <c r="I5" s="4" t="str">
        <f>'Bid Conditions'!B5</f>
        <v>None; releases taken in any pallet quantity</v>
      </c>
      <c r="J5" s="2" t="str">
        <f>IF(ISNUMBER(SEARCH("lternate",'Bid Conditions'!B5)),"Yes, not evaluated","No")</f>
        <v>No</v>
      </c>
      <c r="K5" s="2" t="str">
        <f t="shared" si="0"/>
        <v>Non-responsive</v>
      </c>
      <c r="L5" s="4" t="str">
        <f>TRIM(IF(B5="No","No bid security, section 3.2. ","")&amp;IF(B5="No, short","Bid security under five percent of the total bid as written, section 3.2 and addendum 2. ","")&amp;IF(C5="No","Addendum 2 not acknowledged, section 3.2; bid on the superseded item 3 quantity and item 5 grade, PP-3.4.5. ","")&amp;IF(D5="No","Samples not received, section 3.2. ","")&amp;IF(AND(C5="Yes",LEFT(E5,2)="No"),"Item 3 priced at the superseded quantity, PP-3.4.5. ","")&amp;IF(AND(C5="Yes",LEFT(F5,2)="No"),"Bid on a superseded specification, "&amp;MID(F5,5,40)&amp;", PP-3.4.5. ","")&amp;IF(LEFT(G5,2)="No","Item 4 offered only as an alternate, with no bid on the item as specified, section 5.2 and 4.4. ","")&amp;IF(H5="Yes","Exception to a material term, "&amp;'Bid Conditions'!C5&amp;", section 5.2 and PP-3.4.4. ",""))</f>
        <v>Bid security under five percent of the total bid as written, section 3.2 and addendum 2.</v>
      </c>
    </row>
    <row r="6" spans="1:12" ht="16" customHeight="1" x14ac:dyDescent="0.2">
      <c r="A6" s="2" t="str">
        <f>Terms!A6</f>
        <v>Halvard Corrugated</v>
      </c>
      <c r="B6" s="2" t="str">
        <f>'Bid Security'!G6</f>
        <v>Yes</v>
      </c>
      <c r="C6" s="2" t="str">
        <f>IF(ISNUMBER(SEARCH(Parameters!$B$9,Terms!H6)),"Yes","No")</f>
        <v>Yes</v>
      </c>
      <c r="D6" s="2" t="str">
        <f>IF(Terms!I6="Yes","Yes","No")</f>
        <v>Yes</v>
      </c>
      <c r="E6" s="2" t="str">
        <f>IF(ROUND('Bids as Written'!H7,2)=ROUND('Bids as Written'!G7*Parameters!$B$10,2),"No, superseded 36,000","Yes")</f>
        <v>Yes</v>
      </c>
      <c r="F6" s="2" t="s">
        <v>126</v>
      </c>
      <c r="G6" s="2" t="s">
        <v>126</v>
      </c>
      <c r="H6" s="2" t="str">
        <f>'Bid Conditions'!D6</f>
        <v>Yes</v>
      </c>
      <c r="I6" s="4" t="str">
        <f>'Bid Conditions'!B6</f>
        <v>Prices held firm for six months from award, then adjusted quarterly to the Pulp and Paper Week 42 lb kraft linerboard index</v>
      </c>
      <c r="J6" s="2" t="str">
        <f>IF(ISNUMBER(SEARCH("lternate",'Bid Conditions'!B6)),"Yes, not evaluated","No")</f>
        <v>No</v>
      </c>
      <c r="K6" s="2" t="str">
        <f t="shared" si="0"/>
        <v>Non-responsive</v>
      </c>
      <c r="L6" s="4" t="str">
        <f>TRIM(IF(B6="No","No bid security, section 3.2. ","")&amp;IF(B6="No, short","Bid security under five percent of the total bid as written, section 3.2 and addendum 2. ","")&amp;IF(C6="No","Addendum 2 not acknowledged, section 3.2; bid on the superseded item 3 quantity and item 5 grade, PP-3.4.5. ","")&amp;IF(D6="No","Samples not received, section 3.2. ","")&amp;IF(AND(C6="Yes",LEFT(E6,2)="No"),"Item 3 priced at the superseded quantity, PP-3.4.5. ","")&amp;IF(AND(C6="Yes",LEFT(F6,2)="No"),"Bid on a superseded specification, "&amp;MID(F6,5,40)&amp;", PP-3.4.5. ","")&amp;IF(LEFT(G6,2)="No","Item 4 offered only as an alternate, with no bid on the item as specified, section 5.2 and 4.4. ","")&amp;IF(H6="Yes","Exception to a material term, "&amp;'Bid Conditions'!C6&amp;", section 5.2 and PP-3.4.4. ",""))</f>
        <v>Exception to a material term, Price hold, section 4.3, section 5.2 and PP-3.4.4.</v>
      </c>
    </row>
    <row r="7" spans="1:12" ht="16" customHeight="1" x14ac:dyDescent="0.2">
      <c r="A7" s="2" t="str">
        <f>Terms!A7</f>
        <v>Kessel Container Corp.</v>
      </c>
      <c r="B7" s="2" t="str">
        <f>'Bid Security'!G7</f>
        <v>Yes</v>
      </c>
      <c r="C7" s="2" t="str">
        <f>IF(ISNUMBER(SEARCH(Parameters!$B$9,Terms!H7)),"Yes","No")</f>
        <v>Yes</v>
      </c>
      <c r="D7" s="2" t="str">
        <f>IF(Terms!I7="Yes","Yes","No")</f>
        <v>Yes</v>
      </c>
      <c r="E7" s="2" t="str">
        <f>IF(ROUND('Bids as Written'!J7,2)=ROUND('Bids as Written'!I7*Parameters!$B$10,2),"No, superseded 36,000","Yes")</f>
        <v>Yes</v>
      </c>
      <c r="F7" s="2" t="s">
        <v>387</v>
      </c>
      <c r="G7" s="2" t="s">
        <v>126</v>
      </c>
      <c r="H7" s="2" t="str">
        <f>'Bid Conditions'!D7</f>
        <v>No</v>
      </c>
      <c r="I7" s="4" t="str">
        <f>'Bid Conditions'!B7</f>
        <v>None; prices hold through December 31, 2027, which runs past twelve months from any award this year</v>
      </c>
      <c r="J7" s="2" t="str">
        <f>IF(ISNUMBER(SEARCH("lternate",'Bid Conditions'!B7)),"Yes, not evaluated","No")</f>
        <v>No</v>
      </c>
      <c r="K7" s="2" t="str">
        <f t="shared" si="0"/>
        <v>Non-responsive</v>
      </c>
      <c r="L7" s="4" t="str">
        <f>TRIM(IF(B7="No","No bid security, section 3.2. ","")&amp;IF(B7="No, short","Bid security under five percent of the total bid as written, section 3.2 and addendum 2. ","")&amp;IF(C7="No","Addendum 2 not acknowledged, section 3.2; bid on the superseded item 3 quantity and item 5 grade, PP-3.4.5. ","")&amp;IF(D7="No","Samples not received, section 3.2. ","")&amp;IF(AND(C7="Yes",LEFT(E7,2)="No"),"Item 3 priced at the superseded quantity, PP-3.4.5. ","")&amp;IF(AND(C7="Yes",LEFT(F7,2)="No"),"Bid on a superseded specification, "&amp;MID(F7,5,40)&amp;", PP-3.4.5. ","")&amp;IF(LEFT(G7,2)="No","Item 4 offered only as an alternate, with no bid on the item as specified, section 5.2 and 4.4. ","")&amp;IF(H7="Yes","Exception to a material term, "&amp;'Bid Conditions'!C7&amp;", section 5.2 and PP-3.4.4. ",""))</f>
        <v>Bid on a superseded specification, item 2 as 18 x 12 x 12, PP-3.4.5.</v>
      </c>
    </row>
    <row r="8" spans="1:12" ht="16" customHeight="1" x14ac:dyDescent="0.2">
      <c r="A8" s="2" t="str">
        <f>Terms!A8</f>
        <v>Loken &amp; Vik Container</v>
      </c>
      <c r="B8" s="2" t="str">
        <f>'Bid Security'!G8</f>
        <v>Yes</v>
      </c>
      <c r="C8" s="2" t="str">
        <f>IF(ISNUMBER(SEARCH(Parameters!$B$9,Terms!H8)),"Yes","No")</f>
        <v>Yes</v>
      </c>
      <c r="D8" s="2" t="str">
        <f>IF(Terms!I8="Yes","Yes","No")</f>
        <v>Yes</v>
      </c>
      <c r="E8" s="2" t="str">
        <f>IF(ROUND('Bids as Written'!L7,2)=ROUND('Bids as Written'!K7*Parameters!$B$10,2),"No, superseded 36,000","Yes")</f>
        <v>Yes</v>
      </c>
      <c r="F8" s="2" t="s">
        <v>126</v>
      </c>
      <c r="G8" s="2" t="s">
        <v>126</v>
      </c>
      <c r="H8" s="2" t="str">
        <f>'Bid Conditions'!D8</f>
        <v>No</v>
      </c>
      <c r="I8" s="4" t="str">
        <f>'Bid Conditions'!B8</f>
        <v>None; releases requested at least ten working days ahead of delivery</v>
      </c>
      <c r="J8" s="2" t="str">
        <f>IF(ISNUMBER(SEARCH("lternate",'Bid Conditions'!B8)),"Yes, not evaluated","No")</f>
        <v>No</v>
      </c>
      <c r="K8" s="2" t="str">
        <f t="shared" si="0"/>
        <v>Responsive</v>
      </c>
      <c r="L8" s="4" t="str">
        <f>TRIM(IF(B8="No","No bid security, section 3.2. ","")&amp;IF(B8="No, short","Bid security under five percent of the total bid as written, section 3.2 and addendum 2. ","")&amp;IF(C8="No","Addendum 2 not acknowledged, section 3.2; bid on the superseded item 3 quantity and item 5 grade, PP-3.4.5. ","")&amp;IF(D8="No","Samples not received, section 3.2. ","")&amp;IF(AND(C8="Yes",LEFT(E8,2)="No"),"Item 3 priced at the superseded quantity, PP-3.4.5. ","")&amp;IF(AND(C8="Yes",LEFT(F8,2)="No"),"Bid on a superseded specification, "&amp;MID(F8,5,40)&amp;", PP-3.4.5. ","")&amp;IF(LEFT(G8,2)="No","Item 4 offered only as an alternate, with no bid on the item as specified, section 5.2 and 4.4. ","")&amp;IF(H8="Yes","Exception to a material term, "&amp;'Bid Conditions'!C8&amp;", section 5.2 and PP-3.4.4. ",""))</f>
        <v/>
      </c>
    </row>
    <row r="9" spans="1:12" ht="16" customHeight="1" x14ac:dyDescent="0.2">
      <c r="A9" s="2" t="str">
        <f>Terms!A9</f>
        <v>Mesabi Container Co.</v>
      </c>
      <c r="B9" s="2" t="str">
        <f>'Bid Security'!G9</f>
        <v>Yes</v>
      </c>
      <c r="C9" s="2" t="str">
        <f>IF(ISNUMBER(SEARCH(Parameters!$B$9,Terms!H9)),"Yes","No")</f>
        <v>Yes</v>
      </c>
      <c r="D9" s="2" t="str">
        <f>IF(Terms!I9="Yes","Yes","No")</f>
        <v>Yes</v>
      </c>
      <c r="E9" s="2" t="str">
        <f>IF(ROUND('Bids as Written'!N7,2)=ROUND('Bids as Written'!M7*Parameters!$B$10,2),"No, superseded 36,000","Yes")</f>
        <v>Yes</v>
      </c>
      <c r="F9" s="2" t="s">
        <v>126</v>
      </c>
      <c r="G9" s="2" t="s">
        <v>388</v>
      </c>
      <c r="H9" s="2" t="str">
        <f>'Bid Conditions'!D9</f>
        <v>No</v>
      </c>
      <c r="I9" s="4" t="str">
        <f>'Bid Conditions'!B9</f>
        <v>Item 4 offered on 200 lb test doublewall only, the Duluth plant not running 275 lb test; FOB origin, all five items from Duluth</v>
      </c>
      <c r="J9" s="2" t="str">
        <f>IF(ISNUMBER(SEARCH("lternate",'Bid Conditions'!B9)),"Yes, not evaluated","No")</f>
        <v>No</v>
      </c>
      <c r="K9" s="2" t="str">
        <f t="shared" si="0"/>
        <v>Non-responsive</v>
      </c>
      <c r="L9" s="4" t="str">
        <f>TRIM(IF(B9="No","No bid security, section 3.2. ","")&amp;IF(B9="No, short","Bid security under five percent of the total bid as written, section 3.2 and addendum 2. ","")&amp;IF(C9="No","Addendum 2 not acknowledged, section 3.2; bid on the superseded item 3 quantity and item 5 grade, PP-3.4.5. ","")&amp;IF(D9="No","Samples not received, section 3.2. ","")&amp;IF(AND(C9="Yes",LEFT(E9,2)="No"),"Item 3 priced at the superseded quantity, PP-3.4.5. ","")&amp;IF(AND(C9="Yes",LEFT(F9,2)="No"),"Bid on a superseded specification, "&amp;MID(F9,5,40)&amp;", PP-3.4.5. ","")&amp;IF(LEFT(G9,2)="No","Item 4 offered only as an alternate, with no bid on the item as specified, section 5.2 and 4.4. ","")&amp;IF(H9="Yes","Exception to a material term, "&amp;'Bid Conditions'!C9&amp;", section 5.2 and PP-3.4.4. ",""))</f>
        <v>Item 4 offered only as an alternate, with no bid on the item as specified, section 5.2 and 4.4.</v>
      </c>
    </row>
    <row r="10" spans="1:12" ht="16" customHeight="1" x14ac:dyDescent="0.2">
      <c r="A10" s="2" t="str">
        <f>Terms!A10</f>
        <v>Otter Tail Corrugated</v>
      </c>
      <c r="B10" s="2" t="str">
        <f>'Bid Security'!G10</f>
        <v>Yes</v>
      </c>
      <c r="C10" s="2" t="str">
        <f>IF(ISNUMBER(SEARCH(Parameters!$B$9,Terms!H10)),"Yes","No")</f>
        <v>Yes</v>
      </c>
      <c r="D10" s="2" t="str">
        <f>IF(Terms!I10="Yes","Yes","No")</f>
        <v>Yes</v>
      </c>
      <c r="E10" s="2" t="str">
        <f>IF(ROUND('Bids as Written'!P7,2)=ROUND('Bids as Written'!O7*Parameters!$B$10,2),"No, superseded 36,000","Yes")</f>
        <v>Yes</v>
      </c>
      <c r="F10" s="2" t="s">
        <v>126</v>
      </c>
      <c r="G10" s="2" t="s">
        <v>126</v>
      </c>
      <c r="H10" s="2" t="str">
        <f>'Bid Conditions'!D10</f>
        <v>Yes</v>
      </c>
      <c r="I10" s="4" t="str">
        <f>'Bid Conditions'!B10</f>
        <v>Pricing assumes releases in full truckload quantities of 26 pallets; a release below a full truckload carries a $185 stop charge; the form box reads None</v>
      </c>
      <c r="J10" s="2" t="str">
        <f>IF(ISNUMBER(SEARCH("lternate",'Bid Conditions'!B10)),"Yes, not evaluated","No")</f>
        <v>No</v>
      </c>
      <c r="K10" s="2" t="str">
        <f t="shared" si="0"/>
        <v>Non-responsive</v>
      </c>
      <c r="L10" s="4" t="str">
        <f>TRIM(IF(B10="No","No bid security, section 3.2. ","")&amp;IF(B10="No, short","Bid security under five percent of the total bid as written, section 3.2 and addendum 2. ","")&amp;IF(C10="No","Addendum 2 not acknowledged, section 3.2; bid on the superseded item 3 quantity and item 5 grade, PP-3.4.5. ","")&amp;IF(D10="No","Samples not received, section 3.2. ","")&amp;IF(AND(C10="Yes",LEFT(E10,2)="No"),"Item 3 priced at the superseded quantity, PP-3.4.5. ","")&amp;IF(AND(C10="Yes",LEFT(F10,2)="No"),"Bid on a superseded specification, "&amp;MID(F10,5,40)&amp;", PP-3.4.5. ","")&amp;IF(LEFT(G10,2)="No","Item 4 offered only as an alternate, with no bid on the item as specified, section 5.2 and 4.4. ","")&amp;IF(H10="Yes","Exception to a material term, "&amp;'Bid Conditions'!C10&amp;", section 5.2 and PP-3.4.4. ",""))</f>
        <v>Exception to a material term, Quantity, releases in pallet multiples, section 1, section 5.2 and PP-3.4.4.</v>
      </c>
    </row>
    <row r="11" spans="1:12" ht="16" customHeight="1" x14ac:dyDescent="0.2">
      <c r="A11" s="2" t="str">
        <f>Terms!A11</f>
        <v>Pemberton Container</v>
      </c>
      <c r="B11" s="2" t="str">
        <f>'Bid Security'!G11</f>
        <v>Yes</v>
      </c>
      <c r="C11" s="2" t="str">
        <f>IF(ISNUMBER(SEARCH(Parameters!$B$9,Terms!H11)),"Yes","No")</f>
        <v>Yes</v>
      </c>
      <c r="D11" s="2" t="str">
        <f>IF(Terms!I11="Yes","Yes","No")</f>
        <v>Yes</v>
      </c>
      <c r="E11" s="2" t="str">
        <f>IF(ROUND('Bids as Written'!R7,2)=ROUND('Bids as Written'!Q7*Parameters!$B$10,2),"No, superseded 36,000","Yes")</f>
        <v>Yes</v>
      </c>
      <c r="F11" s="2" t="s">
        <v>126</v>
      </c>
      <c r="G11" s="2" t="s">
        <v>126</v>
      </c>
      <c r="H11" s="2" t="str">
        <f>'Bid Conditions'!D11</f>
        <v>No</v>
      </c>
      <c r="I11" s="4" t="str">
        <f>'Bid Conditions'!B11</f>
        <v>Alternate for item 4 at 200 lb test doublewall, $1.512 per carton, beside the bid on the item as specified</v>
      </c>
      <c r="J11" s="2" t="str">
        <f>IF(ISNUMBER(SEARCH("lternate",'Bid Conditions'!B11)),"Yes, not evaluated","No")</f>
        <v>Yes, not evaluated</v>
      </c>
      <c r="K11" s="2" t="str">
        <f t="shared" si="0"/>
        <v>Responsive</v>
      </c>
      <c r="L11" s="4" t="str">
        <f>TRIM(IF(B11="No","No bid security, section 3.2. ","")&amp;IF(B11="No, short","Bid security under five percent of the total bid as written, section 3.2 and addendum 2. ","")&amp;IF(C11="No","Addendum 2 not acknowledged, section 3.2; bid on the superseded item 3 quantity and item 5 grade, PP-3.4.5. ","")&amp;IF(D11="No","Samples not received, section 3.2. ","")&amp;IF(AND(C11="Yes",LEFT(E11,2)="No"),"Item 3 priced at the superseded quantity, PP-3.4.5. ","")&amp;IF(AND(C11="Yes",LEFT(F11,2)="No"),"Bid on a superseded specification, "&amp;MID(F11,5,40)&amp;", PP-3.4.5. ","")&amp;IF(LEFT(G11,2)="No","Item 4 offered only as an alternate, with no bid on the item as specified, section 5.2 and 4.4. ","")&amp;IF(H11="Yes","Exception to a material term, "&amp;'Bid Conditions'!C11&amp;", section 5.2 and PP-3.4.4. ",""))</f>
        <v/>
      </c>
    </row>
    <row r="12" spans="1:12" ht="16" customHeight="1" x14ac:dyDescent="0.2">
      <c r="A12" s="2" t="str">
        <f>Terms!A12</f>
        <v>Ridgecrest Packaging</v>
      </c>
      <c r="B12" s="2" t="str">
        <f>'Bid Security'!G12</f>
        <v>Yes</v>
      </c>
      <c r="C12" s="2" t="str">
        <f>IF(ISNUMBER(SEARCH(Parameters!$B$9,Terms!H12)),"Yes","No")</f>
        <v>Yes</v>
      </c>
      <c r="D12" s="2" t="str">
        <f>IF(Terms!I12="Yes","Yes","No")</f>
        <v>Yes</v>
      </c>
      <c r="E12" s="2" t="str">
        <f>IF(ROUND('Bids as Written'!T7,2)=ROUND('Bids as Written'!S7*Parameters!$B$10,2),"No, superseded 36,000","Yes")</f>
        <v>Yes</v>
      </c>
      <c r="F12" s="2" t="s">
        <v>126</v>
      </c>
      <c r="G12" s="2" t="s">
        <v>126</v>
      </c>
      <c r="H12" s="2" t="str">
        <f>'Bid Conditions'!D12</f>
        <v>No</v>
      </c>
      <c r="I12" s="4" t="str">
        <f>'Bid Conditions'!B12</f>
        <v>None; FOB origin, items 1 to 4 shipped from Cedar Rapids and item 5 from Omaha; tooling credited back if the award arrives by October 30</v>
      </c>
      <c r="J12" s="2" t="str">
        <f>IF(ISNUMBER(SEARCH("lternate",'Bid Conditions'!B12)),"Yes, not evaluated","No")</f>
        <v>No</v>
      </c>
      <c r="K12" s="2" t="str">
        <f t="shared" si="0"/>
        <v>Responsive</v>
      </c>
      <c r="L12" s="4" t="str">
        <f>TRIM(IF(B12="No","No bid security, section 3.2. ","")&amp;IF(B12="No, short","Bid security under five percent of the total bid as written, section 3.2 and addendum 2. ","")&amp;IF(C12="No","Addendum 2 not acknowledged, section 3.2; bid on the superseded item 3 quantity and item 5 grade, PP-3.4.5. ","")&amp;IF(D12="No","Samples not received, section 3.2. ","")&amp;IF(AND(C12="Yes",LEFT(E12,2)="No"),"Item 3 priced at the superseded quantity, PP-3.4.5. ","")&amp;IF(AND(C12="Yes",LEFT(F12,2)="No"),"Bid on a superseded specification, "&amp;MID(F12,5,40)&amp;", PP-3.4.5. ","")&amp;IF(LEFT(G12,2)="No","Item 4 offered only as an alternate, with no bid on the item as specified, section 5.2 and 4.4. ","")&amp;IF(H12="Yes","Exception to a material term, "&amp;'Bid Conditions'!C12&amp;", section 5.2 and PP-3.4.4. ",""))</f>
        <v/>
      </c>
    </row>
    <row r="13" spans="1:12" ht="16" customHeight="1" x14ac:dyDescent="0.2">
      <c r="A13" s="2" t="str">
        <f>Terms!A13</f>
        <v>Thorsgard Box &amp; Label</v>
      </c>
      <c r="B13" s="2" t="str">
        <f>'Bid Security'!G13</f>
        <v>Yes</v>
      </c>
      <c r="C13" s="2" t="str">
        <f>IF(ISNUMBER(SEARCH(Parameters!$B$9,Terms!H13)),"Yes","No")</f>
        <v>Yes</v>
      </c>
      <c r="D13" s="2" t="str">
        <f>IF(Terms!I13="Yes","Yes","No")</f>
        <v>Yes</v>
      </c>
      <c r="E13" s="2" t="str">
        <f>IF(ROUND('Bids as Written'!V7,2)=ROUND('Bids as Written'!U7*Parameters!$B$10,2),"No, superseded 36,000","Yes")</f>
        <v>Yes</v>
      </c>
      <c r="F13" s="2" t="s">
        <v>126</v>
      </c>
      <c r="G13" s="2" t="s">
        <v>126</v>
      </c>
      <c r="H13" s="2" t="str">
        <f>'Bid Conditions'!D13</f>
        <v>Yes</v>
      </c>
      <c r="I13" s="4" t="str">
        <f>'Bid Conditions'!B13</f>
        <v>Prices firm through September 30, 2027; the form box reads Yes to twelve months from award</v>
      </c>
      <c r="J13" s="2" t="str">
        <f>IF(ISNUMBER(SEARCH("lternate",'Bid Conditions'!B13)),"Yes, not evaluated","No")</f>
        <v>No</v>
      </c>
      <c r="K13" s="2" t="str">
        <f t="shared" si="0"/>
        <v>Non-responsive</v>
      </c>
      <c r="L13" s="4" t="str">
        <f>TRIM(IF(B13="No","No bid security, section 3.2. ","")&amp;IF(B13="No, short","Bid security under five percent of the total bid as written, section 3.2 and addendum 2. ","")&amp;IF(C13="No","Addendum 2 not acknowledged, section 3.2; bid on the superseded item 3 quantity and item 5 grade, PP-3.4.5. ","")&amp;IF(D13="No","Samples not received, section 3.2. ","")&amp;IF(AND(C13="Yes",LEFT(E13,2)="No"),"Item 3 priced at the superseded quantity, PP-3.4.5. ","")&amp;IF(AND(C13="Yes",LEFT(F13,2)="No"),"Bid on a superseded specification, "&amp;MID(F13,5,40)&amp;", PP-3.4.5. ","")&amp;IF(LEFT(G13,2)="No","Item 4 offered only as an alternate, with no bid on the item as specified, section 5.2 and 4.4. ","")&amp;IF(H13="Yes","Exception to a material term, "&amp;'Bid Conditions'!C13&amp;", section 5.2 and PP-3.4.4. ",""))</f>
        <v>Exception to a material term, Price hold, section 4.3, section 5.2 and PP-3.4.4.</v>
      </c>
    </row>
    <row r="14" spans="1:12" ht="16" customHeight="1" x14ac:dyDescent="0.2">
      <c r="A14" s="2" t="str">
        <f>Terms!A14</f>
        <v>Wenzel &amp; Krause Corrugated</v>
      </c>
      <c r="B14" s="2" t="str">
        <f>'Bid Security'!G14</f>
        <v>Yes</v>
      </c>
      <c r="C14" s="2" t="str">
        <f>IF(ISNUMBER(SEARCH(Parameters!$B$9,Terms!H14)),"Yes","No")</f>
        <v>Yes</v>
      </c>
      <c r="D14" s="2" t="str">
        <f>IF(Terms!I14="Yes","Yes","No")</f>
        <v>Yes</v>
      </c>
      <c r="E14" s="2" t="str">
        <f>IF(ROUND('Bids as Written'!X7,2)=ROUND('Bids as Written'!W7*Parameters!$B$10,2),"No, superseded 36,000","Yes")</f>
        <v>Yes</v>
      </c>
      <c r="F14" s="2" t="s">
        <v>126</v>
      </c>
      <c r="G14" s="2" t="s">
        <v>126</v>
      </c>
      <c r="H14" s="2" t="str">
        <f>'Bid Conditions'!D14</f>
        <v>No</v>
      </c>
      <c r="I14" s="4" t="str">
        <f>'Bid Conditions'!B14</f>
        <v>None; the letter follows the linerboard index and holds prices firm for twelve months whatever the index does, and offers stock holding after award that the prices do not depend on</v>
      </c>
      <c r="J14" s="2" t="str">
        <f>IF(ISNUMBER(SEARCH("lternate",'Bid Conditions'!B14)),"Yes, not evaluated","No")</f>
        <v>No</v>
      </c>
      <c r="K14" s="2" t="str">
        <f t="shared" si="0"/>
        <v>Responsive</v>
      </c>
      <c r="L14" s="4" t="str">
        <f>TRIM(IF(B14="No","No bid security, section 3.2. ","")&amp;IF(B14="No, short","Bid security under five percent of the total bid as written, section 3.2 and addendum 2. ","")&amp;IF(C14="No","Addendum 2 not acknowledged, section 3.2; bid on the superseded item 3 quantity and item 5 grade, PP-3.4.5. ","")&amp;IF(D14="No","Samples not received, section 3.2. ","")&amp;IF(AND(C14="Yes",LEFT(E14,2)="No"),"Item 3 priced at the superseded quantity, PP-3.4.5. ","")&amp;IF(AND(C14="Yes",LEFT(F14,2)="No"),"Bid on a superseded specification, "&amp;MID(F14,5,40)&amp;", PP-3.4.5. ","")&amp;IF(LEFT(G14,2)="No","Item 4 offered only as an alternate, with no bid on the item as specified, section 5.2 and 4.4. ","")&amp;IF(H14="Yes","Exception to a material term, "&amp;'Bid Conditions'!C14&amp;", section 5.2 and PP-3.4.4. ",""))</f>
        <v/>
      </c>
    </row>
    <row r="16" spans="1:12" x14ac:dyDescent="0.2">
      <c r="A16" s="2" t="s">
        <v>31</v>
      </c>
      <c r="B16" s="2">
        <f>COUNTIF(K4:K14,"Responsive")</f>
        <v>4</v>
      </c>
    </row>
    <row r="17" spans="1:2" x14ac:dyDescent="0.2">
      <c r="A17" s="2" t="s">
        <v>32</v>
      </c>
      <c r="B17" s="2">
        <f>COUNTIF(K4:K14,"Non-responsive")</f>
        <v>7</v>
      </c>
    </row>
    <row r="19" spans="1:2" x14ac:dyDescent="0.2">
      <c r="A19" s="2" t="s">
        <v>389</v>
      </c>
    </row>
    <row r="20" spans="1:2" x14ac:dyDescent="0.2">
      <c r="A20" s="2" t="s">
        <v>390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1"/>
  <sheetViews>
    <sheetView workbookViewId="0"/>
  </sheetViews>
  <sheetFormatPr baseColWidth="10" defaultColWidth="8.83203125" defaultRowHeight="15" x14ac:dyDescent="0.2"/>
  <cols>
    <col min="1" max="1" width="50" customWidth="1"/>
    <col min="2" max="2" width="28" customWidth="1"/>
    <col min="3" max="3" width="22" customWidth="1"/>
    <col min="4" max="4" width="20" customWidth="1"/>
    <col min="5" max="5" width="14" customWidth="1"/>
    <col min="6" max="6" width="16" customWidth="1"/>
    <col min="7" max="7" width="46" customWidth="1"/>
    <col min="8" max="8" width="66" customWidth="1"/>
  </cols>
  <sheetData>
    <row r="1" spans="1:8" ht="17" customHeight="1" x14ac:dyDescent="0.2">
      <c r="A1" s="1" t="s">
        <v>391</v>
      </c>
    </row>
    <row r="3" spans="1:8" x14ac:dyDescent="0.2">
      <c r="A3" s="3" t="s">
        <v>392</v>
      </c>
      <c r="B3" s="3" t="s">
        <v>111</v>
      </c>
      <c r="C3" s="3" t="s">
        <v>393</v>
      </c>
      <c r="D3" s="3" t="s">
        <v>394</v>
      </c>
      <c r="E3" s="3" t="s">
        <v>395</v>
      </c>
      <c r="F3" s="3" t="s">
        <v>396</v>
      </c>
      <c r="G3" s="3" t="s">
        <v>397</v>
      </c>
      <c r="H3" s="3" t="s">
        <v>398</v>
      </c>
    </row>
    <row r="4" spans="1:8" x14ac:dyDescent="0.2">
      <c r="A4" s="2">
        <v>1</v>
      </c>
      <c r="B4" s="2" t="str">
        <f>IFERROR(INDEX(Evaluation!$B$3:$L$3,MATCH(A4,Evaluation!$B$25:$L$25,0)),"")</f>
        <v>Loken &amp; Vik Container</v>
      </c>
      <c r="C4" s="7">
        <f>IF(B4="","",INDEX(Evaluation!$B$21:$L$21,MATCH(A4,Evaluation!$B$25:$L$25,0)))</f>
        <v>99230.72</v>
      </c>
      <c r="D4" s="2" t="str">
        <f>IF(B4="","",INDEX('Bid Receipt'!$D$4:$D$14,MATCH(B4,'Bid Receipt'!$A$4:$A$14,0))&amp;" "&amp;INDEX('Bid Receipt'!$E$4:$E$14,MATCH(B4,'Bid Receipt'!$A$4:$A$14,0)))</f>
        <v>10/06/2026 10:00</v>
      </c>
      <c r="E4" s="2">
        <f>IF(B4="","",COUNTIFS('Holds on Bidders'!$C$4:$C$7,B4,'Holds on Bidders'!$I$4:$I$7,"Open"))</f>
        <v>1</v>
      </c>
      <c r="F4" s="2" t="str">
        <f>IF(B4="","",IF(FALSE,"Not reached",IF(E4=0,"Award","Passed over")))</f>
        <v>Passed over</v>
      </c>
      <c r="G4" s="2" t="str">
        <f t="shared" ref="G4:G14" si="0">IF(B4="","",IF(F4="Not reached","Not decided, PP-3.7.1",IF(E4=0,"Responsible","Not responsible, open quality hold, PP-3.7.1")))</f>
        <v>Not responsible, open quality hold, PP-3.7.1</v>
      </c>
      <c r="H4" s="2" t="str">
        <f t="shared" ref="H4:H14" si="1">IF(B4="","",IF(F4="Award","Responsive and responsible, first in the order of 5.1 and 5.6",IF(F4="Passed over","Open hold in the register; PP-3.7.1 passes the bid over","Responsibility decided only for the bidder in line, PP-3.7.1")))</f>
        <v>Open hold in the register; PP-3.7.1 passes the bid over</v>
      </c>
    </row>
    <row r="5" spans="1:8" x14ac:dyDescent="0.2">
      <c r="A5" s="2">
        <v>2</v>
      </c>
      <c r="B5" s="2" t="str">
        <f>IFERROR(INDEX(Evaluation!$B$3:$L$3,MATCH(A5,Evaluation!$B$25:$L$25,0)),"")</f>
        <v>Pemberton Container</v>
      </c>
      <c r="C5" s="7">
        <f>IF(B5="","",INDEX(Evaluation!$B$21:$L$21,MATCH(A5,Evaluation!$B$25:$L$25,0)))</f>
        <v>99959</v>
      </c>
      <c r="D5" s="2" t="str">
        <f>IF(B5="","",INDEX('Bid Receipt'!$D$4:$D$14,MATCH(B5,'Bid Receipt'!$A$4:$A$14,0))&amp;" "&amp;INDEX('Bid Receipt'!$E$4:$E$14,MATCH(B5,'Bid Receipt'!$A$4:$A$14,0)))</f>
        <v>10/05/2026 11:37</v>
      </c>
      <c r="E5" s="2">
        <f>IF(B5="","",COUNTIFS('Holds on Bidders'!$C$4:$C$7,B5,'Holds on Bidders'!$I$4:$I$7,"Open"))</f>
        <v>0</v>
      </c>
      <c r="F5" s="2" t="str">
        <f>IF(B5="","",IF(COUNTIF($F$4:F4,"Award")&gt;0,"Not reached",IF(E5=0,"Award","Passed over")))</f>
        <v>Award</v>
      </c>
      <c r="G5" s="2" t="str">
        <f t="shared" si="0"/>
        <v>Responsible</v>
      </c>
      <c r="H5" s="2" t="str">
        <f t="shared" si="1"/>
        <v>Responsive and responsible, first in the order of 5.1 and 5.6</v>
      </c>
    </row>
    <row r="6" spans="1:8" x14ac:dyDescent="0.2">
      <c r="A6" s="2">
        <v>3</v>
      </c>
      <c r="B6" s="2" t="str">
        <f>IFERROR(INDEX(Evaluation!$B$3:$L$3,MATCH(A6,Evaluation!$B$25:$L$25,0)),"")</f>
        <v>Ridgecrest Packaging</v>
      </c>
      <c r="C6" s="7">
        <f>IF(B6="","",INDEX(Evaluation!$B$21:$L$21,MATCH(A6,Evaluation!$B$25:$L$25,0)))</f>
        <v>99927.25</v>
      </c>
      <c r="D6" s="2" t="str">
        <f>IF(B6="","",INDEX('Bid Receipt'!$D$4:$D$14,MATCH(B6,'Bid Receipt'!$A$4:$A$14,0))&amp;" "&amp;INDEX('Bid Receipt'!$E$4:$E$14,MATCH(B6,'Bid Receipt'!$A$4:$A$14,0)))</f>
        <v>10/06/2026 08:15</v>
      </c>
      <c r="E6" s="2">
        <f>IF(B6="","",COUNTIFS('Holds on Bidders'!$C$4:$C$7,B6,'Holds on Bidders'!$I$4:$I$7,"Open"))</f>
        <v>0</v>
      </c>
      <c r="F6" s="2" t="str">
        <f>IF(B6="","",IF(COUNTIF($F$4:F5,"Award")&gt;0,"Not reached",IF(E6=0,"Award","Passed over")))</f>
        <v>Not reached</v>
      </c>
      <c r="G6" s="2" t="str">
        <f t="shared" si="0"/>
        <v>Not decided, PP-3.7.1</v>
      </c>
      <c r="H6" s="2" t="str">
        <f t="shared" si="1"/>
        <v>Responsibility decided only for the bidder in line, PP-3.7.1</v>
      </c>
    </row>
    <row r="7" spans="1:8" x14ac:dyDescent="0.2">
      <c r="A7" s="2">
        <v>4</v>
      </c>
      <c r="B7" s="2" t="str">
        <f>IFERROR(INDEX(Evaluation!$B$3:$L$3,MATCH(A7,Evaluation!$B$25:$L$25,0)),"")</f>
        <v>Wenzel &amp; Krause Corrugated</v>
      </c>
      <c r="C7" s="7">
        <f>IF(B7="","",INDEX(Evaluation!$B$21:$L$21,MATCH(A7,Evaluation!$B$25:$L$25,0)))</f>
        <v>103793.46</v>
      </c>
      <c r="D7" s="2" t="str">
        <f>IF(B7="","",INDEX('Bid Receipt'!$D$4:$D$14,MATCH(B7,'Bid Receipt'!$A$4:$A$14,0))&amp;" "&amp;INDEX('Bid Receipt'!$E$4:$E$14,MATCH(B7,'Bid Receipt'!$A$4:$A$14,0)))</f>
        <v>10/06/2026 09:41</v>
      </c>
      <c r="E7" s="2">
        <f>IF(B7="","",COUNTIFS('Holds on Bidders'!$C$4:$C$7,B7,'Holds on Bidders'!$I$4:$I$7,"Open"))</f>
        <v>0</v>
      </c>
      <c r="F7" s="2" t="str">
        <f>IF(B7="","",IF(COUNTIF($F$4:F6,"Award")&gt;0,"Not reached",IF(E7=0,"Award","Passed over")))</f>
        <v>Not reached</v>
      </c>
      <c r="G7" s="2" t="str">
        <f t="shared" si="0"/>
        <v>Not decided, PP-3.7.1</v>
      </c>
      <c r="H7" s="2" t="str">
        <f t="shared" si="1"/>
        <v>Responsibility decided only for the bidder in line, PP-3.7.1</v>
      </c>
    </row>
    <row r="8" spans="1:8" x14ac:dyDescent="0.2">
      <c r="A8" s="2">
        <v>5</v>
      </c>
      <c r="B8" s="2" t="str">
        <f>IFERROR(INDEX(Evaluation!$B$3:$L$3,MATCH(A8,Evaluation!$B$25:$L$25,0)),"")</f>
        <v/>
      </c>
      <c r="C8" s="7" t="str">
        <f>IF(B8="","",INDEX(Evaluation!$B$21:$L$21,MATCH(A8,Evaluation!$B$25:$L$25,0)))</f>
        <v/>
      </c>
      <c r="D8" s="2" t="str">
        <f>IF(B8="","",INDEX('Bid Receipt'!$D$4:$D$14,MATCH(B8,'Bid Receipt'!$A$4:$A$14,0))&amp;" "&amp;INDEX('Bid Receipt'!$E$4:$E$14,MATCH(B8,'Bid Receipt'!$A$4:$A$14,0)))</f>
        <v/>
      </c>
      <c r="E8" s="2" t="str">
        <f>IF(B8="","",COUNTIFS('Holds on Bidders'!$C$4:$C$7,B8,'Holds on Bidders'!$I$4:$I$7,"Open"))</f>
        <v/>
      </c>
      <c r="F8" s="2" t="str">
        <f>IF(B8="","",IF(COUNTIF($F$4:F7,"Award")&gt;0,"Not reached",IF(E8=0,"Award","Passed over")))</f>
        <v/>
      </c>
      <c r="G8" s="2" t="str">
        <f t="shared" si="0"/>
        <v/>
      </c>
      <c r="H8" s="2" t="str">
        <f t="shared" si="1"/>
        <v/>
      </c>
    </row>
    <row r="9" spans="1:8" x14ac:dyDescent="0.2">
      <c r="A9" s="2">
        <v>6</v>
      </c>
      <c r="B9" s="2" t="str">
        <f>IFERROR(INDEX(Evaluation!$B$3:$L$3,MATCH(A9,Evaluation!$B$25:$L$25,0)),"")</f>
        <v/>
      </c>
      <c r="C9" s="7" t="str">
        <f>IF(B9="","",INDEX(Evaluation!$B$21:$L$21,MATCH(A9,Evaluation!$B$25:$L$25,0)))</f>
        <v/>
      </c>
      <c r="D9" s="2" t="str">
        <f>IF(B9="","",INDEX('Bid Receipt'!$D$4:$D$14,MATCH(B9,'Bid Receipt'!$A$4:$A$14,0))&amp;" "&amp;INDEX('Bid Receipt'!$E$4:$E$14,MATCH(B9,'Bid Receipt'!$A$4:$A$14,0)))</f>
        <v/>
      </c>
      <c r="E9" s="2" t="str">
        <f>IF(B9="","",COUNTIFS('Holds on Bidders'!$C$4:$C$7,B9,'Holds on Bidders'!$I$4:$I$7,"Open"))</f>
        <v/>
      </c>
      <c r="F9" s="2" t="str">
        <f>IF(B9="","",IF(COUNTIF($F$4:F8,"Award")&gt;0,"Not reached",IF(E9=0,"Award","Passed over")))</f>
        <v/>
      </c>
      <c r="G9" s="2" t="str">
        <f t="shared" si="0"/>
        <v/>
      </c>
      <c r="H9" s="2" t="str">
        <f t="shared" si="1"/>
        <v/>
      </c>
    </row>
    <row r="10" spans="1:8" x14ac:dyDescent="0.2">
      <c r="A10" s="2">
        <v>7</v>
      </c>
      <c r="B10" s="2" t="str">
        <f>IFERROR(INDEX(Evaluation!$B$3:$L$3,MATCH(A10,Evaluation!$B$25:$L$25,0)),"")</f>
        <v/>
      </c>
      <c r="C10" s="7" t="str">
        <f>IF(B10="","",INDEX(Evaluation!$B$21:$L$21,MATCH(A10,Evaluation!$B$25:$L$25,0)))</f>
        <v/>
      </c>
      <c r="D10" s="2" t="str">
        <f>IF(B10="","",INDEX('Bid Receipt'!$D$4:$D$14,MATCH(B10,'Bid Receipt'!$A$4:$A$14,0))&amp;" "&amp;INDEX('Bid Receipt'!$E$4:$E$14,MATCH(B10,'Bid Receipt'!$A$4:$A$14,0)))</f>
        <v/>
      </c>
      <c r="E10" s="2" t="str">
        <f>IF(B10="","",COUNTIFS('Holds on Bidders'!$C$4:$C$7,B10,'Holds on Bidders'!$I$4:$I$7,"Open"))</f>
        <v/>
      </c>
      <c r="F10" s="2" t="str">
        <f>IF(B10="","",IF(COUNTIF($F$4:F9,"Award")&gt;0,"Not reached",IF(E10=0,"Award","Passed over")))</f>
        <v/>
      </c>
      <c r="G10" s="2" t="str">
        <f t="shared" si="0"/>
        <v/>
      </c>
      <c r="H10" s="2" t="str">
        <f t="shared" si="1"/>
        <v/>
      </c>
    </row>
    <row r="11" spans="1:8" x14ac:dyDescent="0.2">
      <c r="A11" s="2">
        <v>8</v>
      </c>
      <c r="B11" s="2" t="str">
        <f>IFERROR(INDEX(Evaluation!$B$3:$L$3,MATCH(A11,Evaluation!$B$25:$L$25,0)),"")</f>
        <v/>
      </c>
      <c r="C11" s="7" t="str">
        <f>IF(B11="","",INDEX(Evaluation!$B$21:$L$21,MATCH(A11,Evaluation!$B$25:$L$25,0)))</f>
        <v/>
      </c>
      <c r="D11" s="2" t="str">
        <f>IF(B11="","",INDEX('Bid Receipt'!$D$4:$D$14,MATCH(B11,'Bid Receipt'!$A$4:$A$14,0))&amp;" "&amp;INDEX('Bid Receipt'!$E$4:$E$14,MATCH(B11,'Bid Receipt'!$A$4:$A$14,0)))</f>
        <v/>
      </c>
      <c r="E11" s="2" t="str">
        <f>IF(B11="","",COUNTIFS('Holds on Bidders'!$C$4:$C$7,B11,'Holds on Bidders'!$I$4:$I$7,"Open"))</f>
        <v/>
      </c>
      <c r="F11" s="2" t="str">
        <f>IF(B11="","",IF(COUNTIF($F$4:F10,"Award")&gt;0,"Not reached",IF(E11=0,"Award","Passed over")))</f>
        <v/>
      </c>
      <c r="G11" s="2" t="str">
        <f t="shared" si="0"/>
        <v/>
      </c>
      <c r="H11" s="2" t="str">
        <f t="shared" si="1"/>
        <v/>
      </c>
    </row>
    <row r="12" spans="1:8" x14ac:dyDescent="0.2">
      <c r="A12" s="2">
        <v>9</v>
      </c>
      <c r="B12" s="2" t="str">
        <f>IFERROR(INDEX(Evaluation!$B$3:$L$3,MATCH(A12,Evaluation!$B$25:$L$25,0)),"")</f>
        <v/>
      </c>
      <c r="C12" s="7" t="str">
        <f>IF(B12="","",INDEX(Evaluation!$B$21:$L$21,MATCH(A12,Evaluation!$B$25:$L$25,0)))</f>
        <v/>
      </c>
      <c r="D12" s="2" t="str">
        <f>IF(B12="","",INDEX('Bid Receipt'!$D$4:$D$14,MATCH(B12,'Bid Receipt'!$A$4:$A$14,0))&amp;" "&amp;INDEX('Bid Receipt'!$E$4:$E$14,MATCH(B12,'Bid Receipt'!$A$4:$A$14,0)))</f>
        <v/>
      </c>
      <c r="E12" s="2" t="str">
        <f>IF(B12="","",COUNTIFS('Holds on Bidders'!$C$4:$C$7,B12,'Holds on Bidders'!$I$4:$I$7,"Open"))</f>
        <v/>
      </c>
      <c r="F12" s="2" t="str">
        <f>IF(B12="","",IF(COUNTIF($F$4:F11,"Award")&gt;0,"Not reached",IF(E12=0,"Award","Passed over")))</f>
        <v/>
      </c>
      <c r="G12" s="2" t="str">
        <f t="shared" si="0"/>
        <v/>
      </c>
      <c r="H12" s="2" t="str">
        <f t="shared" si="1"/>
        <v/>
      </c>
    </row>
    <row r="13" spans="1:8" x14ac:dyDescent="0.2">
      <c r="A13" s="2">
        <v>10</v>
      </c>
      <c r="B13" s="2" t="str">
        <f>IFERROR(INDEX(Evaluation!$B$3:$L$3,MATCH(A13,Evaluation!$B$25:$L$25,0)),"")</f>
        <v/>
      </c>
      <c r="C13" s="7" t="str">
        <f>IF(B13="","",INDEX(Evaluation!$B$21:$L$21,MATCH(A13,Evaluation!$B$25:$L$25,0)))</f>
        <v/>
      </c>
      <c r="D13" s="2" t="str">
        <f>IF(B13="","",INDEX('Bid Receipt'!$D$4:$D$14,MATCH(B13,'Bid Receipt'!$A$4:$A$14,0))&amp;" "&amp;INDEX('Bid Receipt'!$E$4:$E$14,MATCH(B13,'Bid Receipt'!$A$4:$A$14,0)))</f>
        <v/>
      </c>
      <c r="E13" s="2" t="str">
        <f>IF(B13="","",COUNTIFS('Holds on Bidders'!$C$4:$C$7,B13,'Holds on Bidders'!$I$4:$I$7,"Open"))</f>
        <v/>
      </c>
      <c r="F13" s="2" t="str">
        <f>IF(B13="","",IF(COUNTIF($F$4:F12,"Award")&gt;0,"Not reached",IF(E13=0,"Award","Passed over")))</f>
        <v/>
      </c>
      <c r="G13" s="2" t="str">
        <f t="shared" si="0"/>
        <v/>
      </c>
      <c r="H13" s="2" t="str">
        <f t="shared" si="1"/>
        <v/>
      </c>
    </row>
    <row r="14" spans="1:8" x14ac:dyDescent="0.2">
      <c r="A14" s="2">
        <v>11</v>
      </c>
      <c r="B14" s="2" t="str">
        <f>IFERROR(INDEX(Evaluation!$B$3:$L$3,MATCH(A14,Evaluation!$B$25:$L$25,0)),"")</f>
        <v/>
      </c>
      <c r="C14" s="7" t="str">
        <f>IF(B14="","",INDEX(Evaluation!$B$21:$L$21,MATCH(A14,Evaluation!$B$25:$L$25,0)))</f>
        <v/>
      </c>
      <c r="D14" s="2" t="str">
        <f>IF(B14="","",INDEX('Bid Receipt'!$D$4:$D$14,MATCH(B14,'Bid Receipt'!$A$4:$A$14,0))&amp;" "&amp;INDEX('Bid Receipt'!$E$4:$E$14,MATCH(B14,'Bid Receipt'!$A$4:$A$14,0)))</f>
        <v/>
      </c>
      <c r="E14" s="2" t="str">
        <f>IF(B14="","",COUNTIFS('Holds on Bidders'!$C$4:$C$7,B14,'Holds on Bidders'!$I$4:$I$7,"Open"))</f>
        <v/>
      </c>
      <c r="F14" s="2" t="str">
        <f>IF(B14="","",IF(COUNTIF($F$4:F13,"Award")&gt;0,"Not reached",IF(E14=0,"Award","Passed over")))</f>
        <v/>
      </c>
      <c r="G14" s="2" t="str">
        <f t="shared" si="0"/>
        <v/>
      </c>
      <c r="H14" s="2" t="str">
        <f t="shared" si="1"/>
        <v/>
      </c>
    </row>
    <row r="17" spans="1:2" x14ac:dyDescent="0.2">
      <c r="A17" s="6" t="s">
        <v>21</v>
      </c>
    </row>
    <row r="18" spans="1:2" x14ac:dyDescent="0.2">
      <c r="A18" s="2" t="s">
        <v>22</v>
      </c>
      <c r="B18" s="2" t="str">
        <f>INDEX(B4:B14,MATCH("Award",F4:F14,0))</f>
        <v>Pemberton Container</v>
      </c>
    </row>
    <row r="19" spans="1:2" x14ac:dyDescent="0.2">
      <c r="A19" s="2" t="s">
        <v>23</v>
      </c>
      <c r="B19" s="7">
        <f>INDEX(C4:C14,MATCH("Award",F4:F14,0))</f>
        <v>99959</v>
      </c>
    </row>
    <row r="20" spans="1:2" x14ac:dyDescent="0.2">
      <c r="A20" s="2" t="s">
        <v>25</v>
      </c>
      <c r="B20" s="2" t="str">
        <f>IFERROR(INDEX(B4:B14,MATCH("Award",F4:F14,0)+1),"None")</f>
        <v>Ridgecrest Packaging</v>
      </c>
    </row>
    <row r="21" spans="1:2" x14ac:dyDescent="0.2">
      <c r="A21" s="2" t="s">
        <v>26</v>
      </c>
      <c r="B21" s="7">
        <f>IFERROR(INDEX(C4:C14,MATCH("Award",F4:F14,0)+1),0)</f>
        <v>99927.25</v>
      </c>
    </row>
    <row r="22" spans="1:2" x14ac:dyDescent="0.2">
      <c r="A22" s="2" t="s">
        <v>27</v>
      </c>
      <c r="B22" s="7">
        <f>ROUND(B19-B21,2)</f>
        <v>31.75</v>
      </c>
    </row>
    <row r="23" spans="1:2" x14ac:dyDescent="0.2">
      <c r="A23" s="2" t="s">
        <v>28</v>
      </c>
      <c r="B23" s="2" t="str">
        <f>IF(ABS(B19-B21)&lt;=Parameters!$B$7,"5.6, within $100 of each other, the bid received first prevails","5.1, the lower total evaluated price")</f>
        <v>5.6, within $100 of each other, the bid received first prevails</v>
      </c>
    </row>
    <row r="24" spans="1:2" x14ac:dyDescent="0.2">
      <c r="A24" s="2" t="s">
        <v>29</v>
      </c>
      <c r="B24" s="2" t="str">
        <f>INDEX(D4:D14,MATCH("Award",F4:F14,0))</f>
        <v>10/05/2026 11:37</v>
      </c>
    </row>
    <row r="25" spans="1:2" x14ac:dyDescent="0.2">
      <c r="A25" s="2" t="s">
        <v>30</v>
      </c>
      <c r="B25" s="2" t="str">
        <f>IFERROR(INDEX(D4:D14,MATCH("Award",F4:F14,0)+1),"None")</f>
        <v>10/06/2026 08:15</v>
      </c>
    </row>
    <row r="26" spans="1:2" x14ac:dyDescent="0.2">
      <c r="A26" s="2" t="s">
        <v>33</v>
      </c>
      <c r="B26" s="2" t="str">
        <f>IFERROR(INDEX(B4:B14,MATCH("Passed over",F4:F14,0)),"None")</f>
        <v>Loken &amp; Vik Container</v>
      </c>
    </row>
    <row r="27" spans="1:2" x14ac:dyDescent="0.2">
      <c r="A27" s="2" t="s">
        <v>34</v>
      </c>
      <c r="B27" s="7">
        <f>IFERROR(INDEX(C4:C14,MATCH("Passed over",F4:F14,0)),0)</f>
        <v>99230.72</v>
      </c>
    </row>
    <row r="28" spans="1:2" x14ac:dyDescent="0.2">
      <c r="A28" s="2" t="s">
        <v>35</v>
      </c>
      <c r="B28" s="7">
        <f>ROUND(B19-B27,2)</f>
        <v>728.28</v>
      </c>
    </row>
    <row r="30" spans="1:2" x14ac:dyDescent="0.2">
      <c r="A30" s="2" t="s">
        <v>399</v>
      </c>
    </row>
    <row r="31" spans="1:2" x14ac:dyDescent="0.2">
      <c r="A31" s="2" t="s">
        <v>400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4"/>
  <sheetViews>
    <sheetView workbookViewId="0"/>
  </sheetViews>
  <sheetFormatPr baseColWidth="10" defaultColWidth="8.83203125" defaultRowHeight="15" x14ac:dyDescent="0.2"/>
  <cols>
    <col min="1" max="1" width="52" customWidth="1"/>
    <col min="2" max="12" width="24" customWidth="1"/>
    <col min="13" max="13" width="32" customWidth="1"/>
  </cols>
  <sheetData>
    <row r="1" spans="1:13" ht="17" customHeight="1" x14ac:dyDescent="0.2">
      <c r="A1" s="1" t="s">
        <v>401</v>
      </c>
    </row>
    <row r="3" spans="1:13" x14ac:dyDescent="0.2">
      <c r="A3" s="3" t="s">
        <v>402</v>
      </c>
      <c r="B3" s="3" t="s">
        <v>121</v>
      </c>
      <c r="C3" s="3" t="s">
        <v>130</v>
      </c>
      <c r="D3" s="3" t="s">
        <v>137</v>
      </c>
      <c r="E3" s="3" t="s">
        <v>142</v>
      </c>
      <c r="F3" s="3" t="s">
        <v>147</v>
      </c>
      <c r="G3" s="3" t="s">
        <v>153</v>
      </c>
      <c r="H3" s="3" t="s">
        <v>157</v>
      </c>
      <c r="I3" s="3" t="s">
        <v>161</v>
      </c>
      <c r="J3" s="3" t="s">
        <v>166</v>
      </c>
      <c r="K3" s="3" t="s">
        <v>171</v>
      </c>
      <c r="L3" s="3" t="s">
        <v>175</v>
      </c>
      <c r="M3" s="3" t="s">
        <v>55</v>
      </c>
    </row>
    <row r="4" spans="1:13" x14ac:dyDescent="0.2">
      <c r="A4" s="2" t="s">
        <v>403</v>
      </c>
      <c r="B4" s="10">
        <f>IF(COUNTIFS('Later Writings'!$A$13:$A$19,B$3,'Later Writings'!$B$13:$B$19,1,'Later Writings'!$F$13:$F$19,"Yes")&gt;0,SUMIFS('Later Writings'!$D$13:$D$19,'Later Writings'!$A$13:$A$19,B$3,'Later Writings'!$B$13:$B$19,1,'Later Writings'!$F$13:$F$19,"Yes"),'Bids as Written'!C5)</f>
        <v>0.571</v>
      </c>
      <c r="C4" s="10">
        <f>IF(COUNTIFS('Later Writings'!$A$13:$A$19,C$3,'Later Writings'!$B$13:$B$19,1,'Later Writings'!$F$13:$F$19,"Yes")&gt;0,SUMIFS('Later Writings'!$D$13:$D$19,'Later Writings'!$A$13:$A$19,C$3,'Later Writings'!$B$13:$B$19,1,'Later Writings'!$F$13:$F$19,"Yes"),'Bids as Written'!E5)</f>
        <v>0.591</v>
      </c>
      <c r="D4" s="10">
        <f>IF(COUNTIFS('Later Writings'!$A$13:$A$19,D$3,'Later Writings'!$B$13:$B$19,1,'Later Writings'!$F$13:$F$19,"Yes")&gt;0,SUMIFS('Later Writings'!$D$13:$D$19,'Later Writings'!$A$13:$A$19,D$3,'Later Writings'!$B$13:$B$19,1,'Later Writings'!$F$13:$F$19,"Yes"),'Bids as Written'!G5)</f>
        <v>0.594</v>
      </c>
      <c r="E4" s="10">
        <f>IF(COUNTIFS('Later Writings'!$A$13:$A$19,E$3,'Later Writings'!$B$13:$B$19,1,'Later Writings'!$F$13:$F$19,"Yes")&gt;0,SUMIFS('Later Writings'!$D$13:$D$19,'Later Writings'!$A$13:$A$19,E$3,'Later Writings'!$B$13:$B$19,1,'Later Writings'!$F$13:$F$19,"Yes"),'Bids as Written'!I5)</f>
        <v>0.59</v>
      </c>
      <c r="F4" s="10">
        <f>IF(COUNTIFS('Later Writings'!$A$13:$A$19,F$3,'Later Writings'!$B$13:$B$19,1,'Later Writings'!$F$13:$F$19,"Yes")&gt;0,SUMIFS('Later Writings'!$D$13:$D$19,'Later Writings'!$A$13:$A$19,F$3,'Later Writings'!$B$13:$B$19,1,'Later Writings'!$F$13:$F$19,"Yes"),'Bids as Written'!K5)</f>
        <v>0.598</v>
      </c>
      <c r="G4" s="10">
        <f>IF(COUNTIFS('Later Writings'!$A$13:$A$19,G$3,'Later Writings'!$B$13:$B$19,1,'Later Writings'!$F$13:$F$19,"Yes")&gt;0,SUMIFS('Later Writings'!$D$13:$D$19,'Later Writings'!$A$13:$A$19,G$3,'Later Writings'!$B$13:$B$19,1,'Later Writings'!$F$13:$F$19,"Yes"),'Bids as Written'!M5)</f>
        <v>0.562</v>
      </c>
      <c r="H4" s="10">
        <f>IF(COUNTIFS('Later Writings'!$A$13:$A$19,H$3,'Later Writings'!$B$13:$B$19,1,'Later Writings'!$F$13:$F$19,"Yes")&gt;0,SUMIFS('Later Writings'!$D$13:$D$19,'Later Writings'!$A$13:$A$19,H$3,'Later Writings'!$B$13:$B$19,1,'Later Writings'!$F$13:$F$19,"Yes"),'Bids as Written'!O5)</f>
        <v>0.583</v>
      </c>
      <c r="I4" s="10">
        <f>IF(COUNTIFS('Later Writings'!$A$13:$A$19,I$3,'Later Writings'!$B$13:$B$19,1,'Later Writings'!$F$13:$F$19,"Yes")&gt;0,SUMIFS('Later Writings'!$D$13:$D$19,'Later Writings'!$A$13:$A$19,I$3,'Later Writings'!$B$13:$B$19,1,'Later Writings'!$F$13:$F$19,"Yes"),'Bids as Written'!Q5)</f>
        <v>0.578</v>
      </c>
      <c r="J4" s="10">
        <f>IF(COUNTIFS('Later Writings'!$A$13:$A$19,J$3,'Later Writings'!$B$13:$B$19,1,'Later Writings'!$F$13:$F$19,"Yes")&gt;0,SUMIFS('Later Writings'!$D$13:$D$19,'Later Writings'!$A$13:$A$19,J$3,'Later Writings'!$B$13:$B$19,1,'Later Writings'!$F$13:$F$19,"Yes"),'Bids as Written'!S5)</f>
        <v>0.546</v>
      </c>
      <c r="K4" s="10">
        <f>IF(COUNTIFS('Later Writings'!$A$13:$A$19,K$3,'Later Writings'!$B$13:$B$19,1,'Later Writings'!$F$13:$F$19,"Yes")&gt;0,SUMIFS('Later Writings'!$D$13:$D$19,'Later Writings'!$A$13:$A$19,K$3,'Later Writings'!$B$13:$B$19,1,'Later Writings'!$F$13:$F$19,"Yes"),'Bids as Written'!U5)</f>
        <v>0.604</v>
      </c>
      <c r="L4" s="10">
        <f>IF(COUNTIFS('Later Writings'!$A$13:$A$19,L$3,'Later Writings'!$B$13:$B$19,1,'Later Writings'!$F$13:$F$19,"Yes")&gt;0,SUMIFS('Later Writings'!$D$13:$D$19,'Later Writings'!$A$13:$A$19,L$3,'Later Writings'!$B$13:$B$19,1,'Later Writings'!$F$13:$F$19,"Yes"),'Bids as Written'!W5)</f>
        <v>0.628</v>
      </c>
      <c r="M4" s="2" t="s">
        <v>404</v>
      </c>
    </row>
    <row r="5" spans="1:13" x14ac:dyDescent="0.2">
      <c r="A5" s="2" t="s">
        <v>405</v>
      </c>
      <c r="B5" s="10">
        <f>IF(COUNTIFS('Later Writings'!$A$13:$A$19,B$3,'Later Writings'!$B$13:$B$19,2,'Later Writings'!$F$13:$F$19,"Yes")&gt;0,SUMIFS('Later Writings'!$D$13:$D$19,'Later Writings'!$A$13:$A$19,B$3,'Later Writings'!$B$13:$B$19,2,'Later Writings'!$F$13:$F$19,"Yes"),'Bids as Written'!C6)</f>
        <v>0.398</v>
      </c>
      <c r="C5" s="10">
        <f>IF(COUNTIFS('Later Writings'!$A$13:$A$19,C$3,'Later Writings'!$B$13:$B$19,2,'Later Writings'!$F$13:$F$19,"Yes")&gt;0,SUMIFS('Later Writings'!$D$13:$D$19,'Later Writings'!$A$13:$A$19,C$3,'Later Writings'!$B$13:$B$19,2,'Later Writings'!$F$13:$F$19,"Yes"),'Bids as Written'!E6)</f>
        <v>0.397</v>
      </c>
      <c r="D5" s="10">
        <f>IF(COUNTIFS('Later Writings'!$A$13:$A$19,D$3,'Later Writings'!$B$13:$B$19,2,'Later Writings'!$F$13:$F$19,"Yes")&gt;0,SUMIFS('Later Writings'!$D$13:$D$19,'Later Writings'!$A$13:$A$19,D$3,'Later Writings'!$B$13:$B$19,2,'Later Writings'!$F$13:$F$19,"Yes"),'Bids as Written'!G6)</f>
        <v>0.404</v>
      </c>
      <c r="E5" s="10">
        <f>IF(COUNTIFS('Later Writings'!$A$13:$A$19,E$3,'Later Writings'!$B$13:$B$19,2,'Later Writings'!$F$13:$F$19,"Yes")&gt;0,SUMIFS('Later Writings'!$D$13:$D$19,'Later Writings'!$A$13:$A$19,E$3,'Later Writings'!$B$13:$B$19,2,'Later Writings'!$F$13:$F$19,"Yes"),'Bids as Written'!I6)</f>
        <v>0.402</v>
      </c>
      <c r="F5" s="10">
        <f>IF(COUNTIFS('Later Writings'!$A$13:$A$19,F$3,'Later Writings'!$B$13:$B$19,2,'Later Writings'!$F$13:$F$19,"Yes")&gt;0,SUMIFS('Later Writings'!$D$13:$D$19,'Later Writings'!$A$13:$A$19,F$3,'Later Writings'!$B$13:$B$19,2,'Later Writings'!$F$13:$F$19,"Yes"),'Bids as Written'!K6)</f>
        <v>0.401</v>
      </c>
      <c r="G5" s="10">
        <f>IF(COUNTIFS('Later Writings'!$A$13:$A$19,G$3,'Later Writings'!$B$13:$B$19,2,'Later Writings'!$F$13:$F$19,"Yes")&gt;0,SUMIFS('Later Writings'!$D$13:$D$19,'Later Writings'!$A$13:$A$19,G$3,'Later Writings'!$B$13:$B$19,2,'Later Writings'!$F$13:$F$19,"Yes"),'Bids as Written'!M6)</f>
        <v>0.386</v>
      </c>
      <c r="H5" s="10">
        <f>IF(COUNTIFS('Later Writings'!$A$13:$A$19,H$3,'Later Writings'!$B$13:$B$19,2,'Later Writings'!$F$13:$F$19,"Yes")&gt;0,SUMIFS('Later Writings'!$D$13:$D$19,'Later Writings'!$A$13:$A$19,H$3,'Later Writings'!$B$13:$B$19,2,'Later Writings'!$F$13:$F$19,"Yes"),'Bids as Written'!O6)</f>
        <v>0.399</v>
      </c>
      <c r="I5" s="10">
        <f>IF(COUNTIFS('Later Writings'!$A$13:$A$19,I$3,'Later Writings'!$B$13:$B$19,2,'Later Writings'!$F$13:$F$19,"Yes")&gt;0,SUMIFS('Later Writings'!$D$13:$D$19,'Later Writings'!$A$13:$A$19,I$3,'Later Writings'!$B$13:$B$19,2,'Later Writings'!$F$13:$F$19,"Yes"),'Bids as Written'!Q6)</f>
        <v>0.408</v>
      </c>
      <c r="J5" s="10">
        <f>IF(COUNTIFS('Later Writings'!$A$13:$A$19,J$3,'Later Writings'!$B$13:$B$19,2,'Later Writings'!$F$13:$F$19,"Yes")&gt;0,SUMIFS('Later Writings'!$D$13:$D$19,'Later Writings'!$A$13:$A$19,J$3,'Later Writings'!$B$13:$B$19,2,'Later Writings'!$F$13:$F$19,"Yes"),'Bids as Written'!S6)</f>
        <v>0.37</v>
      </c>
      <c r="K5" s="10">
        <f>IF(COUNTIFS('Later Writings'!$A$13:$A$19,K$3,'Later Writings'!$B$13:$B$19,2,'Later Writings'!$F$13:$F$19,"Yes")&gt;0,SUMIFS('Later Writings'!$D$13:$D$19,'Later Writings'!$A$13:$A$19,K$3,'Later Writings'!$B$13:$B$19,2,'Later Writings'!$F$13:$F$19,"Yes"),'Bids as Written'!U6)</f>
        <v>0.407</v>
      </c>
      <c r="L5" s="10">
        <f>IF(COUNTIFS('Later Writings'!$A$13:$A$19,L$3,'Later Writings'!$B$13:$B$19,2,'Later Writings'!$F$13:$F$19,"Yes")&gt;0,SUMIFS('Later Writings'!$D$13:$D$19,'Later Writings'!$A$13:$A$19,L$3,'Later Writings'!$B$13:$B$19,2,'Later Writings'!$F$13:$F$19,"Yes"),'Bids as Written'!W6)</f>
        <v>0.428</v>
      </c>
      <c r="M5" s="2" t="s">
        <v>404</v>
      </c>
    </row>
    <row r="6" spans="1:13" x14ac:dyDescent="0.2">
      <c r="A6" s="2" t="s">
        <v>406</v>
      </c>
      <c r="B6" s="10">
        <f>IF(COUNTIFS('Later Writings'!$A$13:$A$19,B$3,'Later Writings'!$B$13:$B$19,3,'Later Writings'!$F$13:$F$19,"Yes")&gt;0,SUMIFS('Later Writings'!$D$13:$D$19,'Later Writings'!$A$13:$A$19,B$3,'Later Writings'!$B$13:$B$19,3,'Later Writings'!$F$13:$F$19,"Yes"),'Bids as Written'!C7)</f>
        <v>0.276</v>
      </c>
      <c r="C6" s="10">
        <f>IF(COUNTIFS('Later Writings'!$A$13:$A$19,C$3,'Later Writings'!$B$13:$B$19,3,'Later Writings'!$F$13:$F$19,"Yes")&gt;0,SUMIFS('Later Writings'!$D$13:$D$19,'Later Writings'!$A$13:$A$19,C$3,'Later Writings'!$B$13:$B$19,3,'Later Writings'!$F$13:$F$19,"Yes"),'Bids as Written'!E7)</f>
        <v>0.284</v>
      </c>
      <c r="D6" s="10">
        <f>IF(COUNTIFS('Later Writings'!$A$13:$A$19,D$3,'Later Writings'!$B$13:$B$19,3,'Later Writings'!$F$13:$F$19,"Yes")&gt;0,SUMIFS('Later Writings'!$D$13:$D$19,'Later Writings'!$A$13:$A$19,D$3,'Later Writings'!$B$13:$B$19,3,'Later Writings'!$F$13:$F$19,"Yes"),'Bids as Written'!G7)</f>
        <v>0.288</v>
      </c>
      <c r="E6" s="10">
        <f>IF(COUNTIFS('Later Writings'!$A$13:$A$19,E$3,'Later Writings'!$B$13:$B$19,3,'Later Writings'!$F$13:$F$19,"Yes")&gt;0,SUMIFS('Later Writings'!$D$13:$D$19,'Later Writings'!$A$13:$A$19,E$3,'Later Writings'!$B$13:$B$19,3,'Later Writings'!$F$13:$F$19,"Yes"),'Bids as Written'!I7)</f>
        <v>0.285</v>
      </c>
      <c r="F6" s="10">
        <f>IF(COUNTIFS('Later Writings'!$A$13:$A$19,F$3,'Later Writings'!$B$13:$B$19,3,'Later Writings'!$F$13:$F$19,"Yes")&gt;0,SUMIFS('Later Writings'!$D$13:$D$19,'Later Writings'!$A$13:$A$19,F$3,'Later Writings'!$B$13:$B$19,3,'Later Writings'!$F$13:$F$19,"Yes"),'Bids as Written'!K7)</f>
        <v>0.287</v>
      </c>
      <c r="G6" s="10">
        <f>IF(COUNTIFS('Later Writings'!$A$13:$A$19,G$3,'Later Writings'!$B$13:$B$19,3,'Later Writings'!$F$13:$F$19,"Yes")&gt;0,SUMIFS('Later Writings'!$D$13:$D$19,'Later Writings'!$A$13:$A$19,G$3,'Later Writings'!$B$13:$B$19,3,'Later Writings'!$F$13:$F$19,"Yes"),'Bids as Written'!M7)</f>
        <v>0.268</v>
      </c>
      <c r="H6" s="10">
        <f>IF(COUNTIFS('Later Writings'!$A$13:$A$19,H$3,'Later Writings'!$B$13:$B$19,3,'Later Writings'!$F$13:$F$19,"Yes")&gt;0,SUMIFS('Later Writings'!$D$13:$D$19,'Later Writings'!$A$13:$A$19,H$3,'Later Writings'!$B$13:$B$19,3,'Later Writings'!$F$13:$F$19,"Yes"),'Bids as Written'!O7)</f>
        <v>0.283</v>
      </c>
      <c r="I6" s="10">
        <f>IF(COUNTIFS('Later Writings'!$A$13:$A$19,I$3,'Later Writings'!$B$13:$B$19,3,'Later Writings'!$F$13:$F$19,"Yes")&gt;0,SUMIFS('Later Writings'!$D$13:$D$19,'Later Writings'!$A$13:$A$19,I$3,'Later Writings'!$B$13:$B$19,3,'Later Writings'!$F$13:$F$19,"Yes"),'Bids as Written'!Q7)</f>
        <v>0.289</v>
      </c>
      <c r="J6" s="10">
        <f>IF(COUNTIFS('Later Writings'!$A$13:$A$19,J$3,'Later Writings'!$B$13:$B$19,3,'Later Writings'!$F$13:$F$19,"Yes")&gt;0,SUMIFS('Later Writings'!$D$13:$D$19,'Later Writings'!$A$13:$A$19,J$3,'Later Writings'!$B$13:$B$19,3,'Later Writings'!$F$13:$F$19,"Yes"),'Bids as Written'!S7)</f>
        <v>0.262</v>
      </c>
      <c r="K6" s="10">
        <f>IF(COUNTIFS('Later Writings'!$A$13:$A$19,K$3,'Later Writings'!$B$13:$B$19,3,'Later Writings'!$F$13:$F$19,"Yes")&gt;0,SUMIFS('Later Writings'!$D$13:$D$19,'Later Writings'!$A$13:$A$19,K$3,'Later Writings'!$B$13:$B$19,3,'Later Writings'!$F$13:$F$19,"Yes"),'Bids as Written'!U7)</f>
        <v>0.281</v>
      </c>
      <c r="L6" s="10">
        <f>IF(COUNTIFS('Later Writings'!$A$13:$A$19,L$3,'Later Writings'!$B$13:$B$19,3,'Later Writings'!$F$13:$F$19,"Yes")&gt;0,SUMIFS('Later Writings'!$D$13:$D$19,'Later Writings'!$A$13:$A$19,L$3,'Later Writings'!$B$13:$B$19,3,'Later Writings'!$F$13:$F$19,"Yes"),'Bids as Written'!W7)</f>
        <v>0.301</v>
      </c>
      <c r="M6" s="2" t="s">
        <v>404</v>
      </c>
    </row>
    <row r="7" spans="1:13" x14ac:dyDescent="0.2">
      <c r="A7" s="2" t="s">
        <v>407</v>
      </c>
      <c r="B7" s="10">
        <f>IF(COUNTIFS('Later Writings'!$A$13:$A$19,B$3,'Later Writings'!$B$13:$B$19,4,'Later Writings'!$F$13:$F$19,"Yes")&gt;0,SUMIFS('Later Writings'!$D$13:$D$19,'Later Writings'!$A$13:$A$19,B$3,'Later Writings'!$B$13:$B$19,4,'Later Writings'!$F$13:$F$19,"Yes"),'Bids as Written'!C8)</f>
        <v>1.655</v>
      </c>
      <c r="C7" s="10">
        <f>IF(COUNTIFS('Later Writings'!$A$13:$A$19,C$3,'Later Writings'!$B$13:$B$19,4,'Later Writings'!$F$13:$F$19,"Yes")&gt;0,SUMIFS('Later Writings'!$D$13:$D$19,'Later Writings'!$A$13:$A$19,C$3,'Later Writings'!$B$13:$B$19,4,'Later Writings'!$F$13:$F$19,"Yes"),'Bids as Written'!E8)</f>
        <v>1.688</v>
      </c>
      <c r="D7" s="10">
        <f>IF(COUNTIFS('Later Writings'!$A$13:$A$19,D$3,'Later Writings'!$B$13:$B$19,4,'Later Writings'!$F$13:$F$19,"Yes")&gt;0,SUMIFS('Later Writings'!$D$13:$D$19,'Later Writings'!$A$13:$A$19,D$3,'Later Writings'!$B$13:$B$19,4,'Later Writings'!$F$13:$F$19,"Yes"),'Bids as Written'!G8)</f>
        <v>1.702</v>
      </c>
      <c r="E7" s="10">
        <f>IF(COUNTIFS('Later Writings'!$A$13:$A$19,E$3,'Later Writings'!$B$13:$B$19,4,'Later Writings'!$F$13:$F$19,"Yes")&gt;0,SUMIFS('Later Writings'!$D$13:$D$19,'Later Writings'!$A$13:$A$19,E$3,'Later Writings'!$B$13:$B$19,4,'Later Writings'!$F$13:$F$19,"Yes"),'Bids as Written'!I8)</f>
        <v>1.679</v>
      </c>
      <c r="F7" s="10">
        <f>IF(COUNTIFS('Later Writings'!$A$13:$A$19,F$3,'Later Writings'!$B$13:$B$19,4,'Later Writings'!$F$13:$F$19,"Yes")&gt;0,SUMIFS('Later Writings'!$D$13:$D$19,'Later Writings'!$A$13:$A$19,F$3,'Later Writings'!$B$13:$B$19,4,'Later Writings'!$F$13:$F$19,"Yes"),'Bids as Written'!K8)</f>
        <v>1.713</v>
      </c>
      <c r="G7" s="10">
        <f>IF(COUNTIFS('Later Writings'!$A$13:$A$19,G$3,'Later Writings'!$B$13:$B$19,4,'Later Writings'!$F$13:$F$19,"Yes")&gt;0,SUMIFS('Later Writings'!$D$13:$D$19,'Later Writings'!$A$13:$A$19,G$3,'Later Writings'!$B$13:$B$19,4,'Later Writings'!$F$13:$F$19,"Yes"),'Bids as Written'!M8)</f>
        <v>1.548</v>
      </c>
      <c r="H7" s="10">
        <f>IF(COUNTIFS('Later Writings'!$A$13:$A$19,H$3,'Later Writings'!$B$13:$B$19,4,'Later Writings'!$F$13:$F$19,"Yes")&gt;0,SUMIFS('Later Writings'!$D$13:$D$19,'Later Writings'!$A$13:$A$19,H$3,'Later Writings'!$B$13:$B$19,4,'Later Writings'!$F$13:$F$19,"Yes"),'Bids as Written'!O8)</f>
        <v>1.694</v>
      </c>
      <c r="I7" s="10">
        <f>IF(COUNTIFS('Later Writings'!$A$13:$A$19,I$3,'Later Writings'!$B$13:$B$19,4,'Later Writings'!$F$13:$F$19,"Yes")&gt;0,SUMIFS('Later Writings'!$D$13:$D$19,'Later Writings'!$A$13:$A$19,I$3,'Later Writings'!$B$13:$B$19,4,'Later Writings'!$F$13:$F$19,"Yes"),'Bids as Written'!Q8)</f>
        <v>1.704</v>
      </c>
      <c r="J7" s="10">
        <f>IF(COUNTIFS('Later Writings'!$A$13:$A$19,J$3,'Later Writings'!$B$13:$B$19,4,'Later Writings'!$F$13:$F$19,"Yes")&gt;0,SUMIFS('Later Writings'!$D$13:$D$19,'Later Writings'!$A$13:$A$19,J$3,'Later Writings'!$B$13:$B$19,4,'Later Writings'!$F$13:$F$19,"Yes"),'Bids as Written'!S8)</f>
        <v>1.575</v>
      </c>
      <c r="K7" s="10">
        <f>IF(COUNTIFS('Later Writings'!$A$13:$A$19,K$3,'Later Writings'!$B$13:$B$19,4,'Later Writings'!$F$13:$F$19,"Yes")&gt;0,SUMIFS('Later Writings'!$D$13:$D$19,'Later Writings'!$A$13:$A$19,K$3,'Later Writings'!$B$13:$B$19,4,'Later Writings'!$F$13:$F$19,"Yes"),'Bids as Written'!U8)</f>
        <v>1.699</v>
      </c>
      <c r="L7" s="10">
        <f>IF(COUNTIFS('Later Writings'!$A$13:$A$19,L$3,'Later Writings'!$B$13:$B$19,4,'Later Writings'!$F$13:$F$19,"Yes")&gt;0,SUMIFS('Later Writings'!$D$13:$D$19,'Later Writings'!$A$13:$A$19,L$3,'Later Writings'!$B$13:$B$19,4,'Later Writings'!$F$13:$F$19,"Yes"),'Bids as Written'!W8)</f>
        <v>1.79</v>
      </c>
      <c r="M7" s="2" t="s">
        <v>404</v>
      </c>
    </row>
    <row r="8" spans="1:13" x14ac:dyDescent="0.2">
      <c r="A8" s="2" t="s">
        <v>408</v>
      </c>
      <c r="B8" s="10">
        <f>IF(COUNTIFS('Later Writings'!$A$13:$A$19,B$3,'Later Writings'!$B$13:$B$19,5,'Later Writings'!$F$13:$F$19,"Yes")&gt;0,SUMIFS('Later Writings'!$D$13:$D$19,'Later Writings'!$A$13:$A$19,B$3,'Later Writings'!$B$13:$B$19,5,'Later Writings'!$F$13:$F$19,"Yes"),'Bids as Written'!C9)</f>
        <v>0.94</v>
      </c>
      <c r="C8" s="10">
        <f>IF(COUNTIFS('Later Writings'!$A$13:$A$19,C$3,'Later Writings'!$B$13:$B$19,5,'Later Writings'!$F$13:$F$19,"Yes")&gt;0,SUMIFS('Later Writings'!$D$13:$D$19,'Later Writings'!$A$13:$A$19,C$3,'Later Writings'!$B$13:$B$19,5,'Later Writings'!$F$13:$F$19,"Yes"),'Bids as Written'!E9)</f>
        <v>0.968</v>
      </c>
      <c r="D8" s="10">
        <f>IF(COUNTIFS('Later Writings'!$A$13:$A$19,D$3,'Later Writings'!$B$13:$B$19,5,'Later Writings'!$F$13:$F$19,"Yes")&gt;0,SUMIFS('Later Writings'!$D$13:$D$19,'Later Writings'!$A$13:$A$19,D$3,'Later Writings'!$B$13:$B$19,5,'Later Writings'!$F$13:$F$19,"Yes"),'Bids as Written'!G9)</f>
        <v>0.972</v>
      </c>
      <c r="E8" s="10">
        <f>IF(COUNTIFS('Later Writings'!$A$13:$A$19,E$3,'Later Writings'!$B$13:$B$19,5,'Later Writings'!$F$13:$F$19,"Yes")&gt;0,SUMIFS('Later Writings'!$D$13:$D$19,'Later Writings'!$A$13:$A$19,E$3,'Later Writings'!$B$13:$B$19,5,'Later Writings'!$F$13:$F$19,"Yes"),'Bids as Written'!I9)</f>
        <v>0.958</v>
      </c>
      <c r="F8" s="10">
        <f>IF(COUNTIFS('Later Writings'!$A$13:$A$19,F$3,'Later Writings'!$B$13:$B$19,5,'Later Writings'!$F$13:$F$19,"Yes")&gt;0,SUMIFS('Later Writings'!$D$13:$D$19,'Later Writings'!$A$13:$A$19,F$3,'Later Writings'!$B$13:$B$19,5,'Later Writings'!$F$13:$F$19,"Yes"),'Bids as Written'!K9)</f>
        <v>0.976</v>
      </c>
      <c r="G8" s="10">
        <f>IF(COUNTIFS('Later Writings'!$A$13:$A$19,G$3,'Later Writings'!$B$13:$B$19,5,'Later Writings'!$F$13:$F$19,"Yes")&gt;0,SUMIFS('Later Writings'!$D$13:$D$19,'Later Writings'!$A$13:$A$19,G$3,'Later Writings'!$B$13:$B$19,5,'Later Writings'!$F$13:$F$19,"Yes"),'Bids as Written'!M9)</f>
        <v>0.91</v>
      </c>
      <c r="H8" s="10">
        <f>IF(COUNTIFS('Later Writings'!$A$13:$A$19,H$3,'Later Writings'!$B$13:$B$19,5,'Later Writings'!$F$13:$F$19,"Yes")&gt;0,SUMIFS('Later Writings'!$D$13:$D$19,'Later Writings'!$A$13:$A$19,H$3,'Later Writings'!$B$13:$B$19,5,'Later Writings'!$F$13:$F$19,"Yes"),'Bids as Written'!O9)</f>
        <v>0.966</v>
      </c>
      <c r="I8" s="10">
        <f>IF(COUNTIFS('Later Writings'!$A$13:$A$19,I$3,'Later Writings'!$B$13:$B$19,5,'Later Writings'!$F$13:$F$19,"Yes")&gt;0,SUMIFS('Later Writings'!$D$13:$D$19,'Later Writings'!$A$13:$A$19,I$3,'Later Writings'!$B$13:$B$19,5,'Later Writings'!$F$13:$F$19,"Yes"),'Bids as Written'!Q9)</f>
        <v>0.952</v>
      </c>
      <c r="J8" s="10">
        <f>IF(COUNTIFS('Later Writings'!$A$13:$A$19,J$3,'Later Writings'!$B$13:$B$19,5,'Later Writings'!$F$13:$F$19,"Yes")&gt;0,SUMIFS('Later Writings'!$D$13:$D$19,'Later Writings'!$A$13:$A$19,J$3,'Later Writings'!$B$13:$B$19,5,'Later Writings'!$F$13:$F$19,"Yes"),'Bids as Written'!S9)</f>
        <v>0.9</v>
      </c>
      <c r="K8" s="10">
        <f>IF(COUNTIFS('Later Writings'!$A$13:$A$19,K$3,'Later Writings'!$B$13:$B$19,5,'Later Writings'!$F$13:$F$19,"Yes")&gt;0,SUMIFS('Later Writings'!$D$13:$D$19,'Later Writings'!$A$13:$A$19,K$3,'Later Writings'!$B$13:$B$19,5,'Later Writings'!$F$13:$F$19,"Yes"),'Bids as Written'!U9)</f>
        <v>0.963</v>
      </c>
      <c r="L8" s="10">
        <f>IF(COUNTIFS('Later Writings'!$A$13:$A$19,L$3,'Later Writings'!$B$13:$B$19,5,'Later Writings'!$F$13:$F$19,"Yes")&gt;0,SUMIFS('Later Writings'!$D$13:$D$19,'Later Writings'!$A$13:$A$19,L$3,'Later Writings'!$B$13:$B$19,5,'Later Writings'!$F$13:$F$19,"Yes"),'Bids as Written'!W9)</f>
        <v>1.012</v>
      </c>
      <c r="M8" s="2" t="s">
        <v>404</v>
      </c>
    </row>
    <row r="9" spans="1:13" x14ac:dyDescent="0.2">
      <c r="A9" s="2" t="s">
        <v>409</v>
      </c>
      <c r="B9" s="7">
        <f>ROUND(B4*Parameters!$B$15,2)</f>
        <v>25695</v>
      </c>
      <c r="C9" s="7">
        <f>ROUND(C4*Parameters!$B$15,2)</f>
        <v>26595</v>
      </c>
      <c r="D9" s="7">
        <f>ROUND(D4*Parameters!$B$15,2)</f>
        <v>26730</v>
      </c>
      <c r="E9" s="7">
        <f>ROUND(E4*Parameters!$B$15,2)</f>
        <v>26550</v>
      </c>
      <c r="F9" s="7">
        <f>ROUND(F4*Parameters!$B$15,2)</f>
        <v>26910</v>
      </c>
      <c r="G9" s="7">
        <f>ROUND(G4*Parameters!$B$15,2)</f>
        <v>25290</v>
      </c>
      <c r="H9" s="7">
        <f>ROUND(H4*Parameters!$B$15,2)</f>
        <v>26235</v>
      </c>
      <c r="I9" s="7">
        <f>ROUND(I4*Parameters!$B$15,2)</f>
        <v>26010</v>
      </c>
      <c r="J9" s="7">
        <f>ROUND(J4*Parameters!$B$15,2)</f>
        <v>24570</v>
      </c>
      <c r="K9" s="7">
        <f>ROUND(K4*Parameters!$B$15,2)</f>
        <v>27180</v>
      </c>
      <c r="L9" s="7">
        <f>ROUND(L4*Parameters!$B$15,2)</f>
        <v>28260</v>
      </c>
      <c r="M9" s="2" t="s">
        <v>410</v>
      </c>
    </row>
    <row r="10" spans="1:13" x14ac:dyDescent="0.2">
      <c r="A10" s="2" t="s">
        <v>411</v>
      </c>
      <c r="B10" s="7">
        <f>ROUND(B5*Parameters!$B$16,2)</f>
        <v>25472</v>
      </c>
      <c r="C10" s="7">
        <f>ROUND(C5*Parameters!$B$16,2)</f>
        <v>25408</v>
      </c>
      <c r="D10" s="7">
        <f>ROUND(D5*Parameters!$B$16,2)</f>
        <v>25856</v>
      </c>
      <c r="E10" s="7">
        <f>ROUND(E5*Parameters!$B$16,2)</f>
        <v>25728</v>
      </c>
      <c r="F10" s="7">
        <f>ROUND(F5*Parameters!$B$16,2)</f>
        <v>25664</v>
      </c>
      <c r="G10" s="7">
        <f>ROUND(G5*Parameters!$B$16,2)</f>
        <v>24704</v>
      </c>
      <c r="H10" s="7">
        <f>ROUND(H5*Parameters!$B$16,2)</f>
        <v>25536</v>
      </c>
      <c r="I10" s="7">
        <f>ROUND(I5*Parameters!$B$16,2)</f>
        <v>26112</v>
      </c>
      <c r="J10" s="7">
        <f>ROUND(J5*Parameters!$B$16,2)</f>
        <v>23680</v>
      </c>
      <c r="K10" s="7">
        <f>ROUND(K5*Parameters!$B$16,2)</f>
        <v>26048</v>
      </c>
      <c r="L10" s="7">
        <f>ROUND(L5*Parameters!$B$16,2)</f>
        <v>27392</v>
      </c>
      <c r="M10" s="2" t="s">
        <v>410</v>
      </c>
    </row>
    <row r="11" spans="1:13" x14ac:dyDescent="0.2">
      <c r="A11" s="2" t="s">
        <v>412</v>
      </c>
      <c r="B11" s="7">
        <f>ROUND(B6*Parameters!$B$17,2)</f>
        <v>7452</v>
      </c>
      <c r="C11" s="7">
        <f>ROUND(C6*Parameters!$B$17,2)</f>
        <v>7668</v>
      </c>
      <c r="D11" s="7">
        <f>ROUND(D6*Parameters!$B$17,2)</f>
        <v>7776</v>
      </c>
      <c r="E11" s="7">
        <f>ROUND(E6*Parameters!$B$17,2)</f>
        <v>7695</v>
      </c>
      <c r="F11" s="7">
        <f>ROUND(F6*Parameters!$B$17,2)</f>
        <v>7749</v>
      </c>
      <c r="G11" s="7">
        <f>ROUND(G6*Parameters!$B$17,2)</f>
        <v>7236</v>
      </c>
      <c r="H11" s="7">
        <f>ROUND(H6*Parameters!$B$17,2)</f>
        <v>7641</v>
      </c>
      <c r="I11" s="7">
        <f>ROUND(I6*Parameters!$B$17,2)</f>
        <v>7803</v>
      </c>
      <c r="J11" s="7">
        <f>ROUND(J6*Parameters!$B$17,2)</f>
        <v>7074</v>
      </c>
      <c r="K11" s="7">
        <f>ROUND(K6*Parameters!$B$17,2)</f>
        <v>7587</v>
      </c>
      <c r="L11" s="7">
        <f>ROUND(L6*Parameters!$B$17,2)</f>
        <v>8127</v>
      </c>
      <c r="M11" s="2" t="s">
        <v>410</v>
      </c>
    </row>
    <row r="12" spans="1:13" x14ac:dyDescent="0.2">
      <c r="A12" s="2" t="s">
        <v>413</v>
      </c>
      <c r="B12" s="7">
        <f>ROUND(B7*Parameters!$B$18,2)</f>
        <v>14895</v>
      </c>
      <c r="C12" s="7">
        <f>ROUND(C7*Parameters!$B$18,2)</f>
        <v>15192</v>
      </c>
      <c r="D12" s="7">
        <f>ROUND(D7*Parameters!$B$18,2)</f>
        <v>15318</v>
      </c>
      <c r="E12" s="7">
        <f>ROUND(E7*Parameters!$B$18,2)</f>
        <v>15111</v>
      </c>
      <c r="F12" s="7">
        <f>ROUND(F7*Parameters!$B$18,2)</f>
        <v>15417</v>
      </c>
      <c r="G12" s="7">
        <f>ROUND(G7*Parameters!$B$18,2)</f>
        <v>13932</v>
      </c>
      <c r="H12" s="7">
        <f>ROUND(H7*Parameters!$B$18,2)</f>
        <v>15246</v>
      </c>
      <c r="I12" s="7">
        <f>ROUND(I7*Parameters!$B$18,2)</f>
        <v>15336</v>
      </c>
      <c r="J12" s="7">
        <f>ROUND(J7*Parameters!$B$18,2)</f>
        <v>14175</v>
      </c>
      <c r="K12" s="7">
        <f>ROUND(K7*Parameters!$B$18,2)</f>
        <v>15291</v>
      </c>
      <c r="L12" s="7">
        <f>ROUND(L7*Parameters!$B$18,2)</f>
        <v>16110</v>
      </c>
      <c r="M12" s="2" t="s">
        <v>410</v>
      </c>
    </row>
    <row r="13" spans="1:13" x14ac:dyDescent="0.2">
      <c r="A13" s="2" t="s">
        <v>414</v>
      </c>
      <c r="B13" s="7">
        <f>ROUND(B8*Parameters!$B$19,2)</f>
        <v>22560</v>
      </c>
      <c r="C13" s="7">
        <f>ROUND(C8*Parameters!$B$19,2)</f>
        <v>23232</v>
      </c>
      <c r="D13" s="7">
        <f>ROUND(D8*Parameters!$B$19,2)</f>
        <v>23328</v>
      </c>
      <c r="E13" s="7">
        <f>ROUND(E8*Parameters!$B$19,2)</f>
        <v>22992</v>
      </c>
      <c r="F13" s="7">
        <f>ROUND(F8*Parameters!$B$19,2)</f>
        <v>23424</v>
      </c>
      <c r="G13" s="7">
        <f>ROUND(G8*Parameters!$B$19,2)</f>
        <v>21840</v>
      </c>
      <c r="H13" s="7">
        <f>ROUND(H8*Parameters!$B$19,2)</f>
        <v>23184</v>
      </c>
      <c r="I13" s="7">
        <f>ROUND(I8*Parameters!$B$19,2)</f>
        <v>22848</v>
      </c>
      <c r="J13" s="7">
        <f>ROUND(J8*Parameters!$B$19,2)</f>
        <v>21600</v>
      </c>
      <c r="K13" s="7">
        <f>ROUND(K8*Parameters!$B$19,2)</f>
        <v>23112</v>
      </c>
      <c r="L13" s="7">
        <f>ROUND(L8*Parameters!$B$19,2)</f>
        <v>24288</v>
      </c>
      <c r="M13" s="2" t="s">
        <v>410</v>
      </c>
    </row>
    <row r="14" spans="1:13" x14ac:dyDescent="0.2">
      <c r="A14" s="6" t="s">
        <v>415</v>
      </c>
      <c r="B14" s="11">
        <f t="shared" ref="B14:L14" si="0">SUM(B9:B13)</f>
        <v>96074</v>
      </c>
      <c r="C14" s="11">
        <f t="shared" si="0"/>
        <v>98095</v>
      </c>
      <c r="D14" s="11">
        <f t="shared" si="0"/>
        <v>99008</v>
      </c>
      <c r="E14" s="11">
        <f t="shared" si="0"/>
        <v>98076</v>
      </c>
      <c r="F14" s="11">
        <f t="shared" si="0"/>
        <v>99164</v>
      </c>
      <c r="G14" s="11">
        <f t="shared" si="0"/>
        <v>93002</v>
      </c>
      <c r="H14" s="11">
        <f t="shared" si="0"/>
        <v>97842</v>
      </c>
      <c r="I14" s="11">
        <f t="shared" si="0"/>
        <v>98109</v>
      </c>
      <c r="J14" s="11">
        <f t="shared" si="0"/>
        <v>91099</v>
      </c>
      <c r="K14" s="11">
        <f t="shared" si="0"/>
        <v>99218</v>
      </c>
      <c r="L14" s="11">
        <f t="shared" si="0"/>
        <v>104177</v>
      </c>
      <c r="M14" s="2" t="s">
        <v>416</v>
      </c>
    </row>
    <row r="15" spans="1:13" x14ac:dyDescent="0.2">
      <c r="A15" s="2" t="s">
        <v>417</v>
      </c>
      <c r="B15" s="7">
        <f>'Bids as Written'!D10</f>
        <v>1500</v>
      </c>
      <c r="C15" s="7">
        <f>'Bids as Written'!F10</f>
        <v>1950</v>
      </c>
      <c r="D15" s="7">
        <f>'Bids as Written'!H10</f>
        <v>1600</v>
      </c>
      <c r="E15" s="7">
        <f>'Bids as Written'!J10</f>
        <v>1800</v>
      </c>
      <c r="F15" s="7">
        <f>'Bids as Written'!L10</f>
        <v>2050</v>
      </c>
      <c r="G15" s="7">
        <f>'Bids as Written'!N10</f>
        <v>1900</v>
      </c>
      <c r="H15" s="7">
        <f>'Bids as Written'!P10</f>
        <v>1725</v>
      </c>
      <c r="I15" s="7">
        <f>'Bids as Written'!R10</f>
        <v>1850</v>
      </c>
      <c r="J15" s="7">
        <f>'Bids as Written'!T10</f>
        <v>2400</v>
      </c>
      <c r="K15" s="7">
        <f>'Bids as Written'!V10</f>
        <v>1650</v>
      </c>
      <c r="L15" s="7">
        <f>'Bids as Written'!X10</f>
        <v>1700</v>
      </c>
      <c r="M15" s="2" t="s">
        <v>418</v>
      </c>
    </row>
    <row r="16" spans="1:13" x14ac:dyDescent="0.2">
      <c r="A16" s="2" t="s">
        <v>419</v>
      </c>
      <c r="B16" s="2" t="str">
        <f>Terms!D4</f>
        <v>Destination</v>
      </c>
      <c r="C16" s="2" t="str">
        <f>Terms!D5</f>
        <v>Destination</v>
      </c>
      <c r="D16" s="2" t="str">
        <f>Terms!D6</f>
        <v>Destination</v>
      </c>
      <c r="E16" s="2" t="str">
        <f>Terms!D7</f>
        <v>Destination</v>
      </c>
      <c r="F16" s="2" t="str">
        <f>Terms!D8</f>
        <v>Destination</v>
      </c>
      <c r="G16" s="2" t="str">
        <f>Terms!D9</f>
        <v>Origin, Duluth plant</v>
      </c>
      <c r="H16" s="2" t="str">
        <f>Terms!D10</f>
        <v>Destination</v>
      </c>
      <c r="I16" s="2" t="str">
        <f>Terms!D11</f>
        <v>Destination</v>
      </c>
      <c r="J16" s="2" t="str">
        <f>Terms!D12</f>
        <v>Origin, shipping plant</v>
      </c>
      <c r="K16" s="2" t="str">
        <f>Terms!D13</f>
        <v>Destination</v>
      </c>
      <c r="L16" s="2" t="str">
        <f>Terms!D14</f>
        <v>Destination</v>
      </c>
      <c r="M16" s="2" t="s">
        <v>420</v>
      </c>
    </row>
    <row r="17" spans="1:13" x14ac:dyDescent="0.2">
      <c r="A17" s="2" t="s">
        <v>15</v>
      </c>
      <c r="B17" s="7">
        <f>SUMIFS(Freight!$J$4:$J$13,Freight!$K$4:$K$13,B$3)</f>
        <v>0</v>
      </c>
      <c r="C17" s="7">
        <f>SUMIFS(Freight!$J$4:$J$13,Freight!$K$4:$K$13,C$3)</f>
        <v>0</v>
      </c>
      <c r="D17" s="7">
        <f>SUMIFS(Freight!$J$4:$J$13,Freight!$K$4:$K$13,D$3)</f>
        <v>0</v>
      </c>
      <c r="E17" s="7">
        <f>SUMIFS(Freight!$J$4:$J$13,Freight!$K$4:$K$13,E$3)</f>
        <v>0</v>
      </c>
      <c r="F17" s="7">
        <f>SUMIFS(Freight!$J$4:$J$13,Freight!$K$4:$K$13,F$3)</f>
        <v>0</v>
      </c>
      <c r="G17" s="7">
        <f>SUMIFS(Freight!$J$4:$J$13,Freight!$K$4:$K$13,G$3)</f>
        <v>4991.2</v>
      </c>
      <c r="H17" s="7">
        <f>SUMIFS(Freight!$J$4:$J$13,Freight!$K$4:$K$13,H$3)</f>
        <v>0</v>
      </c>
      <c r="I17" s="7">
        <f>SUMIFS(Freight!$J$4:$J$13,Freight!$K$4:$K$13,I$3)</f>
        <v>0</v>
      </c>
      <c r="J17" s="7">
        <f>SUMIFS(Freight!$J$4:$J$13,Freight!$K$4:$K$13,J$3)</f>
        <v>7339.24</v>
      </c>
      <c r="K17" s="7">
        <f>SUMIFS(Freight!$J$4:$J$13,Freight!$K$4:$K$13,K$3)</f>
        <v>0</v>
      </c>
      <c r="L17" s="7">
        <f>SUMIFS(Freight!$J$4:$J$13,Freight!$K$4:$K$13,L$3)</f>
        <v>0</v>
      </c>
      <c r="M17" s="2" t="s">
        <v>421</v>
      </c>
    </row>
    <row r="18" spans="1:13" x14ac:dyDescent="0.2">
      <c r="A18" s="2" t="s">
        <v>422</v>
      </c>
      <c r="B18" s="12">
        <f>IFERROR(VALUE(LEFT(Terms!E4,FIND("%",Terms!E4)-1))/100,0)</f>
        <v>0</v>
      </c>
      <c r="C18" s="12">
        <f>IFERROR(VALUE(LEFT(Terms!E5,FIND("%",Terms!E5)-1))/100,0)</f>
        <v>0.01</v>
      </c>
      <c r="D18" s="12">
        <f>IFERROR(VALUE(LEFT(Terms!E6,FIND("%",Terms!E6)-1))/100,0)</f>
        <v>0.02</v>
      </c>
      <c r="E18" s="12">
        <f>IFERROR(VALUE(LEFT(Terms!E7,FIND("%",Terms!E7)-1))/100,0)</f>
        <v>0.01</v>
      </c>
      <c r="F18" s="12">
        <f>IFERROR(VALUE(LEFT(Terms!E8,FIND("%",Terms!E8)-1))/100,0)</f>
        <v>0.02</v>
      </c>
      <c r="G18" s="12">
        <f>IFERROR(VALUE(LEFT(Terms!E9,FIND("%",Terms!E9)-1))/100,0)</f>
        <v>0.01</v>
      </c>
      <c r="H18" s="12">
        <f>IFERROR(VALUE(LEFT(Terms!E10,FIND("%",Terms!E10)-1))/100,0)</f>
        <v>0.01</v>
      </c>
      <c r="I18" s="12">
        <f>IFERROR(VALUE(LEFT(Terms!E11,FIND("%",Terms!E11)-1))/100,0)</f>
        <v>0.02</v>
      </c>
      <c r="J18" s="12">
        <f>IFERROR(VALUE(LEFT(Terms!E12,FIND("%",Terms!E12)-1))/100,0)</f>
        <v>0.01</v>
      </c>
      <c r="K18" s="12">
        <f>IFERROR(VALUE(LEFT(Terms!E13,FIND("%",Terms!E13)-1))/100,0)</f>
        <v>0.02</v>
      </c>
      <c r="L18" s="12">
        <f>IFERROR(VALUE(LEFT(Terms!E14,FIND("%",Terms!E14)-1))/100,0)</f>
        <v>0.02</v>
      </c>
      <c r="M18" s="2" t="s">
        <v>420</v>
      </c>
    </row>
    <row r="19" spans="1:13" x14ac:dyDescent="0.2">
      <c r="A19" s="2" t="s">
        <v>423</v>
      </c>
      <c r="B19" s="2">
        <f>IFERROR(VALUE(MID(Terms!E4,FIND("%",Terms!E4)+2,FIND(",",Terms!E4)-FIND("%",Terms!E4)-2)),0)</f>
        <v>0</v>
      </c>
      <c r="C19" s="2">
        <f>IFERROR(VALUE(MID(Terms!E5,FIND("%",Terms!E5)+2,FIND(",",Terms!E5)-FIND("%",Terms!E5)-2)),0)</f>
        <v>30</v>
      </c>
      <c r="D19" s="2">
        <f>IFERROR(VALUE(MID(Terms!E6,FIND("%",Terms!E6)+2,FIND(",",Terms!E6)-FIND("%",Terms!E6)-2)),0)</f>
        <v>30</v>
      </c>
      <c r="E19" s="2">
        <f>IFERROR(VALUE(MID(Terms!E7,FIND("%",Terms!E7)+2,FIND(",",Terms!E7)-FIND("%",Terms!E7)-2)),0)</f>
        <v>20</v>
      </c>
      <c r="F19" s="2">
        <f>IFERROR(VALUE(MID(Terms!E8,FIND("%",Terms!E8)+2,FIND(",",Terms!E8)-FIND("%",Terms!E8)-2)),0)</f>
        <v>20</v>
      </c>
      <c r="G19" s="2">
        <f>IFERROR(VALUE(MID(Terms!E9,FIND("%",Terms!E9)+2,FIND(",",Terms!E9)-FIND("%",Terms!E9)-2)),0)</f>
        <v>20</v>
      </c>
      <c r="H19" s="2">
        <f>IFERROR(VALUE(MID(Terms!E10,FIND("%",Terms!E10)+2,FIND(",",Terms!E10)-FIND("%",Terms!E10)-2)),0)</f>
        <v>15</v>
      </c>
      <c r="I19" s="2">
        <f>IFERROR(VALUE(MID(Terms!E11,FIND("%",Terms!E11)+2,FIND(",",Terms!E11)-FIND("%",Terms!E11)-2)),0)</f>
        <v>10</v>
      </c>
      <c r="J19" s="2">
        <f>IFERROR(VALUE(MID(Terms!E12,FIND("%",Terms!E12)+2,FIND(",",Terms!E12)-FIND("%",Terms!E12)-2)),0)</f>
        <v>20</v>
      </c>
      <c r="K19" s="2">
        <f>IFERROR(VALUE(MID(Terms!E13,FIND("%",Terms!E13)+2,FIND(",",Terms!E13)-FIND("%",Terms!E13)-2)),0)</f>
        <v>25</v>
      </c>
      <c r="L19" s="2">
        <f>IFERROR(VALUE(MID(Terms!E14,FIND("%",Terms!E14)+2,FIND(",",Terms!E14)-FIND("%",Terms!E14)-2)),0)</f>
        <v>20</v>
      </c>
      <c r="M19" s="2" t="s">
        <v>420</v>
      </c>
    </row>
    <row r="20" spans="1:13" x14ac:dyDescent="0.2">
      <c r="A20" s="2" t="s">
        <v>16</v>
      </c>
      <c r="B20" s="7">
        <f>IF(B19&gt;=Parameters!$B$4,ROUND(B14*B18,2),0)</f>
        <v>0</v>
      </c>
      <c r="C20" s="7">
        <f>IF(C19&gt;=Parameters!$B$4,ROUND(C14*C18,2),0)</f>
        <v>980.95</v>
      </c>
      <c r="D20" s="7">
        <f>IF(D19&gt;=Parameters!$B$4,ROUND(D14*D18,2),0)</f>
        <v>1980.16</v>
      </c>
      <c r="E20" s="7">
        <f>IF(E19&gt;=Parameters!$B$4,ROUND(E14*E18,2),0)</f>
        <v>980.76</v>
      </c>
      <c r="F20" s="7">
        <f>IF(F19&gt;=Parameters!$B$4,ROUND(F14*F18,2),0)</f>
        <v>1983.28</v>
      </c>
      <c r="G20" s="7">
        <f>IF(G19&gt;=Parameters!$B$4,ROUND(G14*G18,2),0)</f>
        <v>930.02</v>
      </c>
      <c r="H20" s="7">
        <f>IF(H19&gt;=Parameters!$B$4,ROUND(H14*H18,2),0)</f>
        <v>0</v>
      </c>
      <c r="I20" s="7">
        <f>IF(I19&gt;=Parameters!$B$4,ROUND(I14*I18,2),0)</f>
        <v>0</v>
      </c>
      <c r="J20" s="7">
        <f>IF(J19&gt;=Parameters!$B$4,ROUND(J14*J18,2),0)</f>
        <v>910.99</v>
      </c>
      <c r="K20" s="7">
        <f>IF(K19&gt;=Parameters!$B$4,ROUND(K14*K18,2),0)</f>
        <v>1984.36</v>
      </c>
      <c r="L20" s="7">
        <f>IF(L19&gt;=Parameters!$B$4,ROUND(L14*L18,2),0)</f>
        <v>2083.54</v>
      </c>
      <c r="M20" s="2" t="s">
        <v>57</v>
      </c>
    </row>
    <row r="21" spans="1:13" x14ac:dyDescent="0.2">
      <c r="A21" s="6" t="s">
        <v>17</v>
      </c>
      <c r="B21" s="11">
        <f t="shared" ref="B21:L21" si="1">ROUND(B14+B15+B17-B20,2)</f>
        <v>97574</v>
      </c>
      <c r="C21" s="11">
        <f t="shared" si="1"/>
        <v>99064.05</v>
      </c>
      <c r="D21" s="11">
        <f t="shared" si="1"/>
        <v>98627.84</v>
      </c>
      <c r="E21" s="11">
        <f t="shared" si="1"/>
        <v>98895.24</v>
      </c>
      <c r="F21" s="11">
        <f t="shared" si="1"/>
        <v>99230.72</v>
      </c>
      <c r="G21" s="11">
        <f t="shared" si="1"/>
        <v>98963.18</v>
      </c>
      <c r="H21" s="11">
        <f t="shared" si="1"/>
        <v>99567</v>
      </c>
      <c r="I21" s="11">
        <f t="shared" si="1"/>
        <v>99959</v>
      </c>
      <c r="J21" s="11">
        <f t="shared" si="1"/>
        <v>99927.25</v>
      </c>
      <c r="K21" s="11">
        <f t="shared" si="1"/>
        <v>98883.64</v>
      </c>
      <c r="L21" s="11">
        <f t="shared" si="1"/>
        <v>103793.46</v>
      </c>
      <c r="M21" s="2" t="s">
        <v>416</v>
      </c>
    </row>
    <row r="22" spans="1:13" x14ac:dyDescent="0.2">
      <c r="A22" s="2" t="s">
        <v>10</v>
      </c>
      <c r="B22" s="7">
        <f>'Bids as Written'!D11</f>
        <v>100058</v>
      </c>
      <c r="C22" s="7">
        <f>'Bids as Written'!F11</f>
        <v>100045</v>
      </c>
      <c r="D22" s="7">
        <f>'Bids as Written'!H11</f>
        <v>100608</v>
      </c>
      <c r="E22" s="7">
        <f>'Bids as Written'!J11</f>
        <v>99876</v>
      </c>
      <c r="F22" s="7">
        <f>'Bids as Written'!L11</f>
        <v>101214</v>
      </c>
      <c r="G22" s="7">
        <f>'Bids as Written'!N11</f>
        <v>94902</v>
      </c>
      <c r="H22" s="7">
        <f>'Bids as Written'!P11</f>
        <v>99567</v>
      </c>
      <c r="I22" s="7">
        <f>'Bids as Written'!R11</f>
        <v>101839</v>
      </c>
      <c r="J22" s="7">
        <f>'Bids as Written'!T11</f>
        <v>93499</v>
      </c>
      <c r="K22" s="7">
        <f>'Bids as Written'!V11</f>
        <v>100868</v>
      </c>
      <c r="L22" s="7">
        <f>'Bids as Written'!X11</f>
        <v>105877</v>
      </c>
      <c r="M22" s="2" t="s">
        <v>11</v>
      </c>
    </row>
    <row r="23" spans="1:13" x14ac:dyDescent="0.2">
      <c r="A23" s="2" t="s">
        <v>6</v>
      </c>
      <c r="B23" s="2" t="str">
        <f>Responsiveness!K4</f>
        <v>Non-responsive</v>
      </c>
      <c r="C23" s="2" t="str">
        <f>Responsiveness!K5</f>
        <v>Non-responsive</v>
      </c>
      <c r="D23" s="2" t="str">
        <f>Responsiveness!K6</f>
        <v>Non-responsive</v>
      </c>
      <c r="E23" s="2" t="str">
        <f>Responsiveness!K7</f>
        <v>Non-responsive</v>
      </c>
      <c r="F23" s="2" t="str">
        <f>Responsiveness!K8</f>
        <v>Responsive</v>
      </c>
      <c r="G23" s="2" t="str">
        <f>Responsiveness!K9</f>
        <v>Non-responsive</v>
      </c>
      <c r="H23" s="2" t="str">
        <f>Responsiveness!K10</f>
        <v>Non-responsive</v>
      </c>
      <c r="I23" s="2" t="str">
        <f>Responsiveness!K11</f>
        <v>Responsive</v>
      </c>
      <c r="J23" s="2" t="str">
        <f>Responsiveness!K12</f>
        <v>Responsive</v>
      </c>
      <c r="K23" s="2" t="str">
        <f>Responsiveness!K13</f>
        <v>Non-responsive</v>
      </c>
      <c r="L23" s="2" t="str">
        <f>Responsiveness!K14</f>
        <v>Responsive</v>
      </c>
      <c r="M23" s="2" t="s">
        <v>6</v>
      </c>
    </row>
    <row r="24" spans="1:13" x14ac:dyDescent="0.2">
      <c r="A24" s="2" t="s">
        <v>424</v>
      </c>
      <c r="B24" s="9">
        <f>'Bid Receipt'!F4</f>
        <v>202610051602</v>
      </c>
      <c r="C24" s="9">
        <f>'Bid Receipt'!F5</f>
        <v>202610060933</v>
      </c>
      <c r="D24" s="9">
        <f>'Bid Receipt'!F6</f>
        <v>202610060958</v>
      </c>
      <c r="E24" s="9">
        <f>'Bid Receipt'!F7</f>
        <v>202610020947</v>
      </c>
      <c r="F24" s="9">
        <f>'Bid Receipt'!F8</f>
        <v>202610061000</v>
      </c>
      <c r="G24" s="9">
        <f>'Bid Receipt'!F9</f>
        <v>202610060905</v>
      </c>
      <c r="H24" s="9">
        <f>'Bid Receipt'!F10</f>
        <v>202610060852</v>
      </c>
      <c r="I24" s="9">
        <f>'Bid Receipt'!F11</f>
        <v>202610051137</v>
      </c>
      <c r="J24" s="9">
        <f>'Bid Receipt'!F12</f>
        <v>202610060815</v>
      </c>
      <c r="K24" s="9">
        <f>'Bid Receipt'!F13</f>
        <v>202610060927</v>
      </c>
      <c r="L24" s="9">
        <f>'Bid Receipt'!F14</f>
        <v>202610060941</v>
      </c>
      <c r="M24" s="2" t="s">
        <v>20</v>
      </c>
    </row>
    <row r="25" spans="1:13" x14ac:dyDescent="0.2">
      <c r="A25" s="2" t="s">
        <v>425</v>
      </c>
      <c r="B25" s="2" t="str">
        <f>IF(B23="Responsive",COUNTIFS($B$23:$L$23,"Responsive",$B$21:$L$21,"&lt;"&amp;(B21-Parameters!$B$7))+COUNTIFS($B$23:$L$23,"Responsive",$B$21:$L$21,"&gt;="&amp;(B21-Parameters!$B$7),$B$21:$L$21,"&lt;="&amp;(B21+Parameters!$B$7),$B$24:$L$24,"&lt;"&amp;B24)+1,"Set aside")</f>
        <v>Set aside</v>
      </c>
      <c r="C25" s="2" t="str">
        <f>IF(C23="Responsive",COUNTIFS($B$23:$L$23,"Responsive",$B$21:$L$21,"&lt;"&amp;(C21-Parameters!$B$7))+COUNTIFS($B$23:$L$23,"Responsive",$B$21:$L$21,"&gt;="&amp;(C21-Parameters!$B$7),$B$21:$L$21,"&lt;="&amp;(C21+Parameters!$B$7),$B$24:$L$24,"&lt;"&amp;C24)+1,"Set aside")</f>
        <v>Set aside</v>
      </c>
      <c r="D25" s="2" t="str">
        <f>IF(D23="Responsive",COUNTIFS($B$23:$L$23,"Responsive",$B$21:$L$21,"&lt;"&amp;(D21-Parameters!$B$7))+COUNTIFS($B$23:$L$23,"Responsive",$B$21:$L$21,"&gt;="&amp;(D21-Parameters!$B$7),$B$21:$L$21,"&lt;="&amp;(D21+Parameters!$B$7),$B$24:$L$24,"&lt;"&amp;D24)+1,"Set aside")</f>
        <v>Set aside</v>
      </c>
      <c r="E25" s="2" t="str">
        <f>IF(E23="Responsive",COUNTIFS($B$23:$L$23,"Responsive",$B$21:$L$21,"&lt;"&amp;(E21-Parameters!$B$7))+COUNTIFS($B$23:$L$23,"Responsive",$B$21:$L$21,"&gt;="&amp;(E21-Parameters!$B$7),$B$21:$L$21,"&lt;="&amp;(E21+Parameters!$B$7),$B$24:$L$24,"&lt;"&amp;E24)+1,"Set aside")</f>
        <v>Set aside</v>
      </c>
      <c r="F25" s="2">
        <f>IF(F23="Responsive",COUNTIFS($B$23:$L$23,"Responsive",$B$21:$L$21,"&lt;"&amp;(F21-Parameters!$B$7))+COUNTIFS($B$23:$L$23,"Responsive",$B$21:$L$21,"&gt;="&amp;(F21-Parameters!$B$7),$B$21:$L$21,"&lt;="&amp;(F21+Parameters!$B$7),$B$24:$L$24,"&lt;"&amp;F24)+1,"Set aside")</f>
        <v>1</v>
      </c>
      <c r="G25" s="2" t="str">
        <f>IF(G23="Responsive",COUNTIFS($B$23:$L$23,"Responsive",$B$21:$L$21,"&lt;"&amp;(G21-Parameters!$B$7))+COUNTIFS($B$23:$L$23,"Responsive",$B$21:$L$21,"&gt;="&amp;(G21-Parameters!$B$7),$B$21:$L$21,"&lt;="&amp;(G21+Parameters!$B$7),$B$24:$L$24,"&lt;"&amp;G24)+1,"Set aside")</f>
        <v>Set aside</v>
      </c>
      <c r="H25" s="2" t="str">
        <f>IF(H23="Responsive",COUNTIFS($B$23:$L$23,"Responsive",$B$21:$L$21,"&lt;"&amp;(H21-Parameters!$B$7))+COUNTIFS($B$23:$L$23,"Responsive",$B$21:$L$21,"&gt;="&amp;(H21-Parameters!$B$7),$B$21:$L$21,"&lt;="&amp;(H21+Parameters!$B$7),$B$24:$L$24,"&lt;"&amp;H24)+1,"Set aside")</f>
        <v>Set aside</v>
      </c>
      <c r="I25" s="2">
        <f>IF(I23="Responsive",COUNTIFS($B$23:$L$23,"Responsive",$B$21:$L$21,"&lt;"&amp;(I21-Parameters!$B$7))+COUNTIFS($B$23:$L$23,"Responsive",$B$21:$L$21,"&gt;="&amp;(I21-Parameters!$B$7),$B$21:$L$21,"&lt;="&amp;(I21+Parameters!$B$7),$B$24:$L$24,"&lt;"&amp;I24)+1,"Set aside")</f>
        <v>2</v>
      </c>
      <c r="J25" s="2">
        <f>IF(J23="Responsive",COUNTIFS($B$23:$L$23,"Responsive",$B$21:$L$21,"&lt;"&amp;(J21-Parameters!$B$7))+COUNTIFS($B$23:$L$23,"Responsive",$B$21:$L$21,"&gt;="&amp;(J21-Parameters!$B$7),$B$21:$L$21,"&lt;="&amp;(J21+Parameters!$B$7),$B$24:$L$24,"&lt;"&amp;J24)+1,"Set aside")</f>
        <v>3</v>
      </c>
      <c r="K25" s="2" t="str">
        <f>IF(K23="Responsive",COUNTIFS($B$23:$L$23,"Responsive",$B$21:$L$21,"&lt;"&amp;(K21-Parameters!$B$7))+COUNTIFS($B$23:$L$23,"Responsive",$B$21:$L$21,"&gt;="&amp;(K21-Parameters!$B$7),$B$21:$L$21,"&lt;="&amp;(K21+Parameters!$B$7),$B$24:$L$24,"&lt;"&amp;K24)+1,"Set aside")</f>
        <v>Set aside</v>
      </c>
      <c r="L25" s="2">
        <f>IF(L23="Responsive",COUNTIFS($B$23:$L$23,"Responsive",$B$21:$L$21,"&lt;"&amp;(L21-Parameters!$B$7))+COUNTIFS($B$23:$L$23,"Responsive",$B$21:$L$21,"&gt;="&amp;(L21-Parameters!$B$7),$B$21:$L$21,"&lt;="&amp;(L21+Parameters!$B$7),$B$24:$L$24,"&lt;"&amp;L24)+1,"Set aside")</f>
        <v>4</v>
      </c>
      <c r="M25" s="2" t="s">
        <v>426</v>
      </c>
    </row>
    <row r="27" spans="1:13" x14ac:dyDescent="0.2">
      <c r="A27" s="2" t="s">
        <v>427</v>
      </c>
      <c r="B27" s="7">
        <f>_xlfn.MINIFS(B21:L21,B23:L23,"Responsive")</f>
        <v>99230.72</v>
      </c>
    </row>
    <row r="28" spans="1:13" x14ac:dyDescent="0.2">
      <c r="A28" s="2" t="s">
        <v>428</v>
      </c>
      <c r="B28" s="2" t="str">
        <f>INDEX($B$3:$L$3,MATCH(1,$B$25:$L$25,0))</f>
        <v>Loken &amp; Vik Container</v>
      </c>
    </row>
    <row r="29" spans="1:13" x14ac:dyDescent="0.2">
      <c r="A29" s="2" t="s">
        <v>429</v>
      </c>
      <c r="B29" s="2" t="str">
        <f>Responsibility!B18</f>
        <v>Pemberton Container</v>
      </c>
    </row>
    <row r="30" spans="1:13" x14ac:dyDescent="0.2">
      <c r="A30" s="2" t="s">
        <v>23</v>
      </c>
      <c r="B30" s="7">
        <f>Responsibility!B19</f>
        <v>99959</v>
      </c>
    </row>
    <row r="31" spans="1:13" x14ac:dyDescent="0.2">
      <c r="A31" s="2" t="s">
        <v>430</v>
      </c>
      <c r="B31" s="2" t="str">
        <f>INDEX($B$3:$L$3,MATCH(MIN(B22:L22),B22:L22,0))</f>
        <v>Ridgecrest Packaging</v>
      </c>
    </row>
    <row r="32" spans="1:13" x14ac:dyDescent="0.2">
      <c r="A32" s="2" t="s">
        <v>24</v>
      </c>
      <c r="B32" s="2" t="str">
        <f>IF(B30&gt;Parameters!$B$5,"Vice president of operations","Director of supply chain")</f>
        <v>Director of supply chain</v>
      </c>
    </row>
    <row r="34" spans="1:1" x14ac:dyDescent="0.2">
      <c r="A34" s="2" t="s">
        <v>431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2"/>
  <sheetViews>
    <sheetView workbookViewId="0"/>
  </sheetViews>
  <sheetFormatPr baseColWidth="10" defaultColWidth="8.83203125" defaultRowHeight="15" x14ac:dyDescent="0.2"/>
  <cols>
    <col min="1" max="1" width="28" customWidth="1"/>
    <col min="2" max="2" width="6" customWidth="1"/>
    <col min="3" max="3" width="18" customWidth="1"/>
    <col min="4" max="4" width="16" customWidth="1"/>
    <col min="5" max="5" width="12" customWidth="1"/>
    <col min="6" max="7" width="22" customWidth="1"/>
    <col min="8" max="8" width="14" customWidth="1"/>
    <col min="9" max="9" width="70" customWidth="1"/>
  </cols>
  <sheetData>
    <row r="1" spans="1:9" ht="17" customHeight="1" x14ac:dyDescent="0.2">
      <c r="A1" s="1" t="s">
        <v>432</v>
      </c>
    </row>
    <row r="3" spans="1:9" x14ac:dyDescent="0.2">
      <c r="A3" s="3" t="s">
        <v>111</v>
      </c>
      <c r="B3" s="3" t="s">
        <v>79</v>
      </c>
      <c r="C3" s="3" t="s">
        <v>433</v>
      </c>
      <c r="D3" s="3" t="s">
        <v>434</v>
      </c>
      <c r="E3" s="3" t="s">
        <v>350</v>
      </c>
      <c r="F3" s="3" t="s">
        <v>435</v>
      </c>
      <c r="G3" s="3" t="s">
        <v>436</v>
      </c>
      <c r="H3" s="3" t="s">
        <v>437</v>
      </c>
      <c r="I3" s="3" t="s">
        <v>438</v>
      </c>
    </row>
    <row r="4" spans="1:9" x14ac:dyDescent="0.2">
      <c r="A4" s="2" t="s">
        <v>121</v>
      </c>
      <c r="B4" s="2">
        <v>1</v>
      </c>
      <c r="C4" s="10">
        <f>'Bids as Written'!C5</f>
        <v>0.571</v>
      </c>
      <c r="D4" s="10">
        <f>Evaluation!B4</f>
        <v>0.571</v>
      </c>
      <c r="E4" s="2">
        <f>Parameters!B15</f>
        <v>45000</v>
      </c>
      <c r="F4" s="7">
        <f>'Bids as Written'!D5</f>
        <v>25695</v>
      </c>
      <c r="G4" s="7">
        <f>Evaluation!B9</f>
        <v>25695</v>
      </c>
      <c r="H4" s="7">
        <f t="shared" ref="H4:H35" si="0">ROUND(G4-F4,2)</f>
        <v>0</v>
      </c>
      <c r="I4" s="2" t="str">
        <f>IF(H4=0,"",IF(C4&lt;&gt;D4,"Unit price changed by a modification received before the due time, section 3.4",IF(ROUND(C4*Parameters!$B$10,2)=F4,"Extension written at the superseded quantity, corrected, 4.1 and PP-3.4.5","Extension corrected, unit price governs, 4.1")))</f>
        <v/>
      </c>
    </row>
    <row r="5" spans="1:9" x14ac:dyDescent="0.2">
      <c r="A5" s="2" t="s">
        <v>121</v>
      </c>
      <c r="B5" s="2">
        <v>2</v>
      </c>
      <c r="C5" s="10">
        <f>'Bids as Written'!C6</f>
        <v>0.398</v>
      </c>
      <c r="D5" s="10">
        <f>Evaluation!B5</f>
        <v>0.398</v>
      </c>
      <c r="E5" s="2">
        <f>Parameters!B16</f>
        <v>64000</v>
      </c>
      <c r="F5" s="7">
        <f>'Bids as Written'!D6</f>
        <v>25472</v>
      </c>
      <c r="G5" s="7">
        <f>Evaluation!B10</f>
        <v>25472</v>
      </c>
      <c r="H5" s="7">
        <f t="shared" si="0"/>
        <v>0</v>
      </c>
      <c r="I5" s="2" t="str">
        <f>IF(H5=0,"",IF(C5&lt;&gt;D5,"Unit price changed by a modification received before the due time, section 3.4",IF(ROUND(C5*Parameters!$B$10,2)=F5,"Extension written at the superseded quantity, corrected, 4.1 and PP-3.4.5","Extension corrected, unit price governs, 4.1")))</f>
        <v/>
      </c>
    </row>
    <row r="6" spans="1:9" x14ac:dyDescent="0.2">
      <c r="A6" s="2" t="s">
        <v>121</v>
      </c>
      <c r="B6" s="2">
        <v>3</v>
      </c>
      <c r="C6" s="10">
        <f>'Bids as Written'!C7</f>
        <v>0.276</v>
      </c>
      <c r="D6" s="10">
        <f>Evaluation!B6</f>
        <v>0.276</v>
      </c>
      <c r="E6" s="2">
        <f>Parameters!B17</f>
        <v>27000</v>
      </c>
      <c r="F6" s="7">
        <f>'Bids as Written'!D7</f>
        <v>9936</v>
      </c>
      <c r="G6" s="7">
        <f>Evaluation!B11</f>
        <v>7452</v>
      </c>
      <c r="H6" s="7">
        <f t="shared" si="0"/>
        <v>-2484</v>
      </c>
      <c r="I6" s="2" t="str">
        <f>IF(H6=0,"",IF(C6&lt;&gt;D6,"Unit price changed by a modification received before the due time, section 3.4",IF(ROUND(C6*Parameters!$B$10,2)=F6,"Extension written at the superseded quantity, corrected, 4.1 and PP-3.4.5","Extension corrected, unit price governs, 4.1")))</f>
        <v>Extension written at the superseded quantity, corrected, 4.1 and PP-3.4.5</v>
      </c>
    </row>
    <row r="7" spans="1:9" x14ac:dyDescent="0.2">
      <c r="A7" s="2" t="s">
        <v>121</v>
      </c>
      <c r="B7" s="2">
        <v>4</v>
      </c>
      <c r="C7" s="10">
        <f>'Bids as Written'!C8</f>
        <v>1.655</v>
      </c>
      <c r="D7" s="10">
        <f>Evaluation!B7</f>
        <v>1.655</v>
      </c>
      <c r="E7" s="2">
        <f>Parameters!B18</f>
        <v>9000</v>
      </c>
      <c r="F7" s="7">
        <f>'Bids as Written'!D8</f>
        <v>14895</v>
      </c>
      <c r="G7" s="7">
        <f>Evaluation!B12</f>
        <v>14895</v>
      </c>
      <c r="H7" s="7">
        <f t="shared" si="0"/>
        <v>0</v>
      </c>
      <c r="I7" s="2" t="str">
        <f>IF(H7=0,"",IF(C7&lt;&gt;D7,"Unit price changed by a modification received before the due time, section 3.4",IF(ROUND(C7*Parameters!$B$10,2)=F7,"Extension written at the superseded quantity, corrected, 4.1 and PP-3.4.5","Extension corrected, unit price governs, 4.1")))</f>
        <v/>
      </c>
    </row>
    <row r="8" spans="1:9" x14ac:dyDescent="0.2">
      <c r="A8" s="2" t="s">
        <v>121</v>
      </c>
      <c r="B8" s="2">
        <v>5</v>
      </c>
      <c r="C8" s="10">
        <f>'Bids as Written'!C9</f>
        <v>0.94</v>
      </c>
      <c r="D8" s="10">
        <f>Evaluation!B8</f>
        <v>0.94</v>
      </c>
      <c r="E8" s="2">
        <f>Parameters!B19</f>
        <v>24000</v>
      </c>
      <c r="F8" s="7">
        <f>'Bids as Written'!D9</f>
        <v>22560</v>
      </c>
      <c r="G8" s="7">
        <f>Evaluation!B13</f>
        <v>22560</v>
      </c>
      <c r="H8" s="7">
        <f t="shared" si="0"/>
        <v>0</v>
      </c>
      <c r="I8" s="2" t="str">
        <f>IF(H8=0,"",IF(C8&lt;&gt;D8,"Unit price changed by a modification received before the due time, section 3.4",IF(ROUND(C8*Parameters!$B$10,2)=F8,"Extension written at the superseded quantity, corrected, 4.1 and PP-3.4.5","Extension corrected, unit price governs, 4.1")))</f>
        <v/>
      </c>
    </row>
    <row r="9" spans="1:9" x14ac:dyDescent="0.2">
      <c r="A9" s="2" t="s">
        <v>130</v>
      </c>
      <c r="B9" s="2">
        <v>1</v>
      </c>
      <c r="C9" s="10">
        <f>'Bids as Written'!E5</f>
        <v>0.591</v>
      </c>
      <c r="D9" s="10">
        <f>Evaluation!C4</f>
        <v>0.591</v>
      </c>
      <c r="E9" s="2">
        <f>Parameters!B15</f>
        <v>45000</v>
      </c>
      <c r="F9" s="7">
        <f>'Bids as Written'!F5</f>
        <v>26595</v>
      </c>
      <c r="G9" s="7">
        <f>Evaluation!C9</f>
        <v>26595</v>
      </c>
      <c r="H9" s="7">
        <f t="shared" si="0"/>
        <v>0</v>
      </c>
      <c r="I9" s="2" t="str">
        <f>IF(H9=0,"",IF(C9&lt;&gt;D9,"Unit price changed by a modification received before the due time, section 3.4",IF(ROUND(C9*Parameters!$B$10,2)=F9,"Extension written at the superseded quantity, corrected, 4.1 and PP-3.4.5","Extension corrected, unit price governs, 4.1")))</f>
        <v/>
      </c>
    </row>
    <row r="10" spans="1:9" x14ac:dyDescent="0.2">
      <c r="A10" s="2" t="s">
        <v>130</v>
      </c>
      <c r="B10" s="2">
        <v>2</v>
      </c>
      <c r="C10" s="10">
        <f>'Bids as Written'!E6</f>
        <v>0.397</v>
      </c>
      <c r="D10" s="10">
        <f>Evaluation!C5</f>
        <v>0.397</v>
      </c>
      <c r="E10" s="2">
        <f>Parameters!B16</f>
        <v>64000</v>
      </c>
      <c r="F10" s="7">
        <f>'Bids as Written'!F6</f>
        <v>25408</v>
      </c>
      <c r="G10" s="7">
        <f>Evaluation!C10</f>
        <v>25408</v>
      </c>
      <c r="H10" s="7">
        <f t="shared" si="0"/>
        <v>0</v>
      </c>
      <c r="I10" s="2" t="str">
        <f>IF(H10=0,"",IF(C10&lt;&gt;D10,"Unit price changed by a modification received before the due time, section 3.4",IF(ROUND(C10*Parameters!$B$10,2)=F10,"Extension written at the superseded quantity, corrected, 4.1 and PP-3.4.5","Extension corrected, unit price governs, 4.1")))</f>
        <v/>
      </c>
    </row>
    <row r="11" spans="1:9" x14ac:dyDescent="0.2">
      <c r="A11" s="2" t="s">
        <v>130</v>
      </c>
      <c r="B11" s="2">
        <v>3</v>
      </c>
      <c r="C11" s="10">
        <f>'Bids as Written'!E7</f>
        <v>0.284</v>
      </c>
      <c r="D11" s="10">
        <f>Evaluation!C6</f>
        <v>0.284</v>
      </c>
      <c r="E11" s="2">
        <f>Parameters!B17</f>
        <v>27000</v>
      </c>
      <c r="F11" s="7">
        <f>'Bids as Written'!F7</f>
        <v>7668</v>
      </c>
      <c r="G11" s="7">
        <f>Evaluation!C11</f>
        <v>7668</v>
      </c>
      <c r="H11" s="7">
        <f t="shared" si="0"/>
        <v>0</v>
      </c>
      <c r="I11" s="2" t="str">
        <f>IF(H11=0,"",IF(C11&lt;&gt;D11,"Unit price changed by a modification received before the due time, section 3.4",IF(ROUND(C11*Parameters!$B$10,2)=F11,"Extension written at the superseded quantity, corrected, 4.1 and PP-3.4.5","Extension corrected, unit price governs, 4.1")))</f>
        <v/>
      </c>
    </row>
    <row r="12" spans="1:9" x14ac:dyDescent="0.2">
      <c r="A12" s="2" t="s">
        <v>130</v>
      </c>
      <c r="B12" s="2">
        <v>4</v>
      </c>
      <c r="C12" s="10">
        <f>'Bids as Written'!E8</f>
        <v>1.688</v>
      </c>
      <c r="D12" s="10">
        <f>Evaluation!C7</f>
        <v>1.688</v>
      </c>
      <c r="E12" s="2">
        <f>Parameters!B18</f>
        <v>9000</v>
      </c>
      <c r="F12" s="7">
        <f>'Bids as Written'!F8</f>
        <v>15192</v>
      </c>
      <c r="G12" s="7">
        <f>Evaluation!C12</f>
        <v>15192</v>
      </c>
      <c r="H12" s="7">
        <f t="shared" si="0"/>
        <v>0</v>
      </c>
      <c r="I12" s="2" t="str">
        <f>IF(H12=0,"",IF(C12&lt;&gt;D12,"Unit price changed by a modification received before the due time, section 3.4",IF(ROUND(C12*Parameters!$B$10,2)=F12,"Extension written at the superseded quantity, corrected, 4.1 and PP-3.4.5","Extension corrected, unit price governs, 4.1")))</f>
        <v/>
      </c>
    </row>
    <row r="13" spans="1:9" x14ac:dyDescent="0.2">
      <c r="A13" s="2" t="s">
        <v>130</v>
      </c>
      <c r="B13" s="2">
        <v>5</v>
      </c>
      <c r="C13" s="10">
        <f>'Bids as Written'!E9</f>
        <v>0.968</v>
      </c>
      <c r="D13" s="10">
        <f>Evaluation!C8</f>
        <v>0.968</v>
      </c>
      <c r="E13" s="2">
        <f>Parameters!B19</f>
        <v>24000</v>
      </c>
      <c r="F13" s="7">
        <f>'Bids as Written'!F9</f>
        <v>23232</v>
      </c>
      <c r="G13" s="7">
        <f>Evaluation!C13</f>
        <v>23232</v>
      </c>
      <c r="H13" s="7">
        <f t="shared" si="0"/>
        <v>0</v>
      </c>
      <c r="I13" s="2" t="str">
        <f>IF(H13=0,"",IF(C13&lt;&gt;D13,"Unit price changed by a modification received before the due time, section 3.4",IF(ROUND(C13*Parameters!$B$10,2)=F13,"Extension written at the superseded quantity, corrected, 4.1 and PP-3.4.5","Extension corrected, unit price governs, 4.1")))</f>
        <v/>
      </c>
    </row>
    <row r="14" spans="1:9" x14ac:dyDescent="0.2">
      <c r="A14" s="2" t="s">
        <v>137</v>
      </c>
      <c r="B14" s="2">
        <v>1</v>
      </c>
      <c r="C14" s="10">
        <f>'Bids as Written'!G5</f>
        <v>0.594</v>
      </c>
      <c r="D14" s="10">
        <f>Evaluation!D4</f>
        <v>0.594</v>
      </c>
      <c r="E14" s="2">
        <f>Parameters!B15</f>
        <v>45000</v>
      </c>
      <c r="F14" s="7">
        <f>'Bids as Written'!H5</f>
        <v>26730</v>
      </c>
      <c r="G14" s="7">
        <f>Evaluation!D9</f>
        <v>26730</v>
      </c>
      <c r="H14" s="7">
        <f t="shared" si="0"/>
        <v>0</v>
      </c>
      <c r="I14" s="2" t="str">
        <f>IF(H14=0,"",IF(C14&lt;&gt;D14,"Unit price changed by a modification received before the due time, section 3.4",IF(ROUND(C14*Parameters!$B$10,2)=F14,"Extension written at the superseded quantity, corrected, 4.1 and PP-3.4.5","Extension corrected, unit price governs, 4.1")))</f>
        <v/>
      </c>
    </row>
    <row r="15" spans="1:9" x14ac:dyDescent="0.2">
      <c r="A15" s="2" t="s">
        <v>137</v>
      </c>
      <c r="B15" s="2">
        <v>2</v>
      </c>
      <c r="C15" s="10">
        <f>'Bids as Written'!G6</f>
        <v>0.404</v>
      </c>
      <c r="D15" s="10">
        <f>Evaluation!D5</f>
        <v>0.404</v>
      </c>
      <c r="E15" s="2">
        <f>Parameters!B16</f>
        <v>64000</v>
      </c>
      <c r="F15" s="7">
        <f>'Bids as Written'!H6</f>
        <v>25856</v>
      </c>
      <c r="G15" s="7">
        <f>Evaluation!D10</f>
        <v>25856</v>
      </c>
      <c r="H15" s="7">
        <f t="shared" si="0"/>
        <v>0</v>
      </c>
      <c r="I15" s="2" t="str">
        <f>IF(H15=0,"",IF(C15&lt;&gt;D15,"Unit price changed by a modification received before the due time, section 3.4",IF(ROUND(C15*Parameters!$B$10,2)=F15,"Extension written at the superseded quantity, corrected, 4.1 and PP-3.4.5","Extension corrected, unit price governs, 4.1")))</f>
        <v/>
      </c>
    </row>
    <row r="16" spans="1:9" x14ac:dyDescent="0.2">
      <c r="A16" s="2" t="s">
        <v>137</v>
      </c>
      <c r="B16" s="2">
        <v>3</v>
      </c>
      <c r="C16" s="10">
        <f>'Bids as Written'!G7</f>
        <v>0.288</v>
      </c>
      <c r="D16" s="10">
        <f>Evaluation!D6</f>
        <v>0.288</v>
      </c>
      <c r="E16" s="2">
        <f>Parameters!B17</f>
        <v>27000</v>
      </c>
      <c r="F16" s="7">
        <f>'Bids as Written'!H7</f>
        <v>7776</v>
      </c>
      <c r="G16" s="7">
        <f>Evaluation!D11</f>
        <v>7776</v>
      </c>
      <c r="H16" s="7">
        <f t="shared" si="0"/>
        <v>0</v>
      </c>
      <c r="I16" s="2" t="str">
        <f>IF(H16=0,"",IF(C16&lt;&gt;D16,"Unit price changed by a modification received before the due time, section 3.4",IF(ROUND(C16*Parameters!$B$10,2)=F16,"Extension written at the superseded quantity, corrected, 4.1 and PP-3.4.5","Extension corrected, unit price governs, 4.1")))</f>
        <v/>
      </c>
    </row>
    <row r="17" spans="1:9" x14ac:dyDescent="0.2">
      <c r="A17" s="2" t="s">
        <v>137</v>
      </c>
      <c r="B17" s="2">
        <v>4</v>
      </c>
      <c r="C17" s="10">
        <f>'Bids as Written'!G8</f>
        <v>1.702</v>
      </c>
      <c r="D17" s="10">
        <f>Evaluation!D7</f>
        <v>1.702</v>
      </c>
      <c r="E17" s="2">
        <f>Parameters!B18</f>
        <v>9000</v>
      </c>
      <c r="F17" s="7">
        <f>'Bids as Written'!H8</f>
        <v>15318</v>
      </c>
      <c r="G17" s="7">
        <f>Evaluation!D12</f>
        <v>15318</v>
      </c>
      <c r="H17" s="7">
        <f t="shared" si="0"/>
        <v>0</v>
      </c>
      <c r="I17" s="2" t="str">
        <f>IF(H17=0,"",IF(C17&lt;&gt;D17,"Unit price changed by a modification received before the due time, section 3.4",IF(ROUND(C17*Parameters!$B$10,2)=F17,"Extension written at the superseded quantity, corrected, 4.1 and PP-3.4.5","Extension corrected, unit price governs, 4.1")))</f>
        <v/>
      </c>
    </row>
    <row r="18" spans="1:9" x14ac:dyDescent="0.2">
      <c r="A18" s="2" t="s">
        <v>137</v>
      </c>
      <c r="B18" s="2">
        <v>5</v>
      </c>
      <c r="C18" s="10">
        <f>'Bids as Written'!G9</f>
        <v>0.972</v>
      </c>
      <c r="D18" s="10">
        <f>Evaluation!D8</f>
        <v>0.972</v>
      </c>
      <c r="E18" s="2">
        <f>Parameters!B19</f>
        <v>24000</v>
      </c>
      <c r="F18" s="7">
        <f>'Bids as Written'!H9</f>
        <v>23328</v>
      </c>
      <c r="G18" s="7">
        <f>Evaluation!D13</f>
        <v>23328</v>
      </c>
      <c r="H18" s="7">
        <f t="shared" si="0"/>
        <v>0</v>
      </c>
      <c r="I18" s="2" t="str">
        <f>IF(H18=0,"",IF(C18&lt;&gt;D18,"Unit price changed by a modification received before the due time, section 3.4",IF(ROUND(C18*Parameters!$B$10,2)=F18,"Extension written at the superseded quantity, corrected, 4.1 and PP-3.4.5","Extension corrected, unit price governs, 4.1")))</f>
        <v/>
      </c>
    </row>
    <row r="19" spans="1:9" x14ac:dyDescent="0.2">
      <c r="A19" s="2" t="s">
        <v>142</v>
      </c>
      <c r="B19" s="2">
        <v>1</v>
      </c>
      <c r="C19" s="10">
        <f>'Bids as Written'!I5</f>
        <v>0.59</v>
      </c>
      <c r="D19" s="10">
        <f>Evaluation!E4</f>
        <v>0.59</v>
      </c>
      <c r="E19" s="2">
        <f>Parameters!B15</f>
        <v>45000</v>
      </c>
      <c r="F19" s="7">
        <f>'Bids as Written'!J5</f>
        <v>26550</v>
      </c>
      <c r="G19" s="7">
        <f>Evaluation!E9</f>
        <v>26550</v>
      </c>
      <c r="H19" s="7">
        <f t="shared" si="0"/>
        <v>0</v>
      </c>
      <c r="I19" s="2" t="str">
        <f>IF(H19=0,"",IF(C19&lt;&gt;D19,"Unit price changed by a modification received before the due time, section 3.4",IF(ROUND(C19*Parameters!$B$10,2)=F19,"Extension written at the superseded quantity, corrected, 4.1 and PP-3.4.5","Extension corrected, unit price governs, 4.1")))</f>
        <v/>
      </c>
    </row>
    <row r="20" spans="1:9" x14ac:dyDescent="0.2">
      <c r="A20" s="2" t="s">
        <v>142</v>
      </c>
      <c r="B20" s="2">
        <v>2</v>
      </c>
      <c r="C20" s="10">
        <f>'Bids as Written'!I6</f>
        <v>0.402</v>
      </c>
      <c r="D20" s="10">
        <f>Evaluation!E5</f>
        <v>0.402</v>
      </c>
      <c r="E20" s="2">
        <f>Parameters!B16</f>
        <v>64000</v>
      </c>
      <c r="F20" s="7">
        <f>'Bids as Written'!J6</f>
        <v>25728</v>
      </c>
      <c r="G20" s="7">
        <f>Evaluation!E10</f>
        <v>25728</v>
      </c>
      <c r="H20" s="7">
        <f t="shared" si="0"/>
        <v>0</v>
      </c>
      <c r="I20" s="2" t="str">
        <f>IF(H20=0,"",IF(C20&lt;&gt;D20,"Unit price changed by a modification received before the due time, section 3.4",IF(ROUND(C20*Parameters!$B$10,2)=F20,"Extension written at the superseded quantity, corrected, 4.1 and PP-3.4.5","Extension corrected, unit price governs, 4.1")))</f>
        <v/>
      </c>
    </row>
    <row r="21" spans="1:9" x14ac:dyDescent="0.2">
      <c r="A21" s="2" t="s">
        <v>142</v>
      </c>
      <c r="B21" s="2">
        <v>3</v>
      </c>
      <c r="C21" s="10">
        <f>'Bids as Written'!I7</f>
        <v>0.285</v>
      </c>
      <c r="D21" s="10">
        <f>Evaluation!E6</f>
        <v>0.285</v>
      </c>
      <c r="E21" s="2">
        <f>Parameters!B17</f>
        <v>27000</v>
      </c>
      <c r="F21" s="7">
        <f>'Bids as Written'!J7</f>
        <v>7695</v>
      </c>
      <c r="G21" s="7">
        <f>Evaluation!E11</f>
        <v>7695</v>
      </c>
      <c r="H21" s="7">
        <f t="shared" si="0"/>
        <v>0</v>
      </c>
      <c r="I21" s="2" t="str">
        <f>IF(H21=0,"",IF(C21&lt;&gt;D21,"Unit price changed by a modification received before the due time, section 3.4",IF(ROUND(C21*Parameters!$B$10,2)=F21,"Extension written at the superseded quantity, corrected, 4.1 and PP-3.4.5","Extension corrected, unit price governs, 4.1")))</f>
        <v/>
      </c>
    </row>
    <row r="22" spans="1:9" x14ac:dyDescent="0.2">
      <c r="A22" s="2" t="s">
        <v>142</v>
      </c>
      <c r="B22" s="2">
        <v>4</v>
      </c>
      <c r="C22" s="10">
        <f>'Bids as Written'!I8</f>
        <v>1.679</v>
      </c>
      <c r="D22" s="10">
        <f>Evaluation!E7</f>
        <v>1.679</v>
      </c>
      <c r="E22" s="2">
        <f>Parameters!B18</f>
        <v>9000</v>
      </c>
      <c r="F22" s="7">
        <f>'Bids as Written'!J8</f>
        <v>15111</v>
      </c>
      <c r="G22" s="7">
        <f>Evaluation!E12</f>
        <v>15111</v>
      </c>
      <c r="H22" s="7">
        <f t="shared" si="0"/>
        <v>0</v>
      </c>
      <c r="I22" s="2" t="str">
        <f>IF(H22=0,"",IF(C22&lt;&gt;D22,"Unit price changed by a modification received before the due time, section 3.4",IF(ROUND(C22*Parameters!$B$10,2)=F22,"Extension written at the superseded quantity, corrected, 4.1 and PP-3.4.5","Extension corrected, unit price governs, 4.1")))</f>
        <v/>
      </c>
    </row>
    <row r="23" spans="1:9" x14ac:dyDescent="0.2">
      <c r="A23" s="2" t="s">
        <v>142</v>
      </c>
      <c r="B23" s="2">
        <v>5</v>
      </c>
      <c r="C23" s="10">
        <f>'Bids as Written'!I9</f>
        <v>0.958</v>
      </c>
      <c r="D23" s="10">
        <f>Evaluation!E8</f>
        <v>0.958</v>
      </c>
      <c r="E23" s="2">
        <f>Parameters!B19</f>
        <v>24000</v>
      </c>
      <c r="F23" s="7">
        <f>'Bids as Written'!J9</f>
        <v>22992</v>
      </c>
      <c r="G23" s="7">
        <f>Evaluation!E13</f>
        <v>22992</v>
      </c>
      <c r="H23" s="7">
        <f t="shared" si="0"/>
        <v>0</v>
      </c>
      <c r="I23" s="2" t="str">
        <f>IF(H23=0,"",IF(C23&lt;&gt;D23,"Unit price changed by a modification received before the due time, section 3.4",IF(ROUND(C23*Parameters!$B$10,2)=F23,"Extension written at the superseded quantity, corrected, 4.1 and PP-3.4.5","Extension corrected, unit price governs, 4.1")))</f>
        <v/>
      </c>
    </row>
    <row r="24" spans="1:9" x14ac:dyDescent="0.2">
      <c r="A24" s="2" t="s">
        <v>147</v>
      </c>
      <c r="B24" s="2">
        <v>1</v>
      </c>
      <c r="C24" s="10">
        <f>'Bids as Written'!K5</f>
        <v>0.598</v>
      </c>
      <c r="D24" s="10">
        <f>Evaluation!F4</f>
        <v>0.598</v>
      </c>
      <c r="E24" s="2">
        <f>Parameters!B15</f>
        <v>45000</v>
      </c>
      <c r="F24" s="7">
        <f>'Bids as Written'!L5</f>
        <v>26910</v>
      </c>
      <c r="G24" s="7">
        <f>Evaluation!F9</f>
        <v>26910</v>
      </c>
      <c r="H24" s="7">
        <f t="shared" si="0"/>
        <v>0</v>
      </c>
      <c r="I24" s="2" t="str">
        <f>IF(H24=0,"",IF(C24&lt;&gt;D24,"Unit price changed by a modification received before the due time, section 3.4",IF(ROUND(C24*Parameters!$B$10,2)=F24,"Extension written at the superseded quantity, corrected, 4.1 and PP-3.4.5","Extension corrected, unit price governs, 4.1")))</f>
        <v/>
      </c>
    </row>
    <row r="25" spans="1:9" x14ac:dyDescent="0.2">
      <c r="A25" s="2" t="s">
        <v>147</v>
      </c>
      <c r="B25" s="2">
        <v>2</v>
      </c>
      <c r="C25" s="10">
        <f>'Bids as Written'!K6</f>
        <v>0.401</v>
      </c>
      <c r="D25" s="10">
        <f>Evaluation!F5</f>
        <v>0.401</v>
      </c>
      <c r="E25" s="2">
        <f>Parameters!B16</f>
        <v>64000</v>
      </c>
      <c r="F25" s="7">
        <f>'Bids as Written'!L6</f>
        <v>25664</v>
      </c>
      <c r="G25" s="7">
        <f>Evaluation!F10</f>
        <v>25664</v>
      </c>
      <c r="H25" s="7">
        <f t="shared" si="0"/>
        <v>0</v>
      </c>
      <c r="I25" s="2" t="str">
        <f>IF(H25=0,"",IF(C25&lt;&gt;D25,"Unit price changed by a modification received before the due time, section 3.4",IF(ROUND(C25*Parameters!$B$10,2)=F25,"Extension written at the superseded quantity, corrected, 4.1 and PP-3.4.5","Extension corrected, unit price governs, 4.1")))</f>
        <v/>
      </c>
    </row>
    <row r="26" spans="1:9" x14ac:dyDescent="0.2">
      <c r="A26" s="2" t="s">
        <v>147</v>
      </c>
      <c r="B26" s="2">
        <v>3</v>
      </c>
      <c r="C26" s="10">
        <f>'Bids as Written'!K7</f>
        <v>0.287</v>
      </c>
      <c r="D26" s="10">
        <f>Evaluation!F6</f>
        <v>0.287</v>
      </c>
      <c r="E26" s="2">
        <f>Parameters!B17</f>
        <v>27000</v>
      </c>
      <c r="F26" s="7">
        <f>'Bids as Written'!L7</f>
        <v>7749</v>
      </c>
      <c r="G26" s="7">
        <f>Evaluation!F11</f>
        <v>7749</v>
      </c>
      <c r="H26" s="7">
        <f t="shared" si="0"/>
        <v>0</v>
      </c>
      <c r="I26" s="2" t="str">
        <f>IF(H26=0,"",IF(C26&lt;&gt;D26,"Unit price changed by a modification received before the due time, section 3.4",IF(ROUND(C26*Parameters!$B$10,2)=F26,"Extension written at the superseded quantity, corrected, 4.1 and PP-3.4.5","Extension corrected, unit price governs, 4.1")))</f>
        <v/>
      </c>
    </row>
    <row r="27" spans="1:9" x14ac:dyDescent="0.2">
      <c r="A27" s="2" t="s">
        <v>147</v>
      </c>
      <c r="B27" s="2">
        <v>4</v>
      </c>
      <c r="C27" s="10">
        <f>'Bids as Written'!K8</f>
        <v>1.713</v>
      </c>
      <c r="D27" s="10">
        <f>Evaluation!F7</f>
        <v>1.713</v>
      </c>
      <c r="E27" s="2">
        <f>Parameters!B18</f>
        <v>9000</v>
      </c>
      <c r="F27" s="7">
        <f>'Bids as Written'!L8</f>
        <v>15417</v>
      </c>
      <c r="G27" s="7">
        <f>Evaluation!F12</f>
        <v>15417</v>
      </c>
      <c r="H27" s="7">
        <f t="shared" si="0"/>
        <v>0</v>
      </c>
      <c r="I27" s="2" t="str">
        <f>IF(H27=0,"",IF(C27&lt;&gt;D27,"Unit price changed by a modification received before the due time, section 3.4",IF(ROUND(C27*Parameters!$B$10,2)=F27,"Extension written at the superseded quantity, corrected, 4.1 and PP-3.4.5","Extension corrected, unit price governs, 4.1")))</f>
        <v/>
      </c>
    </row>
    <row r="28" spans="1:9" x14ac:dyDescent="0.2">
      <c r="A28" s="2" t="s">
        <v>147</v>
      </c>
      <c r="B28" s="2">
        <v>5</v>
      </c>
      <c r="C28" s="10">
        <f>'Bids as Written'!K9</f>
        <v>0.976</v>
      </c>
      <c r="D28" s="10">
        <f>Evaluation!F8</f>
        <v>0.976</v>
      </c>
      <c r="E28" s="2">
        <f>Parameters!B19</f>
        <v>24000</v>
      </c>
      <c r="F28" s="7">
        <f>'Bids as Written'!L9</f>
        <v>23424</v>
      </c>
      <c r="G28" s="7">
        <f>Evaluation!F13</f>
        <v>23424</v>
      </c>
      <c r="H28" s="7">
        <f t="shared" si="0"/>
        <v>0</v>
      </c>
      <c r="I28" s="2" t="str">
        <f>IF(H28=0,"",IF(C28&lt;&gt;D28,"Unit price changed by a modification received before the due time, section 3.4",IF(ROUND(C28*Parameters!$B$10,2)=F28,"Extension written at the superseded quantity, corrected, 4.1 and PP-3.4.5","Extension corrected, unit price governs, 4.1")))</f>
        <v/>
      </c>
    </row>
    <row r="29" spans="1:9" x14ac:dyDescent="0.2">
      <c r="A29" s="2" t="s">
        <v>153</v>
      </c>
      <c r="B29" s="2">
        <v>1</v>
      </c>
      <c r="C29" s="10">
        <f>'Bids as Written'!M5</f>
        <v>0.562</v>
      </c>
      <c r="D29" s="10">
        <f>Evaluation!G4</f>
        <v>0.562</v>
      </c>
      <c r="E29" s="2">
        <f>Parameters!B15</f>
        <v>45000</v>
      </c>
      <c r="F29" s="7">
        <f>'Bids as Written'!N5</f>
        <v>25290</v>
      </c>
      <c r="G29" s="7">
        <f>Evaluation!G9</f>
        <v>25290</v>
      </c>
      <c r="H29" s="7">
        <f t="shared" si="0"/>
        <v>0</v>
      </c>
      <c r="I29" s="2" t="str">
        <f>IF(H29=0,"",IF(C29&lt;&gt;D29,"Unit price changed by a modification received before the due time, section 3.4",IF(ROUND(C29*Parameters!$B$10,2)=F29,"Extension written at the superseded quantity, corrected, 4.1 and PP-3.4.5","Extension corrected, unit price governs, 4.1")))</f>
        <v/>
      </c>
    </row>
    <row r="30" spans="1:9" x14ac:dyDescent="0.2">
      <c r="A30" s="2" t="s">
        <v>153</v>
      </c>
      <c r="B30" s="2">
        <v>2</v>
      </c>
      <c r="C30" s="10">
        <f>'Bids as Written'!M6</f>
        <v>0.386</v>
      </c>
      <c r="D30" s="10">
        <f>Evaluation!G5</f>
        <v>0.386</v>
      </c>
      <c r="E30" s="2">
        <f>Parameters!B16</f>
        <v>64000</v>
      </c>
      <c r="F30" s="7">
        <f>'Bids as Written'!N6</f>
        <v>24704</v>
      </c>
      <c r="G30" s="7">
        <f>Evaluation!G10</f>
        <v>24704</v>
      </c>
      <c r="H30" s="7">
        <f t="shared" si="0"/>
        <v>0</v>
      </c>
      <c r="I30" s="2" t="str">
        <f>IF(H30=0,"",IF(C30&lt;&gt;D30,"Unit price changed by a modification received before the due time, section 3.4",IF(ROUND(C30*Parameters!$B$10,2)=F30,"Extension written at the superseded quantity, corrected, 4.1 and PP-3.4.5","Extension corrected, unit price governs, 4.1")))</f>
        <v/>
      </c>
    </row>
    <row r="31" spans="1:9" x14ac:dyDescent="0.2">
      <c r="A31" s="2" t="s">
        <v>153</v>
      </c>
      <c r="B31" s="2">
        <v>3</v>
      </c>
      <c r="C31" s="10">
        <f>'Bids as Written'!M7</f>
        <v>0.268</v>
      </c>
      <c r="D31" s="10">
        <f>Evaluation!G6</f>
        <v>0.268</v>
      </c>
      <c r="E31" s="2">
        <f>Parameters!B17</f>
        <v>27000</v>
      </c>
      <c r="F31" s="7">
        <f>'Bids as Written'!N7</f>
        <v>7236</v>
      </c>
      <c r="G31" s="7">
        <f>Evaluation!G11</f>
        <v>7236</v>
      </c>
      <c r="H31" s="7">
        <f t="shared" si="0"/>
        <v>0</v>
      </c>
      <c r="I31" s="2" t="str">
        <f>IF(H31=0,"",IF(C31&lt;&gt;D31,"Unit price changed by a modification received before the due time, section 3.4",IF(ROUND(C31*Parameters!$B$10,2)=F31,"Extension written at the superseded quantity, corrected, 4.1 and PP-3.4.5","Extension corrected, unit price governs, 4.1")))</f>
        <v/>
      </c>
    </row>
    <row r="32" spans="1:9" x14ac:dyDescent="0.2">
      <c r="A32" s="2" t="s">
        <v>153</v>
      </c>
      <c r="B32" s="2">
        <v>4</v>
      </c>
      <c r="C32" s="10">
        <f>'Bids as Written'!M8</f>
        <v>1.548</v>
      </c>
      <c r="D32" s="10">
        <f>Evaluation!G7</f>
        <v>1.548</v>
      </c>
      <c r="E32" s="2">
        <f>Parameters!B18</f>
        <v>9000</v>
      </c>
      <c r="F32" s="7">
        <f>'Bids as Written'!N8</f>
        <v>13932</v>
      </c>
      <c r="G32" s="7">
        <f>Evaluation!G12</f>
        <v>13932</v>
      </c>
      <c r="H32" s="7">
        <f t="shared" si="0"/>
        <v>0</v>
      </c>
      <c r="I32" s="2" t="str">
        <f>IF(H32=0,"",IF(C32&lt;&gt;D32,"Unit price changed by a modification received before the due time, section 3.4",IF(ROUND(C32*Parameters!$B$10,2)=F32,"Extension written at the superseded quantity, corrected, 4.1 and PP-3.4.5","Extension corrected, unit price governs, 4.1")))</f>
        <v/>
      </c>
    </row>
    <row r="33" spans="1:9" x14ac:dyDescent="0.2">
      <c r="A33" s="2" t="s">
        <v>153</v>
      </c>
      <c r="B33" s="2">
        <v>5</v>
      </c>
      <c r="C33" s="10">
        <f>'Bids as Written'!M9</f>
        <v>0.91</v>
      </c>
      <c r="D33" s="10">
        <f>Evaluation!G8</f>
        <v>0.91</v>
      </c>
      <c r="E33" s="2">
        <f>Parameters!B19</f>
        <v>24000</v>
      </c>
      <c r="F33" s="7">
        <f>'Bids as Written'!N9</f>
        <v>21840</v>
      </c>
      <c r="G33" s="7">
        <f>Evaluation!G13</f>
        <v>21840</v>
      </c>
      <c r="H33" s="7">
        <f t="shared" si="0"/>
        <v>0</v>
      </c>
      <c r="I33" s="2" t="str">
        <f>IF(H33=0,"",IF(C33&lt;&gt;D33,"Unit price changed by a modification received before the due time, section 3.4",IF(ROUND(C33*Parameters!$B$10,2)=F33,"Extension written at the superseded quantity, corrected, 4.1 and PP-3.4.5","Extension corrected, unit price governs, 4.1")))</f>
        <v/>
      </c>
    </row>
    <row r="34" spans="1:9" x14ac:dyDescent="0.2">
      <c r="A34" s="2" t="s">
        <v>157</v>
      </c>
      <c r="B34" s="2">
        <v>1</v>
      </c>
      <c r="C34" s="10">
        <f>'Bids as Written'!O5</f>
        <v>0.583</v>
      </c>
      <c r="D34" s="10">
        <f>Evaluation!H4</f>
        <v>0.583</v>
      </c>
      <c r="E34" s="2">
        <f>Parameters!B15</f>
        <v>45000</v>
      </c>
      <c r="F34" s="7">
        <f>'Bids as Written'!P5</f>
        <v>26235</v>
      </c>
      <c r="G34" s="7">
        <f>Evaluation!H9</f>
        <v>26235</v>
      </c>
      <c r="H34" s="7">
        <f t="shared" si="0"/>
        <v>0</v>
      </c>
      <c r="I34" s="2" t="str">
        <f>IF(H34=0,"",IF(C34&lt;&gt;D34,"Unit price changed by a modification received before the due time, section 3.4",IF(ROUND(C34*Parameters!$B$10,2)=F34,"Extension written at the superseded quantity, corrected, 4.1 and PP-3.4.5","Extension corrected, unit price governs, 4.1")))</f>
        <v/>
      </c>
    </row>
    <row r="35" spans="1:9" x14ac:dyDescent="0.2">
      <c r="A35" s="2" t="s">
        <v>157</v>
      </c>
      <c r="B35" s="2">
        <v>2</v>
      </c>
      <c r="C35" s="10">
        <f>'Bids as Written'!O6</f>
        <v>0.399</v>
      </c>
      <c r="D35" s="10">
        <f>Evaluation!H5</f>
        <v>0.399</v>
      </c>
      <c r="E35" s="2">
        <f>Parameters!B16</f>
        <v>64000</v>
      </c>
      <c r="F35" s="7">
        <f>'Bids as Written'!P6</f>
        <v>25536</v>
      </c>
      <c r="G35" s="7">
        <f>Evaluation!H10</f>
        <v>25536</v>
      </c>
      <c r="H35" s="7">
        <f t="shared" si="0"/>
        <v>0</v>
      </c>
      <c r="I35" s="2" t="str">
        <f>IF(H35=0,"",IF(C35&lt;&gt;D35,"Unit price changed by a modification received before the due time, section 3.4",IF(ROUND(C35*Parameters!$B$10,2)=F35,"Extension written at the superseded quantity, corrected, 4.1 and PP-3.4.5","Extension corrected, unit price governs, 4.1")))</f>
        <v/>
      </c>
    </row>
    <row r="36" spans="1:9" x14ac:dyDescent="0.2">
      <c r="A36" s="2" t="s">
        <v>157</v>
      </c>
      <c r="B36" s="2">
        <v>3</v>
      </c>
      <c r="C36" s="10">
        <f>'Bids as Written'!O7</f>
        <v>0.283</v>
      </c>
      <c r="D36" s="10">
        <f>Evaluation!H6</f>
        <v>0.283</v>
      </c>
      <c r="E36" s="2">
        <f>Parameters!B17</f>
        <v>27000</v>
      </c>
      <c r="F36" s="7">
        <f>'Bids as Written'!P7</f>
        <v>7641</v>
      </c>
      <c r="G36" s="7">
        <f>Evaluation!H11</f>
        <v>7641</v>
      </c>
      <c r="H36" s="7">
        <f t="shared" ref="H36:H67" si="1">ROUND(G36-F36,2)</f>
        <v>0</v>
      </c>
      <c r="I36" s="2" t="str">
        <f>IF(H36=0,"",IF(C36&lt;&gt;D36,"Unit price changed by a modification received before the due time, section 3.4",IF(ROUND(C36*Parameters!$B$10,2)=F36,"Extension written at the superseded quantity, corrected, 4.1 and PP-3.4.5","Extension corrected, unit price governs, 4.1")))</f>
        <v/>
      </c>
    </row>
    <row r="37" spans="1:9" x14ac:dyDescent="0.2">
      <c r="A37" s="2" t="s">
        <v>157</v>
      </c>
      <c r="B37" s="2">
        <v>4</v>
      </c>
      <c r="C37" s="10">
        <f>'Bids as Written'!O8</f>
        <v>1.694</v>
      </c>
      <c r="D37" s="10">
        <f>Evaluation!H7</f>
        <v>1.694</v>
      </c>
      <c r="E37" s="2">
        <f>Parameters!B18</f>
        <v>9000</v>
      </c>
      <c r="F37" s="7">
        <f>'Bids as Written'!P8</f>
        <v>15246</v>
      </c>
      <c r="G37" s="7">
        <f>Evaluation!H12</f>
        <v>15246</v>
      </c>
      <c r="H37" s="7">
        <f t="shared" si="1"/>
        <v>0</v>
      </c>
      <c r="I37" s="2" t="str">
        <f>IF(H37=0,"",IF(C37&lt;&gt;D37,"Unit price changed by a modification received before the due time, section 3.4",IF(ROUND(C37*Parameters!$B$10,2)=F37,"Extension written at the superseded quantity, corrected, 4.1 and PP-3.4.5","Extension corrected, unit price governs, 4.1")))</f>
        <v/>
      </c>
    </row>
    <row r="38" spans="1:9" x14ac:dyDescent="0.2">
      <c r="A38" s="2" t="s">
        <v>157</v>
      </c>
      <c r="B38" s="2">
        <v>5</v>
      </c>
      <c r="C38" s="10">
        <f>'Bids as Written'!O9</f>
        <v>0.966</v>
      </c>
      <c r="D38" s="10">
        <f>Evaluation!H8</f>
        <v>0.966</v>
      </c>
      <c r="E38" s="2">
        <f>Parameters!B19</f>
        <v>24000</v>
      </c>
      <c r="F38" s="7">
        <f>'Bids as Written'!P9</f>
        <v>23184</v>
      </c>
      <c r="G38" s="7">
        <f>Evaluation!H13</f>
        <v>23184</v>
      </c>
      <c r="H38" s="7">
        <f t="shared" si="1"/>
        <v>0</v>
      </c>
      <c r="I38" s="2" t="str">
        <f>IF(H38=0,"",IF(C38&lt;&gt;D38,"Unit price changed by a modification received before the due time, section 3.4",IF(ROUND(C38*Parameters!$B$10,2)=F38,"Extension written at the superseded quantity, corrected, 4.1 and PP-3.4.5","Extension corrected, unit price governs, 4.1")))</f>
        <v/>
      </c>
    </row>
    <row r="39" spans="1:9" x14ac:dyDescent="0.2">
      <c r="A39" s="2" t="s">
        <v>161</v>
      </c>
      <c r="B39" s="2">
        <v>1</v>
      </c>
      <c r="C39" s="10">
        <f>'Bids as Written'!Q5</f>
        <v>0.602</v>
      </c>
      <c r="D39" s="10">
        <f>Evaluation!I4</f>
        <v>0.578</v>
      </c>
      <c r="E39" s="2">
        <f>Parameters!B15</f>
        <v>45000</v>
      </c>
      <c r="F39" s="7">
        <f>'Bids as Written'!R5</f>
        <v>27090</v>
      </c>
      <c r="G39" s="7">
        <f>Evaluation!I9</f>
        <v>26010</v>
      </c>
      <c r="H39" s="7">
        <f t="shared" si="1"/>
        <v>-1080</v>
      </c>
      <c r="I39" s="2" t="str">
        <f>IF(H39=0,"",IF(C39&lt;&gt;D39,"Unit price changed by a modification received before the due time, section 3.4",IF(ROUND(C39*Parameters!$B$10,2)=F39,"Extension written at the superseded quantity, corrected, 4.1 and PP-3.4.5","Extension corrected, unit price governs, 4.1")))</f>
        <v>Unit price changed by a modification received before the due time, section 3.4</v>
      </c>
    </row>
    <row r="40" spans="1:9" x14ac:dyDescent="0.2">
      <c r="A40" s="2" t="s">
        <v>161</v>
      </c>
      <c r="B40" s="2">
        <v>2</v>
      </c>
      <c r="C40" s="10">
        <f>'Bids as Written'!Q6</f>
        <v>0.408</v>
      </c>
      <c r="D40" s="10">
        <f>Evaluation!I5</f>
        <v>0.408</v>
      </c>
      <c r="E40" s="2">
        <f>Parameters!B16</f>
        <v>64000</v>
      </c>
      <c r="F40" s="7">
        <f>'Bids as Written'!R6</f>
        <v>26912</v>
      </c>
      <c r="G40" s="7">
        <f>Evaluation!I10</f>
        <v>26112</v>
      </c>
      <c r="H40" s="7">
        <f t="shared" si="1"/>
        <v>-800</v>
      </c>
      <c r="I40" s="2" t="str">
        <f>IF(H40=0,"",IF(C40&lt;&gt;D40,"Unit price changed by a modification received before the due time, section 3.4",IF(ROUND(C40*Parameters!$B$10,2)=F40,"Extension written at the superseded quantity, corrected, 4.1 and PP-3.4.5","Extension corrected, unit price governs, 4.1")))</f>
        <v>Extension corrected, unit price governs, 4.1</v>
      </c>
    </row>
    <row r="41" spans="1:9" x14ac:dyDescent="0.2">
      <c r="A41" s="2" t="s">
        <v>161</v>
      </c>
      <c r="B41" s="2">
        <v>3</v>
      </c>
      <c r="C41" s="10">
        <f>'Bids as Written'!Q7</f>
        <v>0.289</v>
      </c>
      <c r="D41" s="10">
        <f>Evaluation!I6</f>
        <v>0.289</v>
      </c>
      <c r="E41" s="2">
        <f>Parameters!B17</f>
        <v>27000</v>
      </c>
      <c r="F41" s="7">
        <f>'Bids as Written'!R7</f>
        <v>7803</v>
      </c>
      <c r="G41" s="7">
        <f>Evaluation!I11</f>
        <v>7803</v>
      </c>
      <c r="H41" s="7">
        <f t="shared" si="1"/>
        <v>0</v>
      </c>
      <c r="I41" s="2" t="str">
        <f>IF(H41=0,"",IF(C41&lt;&gt;D41,"Unit price changed by a modification received before the due time, section 3.4",IF(ROUND(C41*Parameters!$B$10,2)=F41,"Extension written at the superseded quantity, corrected, 4.1 and PP-3.4.5","Extension corrected, unit price governs, 4.1")))</f>
        <v/>
      </c>
    </row>
    <row r="42" spans="1:9" x14ac:dyDescent="0.2">
      <c r="A42" s="2" t="s">
        <v>161</v>
      </c>
      <c r="B42" s="2">
        <v>4</v>
      </c>
      <c r="C42" s="10">
        <f>'Bids as Written'!Q8</f>
        <v>1.704</v>
      </c>
      <c r="D42" s="10">
        <f>Evaluation!I7</f>
        <v>1.704</v>
      </c>
      <c r="E42" s="2">
        <f>Parameters!B18</f>
        <v>9000</v>
      </c>
      <c r="F42" s="7">
        <f>'Bids as Written'!R8</f>
        <v>15336</v>
      </c>
      <c r="G42" s="7">
        <f>Evaluation!I12</f>
        <v>15336</v>
      </c>
      <c r="H42" s="7">
        <f t="shared" si="1"/>
        <v>0</v>
      </c>
      <c r="I42" s="2" t="str">
        <f>IF(H42=0,"",IF(C42&lt;&gt;D42,"Unit price changed by a modification received before the due time, section 3.4",IF(ROUND(C42*Parameters!$B$10,2)=F42,"Extension written at the superseded quantity, corrected, 4.1 and PP-3.4.5","Extension corrected, unit price governs, 4.1")))</f>
        <v/>
      </c>
    </row>
    <row r="43" spans="1:9" x14ac:dyDescent="0.2">
      <c r="A43" s="2" t="s">
        <v>161</v>
      </c>
      <c r="B43" s="2">
        <v>5</v>
      </c>
      <c r="C43" s="10">
        <f>'Bids as Written'!Q9</f>
        <v>0.952</v>
      </c>
      <c r="D43" s="10">
        <f>Evaluation!I8</f>
        <v>0.952</v>
      </c>
      <c r="E43" s="2">
        <f>Parameters!B19</f>
        <v>24000</v>
      </c>
      <c r="F43" s="7">
        <f>'Bids as Written'!R9</f>
        <v>22848</v>
      </c>
      <c r="G43" s="7">
        <f>Evaluation!I13</f>
        <v>22848</v>
      </c>
      <c r="H43" s="7">
        <f t="shared" si="1"/>
        <v>0</v>
      </c>
      <c r="I43" s="2" t="str">
        <f>IF(H43=0,"",IF(C43&lt;&gt;D43,"Unit price changed by a modification received before the due time, section 3.4",IF(ROUND(C43*Parameters!$B$10,2)=F43,"Extension written at the superseded quantity, corrected, 4.1 and PP-3.4.5","Extension corrected, unit price governs, 4.1")))</f>
        <v/>
      </c>
    </row>
    <row r="44" spans="1:9" x14ac:dyDescent="0.2">
      <c r="A44" s="2" t="s">
        <v>166</v>
      </c>
      <c r="B44" s="2">
        <v>1</v>
      </c>
      <c r="C44" s="10">
        <f>'Bids as Written'!S5</f>
        <v>0.546</v>
      </c>
      <c r="D44" s="10">
        <f>Evaluation!J4</f>
        <v>0.546</v>
      </c>
      <c r="E44" s="2">
        <f>Parameters!B15</f>
        <v>45000</v>
      </c>
      <c r="F44" s="7">
        <f>'Bids as Written'!T5</f>
        <v>24570</v>
      </c>
      <c r="G44" s="7">
        <f>Evaluation!J9</f>
        <v>24570</v>
      </c>
      <c r="H44" s="7">
        <f t="shared" si="1"/>
        <v>0</v>
      </c>
      <c r="I44" s="2" t="str">
        <f>IF(H44=0,"",IF(C44&lt;&gt;D44,"Unit price changed by a modification received before the due time, section 3.4",IF(ROUND(C44*Parameters!$B$10,2)=F44,"Extension written at the superseded quantity, corrected, 4.1 and PP-3.4.5","Extension corrected, unit price governs, 4.1")))</f>
        <v/>
      </c>
    </row>
    <row r="45" spans="1:9" x14ac:dyDescent="0.2">
      <c r="A45" s="2" t="s">
        <v>166</v>
      </c>
      <c r="B45" s="2">
        <v>2</v>
      </c>
      <c r="C45" s="10">
        <f>'Bids as Written'!S6</f>
        <v>0.37</v>
      </c>
      <c r="D45" s="10">
        <f>Evaluation!J5</f>
        <v>0.37</v>
      </c>
      <c r="E45" s="2">
        <f>Parameters!B16</f>
        <v>64000</v>
      </c>
      <c r="F45" s="7">
        <f>'Bids as Written'!T6</f>
        <v>23680</v>
      </c>
      <c r="G45" s="7">
        <f>Evaluation!J10</f>
        <v>23680</v>
      </c>
      <c r="H45" s="7">
        <f t="shared" si="1"/>
        <v>0</v>
      </c>
      <c r="I45" s="2" t="str">
        <f>IF(H45=0,"",IF(C45&lt;&gt;D45,"Unit price changed by a modification received before the due time, section 3.4",IF(ROUND(C45*Parameters!$B$10,2)=F45,"Extension written at the superseded quantity, corrected, 4.1 and PP-3.4.5","Extension corrected, unit price governs, 4.1")))</f>
        <v/>
      </c>
    </row>
    <row r="46" spans="1:9" x14ac:dyDescent="0.2">
      <c r="A46" s="2" t="s">
        <v>166</v>
      </c>
      <c r="B46" s="2">
        <v>3</v>
      </c>
      <c r="C46" s="10">
        <f>'Bids as Written'!S7</f>
        <v>0.262</v>
      </c>
      <c r="D46" s="10">
        <f>Evaluation!J6</f>
        <v>0.262</v>
      </c>
      <c r="E46" s="2">
        <f>Parameters!B17</f>
        <v>27000</v>
      </c>
      <c r="F46" s="7">
        <f>'Bids as Written'!T7</f>
        <v>7074</v>
      </c>
      <c r="G46" s="7">
        <f>Evaluation!J11</f>
        <v>7074</v>
      </c>
      <c r="H46" s="7">
        <f t="shared" si="1"/>
        <v>0</v>
      </c>
      <c r="I46" s="2" t="str">
        <f>IF(H46=0,"",IF(C46&lt;&gt;D46,"Unit price changed by a modification received before the due time, section 3.4",IF(ROUND(C46*Parameters!$B$10,2)=F46,"Extension written at the superseded quantity, corrected, 4.1 and PP-3.4.5","Extension corrected, unit price governs, 4.1")))</f>
        <v/>
      </c>
    </row>
    <row r="47" spans="1:9" x14ac:dyDescent="0.2">
      <c r="A47" s="2" t="s">
        <v>166</v>
      </c>
      <c r="B47" s="2">
        <v>4</v>
      </c>
      <c r="C47" s="10">
        <f>'Bids as Written'!S8</f>
        <v>1.575</v>
      </c>
      <c r="D47" s="10">
        <f>Evaluation!J7</f>
        <v>1.575</v>
      </c>
      <c r="E47" s="2">
        <f>Parameters!B18</f>
        <v>9000</v>
      </c>
      <c r="F47" s="7">
        <f>'Bids as Written'!T8</f>
        <v>14175</v>
      </c>
      <c r="G47" s="7">
        <f>Evaluation!J12</f>
        <v>14175</v>
      </c>
      <c r="H47" s="7">
        <f t="shared" si="1"/>
        <v>0</v>
      </c>
      <c r="I47" s="2" t="str">
        <f>IF(H47=0,"",IF(C47&lt;&gt;D47,"Unit price changed by a modification received before the due time, section 3.4",IF(ROUND(C47*Parameters!$B$10,2)=F47,"Extension written at the superseded quantity, corrected, 4.1 and PP-3.4.5","Extension corrected, unit price governs, 4.1")))</f>
        <v/>
      </c>
    </row>
    <row r="48" spans="1:9" x14ac:dyDescent="0.2">
      <c r="A48" s="2" t="s">
        <v>166</v>
      </c>
      <c r="B48" s="2">
        <v>5</v>
      </c>
      <c r="C48" s="10">
        <f>'Bids as Written'!S9</f>
        <v>0.9</v>
      </c>
      <c r="D48" s="10">
        <f>Evaluation!J8</f>
        <v>0.9</v>
      </c>
      <c r="E48" s="2">
        <f>Parameters!B19</f>
        <v>24000</v>
      </c>
      <c r="F48" s="7">
        <f>'Bids as Written'!T9</f>
        <v>21600</v>
      </c>
      <c r="G48" s="7">
        <f>Evaluation!J13</f>
        <v>21600</v>
      </c>
      <c r="H48" s="7">
        <f t="shared" si="1"/>
        <v>0</v>
      </c>
      <c r="I48" s="2" t="str">
        <f>IF(H48=0,"",IF(C48&lt;&gt;D48,"Unit price changed by a modification received before the due time, section 3.4",IF(ROUND(C48*Parameters!$B$10,2)=F48,"Extension written at the superseded quantity, corrected, 4.1 and PP-3.4.5","Extension corrected, unit price governs, 4.1")))</f>
        <v/>
      </c>
    </row>
    <row r="49" spans="1:9" x14ac:dyDescent="0.2">
      <c r="A49" s="2" t="s">
        <v>171</v>
      </c>
      <c r="B49" s="2">
        <v>1</v>
      </c>
      <c r="C49" s="10">
        <f>'Bids as Written'!U5</f>
        <v>0.604</v>
      </c>
      <c r="D49" s="10">
        <f>Evaluation!K4</f>
        <v>0.604</v>
      </c>
      <c r="E49" s="2">
        <f>Parameters!B15</f>
        <v>45000</v>
      </c>
      <c r="F49" s="7">
        <f>'Bids as Written'!V5</f>
        <v>27180</v>
      </c>
      <c r="G49" s="7">
        <f>Evaluation!K9</f>
        <v>27180</v>
      </c>
      <c r="H49" s="7">
        <f t="shared" si="1"/>
        <v>0</v>
      </c>
      <c r="I49" s="2" t="str">
        <f>IF(H49=0,"",IF(C49&lt;&gt;D49,"Unit price changed by a modification received before the due time, section 3.4",IF(ROUND(C49*Parameters!$B$10,2)=F49,"Extension written at the superseded quantity, corrected, 4.1 and PP-3.4.5","Extension corrected, unit price governs, 4.1")))</f>
        <v/>
      </c>
    </row>
    <row r="50" spans="1:9" x14ac:dyDescent="0.2">
      <c r="A50" s="2" t="s">
        <v>171</v>
      </c>
      <c r="B50" s="2">
        <v>2</v>
      </c>
      <c r="C50" s="10">
        <f>'Bids as Written'!U6</f>
        <v>0.407</v>
      </c>
      <c r="D50" s="10">
        <f>Evaluation!K5</f>
        <v>0.407</v>
      </c>
      <c r="E50" s="2">
        <f>Parameters!B16</f>
        <v>64000</v>
      </c>
      <c r="F50" s="7">
        <f>'Bids as Written'!V6</f>
        <v>26048</v>
      </c>
      <c r="G50" s="7">
        <f>Evaluation!K10</f>
        <v>26048</v>
      </c>
      <c r="H50" s="7">
        <f t="shared" si="1"/>
        <v>0</v>
      </c>
      <c r="I50" s="2" t="str">
        <f>IF(H50=0,"",IF(C50&lt;&gt;D50,"Unit price changed by a modification received before the due time, section 3.4",IF(ROUND(C50*Parameters!$B$10,2)=F50,"Extension written at the superseded quantity, corrected, 4.1 and PP-3.4.5","Extension corrected, unit price governs, 4.1")))</f>
        <v/>
      </c>
    </row>
    <row r="51" spans="1:9" x14ac:dyDescent="0.2">
      <c r="A51" s="2" t="s">
        <v>171</v>
      </c>
      <c r="B51" s="2">
        <v>3</v>
      </c>
      <c r="C51" s="10">
        <f>'Bids as Written'!U7</f>
        <v>0.281</v>
      </c>
      <c r="D51" s="10">
        <f>Evaluation!K6</f>
        <v>0.281</v>
      </c>
      <c r="E51" s="2">
        <f>Parameters!B17</f>
        <v>27000</v>
      </c>
      <c r="F51" s="7">
        <f>'Bids as Written'!V7</f>
        <v>7587</v>
      </c>
      <c r="G51" s="7">
        <f>Evaluation!K11</f>
        <v>7587</v>
      </c>
      <c r="H51" s="7">
        <f t="shared" si="1"/>
        <v>0</v>
      </c>
      <c r="I51" s="2" t="str">
        <f>IF(H51=0,"",IF(C51&lt;&gt;D51,"Unit price changed by a modification received before the due time, section 3.4",IF(ROUND(C51*Parameters!$B$10,2)=F51,"Extension written at the superseded quantity, corrected, 4.1 and PP-3.4.5","Extension corrected, unit price governs, 4.1")))</f>
        <v/>
      </c>
    </row>
    <row r="52" spans="1:9" x14ac:dyDescent="0.2">
      <c r="A52" s="2" t="s">
        <v>171</v>
      </c>
      <c r="B52" s="2">
        <v>4</v>
      </c>
      <c r="C52" s="10">
        <f>'Bids as Written'!U8</f>
        <v>1.699</v>
      </c>
      <c r="D52" s="10">
        <f>Evaluation!K7</f>
        <v>1.699</v>
      </c>
      <c r="E52" s="2">
        <f>Parameters!B18</f>
        <v>9000</v>
      </c>
      <c r="F52" s="7">
        <f>'Bids as Written'!V8</f>
        <v>15291</v>
      </c>
      <c r="G52" s="7">
        <f>Evaluation!K12</f>
        <v>15291</v>
      </c>
      <c r="H52" s="7">
        <f t="shared" si="1"/>
        <v>0</v>
      </c>
      <c r="I52" s="2" t="str">
        <f>IF(H52=0,"",IF(C52&lt;&gt;D52,"Unit price changed by a modification received before the due time, section 3.4",IF(ROUND(C52*Parameters!$B$10,2)=F52,"Extension written at the superseded quantity, corrected, 4.1 and PP-3.4.5","Extension corrected, unit price governs, 4.1")))</f>
        <v/>
      </c>
    </row>
    <row r="53" spans="1:9" x14ac:dyDescent="0.2">
      <c r="A53" s="2" t="s">
        <v>171</v>
      </c>
      <c r="B53" s="2">
        <v>5</v>
      </c>
      <c r="C53" s="10">
        <f>'Bids as Written'!U9</f>
        <v>0.963</v>
      </c>
      <c r="D53" s="10">
        <f>Evaluation!K8</f>
        <v>0.963</v>
      </c>
      <c r="E53" s="2">
        <f>Parameters!B19</f>
        <v>24000</v>
      </c>
      <c r="F53" s="7">
        <f>'Bids as Written'!V9</f>
        <v>23112</v>
      </c>
      <c r="G53" s="7">
        <f>Evaluation!K13</f>
        <v>23112</v>
      </c>
      <c r="H53" s="7">
        <f t="shared" si="1"/>
        <v>0</v>
      </c>
      <c r="I53" s="2" t="str">
        <f>IF(H53=0,"",IF(C53&lt;&gt;D53,"Unit price changed by a modification received before the due time, section 3.4",IF(ROUND(C53*Parameters!$B$10,2)=F53,"Extension written at the superseded quantity, corrected, 4.1 and PP-3.4.5","Extension corrected, unit price governs, 4.1")))</f>
        <v/>
      </c>
    </row>
    <row r="54" spans="1:9" x14ac:dyDescent="0.2">
      <c r="A54" s="2" t="s">
        <v>175</v>
      </c>
      <c r="B54" s="2">
        <v>1</v>
      </c>
      <c r="C54" s="10">
        <f>'Bids as Written'!W5</f>
        <v>0.628</v>
      </c>
      <c r="D54" s="10">
        <f>Evaluation!L4</f>
        <v>0.628</v>
      </c>
      <c r="E54" s="2">
        <f>Parameters!B15</f>
        <v>45000</v>
      </c>
      <c r="F54" s="7">
        <f>'Bids as Written'!X5</f>
        <v>28260</v>
      </c>
      <c r="G54" s="7">
        <f>Evaluation!L9</f>
        <v>28260</v>
      </c>
      <c r="H54" s="7">
        <f t="shared" si="1"/>
        <v>0</v>
      </c>
      <c r="I54" s="2" t="str">
        <f>IF(H54=0,"",IF(C54&lt;&gt;D54,"Unit price changed by a modification received before the due time, section 3.4",IF(ROUND(C54*Parameters!$B$10,2)=F54,"Extension written at the superseded quantity, corrected, 4.1 and PP-3.4.5","Extension corrected, unit price governs, 4.1")))</f>
        <v/>
      </c>
    </row>
    <row r="55" spans="1:9" x14ac:dyDescent="0.2">
      <c r="A55" s="2" t="s">
        <v>175</v>
      </c>
      <c r="B55" s="2">
        <v>2</v>
      </c>
      <c r="C55" s="10">
        <f>'Bids as Written'!W6</f>
        <v>0.428</v>
      </c>
      <c r="D55" s="10">
        <f>Evaluation!L5</f>
        <v>0.428</v>
      </c>
      <c r="E55" s="2">
        <f>Parameters!B16</f>
        <v>64000</v>
      </c>
      <c r="F55" s="7">
        <f>'Bids as Written'!X6</f>
        <v>27392</v>
      </c>
      <c r="G55" s="7">
        <f>Evaluation!L10</f>
        <v>27392</v>
      </c>
      <c r="H55" s="7">
        <f t="shared" si="1"/>
        <v>0</v>
      </c>
      <c r="I55" s="2" t="str">
        <f>IF(H55=0,"",IF(C55&lt;&gt;D55,"Unit price changed by a modification received before the due time, section 3.4",IF(ROUND(C55*Parameters!$B$10,2)=F55,"Extension written at the superseded quantity, corrected, 4.1 and PP-3.4.5","Extension corrected, unit price governs, 4.1")))</f>
        <v/>
      </c>
    </row>
    <row r="56" spans="1:9" x14ac:dyDescent="0.2">
      <c r="A56" s="2" t="s">
        <v>175</v>
      </c>
      <c r="B56" s="2">
        <v>3</v>
      </c>
      <c r="C56" s="10">
        <f>'Bids as Written'!W7</f>
        <v>0.301</v>
      </c>
      <c r="D56" s="10">
        <f>Evaluation!L6</f>
        <v>0.301</v>
      </c>
      <c r="E56" s="2">
        <f>Parameters!B17</f>
        <v>27000</v>
      </c>
      <c r="F56" s="7">
        <f>'Bids as Written'!X7</f>
        <v>8127</v>
      </c>
      <c r="G56" s="7">
        <f>Evaluation!L11</f>
        <v>8127</v>
      </c>
      <c r="H56" s="7">
        <f t="shared" si="1"/>
        <v>0</v>
      </c>
      <c r="I56" s="2" t="str">
        <f>IF(H56=0,"",IF(C56&lt;&gt;D56,"Unit price changed by a modification received before the due time, section 3.4",IF(ROUND(C56*Parameters!$B$10,2)=F56,"Extension written at the superseded quantity, corrected, 4.1 and PP-3.4.5","Extension corrected, unit price governs, 4.1")))</f>
        <v/>
      </c>
    </row>
    <row r="57" spans="1:9" x14ac:dyDescent="0.2">
      <c r="A57" s="2" t="s">
        <v>175</v>
      </c>
      <c r="B57" s="2">
        <v>4</v>
      </c>
      <c r="C57" s="10">
        <f>'Bids as Written'!W8</f>
        <v>1.79</v>
      </c>
      <c r="D57" s="10">
        <f>Evaluation!L7</f>
        <v>1.79</v>
      </c>
      <c r="E57" s="2">
        <f>Parameters!B18</f>
        <v>9000</v>
      </c>
      <c r="F57" s="7">
        <f>'Bids as Written'!X8</f>
        <v>16110</v>
      </c>
      <c r="G57" s="7">
        <f>Evaluation!L12</f>
        <v>16110</v>
      </c>
      <c r="H57" s="7">
        <f t="shared" si="1"/>
        <v>0</v>
      </c>
      <c r="I57" s="2" t="str">
        <f>IF(H57=0,"",IF(C57&lt;&gt;D57,"Unit price changed by a modification received before the due time, section 3.4",IF(ROUND(C57*Parameters!$B$10,2)=F57,"Extension written at the superseded quantity, corrected, 4.1 and PP-3.4.5","Extension corrected, unit price governs, 4.1")))</f>
        <v/>
      </c>
    </row>
    <row r="58" spans="1:9" x14ac:dyDescent="0.2">
      <c r="A58" s="2" t="s">
        <v>175</v>
      </c>
      <c r="B58" s="2">
        <v>5</v>
      </c>
      <c r="C58" s="10">
        <f>'Bids as Written'!W9</f>
        <v>1.012</v>
      </c>
      <c r="D58" s="10">
        <f>Evaluation!L8</f>
        <v>1.012</v>
      </c>
      <c r="E58" s="2">
        <f>Parameters!B19</f>
        <v>24000</v>
      </c>
      <c r="F58" s="7">
        <f>'Bids as Written'!X9</f>
        <v>24288</v>
      </c>
      <c r="G58" s="7">
        <f>Evaluation!L13</f>
        <v>24288</v>
      </c>
      <c r="H58" s="7">
        <f t="shared" si="1"/>
        <v>0</v>
      </c>
      <c r="I58" s="2" t="str">
        <f>IF(H58=0,"",IF(C58&lt;&gt;D58,"Unit price changed by a modification received before the due time, section 3.4",IF(ROUND(C58*Parameters!$B$10,2)=F58,"Extension written at the superseded quantity, corrected, 4.1 and PP-3.4.5","Extension corrected, unit price governs, 4.1")))</f>
        <v/>
      </c>
    </row>
    <row r="59" spans="1:9" x14ac:dyDescent="0.2">
      <c r="A59" s="2" t="s">
        <v>37</v>
      </c>
      <c r="H59" s="2">
        <f>COUNTIF(I4:I58,"Extension*")</f>
        <v>2</v>
      </c>
    </row>
    <row r="60" spans="1:9" x14ac:dyDescent="0.2">
      <c r="A60" s="2" t="s">
        <v>439</v>
      </c>
      <c r="H60" s="2">
        <f>COUNTIF(I4:I58,"Unit price changed*")</f>
        <v>1</v>
      </c>
    </row>
    <row r="62" spans="1:9" x14ac:dyDescent="0.2">
      <c r="A62" s="2" t="s">
        <v>440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8"/>
  <sheetViews>
    <sheetView workbookViewId="0"/>
  </sheetViews>
  <sheetFormatPr baseColWidth="10" defaultColWidth="8.83203125" defaultRowHeight="15" x14ac:dyDescent="0.2"/>
  <cols>
    <col min="1" max="1" width="130" customWidth="1"/>
  </cols>
  <sheetData>
    <row r="1" spans="1:1" ht="17" customHeight="1" x14ac:dyDescent="0.2">
      <c r="A1" s="1" t="s">
        <v>441</v>
      </c>
    </row>
    <row r="3" spans="1:1" ht="48" customHeight="1" x14ac:dyDescent="0.2">
      <c r="A3" s="4" t="s">
        <v>442</v>
      </c>
    </row>
    <row r="4" spans="1:1" ht="64" customHeight="1" x14ac:dyDescent="0.2">
      <c r="A4" s="4" t="s">
        <v>443</v>
      </c>
    </row>
    <row r="5" spans="1:1" ht="80" customHeight="1" x14ac:dyDescent="0.2">
      <c r="A5" s="4" t="s">
        <v>444</v>
      </c>
    </row>
    <row r="6" spans="1:1" ht="112" customHeight="1" x14ac:dyDescent="0.2">
      <c r="A6" s="4" t="s">
        <v>445</v>
      </c>
    </row>
    <row r="7" spans="1:1" ht="32" customHeight="1" x14ac:dyDescent="0.2">
      <c r="A7" s="4" t="s">
        <v>446</v>
      </c>
    </row>
    <row r="8" spans="1:1" ht="80" customHeight="1" x14ac:dyDescent="0.2">
      <c r="A8" s="4" t="s">
        <v>447</v>
      </c>
    </row>
    <row r="9" spans="1:1" ht="144" customHeight="1" x14ac:dyDescent="0.2">
      <c r="A9" s="4" t="s">
        <v>448</v>
      </c>
    </row>
    <row r="10" spans="1:1" ht="112" customHeight="1" x14ac:dyDescent="0.2">
      <c r="A10" s="4" t="s">
        <v>449</v>
      </c>
    </row>
    <row r="11" spans="1:1" ht="48" customHeight="1" x14ac:dyDescent="0.2">
      <c r="A11" s="4" t="s">
        <v>450</v>
      </c>
    </row>
    <row r="12" spans="1:1" ht="48" customHeight="1" x14ac:dyDescent="0.2">
      <c r="A12" s="4" t="s">
        <v>451</v>
      </c>
    </row>
    <row r="13" spans="1:1" ht="48" customHeight="1" x14ac:dyDescent="0.2">
      <c r="A13" s="4" t="s">
        <v>452</v>
      </c>
    </row>
    <row r="14" spans="1:1" ht="64" customHeight="1" x14ac:dyDescent="0.2">
      <c r="A14" s="4" t="s">
        <v>453</v>
      </c>
    </row>
    <row r="15" spans="1:1" ht="64" customHeight="1" x14ac:dyDescent="0.2">
      <c r="A15" s="4" t="s">
        <v>454</v>
      </c>
    </row>
    <row r="16" spans="1:1" ht="48" customHeight="1" x14ac:dyDescent="0.2">
      <c r="A16" s="4" t="s">
        <v>455</v>
      </c>
    </row>
    <row r="17" spans="1:1" ht="80" customHeight="1" x14ac:dyDescent="0.2">
      <c r="A17" s="4" t="s">
        <v>456</v>
      </c>
    </row>
    <row r="18" spans="1:1" ht="112" customHeight="1" x14ac:dyDescent="0.2">
      <c r="A18" s="4" t="s">
        <v>457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Recommendation</vt:lpstr>
      <vt:lpstr>Parameters</vt:lpstr>
      <vt:lpstr>Bids as Written</vt:lpstr>
      <vt:lpstr>Terms</vt:lpstr>
      <vt:lpstr>Bid Conditions</vt:lpstr>
      <vt:lpstr>Later Writings</vt:lpstr>
      <vt:lpstr>Bid Security</vt:lpstr>
      <vt:lpstr>Bid Receipt</vt:lpstr>
      <vt:lpstr>Holds on Bidders</vt:lpstr>
      <vt:lpstr>Freight</vt:lpstr>
      <vt:lpstr>Responsiveness</vt:lpstr>
      <vt:lpstr>Responsibility</vt:lpstr>
      <vt:lpstr>Evaluation</vt:lpstr>
      <vt:lpstr>Extensions</vt:lpstr>
      <vt:lpstr>Note to Torsten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Nordvik Manufacturing</dc:creator>
  <dc:title xmlns:dc="http://purl.org/dc/elements/1.1/">Bid evaluation ITB 2026-17</dc:title>
  <dcterms:created xmlns:dcterms="http://purl.org/dc/terms/" xmlns:xsi="http://www.w3.org/2001/XMLSchema-instance" xsi:type="dcterms:W3CDTF">2026-10-19T08:15:27Z</dcterms:created>
  <dcterms:modified xmlns:dcterms="http://purl.org/dc/terms/" xmlns:xsi="http://www.w3.org/2001/XMLSchema-instance" xsi:type="dcterms:W3CDTF">2026-10-23T09:36:50Z</dcterms:modified>
  <cp:lastModifiedBy>Nordvik Manufacturing</cp:lastModifiedBy>
</cp:coreProperties>
</file>