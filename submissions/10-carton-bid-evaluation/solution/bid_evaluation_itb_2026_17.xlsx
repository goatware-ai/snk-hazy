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75412E84-CE41-7D41-BA3B-ADDF35616EF8}" xr6:coauthVersionLast="47" xr6:coauthVersionMax="47" xr10:uidLastSave="{00000000-0000-0000-0000-000000000000}"/>
  <bookViews>
    <workbookView xWindow="0" yWindow="0" windowWidth="21600" windowHeight="38400" xr2:uid="{00000000-000D-0000-FFFF-FFFF00000000}"/>
  </bookViews>
  <sheets>
    <sheet name="Recommendation" sheetId="1" r:id="rId1"/>
    <sheet name="Parameters" sheetId="2" r:id="rId2"/>
    <sheet name="Bids as Written" sheetId="3" r:id="rId3"/>
    <sheet name="Terms" sheetId="4" r:id="rId4"/>
    <sheet name="Bid Conditions" sheetId="5" r:id="rId5"/>
    <sheet name="Holds on Bidders" sheetId="6" r:id="rId6"/>
    <sheet name="Freight" sheetId="7" r:id="rId7"/>
    <sheet name="Responsiveness" sheetId="8" r:id="rId8"/>
    <sheet name="Responsibility" sheetId="9" r:id="rId9"/>
    <sheet name="Evaluation" sheetId="10" r:id="rId10"/>
    <sheet name="Extensions" sheetId="11" r:id="rId11"/>
    <sheet name="Note to Torsten"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1" l="1"/>
  <c r="G33" i="11" s="1"/>
  <c r="H33" i="11" s="1"/>
  <c r="E33" i="11"/>
  <c r="D33" i="11"/>
  <c r="C33" i="11"/>
  <c r="F32" i="11"/>
  <c r="G32" i="11" s="1"/>
  <c r="H32" i="11" s="1"/>
  <c r="E32" i="11"/>
  <c r="D32" i="11"/>
  <c r="C32" i="11"/>
  <c r="F31" i="11"/>
  <c r="G31" i="11" s="1"/>
  <c r="H31" i="11" s="1"/>
  <c r="E31" i="11"/>
  <c r="D31" i="11"/>
  <c r="C31" i="11"/>
  <c r="F30" i="11"/>
  <c r="G30" i="11" s="1"/>
  <c r="H30" i="11" s="1"/>
  <c r="E30" i="11"/>
  <c r="D30" i="11"/>
  <c r="C30" i="11"/>
  <c r="F29" i="11"/>
  <c r="G29" i="11" s="1"/>
  <c r="H29" i="11" s="1"/>
  <c r="E29" i="11"/>
  <c r="D29" i="11"/>
  <c r="C29" i="11"/>
  <c r="F28" i="11"/>
  <c r="G28" i="11" s="1"/>
  <c r="H28" i="11" s="1"/>
  <c r="E28" i="11"/>
  <c r="D28" i="11"/>
  <c r="C28" i="11"/>
  <c r="F27" i="11"/>
  <c r="G27" i="11" s="1"/>
  <c r="H27" i="11" s="1"/>
  <c r="E27" i="11"/>
  <c r="D27" i="11"/>
  <c r="C27" i="11"/>
  <c r="F26" i="11"/>
  <c r="G26" i="11" s="1"/>
  <c r="H26" i="11" s="1"/>
  <c r="E26" i="11"/>
  <c r="D26" i="11"/>
  <c r="C26" i="11"/>
  <c r="F25" i="11"/>
  <c r="G25" i="11" s="1"/>
  <c r="H25" i="11" s="1"/>
  <c r="E25" i="11"/>
  <c r="D25" i="11"/>
  <c r="C25" i="11"/>
  <c r="F24" i="11"/>
  <c r="G24" i="11" s="1"/>
  <c r="H24" i="11" s="1"/>
  <c r="E24" i="11"/>
  <c r="D24" i="11"/>
  <c r="C24" i="11"/>
  <c r="F23" i="11"/>
  <c r="G23" i="11" s="1"/>
  <c r="H23" i="11" s="1"/>
  <c r="E23" i="11"/>
  <c r="D23" i="11"/>
  <c r="C23" i="11"/>
  <c r="E22" i="11"/>
  <c r="D22" i="11"/>
  <c r="C22" i="11"/>
  <c r="E21" i="11"/>
  <c r="D21" i="11"/>
  <c r="C21" i="11"/>
  <c r="E20" i="11"/>
  <c r="D20" i="11"/>
  <c r="C20" i="11"/>
  <c r="E19" i="11"/>
  <c r="D19" i="11"/>
  <c r="C19" i="11"/>
  <c r="E18" i="11"/>
  <c r="D18" i="11"/>
  <c r="C18" i="11"/>
  <c r="E17" i="11"/>
  <c r="D17" i="11"/>
  <c r="C17" i="11"/>
  <c r="E16" i="11"/>
  <c r="D16" i="11"/>
  <c r="C16" i="11"/>
  <c r="E15" i="11"/>
  <c r="D15" i="11"/>
  <c r="C15" i="11"/>
  <c r="E14" i="11"/>
  <c r="D14" i="11"/>
  <c r="C14" i="11"/>
  <c r="E13" i="11"/>
  <c r="D13" i="11"/>
  <c r="C13" i="11"/>
  <c r="E12" i="11"/>
  <c r="D12" i="11"/>
  <c r="C12" i="11"/>
  <c r="E11" i="11"/>
  <c r="D11" i="11"/>
  <c r="C11" i="11"/>
  <c r="E10" i="11"/>
  <c r="D10" i="11"/>
  <c r="C10" i="11"/>
  <c r="E9" i="11"/>
  <c r="D9" i="11"/>
  <c r="C9" i="11"/>
  <c r="E8" i="11"/>
  <c r="D8" i="11"/>
  <c r="C8" i="11"/>
  <c r="E7" i="11"/>
  <c r="D7" i="11"/>
  <c r="C7" i="11"/>
  <c r="E6" i="11"/>
  <c r="D6" i="11"/>
  <c r="C6" i="11"/>
  <c r="E5" i="11"/>
  <c r="D5" i="11"/>
  <c r="C5" i="11"/>
  <c r="E4" i="11"/>
  <c r="D4" i="11"/>
  <c r="C4" i="11"/>
  <c r="G14" i="10"/>
  <c r="G15" i="10" s="1"/>
  <c r="G13" i="1" s="1"/>
  <c r="F14" i="10"/>
  <c r="F15" i="10" s="1"/>
  <c r="F13" i="1" s="1"/>
  <c r="E14" i="10"/>
  <c r="E15" i="10" s="1"/>
  <c r="E13" i="1" s="1"/>
  <c r="D14" i="10"/>
  <c r="C14" i="10"/>
  <c r="B14" i="10"/>
  <c r="B15" i="10" s="1"/>
  <c r="B13" i="1" s="1"/>
  <c r="G13" i="10"/>
  <c r="F13" i="10"/>
  <c r="E13" i="10"/>
  <c r="D13" i="10"/>
  <c r="C13" i="10"/>
  <c r="B13" i="10"/>
  <c r="G11" i="10"/>
  <c r="G12" i="10" s="1"/>
  <c r="G12" i="1" s="1"/>
  <c r="F11" i="10"/>
  <c r="F12" i="10" s="1"/>
  <c r="F12" i="1" s="1"/>
  <c r="E11" i="10"/>
  <c r="E12" i="10" s="1"/>
  <c r="E12" i="1" s="1"/>
  <c r="D11" i="10"/>
  <c r="D12" i="10" s="1"/>
  <c r="D12" i="1" s="1"/>
  <c r="C11" i="10"/>
  <c r="C12" i="10" s="1"/>
  <c r="C12" i="1" s="1"/>
  <c r="B11" i="10"/>
  <c r="B12" i="10" s="1"/>
  <c r="B12" i="1" s="1"/>
  <c r="G10" i="10"/>
  <c r="G11" i="1" s="1"/>
  <c r="F10" i="10"/>
  <c r="F11" i="1" s="1"/>
  <c r="E10" i="10"/>
  <c r="E11" i="1" s="1"/>
  <c r="D10" i="10"/>
  <c r="D11" i="1" s="1"/>
  <c r="C10" i="10"/>
  <c r="C11" i="1" s="1"/>
  <c r="B10" i="10"/>
  <c r="B11" i="1" s="1"/>
  <c r="G9" i="10"/>
  <c r="F9" i="10"/>
  <c r="G8" i="10"/>
  <c r="F8" i="10"/>
  <c r="E8" i="10"/>
  <c r="D8" i="10"/>
  <c r="F18" i="11" s="1"/>
  <c r="G18" i="11" s="1"/>
  <c r="H18" i="11" s="1"/>
  <c r="C8" i="10"/>
  <c r="F13" i="11" s="1"/>
  <c r="G13" i="11" s="1"/>
  <c r="H13" i="11" s="1"/>
  <c r="B8" i="10"/>
  <c r="F8" i="11" s="1"/>
  <c r="G8" i="11" s="1"/>
  <c r="H8" i="11" s="1"/>
  <c r="G7" i="10"/>
  <c r="F7" i="10"/>
  <c r="E7" i="10"/>
  <c r="F22" i="11" s="1"/>
  <c r="G22" i="11" s="1"/>
  <c r="H22" i="11" s="1"/>
  <c r="D7" i="10"/>
  <c r="F17" i="11" s="1"/>
  <c r="G17" i="11" s="1"/>
  <c r="H17" i="11" s="1"/>
  <c r="C7" i="10"/>
  <c r="F12" i="11" s="1"/>
  <c r="G12" i="11" s="1"/>
  <c r="H12" i="11" s="1"/>
  <c r="B7" i="10"/>
  <c r="F7" i="11" s="1"/>
  <c r="G7" i="11" s="1"/>
  <c r="H7" i="11" s="1"/>
  <c r="G6" i="10"/>
  <c r="F6" i="10"/>
  <c r="E6" i="10"/>
  <c r="F21" i="11" s="1"/>
  <c r="G21" i="11" s="1"/>
  <c r="H21" i="11" s="1"/>
  <c r="D6" i="10"/>
  <c r="F16" i="11" s="1"/>
  <c r="G16" i="11" s="1"/>
  <c r="H16" i="11" s="1"/>
  <c r="C6" i="10"/>
  <c r="F11" i="11" s="1"/>
  <c r="G11" i="11" s="1"/>
  <c r="H11" i="11" s="1"/>
  <c r="B6" i="10"/>
  <c r="F6" i="11" s="1"/>
  <c r="G6" i="11" s="1"/>
  <c r="H6" i="11" s="1"/>
  <c r="G5" i="10"/>
  <c r="F5" i="10"/>
  <c r="E5" i="10"/>
  <c r="F20" i="11" s="1"/>
  <c r="G20" i="11" s="1"/>
  <c r="H20" i="11" s="1"/>
  <c r="D5" i="10"/>
  <c r="F15" i="11" s="1"/>
  <c r="G15" i="11" s="1"/>
  <c r="H15" i="11" s="1"/>
  <c r="C5" i="10"/>
  <c r="F10" i="11" s="1"/>
  <c r="G10" i="11" s="1"/>
  <c r="H10" i="11" s="1"/>
  <c r="B5" i="10"/>
  <c r="F5" i="11" s="1"/>
  <c r="G5" i="11" s="1"/>
  <c r="H5" i="11" s="1"/>
  <c r="G4" i="10"/>
  <c r="F4" i="10"/>
  <c r="E4" i="10"/>
  <c r="D4" i="10"/>
  <c r="C4" i="10"/>
  <c r="B4" i="10"/>
  <c r="H9" i="8"/>
  <c r="G9" i="8"/>
  <c r="F9" i="8"/>
  <c r="E9" i="8"/>
  <c r="D9" i="8"/>
  <c r="C9" i="8"/>
  <c r="B9" i="8"/>
  <c r="A9" i="8"/>
  <c r="H8" i="8"/>
  <c r="G8" i="8"/>
  <c r="F8" i="8"/>
  <c r="E8" i="8"/>
  <c r="D8" i="8"/>
  <c r="C8" i="8"/>
  <c r="B8" i="8"/>
  <c r="A8" i="8"/>
  <c r="H7" i="8"/>
  <c r="G7" i="8"/>
  <c r="F7" i="8"/>
  <c r="E7" i="8"/>
  <c r="D7" i="8"/>
  <c r="C7" i="8"/>
  <c r="B7" i="8"/>
  <c r="A7" i="8"/>
  <c r="H6" i="8"/>
  <c r="G6" i="8"/>
  <c r="F6" i="8"/>
  <c r="E6" i="8"/>
  <c r="D6" i="8"/>
  <c r="C6" i="8"/>
  <c r="B6" i="8"/>
  <c r="A6" i="8"/>
  <c r="J5" i="8"/>
  <c r="C7" i="1" s="1"/>
  <c r="I5" i="8"/>
  <c r="H5" i="8"/>
  <c r="G5" i="8"/>
  <c r="F5" i="8"/>
  <c r="E5" i="8"/>
  <c r="D5" i="8"/>
  <c r="C5" i="8"/>
  <c r="B5" i="8"/>
  <c r="A5" i="8"/>
  <c r="H4" i="8"/>
  <c r="G4" i="8"/>
  <c r="F4" i="8"/>
  <c r="E4" i="8"/>
  <c r="D4" i="8"/>
  <c r="C4" i="8"/>
  <c r="B4" i="8"/>
  <c r="A4" i="8"/>
  <c r="G8" i="7"/>
  <c r="H8" i="7" s="1"/>
  <c r="G7" i="7"/>
  <c r="H7" i="7" s="1"/>
  <c r="G6" i="7"/>
  <c r="H6" i="7" s="1"/>
  <c r="G5" i="7"/>
  <c r="H5" i="7" s="1"/>
  <c r="G4" i="7"/>
  <c r="H4" i="7" s="1"/>
  <c r="H9" i="7" s="1"/>
  <c r="H10" i="7" s="1"/>
  <c r="A9" i="5"/>
  <c r="A8" i="5"/>
  <c r="A7" i="5"/>
  <c r="A6" i="5"/>
  <c r="A5" i="5"/>
  <c r="A4" i="5"/>
  <c r="N11" i="3"/>
  <c r="G17" i="10" s="1"/>
  <c r="G9" i="1" s="1"/>
  <c r="L11" i="3"/>
  <c r="F17" i="10" s="1"/>
  <c r="F9" i="1" s="1"/>
  <c r="J11" i="3"/>
  <c r="E17" i="10" s="1"/>
  <c r="E9" i="1" s="1"/>
  <c r="H11" i="3"/>
  <c r="D17" i="10" s="1"/>
  <c r="D9" i="1" s="1"/>
  <c r="F11" i="3"/>
  <c r="C17" i="10" s="1"/>
  <c r="C9" i="1" s="1"/>
  <c r="D11" i="3"/>
  <c r="B17" i="10" s="1"/>
  <c r="B31" i="1"/>
  <c r="B30" i="1"/>
  <c r="G5" i="1"/>
  <c r="F5" i="1"/>
  <c r="E5" i="1"/>
  <c r="D5" i="1"/>
  <c r="C5" i="1"/>
  <c r="B5" i="1"/>
  <c r="G4" i="1"/>
  <c r="F4" i="1"/>
  <c r="E4" i="1"/>
  <c r="D4" i="1"/>
  <c r="C4" i="1"/>
  <c r="B4" i="1"/>
  <c r="G10" i="1" l="1"/>
  <c r="G16" i="10"/>
  <c r="G14" i="1" s="1"/>
  <c r="F16" i="10"/>
  <c r="F14" i="1" s="1"/>
  <c r="F10" i="1"/>
  <c r="F19" i="11"/>
  <c r="G19" i="11" s="1"/>
  <c r="H19" i="11" s="1"/>
  <c r="E9" i="10"/>
  <c r="D9" i="10"/>
  <c r="F14" i="11"/>
  <c r="G14" i="11" s="1"/>
  <c r="H14" i="11" s="1"/>
  <c r="C9" i="10"/>
  <c r="F9" i="11"/>
  <c r="G9" i="11" s="1"/>
  <c r="H9" i="11" s="1"/>
  <c r="B9" i="10"/>
  <c r="F4" i="11"/>
  <c r="G4" i="11" s="1"/>
  <c r="H4" i="11" s="1"/>
  <c r="G34" i="11" s="1"/>
  <c r="B29" i="1" s="1"/>
  <c r="I9" i="8"/>
  <c r="J9" i="8"/>
  <c r="G7" i="1" s="1"/>
  <c r="J8" i="8"/>
  <c r="F7" i="1" s="1"/>
  <c r="I8" i="8"/>
  <c r="I7" i="8"/>
  <c r="J7" i="8"/>
  <c r="E7" i="1" s="1"/>
  <c r="J6" i="8"/>
  <c r="D7" i="1" s="1"/>
  <c r="I6" i="8"/>
  <c r="C18" i="10"/>
  <c r="C19" i="10" s="1"/>
  <c r="C15" i="1" s="1"/>
  <c r="C6" i="1"/>
  <c r="I4" i="8"/>
  <c r="J4" i="8"/>
  <c r="B7" i="1" s="1"/>
  <c r="B20" i="10"/>
  <c r="C20" i="10"/>
  <c r="D20" i="10"/>
  <c r="E20" i="10"/>
  <c r="F20" i="10"/>
  <c r="G20" i="10"/>
  <c r="B26" i="10"/>
  <c r="B27" i="1" s="1"/>
  <c r="B9" i="1"/>
  <c r="E16" i="10" l="1"/>
  <c r="E14" i="1" s="1"/>
  <c r="E10" i="1"/>
  <c r="D15" i="10"/>
  <c r="D10" i="1"/>
  <c r="C15" i="10"/>
  <c r="C13" i="1" s="1"/>
  <c r="C16" i="10"/>
  <c r="C14" i="1" s="1"/>
  <c r="C10" i="1"/>
  <c r="B16" i="10"/>
  <c r="B14" i="1" s="1"/>
  <c r="B10" i="1"/>
  <c r="G6" i="1"/>
  <c r="G18" i="10"/>
  <c r="F18" i="10"/>
  <c r="F6" i="1"/>
  <c r="E18" i="10"/>
  <c r="E19" i="10" s="1"/>
  <c r="E15" i="1" s="1"/>
  <c r="E6" i="1"/>
  <c r="D18" i="10"/>
  <c r="D6" i="1"/>
  <c r="B11" i="8"/>
  <c r="B22" i="1" s="1"/>
  <c r="B18" i="10"/>
  <c r="B6" i="1"/>
  <c r="B12" i="8"/>
  <c r="B23" i="1" s="1"/>
  <c r="B19" i="10" l="1"/>
  <c r="D13" i="1"/>
  <c r="D16" i="10"/>
  <c r="B21" i="10" s="1"/>
  <c r="B15" i="1" l="1"/>
  <c r="D19" i="10"/>
  <c r="F19" i="10"/>
  <c r="F15" i="1" s="1"/>
  <c r="G19" i="10"/>
  <c r="G15" i="1" s="1"/>
  <c r="D14" i="1"/>
  <c r="D15" i="1" l="1"/>
  <c r="B22" i="10"/>
  <c r="B9" i="9"/>
  <c r="B4" i="9"/>
  <c r="B5" i="9"/>
  <c r="B6" i="9"/>
  <c r="B7" i="9"/>
  <c r="B8" i="9"/>
  <c r="H9" i="9" l="1"/>
  <c r="F9" i="9"/>
  <c r="C9" i="9"/>
  <c r="G9" i="9"/>
  <c r="E9" i="9"/>
  <c r="D9" i="9"/>
  <c r="D4" i="9"/>
  <c r="C4" i="9"/>
  <c r="E4" i="9"/>
  <c r="F4" i="9" s="1"/>
  <c r="C8" i="1"/>
  <c r="E8" i="1"/>
  <c r="B8" i="1"/>
  <c r="E5" i="9"/>
  <c r="D5" i="9"/>
  <c r="C5" i="9"/>
  <c r="E6" i="9"/>
  <c r="D6" i="9"/>
  <c r="C6" i="9"/>
  <c r="H7" i="9"/>
  <c r="G7" i="9"/>
  <c r="F7" i="9"/>
  <c r="E7" i="9"/>
  <c r="D7" i="9"/>
  <c r="C7" i="9"/>
  <c r="G8" i="9"/>
  <c r="H8" i="9"/>
  <c r="F8" i="9"/>
  <c r="E8" i="9"/>
  <c r="D8" i="9"/>
  <c r="C8" i="9"/>
  <c r="B18" i="9" l="1"/>
  <c r="B25" i="1" s="1"/>
  <c r="B17" i="9"/>
  <c r="B24" i="1" s="1"/>
  <c r="F5" i="9"/>
  <c r="G4" i="9"/>
  <c r="D8" i="1" s="1"/>
  <c r="H4" i="9"/>
  <c r="F6" i="9"/>
  <c r="G5" i="9" l="1"/>
  <c r="F8" i="1" s="1"/>
  <c r="H5" i="9"/>
  <c r="G6" i="9"/>
  <c r="G8" i="1" s="1"/>
  <c r="H6" i="9"/>
  <c r="B15" i="9"/>
  <c r="B16" i="9" s="1"/>
  <c r="B14" i="9"/>
  <c r="B20" i="1" s="1"/>
  <c r="B12" i="9"/>
  <c r="B13" i="9"/>
  <c r="B21" i="1" l="1"/>
  <c r="B25" i="10"/>
  <c r="B23" i="10"/>
  <c r="B18" i="1"/>
  <c r="B24" i="10"/>
  <c r="B27" i="10" s="1"/>
  <c r="B28" i="1" s="1"/>
  <c r="B19" i="9"/>
  <c r="B26" i="1" s="1"/>
  <c r="B19" i="1"/>
</calcChain>
</file>

<file path=xl/sharedStrings.xml><?xml version="1.0" encoding="utf-8"?>
<sst xmlns="http://schemas.openxmlformats.org/spreadsheetml/2006/main" count="426" uniqueCount="266">
  <si>
    <t>Award recommendation, ITB 2026-17, corrugated shipping cartons, annual requirement</t>
  </si>
  <si>
    <t>Prepared for Torsten Nordvik, vice president of operations, under PP-3.5; recommendation prepared October 23, 2026</t>
  </si>
  <si>
    <t>Bidder</t>
  </si>
  <si>
    <t>Read from</t>
  </si>
  <si>
    <t>Plant</t>
  </si>
  <si>
    <t>Terms</t>
  </si>
  <si>
    <t>Responsiveness</t>
  </si>
  <si>
    <t>Reason set aside</t>
  </si>
  <si>
    <t>Responsibility of the bidder in line, PP-3.7.1</t>
  </si>
  <si>
    <t>Responsibility</t>
  </si>
  <si>
    <t>Total bid as written</t>
  </si>
  <si>
    <t>Bids as Written</t>
  </si>
  <si>
    <t>Corrected extensions</t>
  </si>
  <si>
    <t>Evaluation</t>
  </si>
  <si>
    <t>Tooling</t>
  </si>
  <si>
    <t>Freight added, FOB origin</t>
  </si>
  <si>
    <t>Payment discount credit</t>
  </si>
  <si>
    <t>Total evaluated price</t>
  </si>
  <si>
    <t>Rank among responsive bids</t>
  </si>
  <si>
    <t>Award</t>
  </si>
  <si>
    <t>Recommended award</t>
  </si>
  <si>
    <t>Recommended award, total evaluated price</t>
  </si>
  <si>
    <t>Next responsive bidder in line</t>
  </si>
  <si>
    <t>Margin over the next responsive bid</t>
  </si>
  <si>
    <t>Responsive bids</t>
  </si>
  <si>
    <t>Bids set aside as non-responsive</t>
  </si>
  <si>
    <t>Responsive bid passed over, open quality hold</t>
  </si>
  <si>
    <t>Passed-over bid, total evaluated price</t>
  </si>
  <si>
    <t>Passed-over bid below the recommended award by</t>
  </si>
  <si>
    <t>Lowest bid as written</t>
  </si>
  <si>
    <t>Approver required by PP-3.5.3</t>
  </si>
  <si>
    <t>Extensions corrected</t>
  </si>
  <si>
    <t>Extensions</t>
  </si>
  <si>
    <t>Extension corrected on the recommended bid, as written</t>
  </si>
  <si>
    <t>Extension corrected on the recommended bid, corrected</t>
  </si>
  <si>
    <t>Award is by lot to the responsive and responsible bidder with the lowest total evaluated price, 5.1 and PP-3.7.1; every figure on this page reads from the tab named beside it.</t>
  </si>
  <si>
    <t>Recommended by</t>
  </si>
  <si>
    <t>Purchasing manager</t>
  </si>
  <si>
    <t>Signature: ______________________</t>
  </si>
  <si>
    <t>Date: ____________</t>
  </si>
  <si>
    <t>Approved</t>
  </si>
  <si>
    <t>Torsten Nordvik, Vice President of Operations</t>
  </si>
  <si>
    <t>Terms the evaluation applies, from ITB 2026-17 as amended and policy PP-3</t>
  </si>
  <si>
    <t>Term</t>
  </si>
  <si>
    <t>Value</t>
  </si>
  <si>
    <t>Source</t>
  </si>
  <si>
    <t>Discount period floor for a credit (days)</t>
  </si>
  <si>
    <t>section 5.5</t>
  </si>
  <si>
    <t>Approval threshold, vice president above (dollars)</t>
  </si>
  <si>
    <t>PP-3.5.3</t>
  </si>
  <si>
    <t>Price hold required (months)</t>
  </si>
  <si>
    <t>section 4.3</t>
  </si>
  <si>
    <t>Tie band on total evaluated price (dollars)</t>
  </si>
  <si>
    <t>5.6</t>
  </si>
  <si>
    <t>Pounds per hundredweight</t>
  </si>
  <si>
    <t>section 5.4</t>
  </si>
  <si>
    <t>Addendum that must be acknowledged</t>
  </si>
  <si>
    <t>Addendum 2; section 3.2</t>
  </si>
  <si>
    <t>Item 3 quantity superseded by addendum 2</t>
  </si>
  <si>
    <t>section 2; Addendum 2 change 1</t>
  </si>
  <si>
    <t>Item</t>
  </si>
  <si>
    <t>Quantity, addendum 2</t>
  </si>
  <si>
    <t>section 2</t>
  </si>
  <si>
    <t>Addendum 2 change 1</t>
  </si>
  <si>
    <t>Bids as opened, copied from bid_tabulation_itb_2026_17.xlsx, Bids sheet; six bids in alphabetical order</t>
  </si>
  <si>
    <t>ITEM</t>
  </si>
  <si>
    <t>DESCRIPTION</t>
  </si>
  <si>
    <t>BRANNOCK_UNIT</t>
  </si>
  <si>
    <t>BRANNOCK_EXTENSION</t>
  </si>
  <si>
    <t>HALVARD_UNIT</t>
  </si>
  <si>
    <t>HALVARD_EXTENSION</t>
  </si>
  <si>
    <t>LOKEN_VIK_UNIT</t>
  </si>
  <si>
    <t>LOKEN_VIK_EXTENSION</t>
  </si>
  <si>
    <t>OTTER_TAIL_UNIT</t>
  </si>
  <si>
    <t>OTTER_TAIL_EXTENSION</t>
  </si>
  <si>
    <t>PEMBERTON_UNIT</t>
  </si>
  <si>
    <t>PEMBERTON_EXTENSION</t>
  </si>
  <si>
    <t>RIDGECREST_UNIT</t>
  </si>
  <si>
    <t>RIDGECREST_EXTENSION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</si>
  <si>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</si>
  <si>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</si>
  <si>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</si>
  <si>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</si>
  <si>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</si>
  <si>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</si>
  <si>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Bidder terms and submittals as marked on the bid forms, copied from the Bidder Terms sheet</t>
  </si>
  <si>
    <t>BIDDER</t>
  </si>
  <si>
    <t>PLANT_CITY</t>
  </si>
  <si>
    <t>PLANT_STATE</t>
  </si>
  <si>
    <t>FOB_TERMS</t>
  </si>
  <si>
    <t>PAYMENT_TERMS</t>
  </si>
  <si>
    <t>BID_BOND_5_PCT</t>
  </si>
  <si>
    <t>BOND_FORM</t>
  </si>
  <si>
    <t>ADDENDA_ACKNOWLEDGED</t>
  </si>
  <si>
    <t>SAMPLES_RECEIVED</t>
  </si>
  <si>
    <t>RECEIVED</t>
  </si>
  <si>
    <t>Brannock Box Company</t>
  </si>
  <si>
    <t>Rockford</t>
  </si>
  <si>
    <t>IL</t>
  </si>
  <si>
    <t>Destination</t>
  </si>
  <si>
    <t>Net 30</t>
  </si>
  <si>
    <t>Yes</t>
  </si>
  <si>
    <t>Surety bond</t>
  </si>
  <si>
    <t>1</t>
  </si>
  <si>
    <t>10/05/2026 16:02</t>
  </si>
  <si>
    <t>Halvard Corrugated</t>
  </si>
  <si>
    <t>Fargo</t>
  </si>
  <si>
    <t>ND</t>
  </si>
  <si>
    <t>2% 30, net 60</t>
  </si>
  <si>
    <t>1, 2</t>
  </si>
  <si>
    <t>10/06/2026 09:58</t>
  </si>
  <si>
    <t>Loken &amp; Vik Container</t>
  </si>
  <si>
    <t>Sioux Falls</t>
  </si>
  <si>
    <t>SD</t>
  </si>
  <si>
    <t>2% 20, net 45</t>
  </si>
  <si>
    <t>Cashier's check, $6,655.10, no. 4471820</t>
  </si>
  <si>
    <t>10/06/2026 09:20</t>
  </si>
  <si>
    <t>Otter Tail Corrugated</t>
  </si>
  <si>
    <t>Fergus Falls</t>
  </si>
  <si>
    <t>MN</t>
  </si>
  <si>
    <t>1% 15, net 30</t>
  </si>
  <si>
    <t>10/06/2026 08:52</t>
  </si>
  <si>
    <t>Pemberton Container</t>
  </si>
  <si>
    <t>Neenah</t>
  </si>
  <si>
    <t>WI</t>
  </si>
  <si>
    <t>2% 10, net 30</t>
  </si>
  <si>
    <t>10/06/2026 09:41</t>
  </si>
  <si>
    <t>Ridgecrest Packaging</t>
  </si>
  <si>
    <t>Cedar Rapids</t>
  </si>
  <si>
    <t>IA</t>
  </si>
  <si>
    <t>Origin, Cedar Rapids plant</t>
  </si>
  <si>
    <t>1% 20, net 45</t>
  </si>
  <si>
    <t>10/06/2026 08:15</t>
  </si>
  <si>
    <t>Pricing conditions, exceptions and alternates read from each bid form and letter in bid_forms_itb_2026_17.docx</t>
  </si>
  <si>
    <t>CONDITION_AS_STATED</t>
  </si>
  <si>
    <t>TERM_AFFECTED</t>
  </si>
  <si>
    <t>MATERIAL_TERM_EXCEPTION</t>
  </si>
  <si>
    <t>RULE_APPLIED</t>
  </si>
  <si>
    <t>None stated; the form acknowledges addendum 1 only and prices item 3 at 48,000 with item 5 on 32 ECT board</t>
  </si>
  <si>
    <t>Quantity and specification as amended</t>
  </si>
  <si>
    <t>No</t>
  </si>
  <si>
    <t>Handled under addendum 2 and PP-3.4.5 on the Responsiveness tab, not as an exception</t>
  </si>
  <si>
    <t>Prices held firm for six months from award, then adjusted quarterly to the Pulp and Paper Week 42 lb kraft linerboard index</t>
  </si>
  <si>
    <t>Price hold, section 4.3</t>
  </si>
  <si>
    <t>section 4.3; section 5.2; addendum 2 answer on a shorter hold or an index; PP-3.4.4</t>
  </si>
  <si>
    <t>None; releases requested at least ten working days ahead of delivery</t>
  </si>
  <si>
    <t>None</t>
  </si>
  <si>
    <t>A scheduling request, not a condition on price, quantity, quality, delivery or FOB terms</t>
  </si>
  <si>
    <t>Pricing assumes releases in full truckload quantities of 26 pallets; a release below a full truckload carries a $185 stop charge</t>
  </si>
  <si>
    <t>Quantity, releases in pallet multiples, section 1</t>
  </si>
  <si>
    <t>section 5.2; addendum 2 answer on truckload releases; PP-3.4.4</t>
  </si>
  <si>
    <t>Alternate for item 4 at 200 lb test doublewall, $1.512 per carton, beside the bid on the item as specified</t>
  </si>
  <si>
    <t>None; an alternate under section 4.4</t>
  </si>
  <si>
    <t>section 4.4; the alternate is not evaluated for award</t>
  </si>
  <si>
    <t>None; FOB origin, Cedar Rapids plant, freight by Nordvik or prepaid and added at Nordvik's option</t>
  </si>
  <si>
    <t>FOB terms as permitted by 3.3</t>
  </si>
  <si>
    <t>3.3; freight added under section 5.4</t>
  </si>
  <si>
    <t>A condition is a material term exception where it would change price, price hold, quantity, quality, delivery or FOB terms, PP-3.4.4; the buyer does not negotiate it away before award.</t>
  </si>
  <si>
    <t>Quality holds recorded against any bidder in supplier_quality_holds_2026.xlsx, matched to the bidder by name</t>
  </si>
  <si>
    <t>HOLD_NO</t>
  </si>
  <si>
    <t>SUPPLIER_AS_REGISTERED</t>
  </si>
  <si>
    <t>COMMODITY</t>
  </si>
  <si>
    <t>OPENED</t>
  </si>
  <si>
    <t>ISSUE</t>
  </si>
  <si>
    <t>STATUS</t>
  </si>
  <si>
    <t>CLEARED</t>
  </si>
  <si>
    <t>QH-25-014</t>
  </si>
  <si>
    <t>Loken &amp; Vik Container Corp.</t>
  </si>
  <si>
    <t>Corrugated, retail display trays</t>
  </si>
  <si>
    <t>06/11/2025</t>
  </si>
  <si>
    <t>Print registration out of tolerance on lot 25-1187</t>
  </si>
  <si>
    <t>Cleared</t>
  </si>
  <si>
    <t>07/02/2025</t>
  </si>
  <si>
    <t>QH-25-024</t>
  </si>
  <si>
    <t>Corrugated, RSC 30 x 20 x 16</t>
  </si>
  <si>
    <t>10/08/2025</t>
  </si>
  <si>
    <t>Glue tab separation on 3 of 40 sampled, lot H-2263</t>
  </si>
  <si>
    <t>11/04/2025</t>
  </si>
  <si>
    <t>QH-26-009</t>
  </si>
  <si>
    <t>Corrugated, RSC 24 x 18 x 12</t>
  </si>
  <si>
    <t>03/04/2026</t>
  </si>
  <si>
    <t>Flap scoring cracked on 8 of 40 sampled, lot P-26-0407</t>
  </si>
  <si>
    <t>05/12/2026</t>
  </si>
  <si>
    <t>QH-26-031</t>
  </si>
  <si>
    <t>Corrugated, RSC 16 x 12 x 8</t>
  </si>
  <si>
    <t>08/27/2026</t>
  </si>
  <si>
    <t>Edge crush 29 ECT against 32 ECT specified on lots 26-2210 and 26-2214</t>
  </si>
  <si>
    <t>Open</t>
  </si>
  <si>
    <t>Loken Bros. Pallet &amp; Crate carries an open hold in the register and is a different supplier from Loken &amp; Vik Container; no other bidder appears in the register.</t>
  </si>
  <si>
    <t>Inbound freight schedule and current item shipping weights, from the bid tabulation workbook, with the annual shipping weight</t>
  </si>
  <si>
    <t>ORIGIN_STATE</t>
  </si>
  <si>
    <t>RATE_PER_CWT</t>
  </si>
  <si>
    <t>DRAWING_REV</t>
  </si>
  <si>
    <t>LB_PER_CARTON</t>
  </si>
  <si>
    <t>QUANTITY</t>
  </si>
  <si>
    <t>SHIPPING_LB</t>
  </si>
  <si>
    <t>NM-CTN-26-01 rev A</t>
  </si>
  <si>
    <t>NM-CTN-26-02 rev B</t>
  </si>
  <si>
    <t>NM-CTN-26-03 rev A</t>
  </si>
  <si>
    <t>NM-CTN-26-04 rev A</t>
  </si>
  <si>
    <t>NM-CTN-26-05 rev B</t>
  </si>
  <si>
    <t>Total</t>
  </si>
  <si>
    <t>NE</t>
  </si>
  <si>
    <t>Hundredweight</t>
  </si>
  <si>
    <t>Freight for a bid offered FOB origin is the hundredweight times the rate for the plant's state, per section 5.4; no truckload allowance applies, per addendum 2. Item 5 is weighed at drawing NM-CTN-26-05 revision B, the current revision under addendum 2 change 2; revision A at 1.40 lb is superseded.</t>
  </si>
  <si>
    <t>Responsiveness of each bid under section 3.2, section 4.3, section 5.2 and PP-3.4, decided before price</t>
  </si>
  <si>
    <t>BID_BOND</t>
  </si>
  <si>
    <t>ADDENDUM_2_ACKNOWLEDGED</t>
  </si>
  <si>
    <t>SAMPLES</t>
  </si>
  <si>
    <t>ITEM_3_PRICED_AT_THE_AMENDED_QUANTITY</t>
  </si>
  <si>
    <t>EXCEPTION_TO_A_MATERIAL_TERM</t>
  </si>
  <si>
    <t>CONDITION_STATED</t>
  </si>
  <si>
    <t>ALTERNATE_OFFERED</t>
  </si>
  <si>
    <t>REASON</t>
  </si>
  <si>
    <t>Responsiveness is decided on the invitation as amended before any price is compared, per PP-3.4.1; a bid set aside is shown on the Evaluation tab for the record and does not compete for award. Responsibility under PP-3.7 is decided afterwards, for the bidder in line, on the Responsibility tab.</t>
  </si>
  <si>
    <t>Responsibility of the bidder in line for award under PP-3.7.1, checked in evaluated price order among the responsive bids</t>
  </si>
  <si>
    <t>IN_LINE_ORDER</t>
  </si>
  <si>
    <t>TOTAL_EVALUATED_PRICE</t>
  </si>
  <si>
    <t>NAME_IN_HOLD_REGISTER</t>
  </si>
  <si>
    <t>OPEN_HOLDS</t>
  </si>
  <si>
    <t>DECISION</t>
  </si>
  <si>
    <t>RESPONSIBILITY</t>
  </si>
  <si>
    <t>RULE</t>
  </si>
  <si>
    <t>Next responsive bidder, total evaluated price</t>
  </si>
  <si>
    <t>The bidder in line is the responsive bid with the lowest total evaluated price; an open hold on the Holds on Bidders tab makes it not responsible and passes it over, and the next responsive bid is checked in turn, PP-3.7.1. The register names Loken &amp; Vik Container Corp. for the bidder that signs as Loken &amp; Vik Container.</t>
  </si>
  <si>
    <t>Total evaluated price of each bid under 5.3: corrected extensions, tooling, freight for FOB origin, less the discount credit</t>
  </si>
  <si>
    <t>Line</t>
  </si>
  <si>
    <t>Item 1, corrected extension at the addendum quantity</t>
  </si>
  <si>
    <t>4.1; PP-3.4.2</t>
  </si>
  <si>
    <t>Item 2, corrected extension at the addendum quantity</t>
  </si>
  <si>
    <t>Item 3, corrected extension at the addendum quantity</t>
  </si>
  <si>
    <t>Item 4, corrected extension at the addendum quantity</t>
  </si>
  <si>
    <t>Item 5, corrected extension at the addendum quantity</t>
  </si>
  <si>
    <t>Corrected extensions, sum of items</t>
  </si>
  <si>
    <t>5.3</t>
  </si>
  <si>
    <t>Tooling, plates and dies, added in full</t>
  </si>
  <si>
    <t>4.2</t>
  </si>
  <si>
    <t>FOB terms</t>
  </si>
  <si>
    <t>Bid form</t>
  </si>
  <si>
    <t>section 5.4; Freight tab</t>
  </si>
  <si>
    <t>Discount rate offered</t>
  </si>
  <si>
    <t>Discount period offered (days)</t>
  </si>
  <si>
    <t>5.1</t>
  </si>
  <si>
    <t>Hundredweight of the annual quantity, for freight</t>
  </si>
  <si>
    <t>Lowest total evaluated price among responsive bids</t>
  </si>
  <si>
    <t>Bidder in line first, lowest responsive</t>
  </si>
  <si>
    <t>Recommended bidder after the PP-3.7.1 check</t>
  </si>
  <si>
    <t>Lowest bid as written, any bidder</t>
  </si>
  <si>
    <t>Every extension as written beside the corrected extension, per PP-3.5.2</t>
  </si>
  <si>
    <t>UNIT_PRICE</t>
  </si>
  <si>
    <t>EXTENSION_AS_WRITTEN</t>
  </si>
  <si>
    <t>CORRECTED_EXTENSION</t>
  </si>
  <si>
    <t>DIFFERENCE</t>
  </si>
  <si>
    <t>CORRECTION</t>
  </si>
  <si>
    <t>A written extension that differs from the unit price times the addendum quantity is corrected; the two corrections in the file are Pemberton's item 2, an arithmetic error, and Brannock's item 3, priced at the superseded quantity.</t>
  </si>
  <si>
    <t>Note to Torsten Nordvik on the ITB 2026-17 award recommendation</t>
  </si>
  <si>
    <t>Torsten, this is the evaluation of the six bids on ITB 2026-17 opened on October 6. The recommendation on the first tab reads from the tabs behind it: the bids as written, the extensions recomputed from each unit price at the addendum 2 quantities, the freight and the discount credit where the invitation applies them, the responsiveness check bidder by bidder, and the PP-3.7 check on the bidder in line. Nothing on the first tab is typed in, so a protest can be answered from the workbook.</t>
  </si>
  <si>
    <t>The recommendation is award of the lot to Pemberton Container of Neenah at a total evaluated price of $134,726.00, a margin of $4,924.99 over Ridgecrest Packaging at $139,650.99. Three of the six bids are responsive, and one of the three is passed over. The award value is above one hundred thousand dollars, so under PP-3.5.3 you are the approver.</t>
  </si>
  <si>
    <t>Loken &amp; Vik Container of Sioux Falls is responsive and has the lowest total evaluated price at $130,480.96, with its 2 percent, twenty day discount credited. It is not the recommended award because the quality hold register carries hold QH-26-031 against Loken &amp; Vik Container Corp. as open since August 27 on an edge crush failure, and PP-3.7.1 makes a bidder on an open hold not responsible until the hold is cleared. The register's corrective action note says the verification lot has not yet run. Loken &amp; Vik is $4,245.04 below Pemberton. Whether to hold the award until quality engineering clears the hold is yours to weigh, and the evaluation does not decide it. The current carton contract ends at the end of the month.</t>
  </si>
  <si>
    <t>Pemberton is not the low bid on paper, and the reason is arithmetic. Its bid form extends item 2 at $45,112.00, which is not 84,000 cartons at the unit price of $0.418. The correct extension is $35,112.00, and 4.1 of the invitation has the unit price govern, so the evaluation carries the corrected figure. Corrected, Pemberton's extensions sum to $132,876.00, with $1,850.00 of tooling and no freight, because the bid is FOB destination. Its 2 percent discount has a ten day period, which is under the twenty day floor in section 5.5, so it is not credited. Pemberton's hold QH-26-009 from March was cleared in May, so it is responsible.</t>
  </si>
  <si>
    <t>Ridgecrest is the lowest responsive price on the corrected extensions at $129,246.00, but it is offered FOB origin from Cedar Rapids. Section 5.4 adds freight on the shipping weight of the annual quantity, 191,700 pounds or 1,917 hundredweight at the current drawing revisions, at the Iowa rate of $4.85, which is $9,297.45. Item 5 is weighed at drawing revision B, 1.65 pounds, because addendum 2 replaced revision A. Its 1 percent discount carries a twenty day period and is credited at $1,292.46. With $2,400.00 of tooling the total evaluated price is $139,650.99. The freight is what places Ridgecrest third.</t>
  </si>
  <si>
    <t>Brannock Box Company is the lowest bid as written at $130,500.00 and is set aside. Its bid form acknowledges addendum 1 only, prices item 3 at the superseded 48,000 cartons and describes item 5 on the superseded 32 ECT board. Addendum 2 says a bid that does not acknowledge it is non-responsive under section 3.2, and PP-3.4.5 says a bid on a superseded quantity or specification is non-responsive whether or not the addendum was acknowledged. Its figures are shown on the evaluation for the record and do not compete.</t>
  </si>
  <si>
    <t>Halvard Corrugated is set aside for an exception to a material term. Its letter holds prices for six months and then adjusts them quarterly to a linerboard index, against the twelve month firm price in section 4.3, which section 5.2 and PP-3.4.4 make material. On the corrected extensions with its 2 percent, thirty day discount credited, Halvard would have evaluated at $129,842.80, and PP-3.4.4 does not let the buyer negotiate the exception away before award. The invitation and addendum 2 both said a shorter hold or an index would not be considered.</t>
  </si>
  <si>
    <t>Otter Tail Corrugated is set aside for the same reason on a different term. Its letter prices the cartons on releases in full truckloads of 26 pallets and puts a $185 stop charge on any smaller release, where section 1 places releases monthly in pallet multiples. Addendum 2 answered that a bid conditioning its price on truckload releases takes an exception to the quantity term, and section 5.2 makes quantity material. Its corrected extensions of $130,170.00 are shown for the record.</t>
  </si>
  <si>
    <t>Two other things you should weigh that the evaluation does not decide. First, Pemberton offered an alternate for item 4 at 200 lb test doublewall for $1.512 a carton against $1.735 as specified. Section 4.4 keeps it out of the evaluation, but it can be taken up with Pemberton after award if engineering will accept the lighter board. It is worth $2,676.00 a year at 12,000 cartons. Second, the award rests on the recomputation of one extension, and Pemberton has not been asked to confirm the unit price. PP-3.4.2 makes the recomputed figure the evaluated figure regardless, but you may want the confirmation in the file before the notice goes out.</t>
  </si>
  <si>
    <t>For the bidders that were low on paper: tell Brannock that its bid did not acknowledge addendum 2 and priced item 3 and item 5 to the superseded quantity and grade, and that PP-3.6.1 gives it a debriefing on its own bid. Tell Loken &amp; Vik that its bid was responsive and lowest in evaluated price and was passed over under PP-3.7.1 for the open hold, and that the debriefing is limited to its own bid. Tell Ridgecrest that the freight on an FOB origin bid under section 5.4 is what placed it third. Under PP-3.6.1 all three are notified in writing within five business days of award.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</si>
</sst>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sz val="11"/>
      <name val="Calibri"/>
      <family val="2"/>
    </font>
    <font>
      <b/>
      <sz val="13"/>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0" fontId="1" fillId="0" borderId="0" xfId="0" applyFont="1"/>
    <xf numFmtId="0" fontId="3" fillId="2" borderId="0" xfId="0" applyFont="1" applyFill="1"/>
    <xf numFmtId="0" fontId="1" fillId="0" borderId="0" xfId="0" applyFont="1" applyAlignment="1">
      <alignment horizontal="left" vertical="top" wrapText="1"/>
    </xf>
    <xf numFmtId="4" fontId="1" fillId="0" borderId="0" xfId="0" applyNumberFormat="1" applyFont="1" applyAlignment="1">
      <alignment horizontal="left" vertical="top" wrapText="1"/>
    </xf>
    <xf numFmtId="0" fontId="3" fillId="0" borderId="0" xfId="0" applyFont="1"/>
    <xf numFmtId="0" fontId="1" fillId="0" borderId="0" xfId="0" applyFont="1" applyAlignment="1">
      <alignment horizontal="left"/>
    </xf>
    <xf numFmtId="4" fontId="1" fillId="0" borderId="0" xfId="0" applyNumberFormat="1" applyFont="1" applyAlignment="1">
      <alignment horizontal="left"/>
    </xf>
    <xf numFmtId="164" fontId="1" fillId="0" borderId="0" xfId="0" applyNumberFormat="1" applyFont="1"/>
    <xf numFmtId="4" fontId="1" fillId="0" borderId="0" xfId="0" applyNumberFormat="1" applyFont="1"/>
    <xf numFmtId="4" fontId="3" fillId="0" borderId="0" xfId="0" applyNumberFormat="1" applyFont="1"/>
    <xf numFmtId="0" fontId="1" fillId="0" borderId="0" xfId="0" applyFont="1" applyAlignment="1">
      <alignment vertical="top" wrapText="1"/>
    </xf>
    <xf numFmtId="2" fontId="1" fillId="0" borderId="0" xfId="0" applyNumberFormat="1" applyFont="1"/>
    <xf numFmtId="9" fontId="1"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6"/>
  <sheetViews>
    <sheetView tabSelected="1" workbookViewId="0"/>
  </sheetViews>
  <sheetFormatPr baseColWidth="10" defaultColWidth="8.83203125" defaultRowHeight="15" x14ac:dyDescent="0.2"/>
  <cols>
    <col min="1" max="1" width="46" customWidth="1"/>
    <col min="2" max="7" width="24" customWidth="1"/>
    <col min="8" max="8" width="22" customWidth="1"/>
  </cols>
  <sheetData>
    <row r="1" spans="1:8" ht="17" x14ac:dyDescent="0.2">
      <c r="A1" s="1" t="s">
        <v>0</v>
      </c>
    </row>
    <row r="2" spans="1:8" x14ac:dyDescent="0.2">
      <c r="A2" s="2" t="s">
        <v>1</v>
      </c>
    </row>
    <row r="4" spans="1:8" x14ac:dyDescent="0.2">
      <c r="A4" s="3" t="s">
        <v>2</v>
      </c>
      <c r="B4" s="3" t="str">
        <f>Evaluation!B3</f>
        <v>Brannock Box Company</v>
      </c>
      <c r="C4" s="3" t="str">
        <f>Evaluation!C3</f>
        <v>Halvard Corrugated</v>
      </c>
      <c r="D4" s="3" t="str">
        <f>Evaluation!D3</f>
        <v>Loken &amp; Vik Container</v>
      </c>
      <c r="E4" s="3" t="str">
        <f>Evaluation!E3</f>
        <v>Otter Tail Corrugated</v>
      </c>
      <c r="F4" s="3" t="str">
        <f>Evaluation!F3</f>
        <v>Pemberton Container</v>
      </c>
      <c r="G4" s="3" t="str">
        <f>Evaluation!G3</f>
        <v>Ridgecrest Packaging</v>
      </c>
      <c r="H4" s="3" t="s">
        <v>3</v>
      </c>
    </row>
    <row r="5" spans="1:8" ht="16" x14ac:dyDescent="0.2">
      <c r="A5" s="2" t="s">
        <v>4</v>
      </c>
      <c r="B5" s="4" t="str">
        <f>Terms!B4&amp;", "&amp;Terms!C4</f>
        <v>Rockford, IL</v>
      </c>
      <c r="C5" s="4" t="str">
        <f>Terms!B5&amp;", "&amp;Terms!C5</f>
        <v>Fargo, ND</v>
      </c>
      <c r="D5" s="4" t="str">
        <f>Terms!B6&amp;", "&amp;Terms!C6</f>
        <v>Sioux Falls, SD</v>
      </c>
      <c r="E5" s="4" t="str">
        <f>Terms!B7&amp;", "&amp;Terms!C7</f>
        <v>Fergus Falls, MN</v>
      </c>
      <c r="F5" s="4" t="str">
        <f>Terms!B8&amp;", "&amp;Terms!C8</f>
        <v>Neenah, WI</v>
      </c>
      <c r="G5" s="4" t="str">
        <f>Terms!B9&amp;", "&amp;Terms!C9</f>
        <v>Cedar Rapids, IA</v>
      </c>
      <c r="H5" s="2" t="s">
        <v>5</v>
      </c>
    </row>
    <row r="6" spans="1:8" ht="16" x14ac:dyDescent="0.2">
      <c r="A6" s="2" t="s">
        <v>6</v>
      </c>
      <c r="B6" s="4" t="str">
        <f>Responsiveness!I4</f>
        <v>Non-responsive</v>
      </c>
      <c r="C6" s="4" t="str">
        <f>Responsiveness!I5</f>
        <v>Non-responsive</v>
      </c>
      <c r="D6" s="4" t="str">
        <f>Responsiveness!I6</f>
        <v>Responsive</v>
      </c>
      <c r="E6" s="4" t="str">
        <f>Responsiveness!I7</f>
        <v>Non-responsive</v>
      </c>
      <c r="F6" s="4" t="str">
        <f>Responsiveness!I8</f>
        <v>Responsive</v>
      </c>
      <c r="G6" s="4" t="str">
        <f>Responsiveness!I9</f>
        <v>Responsive</v>
      </c>
      <c r="H6" s="2" t="s">
        <v>6</v>
      </c>
    </row>
    <row r="7" spans="1:8" ht="16" x14ac:dyDescent="0.2">
      <c r="A7" s="2" t="s">
        <v>7</v>
      </c>
      <c r="B7" s="4" t="str">
        <f>Responsiveness!J4</f>
        <v>Addendum 2 not acknowledged, section 3.2; bid on the superseded item 3 quantity and item 5 grade, PP-3.4.5.</v>
      </c>
      <c r="C7" s="4" t="str">
        <f>Responsiveness!J5</f>
        <v>Exception to a material term, Price hold, section 4.3, section 5.2 and PP-3.4.4.</v>
      </c>
      <c r="D7" s="4" t="str">
        <f>Responsiveness!J6</f>
        <v/>
      </c>
      <c r="E7" s="4" t="str">
        <f>Responsiveness!J7</f>
        <v>Exception to a material term, Quantity, releases in pallet multiples, section 1, section 5.2 and PP-3.4.4.</v>
      </c>
      <c r="F7" s="4" t="str">
        <f>Responsiveness!J8</f>
        <v/>
      </c>
      <c r="G7" s="4" t="str">
        <f>Responsiveness!J9</f>
        <v/>
      </c>
      <c r="H7" s="2" t="s">
        <v>6</v>
      </c>
    </row>
    <row r="8" spans="1:8" ht="16" x14ac:dyDescent="0.2">
      <c r="A8" s="2" t="s">
        <v>8</v>
      </c>
      <c r="B8" s="4" t="str">
        <f>IFERROR(INDEX(Responsibility!$G$4:$G$9,MATCH(B4,Responsibility!$B$4:$B$9,0)),"Set aside before price")</f>
        <v>Set aside before price</v>
      </c>
      <c r="C8" s="4" t="str">
        <f>IFERROR(INDEX(Responsibility!$G$4:$G$9,MATCH(C4,Responsibility!$B$4:$B$9,0)),"Set aside before price")</f>
        <v>Set aside before price</v>
      </c>
      <c r="D8" s="4" t="str">
        <f>IFERROR(INDEX(Responsibility!$G$4:$G$9,MATCH(D4,Responsibility!$B$4:$B$9,0)),"Set aside before price")</f>
        <v>Not responsible, open quality hold, PP-3.7.1</v>
      </c>
      <c r="E8" s="4" t="str">
        <f>IFERROR(INDEX(Responsibility!$G$4:$G$9,MATCH(E4,Responsibility!$B$4:$B$9,0)),"Set aside before price")</f>
        <v>Set aside before price</v>
      </c>
      <c r="F8" s="4" t="str">
        <f>IFERROR(INDEX(Responsibility!$G$4:$G$9,MATCH(F4,Responsibility!$B$4:$B$9,0)),"Set aside before price")</f>
        <v>Responsible</v>
      </c>
      <c r="G8" s="4" t="str">
        <f>IFERROR(INDEX(Responsibility!$G$4:$G$9,MATCH(G4,Responsibility!$B$4:$B$9,0)),"Set aside before price")</f>
        <v>Not decided, PP-3.7.1</v>
      </c>
      <c r="H8" s="2" t="s">
        <v>9</v>
      </c>
    </row>
    <row r="9" spans="1:8" ht="16" x14ac:dyDescent="0.2">
      <c r="A9" s="2" t="s">
        <v>10</v>
      </c>
      <c r="B9" s="5">
        <f>Evaluation!B17</f>
        <v>130500</v>
      </c>
      <c r="C9" s="5">
        <f>Evaluation!C17</f>
        <v>132460</v>
      </c>
      <c r="D9" s="5">
        <f>Evaluation!D17</f>
        <v>133102</v>
      </c>
      <c r="E9" s="5">
        <f>Evaluation!E17</f>
        <v>131895</v>
      </c>
      <c r="F9" s="5">
        <f>Evaluation!F17</f>
        <v>144726</v>
      </c>
      <c r="G9" s="5">
        <f>Evaluation!G17</f>
        <v>131646</v>
      </c>
      <c r="H9" s="2" t="s">
        <v>11</v>
      </c>
    </row>
    <row r="10" spans="1:8" ht="16" x14ac:dyDescent="0.2">
      <c r="A10" s="2" t="s">
        <v>12</v>
      </c>
      <c r="B10" s="5">
        <f>Evaluation!B9</f>
        <v>125688</v>
      </c>
      <c r="C10" s="5">
        <f>Evaluation!C9</f>
        <v>130860</v>
      </c>
      <c r="D10" s="5">
        <f>Evaluation!D9</f>
        <v>131052</v>
      </c>
      <c r="E10" s="5">
        <f>Evaluation!E9</f>
        <v>130170</v>
      </c>
      <c r="F10" s="5">
        <f>Evaluation!F9</f>
        <v>132876</v>
      </c>
      <c r="G10" s="5">
        <f>Evaluation!G9</f>
        <v>129246</v>
      </c>
      <c r="H10" s="2" t="s">
        <v>13</v>
      </c>
    </row>
    <row r="11" spans="1:8" ht="16" x14ac:dyDescent="0.2">
      <c r="A11" s="2" t="s">
        <v>14</v>
      </c>
      <c r="B11" s="5">
        <f>Evaluation!B10</f>
        <v>1500</v>
      </c>
      <c r="C11" s="5">
        <f>Evaluation!C10</f>
        <v>1600</v>
      </c>
      <c r="D11" s="5">
        <f>Evaluation!D10</f>
        <v>2050</v>
      </c>
      <c r="E11" s="5">
        <f>Evaluation!E10</f>
        <v>1725</v>
      </c>
      <c r="F11" s="5">
        <f>Evaluation!F10</f>
        <v>1850</v>
      </c>
      <c r="G11" s="5">
        <f>Evaluation!G10</f>
        <v>2400</v>
      </c>
      <c r="H11" s="2" t="s">
        <v>13</v>
      </c>
    </row>
    <row r="12" spans="1:8" ht="16" x14ac:dyDescent="0.2">
      <c r="A12" s="2" t="s">
        <v>15</v>
      </c>
      <c r="B12" s="5">
        <f>Evaluation!B12</f>
        <v>0</v>
      </c>
      <c r="C12" s="5">
        <f>Evaluation!C12</f>
        <v>0</v>
      </c>
      <c r="D12" s="5">
        <f>Evaluation!D12</f>
        <v>0</v>
      </c>
      <c r="E12" s="5">
        <f>Evaluation!E12</f>
        <v>0</v>
      </c>
      <c r="F12" s="5">
        <f>Evaluation!F12</f>
        <v>0</v>
      </c>
      <c r="G12" s="5">
        <f>Evaluation!G12</f>
        <v>9297.45</v>
      </c>
      <c r="H12" s="2" t="s">
        <v>13</v>
      </c>
    </row>
    <row r="13" spans="1:8" ht="16" x14ac:dyDescent="0.2">
      <c r="A13" s="2" t="s">
        <v>16</v>
      </c>
      <c r="B13" s="5">
        <f>Evaluation!B15</f>
        <v>0</v>
      </c>
      <c r="C13" s="5">
        <f>Evaluation!C15</f>
        <v>2617.2</v>
      </c>
      <c r="D13" s="5">
        <f>Evaluation!D15</f>
        <v>2621.04</v>
      </c>
      <c r="E13" s="5">
        <f>Evaluation!E15</f>
        <v>0</v>
      </c>
      <c r="F13" s="5">
        <f>Evaluation!F15</f>
        <v>0</v>
      </c>
      <c r="G13" s="5">
        <f>Evaluation!G15</f>
        <v>1292.46</v>
      </c>
      <c r="H13" s="2" t="s">
        <v>13</v>
      </c>
    </row>
    <row r="14" spans="1:8" ht="16" x14ac:dyDescent="0.2">
      <c r="A14" s="2" t="s">
        <v>17</v>
      </c>
      <c r="B14" s="5">
        <f>Evaluation!B16</f>
        <v>127188</v>
      </c>
      <c r="C14" s="5">
        <f>Evaluation!C16</f>
        <v>129842.8</v>
      </c>
      <c r="D14" s="5">
        <f>Evaluation!D16</f>
        <v>130480.96</v>
      </c>
      <c r="E14" s="5">
        <f>Evaluation!E16</f>
        <v>131895</v>
      </c>
      <c r="F14" s="5">
        <f>Evaluation!F16</f>
        <v>134726</v>
      </c>
      <c r="G14" s="5">
        <f>Evaluation!G16</f>
        <v>139650.99</v>
      </c>
      <c r="H14" s="2" t="s">
        <v>13</v>
      </c>
    </row>
    <row r="15" spans="1:8" ht="16" x14ac:dyDescent="0.2">
      <c r="A15" s="2" t="s">
        <v>18</v>
      </c>
      <c r="B15" s="4" t="str">
        <f>Evaluation!B19</f>
        <v>Set aside</v>
      </c>
      <c r="C15" s="4" t="str">
        <f>Evaluation!C19</f>
        <v>Set aside</v>
      </c>
      <c r="D15" s="4">
        <f>Evaluation!D19</f>
        <v>1</v>
      </c>
      <c r="E15" s="4" t="str">
        <f>Evaluation!E19</f>
        <v>Set aside</v>
      </c>
      <c r="F15" s="4">
        <f>Evaluation!F19</f>
        <v>2</v>
      </c>
      <c r="G15" s="4">
        <f>Evaluation!G19</f>
        <v>3</v>
      </c>
      <c r="H15" s="2" t="s">
        <v>13</v>
      </c>
    </row>
    <row r="17" spans="1:8" x14ac:dyDescent="0.2">
      <c r="A17" s="6" t="s">
        <v>19</v>
      </c>
    </row>
    <row r="18" spans="1:8" x14ac:dyDescent="0.2">
      <c r="A18" s="2" t="s">
        <v>20</v>
      </c>
      <c r="B18" s="7" t="str">
        <f>Responsibility!B12</f>
        <v>Pemberton Container</v>
      </c>
      <c r="H18" s="2" t="s">
        <v>9</v>
      </c>
    </row>
    <row r="19" spans="1:8" x14ac:dyDescent="0.2">
      <c r="A19" s="2" t="s">
        <v>21</v>
      </c>
      <c r="B19" s="8">
        <f>Responsibility!B13</f>
        <v>134726</v>
      </c>
      <c r="H19" s="2" t="s">
        <v>9</v>
      </c>
    </row>
    <row r="20" spans="1:8" x14ac:dyDescent="0.2">
      <c r="A20" s="2" t="s">
        <v>22</v>
      </c>
      <c r="B20" s="7" t="str">
        <f>Responsibility!B14</f>
        <v>Ridgecrest Packaging</v>
      </c>
      <c r="H20" s="2" t="s">
        <v>9</v>
      </c>
    </row>
    <row r="21" spans="1:8" x14ac:dyDescent="0.2">
      <c r="A21" s="2" t="s">
        <v>23</v>
      </c>
      <c r="B21" s="8">
        <f>Responsibility!B16</f>
        <v>4924.99</v>
      </c>
      <c r="H21" s="2" t="s">
        <v>9</v>
      </c>
    </row>
    <row r="22" spans="1:8" x14ac:dyDescent="0.2">
      <c r="A22" s="2" t="s">
        <v>24</v>
      </c>
      <c r="B22" s="7">
        <f>Responsiveness!B11</f>
        <v>3</v>
      </c>
      <c r="H22" s="2" t="s">
        <v>6</v>
      </c>
    </row>
    <row r="23" spans="1:8" x14ac:dyDescent="0.2">
      <c r="A23" s="2" t="s">
        <v>25</v>
      </c>
      <c r="B23" s="7">
        <f>Responsiveness!B12</f>
        <v>3</v>
      </c>
      <c r="H23" s="2" t="s">
        <v>6</v>
      </c>
    </row>
    <row r="24" spans="1:8" x14ac:dyDescent="0.2">
      <c r="A24" s="2" t="s">
        <v>26</v>
      </c>
      <c r="B24" s="7" t="str">
        <f>Responsibility!B17</f>
        <v>Loken &amp; Vik Container</v>
      </c>
      <c r="H24" s="2" t="s">
        <v>9</v>
      </c>
    </row>
    <row r="25" spans="1:8" x14ac:dyDescent="0.2">
      <c r="A25" s="2" t="s">
        <v>27</v>
      </c>
      <c r="B25" s="8">
        <f>Responsibility!B18</f>
        <v>130480.96</v>
      </c>
      <c r="H25" s="2" t="s">
        <v>9</v>
      </c>
    </row>
    <row r="26" spans="1:8" x14ac:dyDescent="0.2">
      <c r="A26" s="2" t="s">
        <v>28</v>
      </c>
      <c r="B26" s="8">
        <f>Responsibility!B19</f>
        <v>4245.04</v>
      </c>
      <c r="H26" s="2" t="s">
        <v>9</v>
      </c>
    </row>
    <row r="27" spans="1:8" x14ac:dyDescent="0.2">
      <c r="A27" s="2" t="s">
        <v>29</v>
      </c>
      <c r="B27" s="7" t="str">
        <f>Evaluation!B26</f>
        <v>Brannock Box Company</v>
      </c>
      <c r="H27" s="2" t="s">
        <v>13</v>
      </c>
    </row>
    <row r="28" spans="1:8" x14ac:dyDescent="0.2">
      <c r="A28" s="2" t="s">
        <v>30</v>
      </c>
      <c r="B28" s="7" t="str">
        <f>Evaluation!B27</f>
        <v>Vice president of operations</v>
      </c>
      <c r="H28" s="2" t="s">
        <v>13</v>
      </c>
    </row>
    <row r="29" spans="1:8" x14ac:dyDescent="0.2">
      <c r="A29" s="2" t="s">
        <v>31</v>
      </c>
      <c r="B29" s="7">
        <f>Extensions!G34</f>
        <v>2</v>
      </c>
      <c r="H29" s="2" t="s">
        <v>32</v>
      </c>
    </row>
    <row r="30" spans="1:8" x14ac:dyDescent="0.2">
      <c r="A30" s="2" t="s">
        <v>33</v>
      </c>
      <c r="B30" s="8">
        <f>Extensions!E25</f>
        <v>45112</v>
      </c>
      <c r="H30" s="2" t="s">
        <v>32</v>
      </c>
    </row>
    <row r="31" spans="1:8" x14ac:dyDescent="0.2">
      <c r="A31" s="2" t="s">
        <v>34</v>
      </c>
      <c r="B31" s="8">
        <f>Extensions!F25</f>
        <v>35112</v>
      </c>
      <c r="H31" s="2" t="s">
        <v>32</v>
      </c>
    </row>
    <row r="33" spans="1:4" x14ac:dyDescent="0.2">
      <c r="A33" s="2" t="s">
        <v>35</v>
      </c>
    </row>
    <row r="35" spans="1:4" x14ac:dyDescent="0.2">
      <c r="A35" s="2" t="s">
        <v>36</v>
      </c>
      <c r="B35" s="2" t="s">
        <v>37</v>
      </c>
      <c r="C35" s="2" t="s">
        <v>38</v>
      </c>
      <c r="D35" s="2" t="s">
        <v>39</v>
      </c>
    </row>
    <row r="36" spans="1:4" x14ac:dyDescent="0.2">
      <c r="A36" s="2" t="s">
        <v>40</v>
      </c>
      <c r="B36" s="2" t="s">
        <v>41</v>
      </c>
      <c r="C36" s="2" t="s">
        <v>38</v>
      </c>
      <c r="D36" s="2" t="s">
        <v>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sheetViews>
  <sheetFormatPr baseColWidth="10" defaultColWidth="8.83203125" defaultRowHeight="15" x14ac:dyDescent="0.2"/>
  <cols>
    <col min="1" max="1" width="56" customWidth="1"/>
    <col min="2" max="2" width="14" customWidth="1"/>
    <col min="3" max="3" width="40" customWidth="1"/>
  </cols>
  <sheetData>
    <row r="1" spans="1:3" ht="17" x14ac:dyDescent="0.2">
      <c r="A1" s="1" t="s">
        <v>42</v>
      </c>
    </row>
    <row r="3" spans="1:3" x14ac:dyDescent="0.2">
      <c r="A3" s="3" t="s">
        <v>43</v>
      </c>
      <c r="B3" s="3" t="s">
        <v>44</v>
      </c>
      <c r="C3" s="3" t="s">
        <v>45</v>
      </c>
    </row>
    <row r="4" spans="1:3" x14ac:dyDescent="0.2">
      <c r="A4" s="2" t="s">
        <v>46</v>
      </c>
      <c r="B4" s="2">
        <v>20</v>
      </c>
      <c r="C4" s="2" t="s">
        <v>47</v>
      </c>
    </row>
    <row r="5" spans="1:3" x14ac:dyDescent="0.2">
      <c r="A5" s="2" t="s">
        <v>48</v>
      </c>
      <c r="B5" s="2">
        <v>100000</v>
      </c>
      <c r="C5" s="2" t="s">
        <v>49</v>
      </c>
    </row>
    <row r="6" spans="1:3" x14ac:dyDescent="0.2">
      <c r="A6" s="2" t="s">
        <v>50</v>
      </c>
      <c r="B6" s="2">
        <v>12</v>
      </c>
      <c r="C6" s="2" t="s">
        <v>51</v>
      </c>
    </row>
    <row r="7" spans="1:3" x14ac:dyDescent="0.2">
      <c r="A7" s="2" t="s">
        <v>52</v>
      </c>
      <c r="B7" s="2">
        <v>100</v>
      </c>
      <c r="C7" s="2" t="s">
        <v>53</v>
      </c>
    </row>
    <row r="8" spans="1:3" x14ac:dyDescent="0.2">
      <c r="A8" s="2" t="s">
        <v>54</v>
      </c>
      <c r="B8" s="2">
        <v>100</v>
      </c>
      <c r="C8" s="2" t="s">
        <v>55</v>
      </c>
    </row>
    <row r="9" spans="1:3" x14ac:dyDescent="0.2">
      <c r="A9" s="2" t="s">
        <v>56</v>
      </c>
      <c r="B9" s="2">
        <v>2</v>
      </c>
      <c r="C9" s="2" t="s">
        <v>57</v>
      </c>
    </row>
    <row r="10" spans="1:3" x14ac:dyDescent="0.2">
      <c r="A10" s="2" t="s">
        <v>58</v>
      </c>
      <c r="B10" s="2">
        <v>48000</v>
      </c>
      <c r="C10" s="2" t="s">
        <v>59</v>
      </c>
    </row>
    <row r="12" spans="1:3" x14ac:dyDescent="0.2">
      <c r="A12" s="3" t="s">
        <v>60</v>
      </c>
      <c r="B12" s="3" t="s">
        <v>61</v>
      </c>
      <c r="C12" s="3" t="s">
        <v>45</v>
      </c>
    </row>
    <row r="13" spans="1:3" x14ac:dyDescent="0.2">
      <c r="A13" s="2">
        <v>1</v>
      </c>
      <c r="B13" s="2">
        <v>60000</v>
      </c>
      <c r="C13" s="2" t="s">
        <v>62</v>
      </c>
    </row>
    <row r="14" spans="1:3" x14ac:dyDescent="0.2">
      <c r="A14" s="2">
        <v>2</v>
      </c>
      <c r="B14" s="2">
        <v>84000</v>
      </c>
      <c r="C14" s="2" t="s">
        <v>62</v>
      </c>
    </row>
    <row r="15" spans="1:3" x14ac:dyDescent="0.2">
      <c r="A15" s="2">
        <v>3</v>
      </c>
      <c r="B15" s="2">
        <v>36000</v>
      </c>
      <c r="C15" s="2" t="s">
        <v>63</v>
      </c>
    </row>
    <row r="16" spans="1:3" x14ac:dyDescent="0.2">
      <c r="A16" s="2">
        <v>4</v>
      </c>
      <c r="B16" s="2">
        <v>12000</v>
      </c>
      <c r="C16" s="2" t="s">
        <v>62</v>
      </c>
    </row>
    <row r="17" spans="1:3" x14ac:dyDescent="0.2">
      <c r="A17" s="2">
        <v>5</v>
      </c>
      <c r="B17" s="2">
        <v>30000</v>
      </c>
      <c r="C17" s="2" t="s">
        <v>62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1"/>
  <sheetViews>
    <sheetView workbookViewId="0"/>
  </sheetViews>
  <sheetFormatPr baseColWidth="10" defaultColWidth="8.83203125" defaultRowHeight="15" x14ac:dyDescent="0.2"/>
  <cols>
    <col min="1" max="1" width="30" customWidth="1"/>
    <col min="2" max="2" width="56" customWidth="1"/>
    <col min="3" max="3" width="16" customWidth="1"/>
    <col min="4" max="4" width="20" customWidth="1"/>
    <col min="5" max="5" width="16" customWidth="1"/>
    <col min="6" max="6" width="20" customWidth="1"/>
    <col min="7" max="7" width="16" customWidth="1"/>
    <col min="8" max="8" width="20" customWidth="1"/>
    <col min="9" max="9" width="16" customWidth="1"/>
    <col min="10" max="10" width="20" customWidth="1"/>
    <col min="11" max="11" width="16" customWidth="1"/>
    <col min="12" max="12" width="20" customWidth="1"/>
    <col min="13" max="13" width="16" customWidth="1"/>
    <col min="14" max="14" width="20" customWidth="1"/>
  </cols>
  <sheetData>
    <row r="1" spans="1:14" ht="17" x14ac:dyDescent="0.2">
      <c r="A1" s="1" t="s">
        <v>64</v>
      </c>
    </row>
    <row r="4" spans="1:14" x14ac:dyDescent="0.2">
      <c r="A4" s="3" t="s">
        <v>65</v>
      </c>
      <c r="B4" s="3" t="s">
        <v>66</v>
      </c>
      <c r="C4" s="3" t="s">
        <v>67</v>
      </c>
      <c r="D4" s="3" t="s">
        <v>68</v>
      </c>
      <c r="E4" s="3" t="s">
        <v>69</v>
      </c>
      <c r="F4" s="3" t="s">
        <v>70</v>
      </c>
      <c r="G4" s="3" t="s">
        <v>71</v>
      </c>
      <c r="H4" s="3" t="s">
        <v>72</v>
      </c>
      <c r="I4" s="3" t="s">
        <v>73</v>
      </c>
      <c r="J4" s="3" t="s">
        <v>74</v>
      </c>
      <c r="K4" s="3" t="s">
        <v>75</v>
      </c>
      <c r="L4" s="3" t="s">
        <v>76</v>
      </c>
      <c r="M4" s="3" t="s">
        <v>77</v>
      </c>
      <c r="N4" s="3" t="s">
        <v>78</v>
      </c>
    </row>
    <row r="5" spans="1:14" x14ac:dyDescent="0.2">
      <c r="A5" s="2">
        <v>1</v>
      </c>
      <c r="B5" s="2" t="s">
        <v>79</v>
      </c>
      <c r="C5" s="9">
        <v>0.571</v>
      </c>
      <c r="D5" s="10">
        <v>34260</v>
      </c>
      <c r="E5" s="9">
        <v>0.605</v>
      </c>
      <c r="F5" s="10">
        <v>36300</v>
      </c>
      <c r="G5" s="9">
        <v>0.609</v>
      </c>
      <c r="H5" s="10">
        <v>36540</v>
      </c>
      <c r="I5" s="9">
        <v>0.601</v>
      </c>
      <c r="J5" s="10">
        <v>36060</v>
      </c>
      <c r="K5" s="9">
        <v>0.612</v>
      </c>
      <c r="L5" s="10">
        <v>36720</v>
      </c>
      <c r="M5" s="9">
        <v>0.598</v>
      </c>
      <c r="N5" s="10">
        <v>35880</v>
      </c>
    </row>
    <row r="6" spans="1:14" x14ac:dyDescent="0.2">
      <c r="A6" s="2">
        <v>2</v>
      </c>
      <c r="B6" s="2" t="s">
        <v>80</v>
      </c>
      <c r="C6" s="9">
        <v>0.398</v>
      </c>
      <c r="D6" s="10">
        <v>33432</v>
      </c>
      <c r="E6" s="9">
        <v>0.412</v>
      </c>
      <c r="F6" s="10">
        <v>34608</v>
      </c>
      <c r="G6" s="9">
        <v>0.409</v>
      </c>
      <c r="H6" s="10">
        <v>34356</v>
      </c>
      <c r="I6" s="9">
        <v>0.411</v>
      </c>
      <c r="J6" s="10">
        <v>34524</v>
      </c>
      <c r="K6" s="9">
        <v>0.418</v>
      </c>
      <c r="L6" s="10">
        <v>45112</v>
      </c>
      <c r="M6" s="9">
        <v>0.405</v>
      </c>
      <c r="N6" s="10">
        <v>34020</v>
      </c>
    </row>
    <row r="7" spans="1:14" x14ac:dyDescent="0.2">
      <c r="A7" s="2">
        <v>3</v>
      </c>
      <c r="B7" s="2" t="s">
        <v>81</v>
      </c>
      <c r="C7" s="9">
        <v>0.276</v>
      </c>
      <c r="D7" s="10">
        <v>13248</v>
      </c>
      <c r="E7" s="9">
        <v>0.288</v>
      </c>
      <c r="F7" s="10">
        <v>10368</v>
      </c>
      <c r="G7" s="9">
        <v>0.287</v>
      </c>
      <c r="H7" s="10">
        <v>10332</v>
      </c>
      <c r="I7" s="9">
        <v>0.283</v>
      </c>
      <c r="J7" s="10">
        <v>10188</v>
      </c>
      <c r="K7" s="9">
        <v>0.294</v>
      </c>
      <c r="L7" s="10">
        <v>10584</v>
      </c>
      <c r="M7" s="9">
        <v>0.281</v>
      </c>
      <c r="N7" s="10">
        <v>10116</v>
      </c>
    </row>
    <row r="8" spans="1:14" x14ac:dyDescent="0.2">
      <c r="A8" s="2">
        <v>4</v>
      </c>
      <c r="B8" s="2" t="s">
        <v>82</v>
      </c>
      <c r="C8" s="9">
        <v>1.655</v>
      </c>
      <c r="D8" s="10">
        <v>19860</v>
      </c>
      <c r="E8" s="9">
        <v>1.702</v>
      </c>
      <c r="F8" s="10">
        <v>20424</v>
      </c>
      <c r="G8" s="9">
        <v>1.712</v>
      </c>
      <c r="H8" s="10">
        <v>20544</v>
      </c>
      <c r="I8" s="9">
        <v>1.694</v>
      </c>
      <c r="J8" s="10">
        <v>20328</v>
      </c>
      <c r="K8" s="9">
        <v>1.735</v>
      </c>
      <c r="L8" s="10">
        <v>20820</v>
      </c>
      <c r="M8" s="9">
        <v>1.69</v>
      </c>
      <c r="N8" s="10">
        <v>20280</v>
      </c>
    </row>
    <row r="9" spans="1:14" x14ac:dyDescent="0.2">
      <c r="A9" s="2">
        <v>5</v>
      </c>
      <c r="B9" s="2" t="s">
        <v>83</v>
      </c>
      <c r="C9" s="9">
        <v>0.94</v>
      </c>
      <c r="D9" s="10">
        <v>28200</v>
      </c>
      <c r="E9" s="9">
        <v>0.972</v>
      </c>
      <c r="F9" s="10">
        <v>29160</v>
      </c>
      <c r="G9" s="9">
        <v>0.976</v>
      </c>
      <c r="H9" s="10">
        <v>29280</v>
      </c>
      <c r="I9" s="9">
        <v>0.969</v>
      </c>
      <c r="J9" s="10">
        <v>29070</v>
      </c>
      <c r="K9" s="9">
        <v>0.988</v>
      </c>
      <c r="L9" s="10">
        <v>29640</v>
      </c>
      <c r="M9" s="9">
        <v>0.965</v>
      </c>
      <c r="N9" s="10">
        <v>28950</v>
      </c>
    </row>
    <row r="10" spans="1:14" x14ac:dyDescent="0.2">
      <c r="A10" s="6" t="s">
        <v>84</v>
      </c>
      <c r="D10" s="10">
        <v>1500</v>
      </c>
      <c r="F10" s="10">
        <v>1600</v>
      </c>
      <c r="H10" s="10">
        <v>2050</v>
      </c>
      <c r="J10" s="10">
        <v>1725</v>
      </c>
      <c r="L10" s="10">
        <v>1850</v>
      </c>
      <c r="N10" s="10">
        <v>2400</v>
      </c>
    </row>
    <row r="11" spans="1:14" x14ac:dyDescent="0.2">
      <c r="A11" s="6" t="s">
        <v>10</v>
      </c>
      <c r="D11" s="11">
        <f>SUM(D5:D10)</f>
        <v>130500</v>
      </c>
      <c r="F11" s="11">
        <f>SUM(F5:F10)</f>
        <v>132460</v>
      </c>
      <c r="H11" s="11">
        <f>SUM(H5:H10)</f>
        <v>133102</v>
      </c>
      <c r="J11" s="11">
        <f>SUM(J5:J10)</f>
        <v>131895</v>
      </c>
      <c r="L11" s="11">
        <f>SUM(L5:L10)</f>
        <v>144726</v>
      </c>
      <c r="N11" s="11">
        <f>SUM(N5:N10)</f>
        <v>131646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heetViews>
  <sheetFormatPr baseColWidth="10" defaultColWidth="8.83203125" defaultRowHeight="15" x14ac:dyDescent="0.2"/>
  <cols>
    <col min="1" max="1" width="24" customWidth="1"/>
    <col min="2" max="2" width="14" customWidth="1"/>
    <col min="3" max="3" width="12" customWidth="1"/>
    <col min="4" max="4" width="26" customWidth="1"/>
    <col min="5" max="5" width="16" customWidth="1"/>
    <col min="6" max="6" width="14" customWidth="1"/>
    <col min="7" max="7" width="16" customWidth="1"/>
    <col min="8" max="8" width="22" customWidth="1"/>
    <col min="9" max="9" width="16" customWidth="1"/>
    <col min="10" max="10" width="18" customWidth="1"/>
  </cols>
  <sheetData>
    <row r="1" spans="1:10" ht="17" x14ac:dyDescent="0.2">
      <c r="A1" s="1" t="s">
        <v>85</v>
      </c>
    </row>
    <row r="3" spans="1:10" x14ac:dyDescent="0.2">
      <c r="A3" s="3" t="s">
        <v>86</v>
      </c>
      <c r="B3" s="3" t="s">
        <v>87</v>
      </c>
      <c r="C3" s="3" t="s">
        <v>88</v>
      </c>
      <c r="D3" s="3" t="s">
        <v>89</v>
      </c>
      <c r="E3" s="3" t="s">
        <v>90</v>
      </c>
      <c r="F3" s="3" t="s">
        <v>91</v>
      </c>
      <c r="G3" s="3" t="s">
        <v>92</v>
      </c>
      <c r="H3" s="3" t="s">
        <v>93</v>
      </c>
      <c r="I3" s="3" t="s">
        <v>94</v>
      </c>
      <c r="J3" s="3" t="s">
        <v>95</v>
      </c>
    </row>
    <row r="4" spans="1:10" x14ac:dyDescent="0.2">
      <c r="A4" s="2" t="s">
        <v>96</v>
      </c>
      <c r="B4" s="2" t="s">
        <v>97</v>
      </c>
      <c r="C4" s="2" t="s">
        <v>98</v>
      </c>
      <c r="D4" s="2" t="s">
        <v>99</v>
      </c>
      <c r="E4" s="2" t="s">
        <v>100</v>
      </c>
      <c r="F4" s="2" t="s">
        <v>101</v>
      </c>
      <c r="G4" s="2" t="s">
        <v>102</v>
      </c>
      <c r="H4" s="2" t="s">
        <v>103</v>
      </c>
      <c r="I4" s="2" t="s">
        <v>101</v>
      </c>
      <c r="J4" s="2" t="s">
        <v>104</v>
      </c>
    </row>
    <row r="5" spans="1:10" x14ac:dyDescent="0.2">
      <c r="A5" s="2" t="s">
        <v>105</v>
      </c>
      <c r="B5" s="2" t="s">
        <v>106</v>
      </c>
      <c r="C5" s="2" t="s">
        <v>107</v>
      </c>
      <c r="D5" s="2" t="s">
        <v>99</v>
      </c>
      <c r="E5" s="2" t="s">
        <v>108</v>
      </c>
      <c r="F5" s="2" t="s">
        <v>101</v>
      </c>
      <c r="G5" s="2" t="s">
        <v>102</v>
      </c>
      <c r="H5" s="2" t="s">
        <v>109</v>
      </c>
      <c r="I5" s="2" t="s">
        <v>101</v>
      </c>
      <c r="J5" s="2" t="s">
        <v>110</v>
      </c>
    </row>
    <row r="6" spans="1:10" x14ac:dyDescent="0.2">
      <c r="A6" s="2" t="s">
        <v>111</v>
      </c>
      <c r="B6" s="2" t="s">
        <v>112</v>
      </c>
      <c r="C6" s="2" t="s">
        <v>113</v>
      </c>
      <c r="D6" s="2" t="s">
        <v>99</v>
      </c>
      <c r="E6" s="2" t="s">
        <v>114</v>
      </c>
      <c r="F6" s="2" t="s">
        <v>101</v>
      </c>
      <c r="G6" s="2" t="s">
        <v>115</v>
      </c>
      <c r="H6" s="2" t="s">
        <v>109</v>
      </c>
      <c r="I6" s="2" t="s">
        <v>101</v>
      </c>
      <c r="J6" s="2" t="s">
        <v>116</v>
      </c>
    </row>
    <row r="7" spans="1:10" x14ac:dyDescent="0.2">
      <c r="A7" s="2" t="s">
        <v>117</v>
      </c>
      <c r="B7" s="2" t="s">
        <v>118</v>
      </c>
      <c r="C7" s="2" t="s">
        <v>119</v>
      </c>
      <c r="D7" s="2" t="s">
        <v>99</v>
      </c>
      <c r="E7" s="2" t="s">
        <v>120</v>
      </c>
      <c r="F7" s="2" t="s">
        <v>101</v>
      </c>
      <c r="G7" s="2" t="s">
        <v>102</v>
      </c>
      <c r="H7" s="2" t="s">
        <v>109</v>
      </c>
      <c r="I7" s="2" t="s">
        <v>101</v>
      </c>
      <c r="J7" s="2" t="s">
        <v>121</v>
      </c>
    </row>
    <row r="8" spans="1:10" x14ac:dyDescent="0.2">
      <c r="A8" s="2" t="s">
        <v>122</v>
      </c>
      <c r="B8" s="2" t="s">
        <v>123</v>
      </c>
      <c r="C8" s="2" t="s">
        <v>124</v>
      </c>
      <c r="D8" s="2" t="s">
        <v>99</v>
      </c>
      <c r="E8" s="2" t="s">
        <v>125</v>
      </c>
      <c r="F8" s="2" t="s">
        <v>101</v>
      </c>
      <c r="G8" s="2" t="s">
        <v>102</v>
      </c>
      <c r="H8" s="2" t="s">
        <v>109</v>
      </c>
      <c r="I8" s="2" t="s">
        <v>101</v>
      </c>
      <c r="J8" s="2" t="s">
        <v>126</v>
      </c>
    </row>
    <row r="9" spans="1:10" x14ac:dyDescent="0.2">
      <c r="A9" s="2" t="s">
        <v>127</v>
      </c>
      <c r="B9" s="2" t="s">
        <v>128</v>
      </c>
      <c r="C9" s="2" t="s">
        <v>129</v>
      </c>
      <c r="D9" s="2" t="s">
        <v>130</v>
      </c>
      <c r="E9" s="2" t="s">
        <v>131</v>
      </c>
      <c r="F9" s="2" t="s">
        <v>101</v>
      </c>
      <c r="G9" s="2" t="s">
        <v>102</v>
      </c>
      <c r="H9" s="2" t="s">
        <v>109</v>
      </c>
      <c r="I9" s="2" t="s">
        <v>101</v>
      </c>
      <c r="J9" s="2" t="s">
        <v>132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
  <sheetViews>
    <sheetView workbookViewId="0"/>
  </sheetViews>
  <sheetFormatPr baseColWidth="10" defaultColWidth="8.83203125" defaultRowHeight="15" x14ac:dyDescent="0.2"/>
  <cols>
    <col min="1" max="1" width="24" customWidth="1"/>
    <col min="2" max="2" width="80" customWidth="1"/>
    <col min="3" max="3" width="26" customWidth="1"/>
    <col min="4" max="4" width="24" customWidth="1"/>
    <col min="5" max="5" width="60" customWidth="1"/>
  </cols>
  <sheetData>
    <row r="1" spans="1:5" ht="17" x14ac:dyDescent="0.2">
      <c r="A1" s="1" t="s">
        <v>133</v>
      </c>
    </row>
    <row r="3" spans="1:5" x14ac:dyDescent="0.2">
      <c r="A3" s="3" t="s">
        <v>86</v>
      </c>
      <c r="B3" s="3" t="s">
        <v>134</v>
      </c>
      <c r="C3" s="3" t="s">
        <v>135</v>
      </c>
      <c r="D3" s="3" t="s">
        <v>136</v>
      </c>
      <c r="E3" s="3" t="s">
        <v>137</v>
      </c>
    </row>
    <row r="4" spans="1:5" ht="32" x14ac:dyDescent="0.2">
      <c r="A4" s="2" t="str">
        <f>Terms!A4</f>
        <v>Brannock Box Company</v>
      </c>
      <c r="B4" s="12" t="s">
        <v>138</v>
      </c>
      <c r="C4" s="12" t="s">
        <v>139</v>
      </c>
      <c r="D4" s="12" t="s">
        <v>140</v>
      </c>
      <c r="E4" s="12" t="s">
        <v>141</v>
      </c>
    </row>
    <row r="5" spans="1:5" ht="32" x14ac:dyDescent="0.2">
      <c r="A5" s="2" t="str">
        <f>Terms!A5</f>
        <v>Halvard Corrugated</v>
      </c>
      <c r="B5" s="12" t="s">
        <v>142</v>
      </c>
      <c r="C5" s="12" t="s">
        <v>143</v>
      </c>
      <c r="D5" s="12" t="s">
        <v>101</v>
      </c>
      <c r="E5" s="12" t="s">
        <v>144</v>
      </c>
    </row>
    <row r="6" spans="1:5" ht="32" x14ac:dyDescent="0.2">
      <c r="A6" s="2" t="str">
        <f>Terms!A6</f>
        <v>Loken &amp; Vik Container</v>
      </c>
      <c r="B6" s="12" t="s">
        <v>145</v>
      </c>
      <c r="C6" s="12" t="s">
        <v>146</v>
      </c>
      <c r="D6" s="12" t="s">
        <v>140</v>
      </c>
      <c r="E6" s="12" t="s">
        <v>147</v>
      </c>
    </row>
    <row r="7" spans="1:5" ht="32" x14ac:dyDescent="0.2">
      <c r="A7" s="2" t="str">
        <f>Terms!A7</f>
        <v>Otter Tail Corrugated</v>
      </c>
      <c r="B7" s="12" t="s">
        <v>148</v>
      </c>
      <c r="C7" s="12" t="s">
        <v>149</v>
      </c>
      <c r="D7" s="12" t="s">
        <v>101</v>
      </c>
      <c r="E7" s="12" t="s">
        <v>150</v>
      </c>
    </row>
    <row r="8" spans="1:5" ht="32" x14ac:dyDescent="0.2">
      <c r="A8" s="2" t="str">
        <f>Terms!A8</f>
        <v>Pemberton Container</v>
      </c>
      <c r="B8" s="12" t="s">
        <v>151</v>
      </c>
      <c r="C8" s="12" t="s">
        <v>152</v>
      </c>
      <c r="D8" s="12" t="s">
        <v>140</v>
      </c>
      <c r="E8" s="12" t="s">
        <v>153</v>
      </c>
    </row>
    <row r="9" spans="1:5" ht="16" x14ac:dyDescent="0.2">
      <c r="A9" s="2" t="str">
        <f>Terms!A9</f>
        <v>Ridgecrest Packaging</v>
      </c>
      <c r="B9" s="12" t="s">
        <v>154</v>
      </c>
      <c r="C9" s="12" t="s">
        <v>155</v>
      </c>
      <c r="D9" s="12" t="s">
        <v>140</v>
      </c>
      <c r="E9" s="12" t="s">
        <v>156</v>
      </c>
    </row>
    <row r="11" spans="1:5" x14ac:dyDescent="0.2">
      <c r="A11" s="2" t="s">
        <v>157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9"/>
  <sheetViews>
    <sheetView workbookViewId="0"/>
  </sheetViews>
  <sheetFormatPr baseColWidth="10" defaultColWidth="8.83203125" defaultRowHeight="15" x14ac:dyDescent="0.2"/>
  <cols>
    <col min="1" max="1" width="12" customWidth="1"/>
    <col min="2" max="2" width="30" customWidth="1"/>
    <col min="3" max="3" width="24" customWidth="1"/>
    <col min="4" max="4" width="32" customWidth="1"/>
    <col min="5" max="5" width="12" customWidth="1"/>
    <col min="6" max="6" width="62" customWidth="1"/>
    <col min="7" max="7" width="10" customWidth="1"/>
    <col min="8" max="8" width="12" customWidth="1"/>
  </cols>
  <sheetData>
    <row r="1" spans="1:8" ht="17" x14ac:dyDescent="0.2">
      <c r="A1" s="1" t="s">
        <v>158</v>
      </c>
    </row>
    <row r="3" spans="1:8" x14ac:dyDescent="0.2">
      <c r="A3" s="3" t="s">
        <v>159</v>
      </c>
      <c r="B3" s="3" t="s">
        <v>160</v>
      </c>
      <c r="C3" s="3" t="s">
        <v>86</v>
      </c>
      <c r="D3" s="3" t="s">
        <v>161</v>
      </c>
      <c r="E3" s="3" t="s">
        <v>162</v>
      </c>
      <c r="F3" s="3" t="s">
        <v>163</v>
      </c>
      <c r="G3" s="3" t="s">
        <v>164</v>
      </c>
      <c r="H3" s="3" t="s">
        <v>165</v>
      </c>
    </row>
    <row r="4" spans="1:8" x14ac:dyDescent="0.2">
      <c r="A4" s="2" t="s">
        <v>166</v>
      </c>
      <c r="B4" s="2" t="s">
        <v>167</v>
      </c>
      <c r="C4" s="2" t="s">
        <v>111</v>
      </c>
      <c r="D4" s="2" t="s">
        <v>168</v>
      </c>
      <c r="E4" s="2" t="s">
        <v>169</v>
      </c>
      <c r="F4" s="2" t="s">
        <v>170</v>
      </c>
      <c r="G4" s="2" t="s">
        <v>171</v>
      </c>
      <c r="H4" s="2" t="s">
        <v>172</v>
      </c>
    </row>
    <row r="5" spans="1:8" x14ac:dyDescent="0.2">
      <c r="A5" s="2" t="s">
        <v>173</v>
      </c>
      <c r="B5" s="2" t="s">
        <v>105</v>
      </c>
      <c r="C5" s="2" t="s">
        <v>105</v>
      </c>
      <c r="D5" s="2" t="s">
        <v>174</v>
      </c>
      <c r="E5" s="2" t="s">
        <v>175</v>
      </c>
      <c r="F5" s="2" t="s">
        <v>176</v>
      </c>
      <c r="G5" s="2" t="s">
        <v>171</v>
      </c>
      <c r="H5" s="2" t="s">
        <v>177</v>
      </c>
    </row>
    <row r="6" spans="1:8" x14ac:dyDescent="0.2">
      <c r="A6" s="2" t="s">
        <v>178</v>
      </c>
      <c r="B6" s="2" t="s">
        <v>122</v>
      </c>
      <c r="C6" s="2" t="s">
        <v>122</v>
      </c>
      <c r="D6" s="2" t="s">
        <v>179</v>
      </c>
      <c r="E6" s="2" t="s">
        <v>180</v>
      </c>
      <c r="F6" s="2" t="s">
        <v>181</v>
      </c>
      <c r="G6" s="2" t="s">
        <v>171</v>
      </c>
      <c r="H6" s="2" t="s">
        <v>182</v>
      </c>
    </row>
    <row r="7" spans="1:8" x14ac:dyDescent="0.2">
      <c r="A7" s="2" t="s">
        <v>183</v>
      </c>
      <c r="B7" s="2" t="s">
        <v>167</v>
      </c>
      <c r="C7" s="2" t="s">
        <v>111</v>
      </c>
      <c r="D7" s="2" t="s">
        <v>184</v>
      </c>
      <c r="E7" s="2" t="s">
        <v>185</v>
      </c>
      <c r="F7" s="2" t="s">
        <v>186</v>
      </c>
      <c r="G7" s="2" t="s">
        <v>187</v>
      </c>
      <c r="H7" s="2"/>
    </row>
    <row r="9" spans="1:8" x14ac:dyDescent="0.2">
      <c r="A9" s="2" t="s">
        <v>188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3"/>
  <sheetViews>
    <sheetView workbookViewId="0"/>
  </sheetViews>
  <sheetFormatPr baseColWidth="10" defaultColWidth="8.83203125" defaultRowHeight="15" x14ac:dyDescent="0.2"/>
  <cols>
    <col min="1" max="2" width="14" customWidth="1"/>
    <col min="3" max="3" width="4" customWidth="1"/>
    <col min="4" max="4" width="8" customWidth="1"/>
    <col min="5" max="6" width="14" customWidth="1"/>
    <col min="7" max="7" width="12" customWidth="1"/>
    <col min="8" max="8" width="14" customWidth="1"/>
  </cols>
  <sheetData>
    <row r="1" spans="1:8" ht="17" x14ac:dyDescent="0.2">
      <c r="A1" s="1" t="s">
        <v>189</v>
      </c>
    </row>
    <row r="3" spans="1:8" x14ac:dyDescent="0.2">
      <c r="A3" s="3" t="s">
        <v>190</v>
      </c>
      <c r="B3" s="3" t="s">
        <v>191</v>
      </c>
      <c r="C3" s="3"/>
      <c r="D3" s="3" t="s">
        <v>65</v>
      </c>
      <c r="E3" s="3" t="s">
        <v>192</v>
      </c>
      <c r="F3" s="3" t="s">
        <v>193</v>
      </c>
      <c r="G3" s="3" t="s">
        <v>194</v>
      </c>
      <c r="H3" s="3" t="s">
        <v>195</v>
      </c>
    </row>
    <row r="4" spans="1:8" x14ac:dyDescent="0.2">
      <c r="A4" s="2" t="s">
        <v>119</v>
      </c>
      <c r="B4" s="13">
        <v>3.4</v>
      </c>
      <c r="D4" s="2">
        <v>1</v>
      </c>
      <c r="E4" s="2" t="s">
        <v>196</v>
      </c>
      <c r="F4" s="13">
        <v>0.9</v>
      </c>
      <c r="G4" s="2">
        <f>Parameters!B13</f>
        <v>60000</v>
      </c>
      <c r="H4" s="10">
        <f>ROUND(F4*G4,2)</f>
        <v>54000</v>
      </c>
    </row>
    <row r="5" spans="1:8" x14ac:dyDescent="0.2">
      <c r="A5" s="2" t="s">
        <v>129</v>
      </c>
      <c r="B5" s="13">
        <v>4.85</v>
      </c>
      <c r="D5" s="2">
        <v>2</v>
      </c>
      <c r="E5" s="2" t="s">
        <v>197</v>
      </c>
      <c r="F5" s="13">
        <v>0.55</v>
      </c>
      <c r="G5" s="2">
        <f>Parameters!B14</f>
        <v>84000</v>
      </c>
      <c r="H5" s="10">
        <f>ROUND(F5*G5,2)</f>
        <v>46200</v>
      </c>
    </row>
    <row r="6" spans="1:8" x14ac:dyDescent="0.2">
      <c r="A6" s="2" t="s">
        <v>124</v>
      </c>
      <c r="B6" s="13">
        <v>5.1</v>
      </c>
      <c r="D6" s="2">
        <v>3</v>
      </c>
      <c r="E6" s="2" t="s">
        <v>198</v>
      </c>
      <c r="F6" s="13">
        <v>0.3</v>
      </c>
      <c r="G6" s="2">
        <f>Parameters!B15</f>
        <v>36000</v>
      </c>
      <c r="H6" s="10">
        <f>ROUND(F6*G6,2)</f>
        <v>10800</v>
      </c>
    </row>
    <row r="7" spans="1:8" x14ac:dyDescent="0.2">
      <c r="A7" s="2" t="s">
        <v>98</v>
      </c>
      <c r="B7" s="13">
        <v>5.6</v>
      </c>
      <c r="D7" s="2">
        <v>4</v>
      </c>
      <c r="E7" s="2" t="s">
        <v>199</v>
      </c>
      <c r="F7" s="13">
        <v>2.6</v>
      </c>
      <c r="G7" s="2">
        <f>Parameters!B16</f>
        <v>12000</v>
      </c>
      <c r="H7" s="10">
        <f>ROUND(F7*G7,2)</f>
        <v>31200</v>
      </c>
    </row>
    <row r="8" spans="1:8" x14ac:dyDescent="0.2">
      <c r="A8" s="2" t="s">
        <v>107</v>
      </c>
      <c r="B8" s="13">
        <v>4.2</v>
      </c>
      <c r="D8" s="2">
        <v>5</v>
      </c>
      <c r="E8" s="2" t="s">
        <v>200</v>
      </c>
      <c r="F8" s="13">
        <v>1.65</v>
      </c>
      <c r="G8" s="2">
        <f>Parameters!B17</f>
        <v>30000</v>
      </c>
      <c r="H8" s="10">
        <f>ROUND(F8*G8,2)</f>
        <v>49500</v>
      </c>
    </row>
    <row r="9" spans="1:8" x14ac:dyDescent="0.2">
      <c r="A9" s="2" t="s">
        <v>113</v>
      </c>
      <c r="B9" s="13">
        <v>4.6</v>
      </c>
      <c r="D9" s="6" t="s">
        <v>201</v>
      </c>
      <c r="H9" s="11">
        <f>SUM(H4:H8)</f>
        <v>191700</v>
      </c>
    </row>
    <row r="10" spans="1:8" x14ac:dyDescent="0.2">
      <c r="A10" s="2" t="s">
        <v>202</v>
      </c>
      <c r="B10" s="13">
        <v>5.35</v>
      </c>
      <c r="D10" s="6" t="s">
        <v>203</v>
      </c>
      <c r="H10" s="11">
        <f>H9/Parameters!$B$8</f>
        <v>1917</v>
      </c>
    </row>
    <row r="13" spans="1:8" x14ac:dyDescent="0.2">
      <c r="A13" s="2" t="s">
        <v>204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4"/>
  <sheetViews>
    <sheetView workbookViewId="0"/>
  </sheetViews>
  <sheetFormatPr baseColWidth="10" defaultColWidth="8.83203125" defaultRowHeight="15" x14ac:dyDescent="0.2"/>
  <cols>
    <col min="1" max="1" width="24" customWidth="1"/>
    <col min="2" max="2" width="10" customWidth="1"/>
    <col min="3" max="3" width="24" customWidth="1"/>
    <col min="4" max="4" width="10" customWidth="1"/>
    <col min="5" max="5" width="30" customWidth="1"/>
    <col min="6" max="6" width="26" customWidth="1"/>
    <col min="7" max="7" width="60" customWidth="1"/>
    <col min="8" max="8" width="18" customWidth="1"/>
    <col min="9" max="9" width="16" customWidth="1"/>
    <col min="10" max="10" width="90" customWidth="1"/>
  </cols>
  <sheetData>
    <row r="1" spans="1:10" ht="17" x14ac:dyDescent="0.2">
      <c r="A1" s="1" t="s">
        <v>205</v>
      </c>
    </row>
    <row r="3" spans="1:10" x14ac:dyDescent="0.2">
      <c r="A3" s="3" t="s">
        <v>86</v>
      </c>
      <c r="B3" s="3" t="s">
        <v>206</v>
      </c>
      <c r="C3" s="3" t="s">
        <v>207</v>
      </c>
      <c r="D3" s="3" t="s">
        <v>208</v>
      </c>
      <c r="E3" s="3" t="s">
        <v>209</v>
      </c>
      <c r="F3" s="3" t="s">
        <v>210</v>
      </c>
      <c r="G3" s="3" t="s">
        <v>211</v>
      </c>
      <c r="H3" s="3" t="s">
        <v>212</v>
      </c>
      <c r="I3" s="3" t="s">
        <v>164</v>
      </c>
      <c r="J3" s="3" t="s">
        <v>213</v>
      </c>
    </row>
    <row r="4" spans="1:10" ht="16" x14ac:dyDescent="0.2">
      <c r="A4" s="2" t="str">
        <f>Terms!A4</f>
        <v>Brannock Box Company</v>
      </c>
      <c r="B4" s="2" t="str">
        <f>IF(Terms!F4="Yes","Yes","No")</f>
        <v>Yes</v>
      </c>
      <c r="C4" s="2" t="str">
        <f>IF(ISNUMBER(SEARCH(Parameters!$B$9,Terms!H4)),"Yes","No")</f>
        <v>No</v>
      </c>
      <c r="D4" s="2" t="str">
        <f>IF(Terms!I4="Yes","Yes","No")</f>
        <v>Yes</v>
      </c>
      <c r="E4" s="2" t="str">
        <f>IF(ROUND('Bids as Written'!D7,2)=ROUND('Bids as Written'!C7*Parameters!$B$10,2),"No, superseded 48,000","Yes")</f>
        <v>No, superseded 48,000</v>
      </c>
      <c r="F4" s="2" t="str">
        <f>'Bid Conditions'!D4</f>
        <v>No</v>
      </c>
      <c r="G4" s="12" t="str">
        <f>'Bid Conditions'!B4</f>
        <v>None stated; the form acknowledges addendum 1 only and prices item 3 at 48,000 with item 5 on 32 ECT board</v>
      </c>
      <c r="H4" s="2" t="str">
        <f>IF(ISNUMBER(SEARCH("Alternate",'Bid Conditions'!B4)),"Yes, not evaluated","No")</f>
        <v>No</v>
      </c>
      <c r="I4" s="2" t="str">
        <f t="shared" ref="I4:I9" si="0">IF(AND(B4="Yes",C4="Yes",D4="Yes",LEFT(E4,3)="Yes",F4="No"),"Responsive","Non-responsive")</f>
        <v>Non-responsive</v>
      </c>
      <c r="J4" s="12" t="str">
        <f>TRIM(IF(B4="No","No bid bond, section 3.2. ","")&amp;IF(C4="No","Addendum 2 not acknowledged, section 3.2; bid on the superseded item 3 quantity and item 5 grade, PP-3.4.5. ","")&amp;IF(D4="No","Samples not received, section 3.2. ","")&amp;IF(AND(C4="Yes",LEFT(E4,2)="No"),"Item 3 priced at the superseded quantity, PP-3.4.5. ","")&amp;IF(F4="Yes","Exception to a material term, "&amp;'Bid Conditions'!C4&amp;", section 5.2 and PP-3.4.4. ",""))</f>
        <v>Addendum 2 not acknowledged, section 3.2; bid on the superseded item 3 quantity and item 5 grade, PP-3.4.5.</v>
      </c>
    </row>
    <row r="5" spans="1:10" ht="16" x14ac:dyDescent="0.2">
      <c r="A5" s="2" t="str">
        <f>Terms!A5</f>
        <v>Halvard Corrugated</v>
      </c>
      <c r="B5" s="2" t="str">
        <f>IF(Terms!F5="Yes","Yes","No")</f>
        <v>Yes</v>
      </c>
      <c r="C5" s="2" t="str">
        <f>IF(ISNUMBER(SEARCH(Parameters!$B$9,Terms!H5)),"Yes","No")</f>
        <v>Yes</v>
      </c>
      <c r="D5" s="2" t="str">
        <f>IF(Terms!I5="Yes","Yes","No")</f>
        <v>Yes</v>
      </c>
      <c r="E5" s="2" t="str">
        <f>IF(ROUND('Bids as Written'!F7,2)=ROUND('Bids as Written'!E7*Parameters!$B$10,2),"No, superseded 48,000","Yes")</f>
        <v>Yes</v>
      </c>
      <c r="F5" s="2" t="str">
        <f>'Bid Conditions'!D5</f>
        <v>Yes</v>
      </c>
      <c r="G5" s="12" t="str">
        <f>'Bid Conditions'!B5</f>
        <v>Prices held firm for six months from award, then adjusted quarterly to the Pulp and Paper Week 42 lb kraft linerboard index</v>
      </c>
      <c r="H5" s="2" t="str">
        <f>IF(ISNUMBER(SEARCH("Alternate",'Bid Conditions'!B5)),"Yes, not evaluated","No")</f>
        <v>No</v>
      </c>
      <c r="I5" s="2" t="str">
        <f t="shared" si="0"/>
        <v>Non-responsive</v>
      </c>
      <c r="J5" s="12" t="str">
        <f>TRIM(IF(B5="No","No bid bond, section 3.2. ","")&amp;IF(C5="No","Addendum 2 not acknowledged, section 3.2; bid on the superseded item 3 quantity and item 5 grade, PP-3.4.5. ","")&amp;IF(D5="No","Samples not received, section 3.2. ","")&amp;IF(AND(C5="Yes",LEFT(E5,2)="No"),"Item 3 priced at the superseded quantity, PP-3.4.5. ","")&amp;IF(F5="Yes","Exception to a material term, "&amp;'Bid Conditions'!C5&amp;", section 5.2 and PP-3.4.4. ",""))</f>
        <v>Exception to a material term, Price hold, section 4.3, section 5.2 and PP-3.4.4.</v>
      </c>
    </row>
    <row r="6" spans="1:10" ht="16" x14ac:dyDescent="0.2">
      <c r="A6" s="2" t="str">
        <f>Terms!A6</f>
        <v>Loken &amp; Vik Container</v>
      </c>
      <c r="B6" s="2" t="str">
        <f>IF(Terms!F6="Yes","Yes","No")</f>
        <v>Yes</v>
      </c>
      <c r="C6" s="2" t="str">
        <f>IF(ISNUMBER(SEARCH(Parameters!$B$9,Terms!H6)),"Yes","No")</f>
        <v>Yes</v>
      </c>
      <c r="D6" s="2" t="str">
        <f>IF(Terms!I6="Yes","Yes","No")</f>
        <v>Yes</v>
      </c>
      <c r="E6" s="2" t="str">
        <f>IF(ROUND('Bids as Written'!H7,2)=ROUND('Bids as Written'!G7*Parameters!$B$10,2),"No, superseded 48,000","Yes")</f>
        <v>Yes</v>
      </c>
      <c r="F6" s="2" t="str">
        <f>'Bid Conditions'!D6</f>
        <v>No</v>
      </c>
      <c r="G6" s="12" t="str">
        <f>'Bid Conditions'!B6</f>
        <v>None; releases requested at least ten working days ahead of delivery</v>
      </c>
      <c r="H6" s="2" t="str">
        <f>IF(ISNUMBER(SEARCH("Alternate",'Bid Conditions'!B6)),"Yes, not evaluated","No")</f>
        <v>No</v>
      </c>
      <c r="I6" s="2" t="str">
        <f t="shared" si="0"/>
        <v>Responsive</v>
      </c>
      <c r="J6" s="12" t="str">
        <f>TRIM(IF(B6="No","No bid bond, section 3.2. ","")&amp;IF(C6="No","Addendum 2 not acknowledged, section 3.2; bid on the superseded item 3 quantity and item 5 grade, PP-3.4.5. ","")&amp;IF(D6="No","Samples not received, section 3.2. ","")&amp;IF(AND(C6="Yes",LEFT(E6,2)="No"),"Item 3 priced at the superseded quantity, PP-3.4.5. ","")&amp;IF(F6="Yes","Exception to a material term, "&amp;'Bid Conditions'!C6&amp;", section 5.2 and PP-3.4.4. ",""))</f>
        <v/>
      </c>
    </row>
    <row r="7" spans="1:10" ht="16" x14ac:dyDescent="0.2">
      <c r="A7" s="2" t="str">
        <f>Terms!A7</f>
        <v>Otter Tail Corrugated</v>
      </c>
      <c r="B7" s="2" t="str">
        <f>IF(Terms!F7="Yes","Yes","No")</f>
        <v>Yes</v>
      </c>
      <c r="C7" s="2" t="str">
        <f>IF(ISNUMBER(SEARCH(Parameters!$B$9,Terms!H7)),"Yes","No")</f>
        <v>Yes</v>
      </c>
      <c r="D7" s="2" t="str">
        <f>IF(Terms!I7="Yes","Yes","No")</f>
        <v>Yes</v>
      </c>
      <c r="E7" s="2" t="str">
        <f>IF(ROUND('Bids as Written'!J7,2)=ROUND('Bids as Written'!I7*Parameters!$B$10,2),"No, superseded 48,000","Yes")</f>
        <v>Yes</v>
      </c>
      <c r="F7" s="2" t="str">
        <f>'Bid Conditions'!D7</f>
        <v>Yes</v>
      </c>
      <c r="G7" s="12" t="str">
        <f>'Bid Conditions'!B7</f>
        <v>Pricing assumes releases in full truckload quantities of 26 pallets; a release below a full truckload carries a $185 stop charge</v>
      </c>
      <c r="H7" s="2" t="str">
        <f>IF(ISNUMBER(SEARCH("Alternate",'Bid Conditions'!B7)),"Yes, not evaluated","No")</f>
        <v>No</v>
      </c>
      <c r="I7" s="2" t="str">
        <f t="shared" si="0"/>
        <v>Non-responsive</v>
      </c>
      <c r="J7" s="12" t="str">
        <f>TRIM(IF(B7="No","No bid bond, section 3.2. ","")&amp;IF(C7="No","Addendum 2 not acknowledged, section 3.2; bid on the superseded item 3 quantity and item 5 grade, PP-3.4.5. ","")&amp;IF(D7="No","Samples not received, section 3.2. ","")&amp;IF(AND(C7="Yes",LEFT(E7,2)="No"),"Item 3 priced at the superseded quantity, PP-3.4.5. ","")&amp;IF(F7="Yes","Exception to a material term, "&amp;'Bid Conditions'!C7&amp;", section 5.2 and PP-3.4.4. ",""))</f>
        <v>Exception to a material term, Quantity, releases in pallet multiples, section 1, section 5.2 and PP-3.4.4.</v>
      </c>
    </row>
    <row r="8" spans="1:10" ht="16" x14ac:dyDescent="0.2">
      <c r="A8" s="2" t="str">
        <f>Terms!A8</f>
        <v>Pemberton Container</v>
      </c>
      <c r="B8" s="2" t="str">
        <f>IF(Terms!F8="Yes","Yes","No")</f>
        <v>Yes</v>
      </c>
      <c r="C8" s="2" t="str">
        <f>IF(ISNUMBER(SEARCH(Parameters!$B$9,Terms!H8)),"Yes","No")</f>
        <v>Yes</v>
      </c>
      <c r="D8" s="2" t="str">
        <f>IF(Terms!I8="Yes","Yes","No")</f>
        <v>Yes</v>
      </c>
      <c r="E8" s="2" t="str">
        <f>IF(ROUND('Bids as Written'!L7,2)=ROUND('Bids as Written'!K7*Parameters!$B$10,2),"No, superseded 48,000","Yes")</f>
        <v>Yes</v>
      </c>
      <c r="F8" s="2" t="str">
        <f>'Bid Conditions'!D8</f>
        <v>No</v>
      </c>
      <c r="G8" s="12" t="str">
        <f>'Bid Conditions'!B8</f>
        <v>Alternate for item 4 at 200 lb test doublewall, $1.512 per carton, beside the bid on the item as specified</v>
      </c>
      <c r="H8" s="2" t="str">
        <f>IF(ISNUMBER(SEARCH("Alternate",'Bid Conditions'!B8)),"Yes, not evaluated","No")</f>
        <v>Yes, not evaluated</v>
      </c>
      <c r="I8" s="2" t="str">
        <f t="shared" si="0"/>
        <v>Responsive</v>
      </c>
      <c r="J8" s="12" t="str">
        <f>TRIM(IF(B8="No","No bid bond, section 3.2. ","")&amp;IF(C8="No","Addendum 2 not acknowledged, section 3.2; bid on the superseded item 3 quantity and item 5 grade, PP-3.4.5. ","")&amp;IF(D8="No","Samples not received, section 3.2. ","")&amp;IF(AND(C8="Yes",LEFT(E8,2)="No"),"Item 3 priced at the superseded quantity, PP-3.4.5. ","")&amp;IF(F8="Yes","Exception to a material term, "&amp;'Bid Conditions'!C8&amp;", section 5.2 and PP-3.4.4. ",""))</f>
        <v/>
      </c>
    </row>
    <row r="9" spans="1:10" ht="16" x14ac:dyDescent="0.2">
      <c r="A9" s="2" t="str">
        <f>Terms!A9</f>
        <v>Ridgecrest Packaging</v>
      </c>
      <c r="B9" s="2" t="str">
        <f>IF(Terms!F9="Yes","Yes","No")</f>
        <v>Yes</v>
      </c>
      <c r="C9" s="2" t="str">
        <f>IF(ISNUMBER(SEARCH(Parameters!$B$9,Terms!H9)),"Yes","No")</f>
        <v>Yes</v>
      </c>
      <c r="D9" s="2" t="str">
        <f>IF(Terms!I9="Yes","Yes","No")</f>
        <v>Yes</v>
      </c>
      <c r="E9" s="2" t="str">
        <f>IF(ROUND('Bids as Written'!N7,2)=ROUND('Bids as Written'!M7*Parameters!$B$10,2),"No, superseded 48,000","Yes")</f>
        <v>Yes</v>
      </c>
      <c r="F9" s="2" t="str">
        <f>'Bid Conditions'!D9</f>
        <v>No</v>
      </c>
      <c r="G9" s="12" t="str">
        <f>'Bid Conditions'!B9</f>
        <v>None; FOB origin, Cedar Rapids plant, freight by Nordvik or prepaid and added at Nordvik's option</v>
      </c>
      <c r="H9" s="2" t="str">
        <f>IF(ISNUMBER(SEARCH("Alternate",'Bid Conditions'!B9)),"Yes, not evaluated","No")</f>
        <v>No</v>
      </c>
      <c r="I9" s="2" t="str">
        <f t="shared" si="0"/>
        <v>Responsive</v>
      </c>
      <c r="J9" s="12" t="str">
        <f>TRIM(IF(B9="No","No bid bond, section 3.2. ","")&amp;IF(C9="No","Addendum 2 not acknowledged, section 3.2; bid on the superseded item 3 quantity and item 5 grade, PP-3.4.5. ","")&amp;IF(D9="No","Samples not received, section 3.2. ","")&amp;IF(AND(C9="Yes",LEFT(E9,2)="No"),"Item 3 priced at the superseded quantity, PP-3.4.5. ","")&amp;IF(F9="Yes","Exception to a material term, "&amp;'Bid Conditions'!C9&amp;", section 5.2 and PP-3.4.4. ",""))</f>
        <v/>
      </c>
    </row>
    <row r="11" spans="1:10" x14ac:dyDescent="0.2">
      <c r="A11" s="2" t="s">
        <v>24</v>
      </c>
      <c r="B11" s="2">
        <f>COUNTIF(I4:I9,"Responsive")</f>
        <v>3</v>
      </c>
    </row>
    <row r="12" spans="1:10" x14ac:dyDescent="0.2">
      <c r="A12" s="2" t="s">
        <v>25</v>
      </c>
      <c r="B12" s="2">
        <f>COUNTIF(I4:I9,"Non-responsive")</f>
        <v>3</v>
      </c>
    </row>
    <row r="14" spans="1:10" x14ac:dyDescent="0.2">
      <c r="A14" s="2" t="s">
        <v>214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21"/>
  <sheetViews>
    <sheetView workbookViewId="0"/>
  </sheetViews>
  <sheetFormatPr baseColWidth="10" defaultColWidth="8.83203125" defaultRowHeight="15" x14ac:dyDescent="0.2"/>
  <cols>
    <col min="1" max="1" width="14" customWidth="1"/>
    <col min="2" max="2" width="26" customWidth="1"/>
    <col min="3" max="3" width="22" customWidth="1"/>
    <col min="4" max="4" width="30" customWidth="1"/>
    <col min="5" max="5" width="12" customWidth="1"/>
    <col min="6" max="6" width="16" customWidth="1"/>
    <col min="7" max="7" width="44" customWidth="1"/>
    <col min="8" max="8" width="40" customWidth="1"/>
    <col min="10" max="10" width="26" customWidth="1"/>
    <col min="11" max="11" width="30" customWidth="1"/>
  </cols>
  <sheetData>
    <row r="1" spans="1:11" ht="17" x14ac:dyDescent="0.2">
      <c r="A1" s="1" t="s">
        <v>215</v>
      </c>
    </row>
    <row r="3" spans="1:11" x14ac:dyDescent="0.2">
      <c r="A3" s="3" t="s">
        <v>216</v>
      </c>
      <c r="B3" s="3" t="s">
        <v>86</v>
      </c>
      <c r="C3" s="3" t="s">
        <v>217</v>
      </c>
      <c r="D3" s="3" t="s">
        <v>218</v>
      </c>
      <c r="E3" s="3" t="s">
        <v>219</v>
      </c>
      <c r="F3" s="3" t="s">
        <v>220</v>
      </c>
      <c r="G3" s="3" t="s">
        <v>221</v>
      </c>
      <c r="H3" s="3" t="s">
        <v>222</v>
      </c>
      <c r="J3" s="3" t="s">
        <v>86</v>
      </c>
      <c r="K3" s="3" t="s">
        <v>218</v>
      </c>
    </row>
    <row r="4" spans="1:11" x14ac:dyDescent="0.2">
      <c r="A4" s="2">
        <v>1</v>
      </c>
      <c r="B4" s="2" t="str">
        <f>IFERROR(INDEX(Evaluation!$B$3:$G$3,MATCH(A4,Evaluation!$B$19:$G$19,0)),"")</f>
        <v>Loken &amp; Vik Container</v>
      </c>
      <c r="C4" s="10">
        <f>IF(B4="","",INDEX(Evaluation!$B$16:$G$16,MATCH(A4,Evaluation!$B$19:$G$19,0)))</f>
        <v>130480.96</v>
      </c>
      <c r="D4" s="2" t="str">
        <f t="shared" ref="D4:D9" si="0">IF(B4="","",IFERROR(INDEX($K$4:$K$9,MATCH(B4,$J$4:$J$9,0)),B4))</f>
        <v>Loken &amp; Vik Container Corp.</v>
      </c>
      <c r="E4" s="2">
        <f>IF(B4="","",COUNTIFS('Holds on Bidders'!$C$4:$C$7,B4,'Holds on Bidders'!$G$4:$G$7,"Open"))</f>
        <v>1</v>
      </c>
      <c r="F4" s="2" t="str">
        <f>IF(B4="","",IF(FALSE,"Not reached",IF(E4=0,"Award","Passed over")))</f>
        <v>Passed over</v>
      </c>
      <c r="G4" s="2" t="str">
        <f t="shared" ref="G4:G9" si="1">IF(B4="","",IF(F4="Not reached","Not decided, PP-3.7.1",IF(E4=0,"Responsible","Not responsible, open quality hold, PP-3.7.1")))</f>
        <v>Not responsible, open quality hold, PP-3.7.1</v>
      </c>
      <c r="H4" s="2" t="str">
        <f t="shared" ref="H4:H9" si="2">IF(B4="","",IF(F4="Award","Responsive and responsible, lowest total evaluated price in line, 5.1",IF(F4="Passed over","Open hold in the register; PP-3.7.1 passes the bid over","Responsibility decided only for the bidder in line, PP-3.7.1")))</f>
        <v>Open hold in the register; PP-3.7.1 passes the bid over</v>
      </c>
      <c r="J4" s="2" t="s">
        <v>111</v>
      </c>
      <c r="K4" s="2" t="s">
        <v>167</v>
      </c>
    </row>
    <row r="5" spans="1:11" x14ac:dyDescent="0.2">
      <c r="A5" s="2">
        <v>2</v>
      </c>
      <c r="B5" s="2" t="str">
        <f>IFERROR(INDEX(Evaluation!$B$3:$G$3,MATCH(A5,Evaluation!$B$19:$G$19,0)),"")</f>
        <v>Pemberton Container</v>
      </c>
      <c r="C5" s="10">
        <f>IF(B5="","",INDEX(Evaluation!$B$16:$G$16,MATCH(A5,Evaluation!$B$19:$G$19,0)))</f>
        <v>134726</v>
      </c>
      <c r="D5" s="2" t="str">
        <f t="shared" si="0"/>
        <v>Pemberton Container</v>
      </c>
      <c r="E5" s="2">
        <f>IF(B5="","",COUNTIFS('Holds on Bidders'!$C$4:$C$7,B5,'Holds on Bidders'!$G$4:$G$7,"Open"))</f>
        <v>0</v>
      </c>
      <c r="F5" s="2" t="str">
        <f>IF(B5="","",IF(COUNTIF($F$4:F4,"Award")&gt;0,"Not reached",IF(E5=0,"Award","Passed over")))</f>
        <v>Award</v>
      </c>
      <c r="G5" s="2" t="str">
        <f t="shared" si="1"/>
        <v>Responsible</v>
      </c>
      <c r="H5" s="2" t="str">
        <f t="shared" si="2"/>
        <v>Responsive and responsible, lowest total evaluated price in line, 5.1</v>
      </c>
      <c r="J5" s="2" t="s">
        <v>122</v>
      </c>
      <c r="K5" s="2" t="s">
        <v>122</v>
      </c>
    </row>
    <row r="6" spans="1:11" x14ac:dyDescent="0.2">
      <c r="A6" s="2">
        <v>3</v>
      </c>
      <c r="B6" s="2" t="str">
        <f>IFERROR(INDEX(Evaluation!$B$3:$G$3,MATCH(A6,Evaluation!$B$19:$G$19,0)),"")</f>
        <v>Ridgecrest Packaging</v>
      </c>
      <c r="C6" s="10">
        <f>IF(B6="","",INDEX(Evaluation!$B$16:$G$16,MATCH(A6,Evaluation!$B$19:$G$19,0)))</f>
        <v>139650.99</v>
      </c>
      <c r="D6" s="2" t="str">
        <f t="shared" si="0"/>
        <v>Ridgecrest Packaging</v>
      </c>
      <c r="E6" s="2">
        <f>IF(B6="","",COUNTIFS('Holds on Bidders'!$C$4:$C$7,B6,'Holds on Bidders'!$G$4:$G$7,"Open"))</f>
        <v>0</v>
      </c>
      <c r="F6" s="2" t="str">
        <f>IF(B6="","",IF(COUNTIF($F$4:F5,"Award")&gt;0,"Not reached",IF(E6=0,"Award","Passed over")))</f>
        <v>Not reached</v>
      </c>
      <c r="G6" s="2" t="str">
        <f t="shared" si="1"/>
        <v>Not decided, PP-3.7.1</v>
      </c>
      <c r="H6" s="2" t="str">
        <f t="shared" si="2"/>
        <v>Responsibility decided only for the bidder in line, PP-3.7.1</v>
      </c>
      <c r="J6" s="2" t="s">
        <v>105</v>
      </c>
      <c r="K6" s="2" t="s">
        <v>105</v>
      </c>
    </row>
    <row r="7" spans="1:11" x14ac:dyDescent="0.2">
      <c r="A7" s="2">
        <v>4</v>
      </c>
      <c r="B7" s="2" t="str">
        <f>IFERROR(INDEX(Evaluation!$B$3:$G$3,MATCH(A7,Evaluation!$B$19:$G$19,0)),"")</f>
        <v/>
      </c>
      <c r="C7" s="10" t="str">
        <f>IF(B7="","",INDEX(Evaluation!$B$16:$G$16,MATCH(A7,Evaluation!$B$19:$G$19,0)))</f>
        <v/>
      </c>
      <c r="D7" s="2" t="str">
        <f t="shared" si="0"/>
        <v/>
      </c>
      <c r="E7" s="2" t="str">
        <f>IF(B7="","",COUNTIFS('Holds on Bidders'!$C$4:$C$7,B7,'Holds on Bidders'!$G$4:$G$7,"Open"))</f>
        <v/>
      </c>
      <c r="F7" s="2" t="str">
        <f>IF(B7="","",IF(COUNTIF($F$4:F6,"Award")&gt;0,"Not reached",IF(E7=0,"Award","Passed over")))</f>
        <v/>
      </c>
      <c r="G7" s="2" t="str">
        <f t="shared" si="1"/>
        <v/>
      </c>
      <c r="H7" s="2" t="str">
        <f t="shared" si="2"/>
        <v/>
      </c>
      <c r="J7" s="2" t="s">
        <v>127</v>
      </c>
      <c r="K7" s="2" t="s">
        <v>127</v>
      </c>
    </row>
    <row r="8" spans="1:11" x14ac:dyDescent="0.2">
      <c r="A8" s="2">
        <v>5</v>
      </c>
      <c r="B8" s="2" t="str">
        <f>IFERROR(INDEX(Evaluation!$B$3:$G$3,MATCH(A8,Evaluation!$B$19:$G$19,0)),"")</f>
        <v/>
      </c>
      <c r="C8" s="10" t="str">
        <f>IF(B8="","",INDEX(Evaluation!$B$16:$G$16,MATCH(A8,Evaluation!$B$19:$G$19,0)))</f>
        <v/>
      </c>
      <c r="D8" s="2" t="str">
        <f t="shared" si="0"/>
        <v/>
      </c>
      <c r="E8" s="2" t="str">
        <f>IF(B8="","",COUNTIFS('Holds on Bidders'!$C$4:$C$7,B8,'Holds on Bidders'!$G$4:$G$7,"Open"))</f>
        <v/>
      </c>
      <c r="F8" s="2" t="str">
        <f>IF(B8="","",IF(COUNTIF($F$4:F7,"Award")&gt;0,"Not reached",IF(E8=0,"Award","Passed over")))</f>
        <v/>
      </c>
      <c r="G8" s="2" t="str">
        <f t="shared" si="1"/>
        <v/>
      </c>
      <c r="H8" s="2" t="str">
        <f t="shared" si="2"/>
        <v/>
      </c>
      <c r="J8" s="2" t="s">
        <v>96</v>
      </c>
      <c r="K8" s="2" t="s">
        <v>96</v>
      </c>
    </row>
    <row r="9" spans="1:11" x14ac:dyDescent="0.2">
      <c r="A9" s="2">
        <v>6</v>
      </c>
      <c r="B9" s="2" t="str">
        <f>IFERROR(INDEX(Evaluation!$B$3:$G$3,MATCH(A9,Evaluation!$B$19:$G$19,0)),"")</f>
        <v/>
      </c>
      <c r="C9" s="10" t="str">
        <f>IF(B9="","",INDEX(Evaluation!$B$16:$G$16,MATCH(A9,Evaluation!$B$19:$G$19,0)))</f>
        <v/>
      </c>
      <c r="D9" s="2" t="str">
        <f t="shared" si="0"/>
        <v/>
      </c>
      <c r="E9" s="2" t="str">
        <f>IF(B9="","",COUNTIFS('Holds on Bidders'!$C$4:$C$7,B9,'Holds on Bidders'!$G$4:$G$7,"Open"))</f>
        <v/>
      </c>
      <c r="F9" s="2" t="str">
        <f>IF(B9="","",IF(COUNTIF($F$4:F8,"Award")&gt;0,"Not reached",IF(E9=0,"Award","Passed over")))</f>
        <v/>
      </c>
      <c r="G9" s="2" t="str">
        <f t="shared" si="1"/>
        <v/>
      </c>
      <c r="H9" s="2" t="str">
        <f t="shared" si="2"/>
        <v/>
      </c>
      <c r="J9" s="2" t="s">
        <v>117</v>
      </c>
      <c r="K9" s="2" t="s">
        <v>117</v>
      </c>
    </row>
    <row r="11" spans="1:11" x14ac:dyDescent="0.2">
      <c r="A11" s="6" t="s">
        <v>19</v>
      </c>
    </row>
    <row r="12" spans="1:11" x14ac:dyDescent="0.2">
      <c r="A12" s="2" t="s">
        <v>20</v>
      </c>
      <c r="B12" s="2" t="str">
        <f>INDEX(B4:B9,MATCH("Award",F4:F9,0))</f>
        <v>Pemberton Container</v>
      </c>
    </row>
    <row r="13" spans="1:11" x14ac:dyDescent="0.2">
      <c r="A13" s="2" t="s">
        <v>21</v>
      </c>
      <c r="B13" s="10">
        <f>INDEX(C4:C9,MATCH("Award",F4:F9,0))</f>
        <v>134726</v>
      </c>
    </row>
    <row r="14" spans="1:11" x14ac:dyDescent="0.2">
      <c r="A14" s="2" t="s">
        <v>22</v>
      </c>
      <c r="B14" s="2" t="str">
        <f>IFERROR(INDEX(B4:B9,MATCH("Award",F4:F9,0)+1),"None")</f>
        <v>Ridgecrest Packaging</v>
      </c>
    </row>
    <row r="15" spans="1:11" x14ac:dyDescent="0.2">
      <c r="A15" s="2" t="s">
        <v>223</v>
      </c>
      <c r="B15" s="10">
        <f>IFERROR(INDEX(C4:C9,MATCH("Award",F4:F9,0)+1),0)</f>
        <v>139650.99</v>
      </c>
    </row>
    <row r="16" spans="1:11" x14ac:dyDescent="0.2">
      <c r="A16" s="2" t="s">
        <v>23</v>
      </c>
      <c r="B16" s="10">
        <f>ROUND(B15-B13,2)</f>
        <v>4924.99</v>
      </c>
    </row>
    <row r="17" spans="1:2" x14ac:dyDescent="0.2">
      <c r="A17" s="2" t="s">
        <v>26</v>
      </c>
      <c r="B17" s="2" t="str">
        <f>IFERROR(INDEX(B4:B9,MATCH("Passed over",F4:F9,0)),"None")</f>
        <v>Loken &amp; Vik Container</v>
      </c>
    </row>
    <row r="18" spans="1:2" x14ac:dyDescent="0.2">
      <c r="A18" s="2" t="s">
        <v>27</v>
      </c>
      <c r="B18" s="10">
        <f>IFERROR(INDEX(C4:C9,MATCH("Passed over",F4:F9,0)),0)</f>
        <v>130480.96</v>
      </c>
    </row>
    <row r="19" spans="1:2" x14ac:dyDescent="0.2">
      <c r="A19" s="2" t="s">
        <v>28</v>
      </c>
      <c r="B19" s="10">
        <f>ROUND(B13-B18,2)</f>
        <v>4245.04</v>
      </c>
    </row>
    <row r="21" spans="1:2" x14ac:dyDescent="0.2">
      <c r="A21"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7"/>
  <sheetViews>
    <sheetView workbookViewId="0"/>
  </sheetViews>
  <sheetFormatPr baseColWidth="10" defaultColWidth="8.83203125" defaultRowHeight="15" x14ac:dyDescent="0.2"/>
  <cols>
    <col min="1" max="1" width="46" customWidth="1"/>
    <col min="2" max="7" width="22" customWidth="1"/>
    <col min="8" max="8" width="30" customWidth="1"/>
  </cols>
  <sheetData>
    <row r="1" spans="1:8" ht="17" x14ac:dyDescent="0.2">
      <c r="A1" s="1" t="s">
        <v>225</v>
      </c>
    </row>
    <row r="3" spans="1:8" x14ac:dyDescent="0.2">
      <c r="A3" s="3" t="s">
        <v>226</v>
      </c>
      <c r="B3" s="3" t="s">
        <v>96</v>
      </c>
      <c r="C3" s="3" t="s">
        <v>105</v>
      </c>
      <c r="D3" s="3" t="s">
        <v>111</v>
      </c>
      <c r="E3" s="3" t="s">
        <v>117</v>
      </c>
      <c r="F3" s="3" t="s">
        <v>122</v>
      </c>
      <c r="G3" s="3" t="s">
        <v>127</v>
      </c>
      <c r="H3" s="3" t="s">
        <v>45</v>
      </c>
    </row>
    <row r="4" spans="1:8" x14ac:dyDescent="0.2">
      <c r="A4" s="2" t="s">
        <v>227</v>
      </c>
      <c r="B4" s="10">
        <f>ROUND('Bids as Written'!C5*Parameters!$B$13,2)</f>
        <v>34260</v>
      </c>
      <c r="C4" s="10">
        <f>ROUND('Bids as Written'!E5*Parameters!$B$13,2)</f>
        <v>36300</v>
      </c>
      <c r="D4" s="10">
        <f>ROUND('Bids as Written'!G5*Parameters!$B$13,2)</f>
        <v>36540</v>
      </c>
      <c r="E4" s="10">
        <f>ROUND('Bids as Written'!I5*Parameters!$B$13,2)</f>
        <v>36060</v>
      </c>
      <c r="F4" s="10">
        <f>ROUND('Bids as Written'!K5*Parameters!$B$13,2)</f>
        <v>36720</v>
      </c>
      <c r="G4" s="10">
        <f>ROUND('Bids as Written'!M5*Parameters!$B$13,2)</f>
        <v>35880</v>
      </c>
      <c r="H4" s="2" t="s">
        <v>228</v>
      </c>
    </row>
    <row r="5" spans="1:8" x14ac:dyDescent="0.2">
      <c r="A5" s="2" t="s">
        <v>229</v>
      </c>
      <c r="B5" s="10">
        <f>ROUND('Bids as Written'!C6*Parameters!$B$14,2)</f>
        <v>33432</v>
      </c>
      <c r="C5" s="10">
        <f>ROUND('Bids as Written'!E6*Parameters!$B$14,2)</f>
        <v>34608</v>
      </c>
      <c r="D5" s="10">
        <f>ROUND('Bids as Written'!G6*Parameters!$B$14,2)</f>
        <v>34356</v>
      </c>
      <c r="E5" s="10">
        <f>ROUND('Bids as Written'!I6*Parameters!$B$14,2)</f>
        <v>34524</v>
      </c>
      <c r="F5" s="10">
        <f>ROUND('Bids as Written'!K6*Parameters!$B$14,2)</f>
        <v>35112</v>
      </c>
      <c r="G5" s="10">
        <f>ROUND('Bids as Written'!M6*Parameters!$B$14,2)</f>
        <v>34020</v>
      </c>
      <c r="H5" s="2" t="s">
        <v>228</v>
      </c>
    </row>
    <row r="6" spans="1:8" x14ac:dyDescent="0.2">
      <c r="A6" s="2" t="s">
        <v>230</v>
      </c>
      <c r="B6" s="10">
        <f>ROUND('Bids as Written'!C7*Parameters!$B$15,2)</f>
        <v>9936</v>
      </c>
      <c r="C6" s="10">
        <f>ROUND('Bids as Written'!E7*Parameters!$B$15,2)</f>
        <v>10368</v>
      </c>
      <c r="D6" s="10">
        <f>ROUND('Bids as Written'!G7*Parameters!$B$15,2)</f>
        <v>10332</v>
      </c>
      <c r="E6" s="10">
        <f>ROUND('Bids as Written'!I7*Parameters!$B$15,2)</f>
        <v>10188</v>
      </c>
      <c r="F6" s="10">
        <f>ROUND('Bids as Written'!K7*Parameters!$B$15,2)</f>
        <v>10584</v>
      </c>
      <c r="G6" s="10">
        <f>ROUND('Bids as Written'!M7*Parameters!$B$15,2)</f>
        <v>10116</v>
      </c>
      <c r="H6" s="2" t="s">
        <v>228</v>
      </c>
    </row>
    <row r="7" spans="1:8" x14ac:dyDescent="0.2">
      <c r="A7" s="2" t="s">
        <v>231</v>
      </c>
      <c r="B7" s="10">
        <f>ROUND('Bids as Written'!C8*Parameters!$B$16,2)</f>
        <v>19860</v>
      </c>
      <c r="C7" s="10">
        <f>ROUND('Bids as Written'!E8*Parameters!$B$16,2)</f>
        <v>20424</v>
      </c>
      <c r="D7" s="10">
        <f>ROUND('Bids as Written'!G8*Parameters!$B$16,2)</f>
        <v>20544</v>
      </c>
      <c r="E7" s="10">
        <f>ROUND('Bids as Written'!I8*Parameters!$B$16,2)</f>
        <v>20328</v>
      </c>
      <c r="F7" s="10">
        <f>ROUND('Bids as Written'!K8*Parameters!$B$16,2)</f>
        <v>20820</v>
      </c>
      <c r="G7" s="10">
        <f>ROUND('Bids as Written'!M8*Parameters!$B$16,2)</f>
        <v>20280</v>
      </c>
      <c r="H7" s="2" t="s">
        <v>228</v>
      </c>
    </row>
    <row r="8" spans="1:8" x14ac:dyDescent="0.2">
      <c r="A8" s="2" t="s">
        <v>232</v>
      </c>
      <c r="B8" s="10">
        <f>ROUND('Bids as Written'!C9*Parameters!$B$17,2)</f>
        <v>28200</v>
      </c>
      <c r="C8" s="10">
        <f>ROUND('Bids as Written'!E9*Parameters!$B$17,2)</f>
        <v>29160</v>
      </c>
      <c r="D8" s="10">
        <f>ROUND('Bids as Written'!G9*Parameters!$B$17,2)</f>
        <v>29280</v>
      </c>
      <c r="E8" s="10">
        <f>ROUND('Bids as Written'!I9*Parameters!$B$17,2)</f>
        <v>29070</v>
      </c>
      <c r="F8" s="10">
        <f>ROUND('Bids as Written'!K9*Parameters!$B$17,2)</f>
        <v>29640</v>
      </c>
      <c r="G8" s="10">
        <f>ROUND('Bids as Written'!M9*Parameters!$B$17,2)</f>
        <v>28950</v>
      </c>
      <c r="H8" s="2" t="s">
        <v>228</v>
      </c>
    </row>
    <row r="9" spans="1:8" x14ac:dyDescent="0.2">
      <c r="A9" s="6" t="s">
        <v>233</v>
      </c>
      <c r="B9" s="11">
        <f t="shared" ref="B9:G9" si="0">SUM(B4:B8)</f>
        <v>125688</v>
      </c>
      <c r="C9" s="11">
        <f t="shared" si="0"/>
        <v>130860</v>
      </c>
      <c r="D9" s="11">
        <f t="shared" si="0"/>
        <v>131052</v>
      </c>
      <c r="E9" s="11">
        <f t="shared" si="0"/>
        <v>130170</v>
      </c>
      <c r="F9" s="11">
        <f t="shared" si="0"/>
        <v>132876</v>
      </c>
      <c r="G9" s="11">
        <f t="shared" si="0"/>
        <v>129246</v>
      </c>
      <c r="H9" s="2" t="s">
        <v>234</v>
      </c>
    </row>
    <row r="10" spans="1:8" x14ac:dyDescent="0.2">
      <c r="A10" s="2" t="s">
        <v>235</v>
      </c>
      <c r="B10" s="10">
        <f>'Bids as Written'!D10</f>
        <v>1500</v>
      </c>
      <c r="C10" s="10">
        <f>'Bids as Written'!F10</f>
        <v>1600</v>
      </c>
      <c r="D10" s="10">
        <f>'Bids as Written'!H10</f>
        <v>2050</v>
      </c>
      <c r="E10" s="10">
        <f>'Bids as Written'!J10</f>
        <v>1725</v>
      </c>
      <c r="F10" s="10">
        <f>'Bids as Written'!L10</f>
        <v>1850</v>
      </c>
      <c r="G10" s="10">
        <f>'Bids as Written'!N10</f>
        <v>2400</v>
      </c>
      <c r="H10" s="2" t="s">
        <v>236</v>
      </c>
    </row>
    <row r="11" spans="1:8" x14ac:dyDescent="0.2">
      <c r="A11" s="2" t="s">
        <v>237</v>
      </c>
      <c r="B11" s="2" t="str">
        <f>Terms!D4</f>
        <v>Destination</v>
      </c>
      <c r="C11" s="2" t="str">
        <f>Terms!D5</f>
        <v>Destination</v>
      </c>
      <c r="D11" s="2" t="str">
        <f>Terms!D6</f>
        <v>Destination</v>
      </c>
      <c r="E11" s="2" t="str">
        <f>Terms!D7</f>
        <v>Destination</v>
      </c>
      <c r="F11" s="2" t="str">
        <f>Terms!D8</f>
        <v>Destination</v>
      </c>
      <c r="G11" s="2" t="str">
        <f>Terms!D9</f>
        <v>Origin, Cedar Rapids plant</v>
      </c>
      <c r="H11" s="2" t="s">
        <v>238</v>
      </c>
    </row>
    <row r="12" spans="1:8" x14ac:dyDescent="0.2">
      <c r="A12" s="2" t="s">
        <v>15</v>
      </c>
      <c r="B12" s="10">
        <f>IF(LEFT(B11,6)="Origin",ROUND(Freight!$H$10*INDEX(Freight!$B$4:$B$10,MATCH(Terms!C4,Freight!$A$4:$A$10,0)),2),0)</f>
        <v>0</v>
      </c>
      <c r="C12" s="10">
        <f>IF(LEFT(C11,6)="Origin",ROUND(Freight!$H$10*INDEX(Freight!$B$4:$B$10,MATCH(Terms!C5,Freight!$A$4:$A$10,0)),2),0)</f>
        <v>0</v>
      </c>
      <c r="D12" s="10">
        <f>IF(LEFT(D11,6)="Origin",ROUND(Freight!$H$10*INDEX(Freight!$B$4:$B$10,MATCH(Terms!C6,Freight!$A$4:$A$10,0)),2),0)</f>
        <v>0</v>
      </c>
      <c r="E12" s="10">
        <f>IF(LEFT(E11,6)="Origin",ROUND(Freight!$H$10*INDEX(Freight!$B$4:$B$10,MATCH(Terms!C7,Freight!$A$4:$A$10,0)),2),0)</f>
        <v>0</v>
      </c>
      <c r="F12" s="10">
        <f>IF(LEFT(F11,6)="Origin",ROUND(Freight!$H$10*INDEX(Freight!$B$4:$B$10,MATCH(Terms!C8,Freight!$A$4:$A$10,0)),2),0)</f>
        <v>0</v>
      </c>
      <c r="G12" s="10">
        <f>IF(LEFT(G11,6)="Origin",ROUND(Freight!$H$10*INDEX(Freight!$B$4:$B$10,MATCH(Terms!C9,Freight!$A$4:$A$10,0)),2),0)</f>
        <v>9297.45</v>
      </c>
      <c r="H12" s="2" t="s">
        <v>239</v>
      </c>
    </row>
    <row r="13" spans="1:8" x14ac:dyDescent="0.2">
      <c r="A13" s="2" t="s">
        <v>240</v>
      </c>
      <c r="B13" s="14">
        <f>IFERROR(VALUE(LEFT(Terms!E4,FIND("%",Terms!E4)-1))/100,0)</f>
        <v>0</v>
      </c>
      <c r="C13" s="14">
        <f>IFERROR(VALUE(LEFT(Terms!E5,FIND("%",Terms!E5)-1))/100,0)</f>
        <v>0.02</v>
      </c>
      <c r="D13" s="14">
        <f>IFERROR(VALUE(LEFT(Terms!E6,FIND("%",Terms!E6)-1))/100,0)</f>
        <v>0.02</v>
      </c>
      <c r="E13" s="14">
        <f>IFERROR(VALUE(LEFT(Terms!E7,FIND("%",Terms!E7)-1))/100,0)</f>
        <v>0.01</v>
      </c>
      <c r="F13" s="14">
        <f>IFERROR(VALUE(LEFT(Terms!E8,FIND("%",Terms!E8)-1))/100,0)</f>
        <v>0.02</v>
      </c>
      <c r="G13" s="14">
        <f>IFERROR(VALUE(LEFT(Terms!E9,FIND("%",Terms!E9)-1))/100,0)</f>
        <v>0.01</v>
      </c>
      <c r="H13" s="2" t="s">
        <v>238</v>
      </c>
    </row>
    <row r="14" spans="1:8" x14ac:dyDescent="0.2">
      <c r="A14" s="2" t="s">
        <v>241</v>
      </c>
      <c r="B14" s="2">
        <f>IFERROR(VALUE(MID(Terms!E4,FIND("%",Terms!E4)+2,FIND(",",Terms!E4)-FIND("%",Terms!E4)-2)),0)</f>
        <v>0</v>
      </c>
      <c r="C14" s="2">
        <f>IFERROR(VALUE(MID(Terms!E5,FIND("%",Terms!E5)+2,FIND(",",Terms!E5)-FIND("%",Terms!E5)-2)),0)</f>
        <v>30</v>
      </c>
      <c r="D14" s="2">
        <f>IFERROR(VALUE(MID(Terms!E6,FIND("%",Terms!E6)+2,FIND(",",Terms!E6)-FIND("%",Terms!E6)-2)),0)</f>
        <v>20</v>
      </c>
      <c r="E14" s="2">
        <f>IFERROR(VALUE(MID(Terms!E7,FIND("%",Terms!E7)+2,FIND(",",Terms!E7)-FIND("%",Terms!E7)-2)),0)</f>
        <v>15</v>
      </c>
      <c r="F14" s="2">
        <f>IFERROR(VALUE(MID(Terms!E8,FIND("%",Terms!E8)+2,FIND(",",Terms!E8)-FIND("%",Terms!E8)-2)),0)</f>
        <v>10</v>
      </c>
      <c r="G14" s="2">
        <f>IFERROR(VALUE(MID(Terms!E9,FIND("%",Terms!E9)+2,FIND(",",Terms!E9)-FIND("%",Terms!E9)-2)),0)</f>
        <v>20</v>
      </c>
      <c r="H14" s="2" t="s">
        <v>238</v>
      </c>
    </row>
    <row r="15" spans="1:8" x14ac:dyDescent="0.2">
      <c r="A15" s="2" t="s">
        <v>16</v>
      </c>
      <c r="B15" s="10">
        <f>IF(B14&gt;=Parameters!$B$4,ROUND(B9*B13,2),0)</f>
        <v>0</v>
      </c>
      <c r="C15" s="10">
        <f>IF(C14&gt;=Parameters!$B$4,ROUND(C9*C13,2),0)</f>
        <v>2617.2</v>
      </c>
      <c r="D15" s="10">
        <f>IF(D14&gt;=Parameters!$B$4,ROUND(D9*D13,2),0)</f>
        <v>2621.04</v>
      </c>
      <c r="E15" s="10">
        <f>IF(E14&gt;=Parameters!$B$4,ROUND(E9*E13,2),0)</f>
        <v>0</v>
      </c>
      <c r="F15" s="10">
        <f>IF(F14&gt;=Parameters!$B$4,ROUND(F9*F13,2),0)</f>
        <v>0</v>
      </c>
      <c r="G15" s="10">
        <f>IF(G14&gt;=Parameters!$B$4,ROUND(G9*G13,2),0)</f>
        <v>1292.46</v>
      </c>
      <c r="H15" s="2" t="s">
        <v>47</v>
      </c>
    </row>
    <row r="16" spans="1:8" x14ac:dyDescent="0.2">
      <c r="A16" s="6" t="s">
        <v>17</v>
      </c>
      <c r="B16" s="11">
        <f t="shared" ref="B16:G16" si="1">ROUND(B9+B10+B12-B15,2)</f>
        <v>127188</v>
      </c>
      <c r="C16" s="11">
        <f t="shared" si="1"/>
        <v>129842.8</v>
      </c>
      <c r="D16" s="11">
        <f t="shared" si="1"/>
        <v>130480.96</v>
      </c>
      <c r="E16" s="11">
        <f t="shared" si="1"/>
        <v>131895</v>
      </c>
      <c r="F16" s="11">
        <f t="shared" si="1"/>
        <v>134726</v>
      </c>
      <c r="G16" s="11">
        <f t="shared" si="1"/>
        <v>139650.99</v>
      </c>
      <c r="H16" s="2" t="s">
        <v>234</v>
      </c>
    </row>
    <row r="17" spans="1:8" x14ac:dyDescent="0.2">
      <c r="A17" s="2" t="s">
        <v>10</v>
      </c>
      <c r="B17" s="10">
        <f>'Bids as Written'!D11</f>
        <v>130500</v>
      </c>
      <c r="C17" s="10">
        <f>'Bids as Written'!F11</f>
        <v>132460</v>
      </c>
      <c r="D17" s="10">
        <f>'Bids as Written'!H11</f>
        <v>133102</v>
      </c>
      <c r="E17" s="10">
        <f>'Bids as Written'!J11</f>
        <v>131895</v>
      </c>
      <c r="F17" s="10">
        <f>'Bids as Written'!L11</f>
        <v>144726</v>
      </c>
      <c r="G17" s="10">
        <f>'Bids as Written'!N11</f>
        <v>131646</v>
      </c>
      <c r="H17" s="2" t="s">
        <v>11</v>
      </c>
    </row>
    <row r="18" spans="1:8" x14ac:dyDescent="0.2">
      <c r="A18" s="2" t="s">
        <v>6</v>
      </c>
      <c r="B18" s="2" t="str">
        <f>Responsiveness!I4</f>
        <v>Non-responsive</v>
      </c>
      <c r="C18" s="2" t="str">
        <f>Responsiveness!I5</f>
        <v>Non-responsive</v>
      </c>
      <c r="D18" s="2" t="str">
        <f>Responsiveness!I6</f>
        <v>Responsive</v>
      </c>
      <c r="E18" s="2" t="str">
        <f>Responsiveness!I7</f>
        <v>Non-responsive</v>
      </c>
      <c r="F18" s="2" t="str">
        <f>Responsiveness!I8</f>
        <v>Responsive</v>
      </c>
      <c r="G18" s="2" t="str">
        <f>Responsiveness!I9</f>
        <v>Responsive</v>
      </c>
      <c r="H18" s="2" t="s">
        <v>6</v>
      </c>
    </row>
    <row r="19" spans="1:8" x14ac:dyDescent="0.2">
      <c r="A19" s="2" t="s">
        <v>18</v>
      </c>
      <c r="B19" s="2" t="str">
        <f t="shared" ref="B19:G19" si="2">IF(B18="Responsive",COUNTIFS($B$18:$G$18,"Responsive",$B$16:$G$16,"&lt;"&amp;B16)+1,"Set aside")</f>
        <v>Set aside</v>
      </c>
      <c r="C19" s="2" t="str">
        <f t="shared" si="2"/>
        <v>Set aside</v>
      </c>
      <c r="D19" s="2">
        <f t="shared" si="2"/>
        <v>1</v>
      </c>
      <c r="E19" s="2" t="str">
        <f t="shared" si="2"/>
        <v>Set aside</v>
      </c>
      <c r="F19" s="2">
        <f t="shared" si="2"/>
        <v>2</v>
      </c>
      <c r="G19" s="2">
        <f t="shared" si="2"/>
        <v>3</v>
      </c>
      <c r="H19" s="2" t="s">
        <v>242</v>
      </c>
    </row>
    <row r="20" spans="1:8" x14ac:dyDescent="0.2">
      <c r="A20" s="2" t="s">
        <v>243</v>
      </c>
      <c r="B20" s="10">
        <f>Freight!$H$10</f>
        <v>1917</v>
      </c>
      <c r="C20" s="10">
        <f>Freight!$H$10</f>
        <v>1917</v>
      </c>
      <c r="D20" s="10">
        <f>Freight!$H$10</f>
        <v>1917</v>
      </c>
      <c r="E20" s="10">
        <f>Freight!$H$10</f>
        <v>1917</v>
      </c>
      <c r="F20" s="10">
        <f>Freight!$H$10</f>
        <v>1917</v>
      </c>
      <c r="G20" s="10">
        <f>Freight!$H$10</f>
        <v>1917</v>
      </c>
    </row>
    <row r="21" spans="1:8" x14ac:dyDescent="0.2">
      <c r="A21" s="2" t="s">
        <v>244</v>
      </c>
      <c r="B21" s="10">
        <f>_xlfn.MINIFS(B16:G16,B18:G18,"Responsive")</f>
        <v>130480.96</v>
      </c>
    </row>
    <row r="22" spans="1:8" x14ac:dyDescent="0.2">
      <c r="A22" s="2" t="s">
        <v>245</v>
      </c>
      <c r="B22" s="2" t="str">
        <f>INDEX($B$3:$G$3,MATCH(1,$B$19:$G$19,0))</f>
        <v>Loken &amp; Vik Container</v>
      </c>
    </row>
    <row r="23" spans="1:8" x14ac:dyDescent="0.2">
      <c r="A23" s="2" t="s">
        <v>246</v>
      </c>
      <c r="B23" s="2" t="str">
        <f>Responsibility!B12</f>
        <v>Pemberton Container</v>
      </c>
    </row>
    <row r="24" spans="1:8" x14ac:dyDescent="0.2">
      <c r="A24" s="2" t="s">
        <v>21</v>
      </c>
      <c r="B24" s="10">
        <f>Responsibility!B13</f>
        <v>134726</v>
      </c>
    </row>
    <row r="25" spans="1:8" x14ac:dyDescent="0.2">
      <c r="A25" s="2" t="s">
        <v>23</v>
      </c>
      <c r="B25" s="10">
        <f>Responsibility!B16</f>
        <v>4924.99</v>
      </c>
    </row>
    <row r="26" spans="1:8" x14ac:dyDescent="0.2">
      <c r="A26" s="2" t="s">
        <v>247</v>
      </c>
      <c r="B26" s="2" t="str">
        <f>INDEX($B$3:$G$3,MATCH(MIN(B17:G17),B17:G17,0))</f>
        <v>Brannock Box Company</v>
      </c>
    </row>
    <row r="27" spans="1:8" x14ac:dyDescent="0.2">
      <c r="A27" s="2" t="s">
        <v>30</v>
      </c>
      <c r="B27" s="2" t="str">
        <f>IF(B24&gt;Parameters!$B$5,"Vice president of operations","Director of supply chain")</f>
        <v>Vice president of operations</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6"/>
  <sheetViews>
    <sheetView workbookViewId="0"/>
  </sheetViews>
  <sheetFormatPr baseColWidth="10" defaultColWidth="8.83203125" defaultRowHeight="15" x14ac:dyDescent="0.2"/>
  <cols>
    <col min="1" max="1" width="24" customWidth="1"/>
    <col min="2" max="2" width="6" customWidth="1"/>
    <col min="3" max="4" width="11" customWidth="1"/>
    <col min="5" max="6" width="20" customWidth="1"/>
    <col min="7" max="7" width="14" customWidth="1"/>
    <col min="8" max="8" width="44" customWidth="1"/>
  </cols>
  <sheetData>
    <row r="1" spans="1:8" ht="17" x14ac:dyDescent="0.2">
      <c r="A1" s="1" t="s">
        <v>248</v>
      </c>
    </row>
    <row r="3" spans="1:8" x14ac:dyDescent="0.2">
      <c r="A3" s="3" t="s">
        <v>86</v>
      </c>
      <c r="B3" s="3" t="s">
        <v>65</v>
      </c>
      <c r="C3" s="3" t="s">
        <v>249</v>
      </c>
      <c r="D3" s="3" t="s">
        <v>194</v>
      </c>
      <c r="E3" s="3" t="s">
        <v>250</v>
      </c>
      <c r="F3" s="3" t="s">
        <v>251</v>
      </c>
      <c r="G3" s="3" t="s">
        <v>252</v>
      </c>
      <c r="H3" s="3" t="s">
        <v>253</v>
      </c>
    </row>
    <row r="4" spans="1:8" x14ac:dyDescent="0.2">
      <c r="A4" s="2" t="s">
        <v>96</v>
      </c>
      <c r="B4" s="2">
        <v>1</v>
      </c>
      <c r="C4" s="9">
        <f>'Bids as Written'!C5</f>
        <v>0.571</v>
      </c>
      <c r="D4" s="2">
        <f>Parameters!B13</f>
        <v>60000</v>
      </c>
      <c r="E4" s="10">
        <f>'Bids as Written'!D5</f>
        <v>34260</v>
      </c>
      <c r="F4" s="10">
        <f>Evaluation!B4</f>
        <v>34260</v>
      </c>
      <c r="G4" s="10">
        <f t="shared" ref="G4:G33" si="0">ROUND(F4-E4,2)</f>
        <v>0</v>
      </c>
      <c r="H4" s="2" t="str">
        <f>IF(G4=0,"",IF(ROUND(C4*Parameters!$B$10,2)=E4,"Extension written at the superseded quantity, corrected, 4.1 and PP-3.4.5","Extension corrected, unit price governs, 4.1"))</f>
        <v/>
      </c>
    </row>
    <row r="5" spans="1:8" x14ac:dyDescent="0.2">
      <c r="A5" s="2" t="s">
        <v>96</v>
      </c>
      <c r="B5" s="2">
        <v>2</v>
      </c>
      <c r="C5" s="9">
        <f>'Bids as Written'!C6</f>
        <v>0.398</v>
      </c>
      <c r="D5" s="2">
        <f>Parameters!B14</f>
        <v>84000</v>
      </c>
      <c r="E5" s="10">
        <f>'Bids as Written'!D6</f>
        <v>33432</v>
      </c>
      <c r="F5" s="10">
        <f>Evaluation!B5</f>
        <v>33432</v>
      </c>
      <c r="G5" s="10">
        <f t="shared" si="0"/>
        <v>0</v>
      </c>
      <c r="H5" s="2" t="str">
        <f>IF(G5=0,"",IF(ROUND(C5*Parameters!$B$10,2)=E5,"Extension written at the superseded quantity, corrected, 4.1 and PP-3.4.5","Extension corrected, unit price governs, 4.1"))</f>
        <v/>
      </c>
    </row>
    <row r="6" spans="1:8" x14ac:dyDescent="0.2">
      <c r="A6" s="2" t="s">
        <v>96</v>
      </c>
      <c r="B6" s="2">
        <v>3</v>
      </c>
      <c r="C6" s="9">
        <f>'Bids as Written'!C7</f>
        <v>0.276</v>
      </c>
      <c r="D6" s="2">
        <f>Parameters!B15</f>
        <v>36000</v>
      </c>
      <c r="E6" s="10">
        <f>'Bids as Written'!D7</f>
        <v>13248</v>
      </c>
      <c r="F6" s="10">
        <f>Evaluation!B6</f>
        <v>9936</v>
      </c>
      <c r="G6" s="10">
        <f t="shared" si="0"/>
        <v>-3312</v>
      </c>
      <c r="H6" s="2" t="str">
        <f>IF(G6=0,"",IF(ROUND(C6*Parameters!$B$10,2)=E6,"Extension written at the superseded quantity, corrected, 4.1 and PP-3.4.5","Extension corrected, unit price governs, 4.1"))</f>
        <v>Extension written at the superseded quantity, corrected, 4.1 and PP-3.4.5</v>
      </c>
    </row>
    <row r="7" spans="1:8" x14ac:dyDescent="0.2">
      <c r="A7" s="2" t="s">
        <v>96</v>
      </c>
      <c r="B7" s="2">
        <v>4</v>
      </c>
      <c r="C7" s="9">
        <f>'Bids as Written'!C8</f>
        <v>1.655</v>
      </c>
      <c r="D7" s="2">
        <f>Parameters!B16</f>
        <v>12000</v>
      </c>
      <c r="E7" s="10">
        <f>'Bids as Written'!D8</f>
        <v>19860</v>
      </c>
      <c r="F7" s="10">
        <f>Evaluation!B7</f>
        <v>19860</v>
      </c>
      <c r="G7" s="10">
        <f t="shared" si="0"/>
        <v>0</v>
      </c>
      <c r="H7" s="2" t="str">
        <f>IF(G7=0,"",IF(ROUND(C7*Parameters!$B$10,2)=E7,"Extension written at the superseded quantity, corrected, 4.1 and PP-3.4.5","Extension corrected, unit price governs, 4.1"))</f>
        <v/>
      </c>
    </row>
    <row r="8" spans="1:8" x14ac:dyDescent="0.2">
      <c r="A8" s="2" t="s">
        <v>96</v>
      </c>
      <c r="B8" s="2">
        <v>5</v>
      </c>
      <c r="C8" s="9">
        <f>'Bids as Written'!C9</f>
        <v>0.94</v>
      </c>
      <c r="D8" s="2">
        <f>Parameters!B17</f>
        <v>30000</v>
      </c>
      <c r="E8" s="10">
        <f>'Bids as Written'!D9</f>
        <v>28200</v>
      </c>
      <c r="F8" s="10">
        <f>Evaluation!B8</f>
        <v>28200</v>
      </c>
      <c r="G8" s="10">
        <f t="shared" si="0"/>
        <v>0</v>
      </c>
      <c r="H8" s="2" t="str">
        <f>IF(G8=0,"",IF(ROUND(C8*Parameters!$B$10,2)=E8,"Extension written at the superseded quantity, corrected, 4.1 and PP-3.4.5","Extension corrected, unit price governs, 4.1"))</f>
        <v/>
      </c>
    </row>
    <row r="9" spans="1:8" x14ac:dyDescent="0.2">
      <c r="A9" s="2" t="s">
        <v>105</v>
      </c>
      <c r="B9" s="2">
        <v>1</v>
      </c>
      <c r="C9" s="9">
        <f>'Bids as Written'!E5</f>
        <v>0.605</v>
      </c>
      <c r="D9" s="2">
        <f>Parameters!B13</f>
        <v>60000</v>
      </c>
      <c r="E9" s="10">
        <f>'Bids as Written'!F5</f>
        <v>36300</v>
      </c>
      <c r="F9" s="10">
        <f>Evaluation!C4</f>
        <v>36300</v>
      </c>
      <c r="G9" s="10">
        <f t="shared" si="0"/>
        <v>0</v>
      </c>
      <c r="H9" s="2" t="str">
        <f>IF(G9=0,"",IF(ROUND(C9*Parameters!$B$10,2)=E9,"Extension written at the superseded quantity, corrected, 4.1 and PP-3.4.5","Extension corrected, unit price governs, 4.1"))</f>
        <v/>
      </c>
    </row>
    <row r="10" spans="1:8" x14ac:dyDescent="0.2">
      <c r="A10" s="2" t="s">
        <v>105</v>
      </c>
      <c r="B10" s="2">
        <v>2</v>
      </c>
      <c r="C10" s="9">
        <f>'Bids as Written'!E6</f>
        <v>0.412</v>
      </c>
      <c r="D10" s="2">
        <f>Parameters!B14</f>
        <v>84000</v>
      </c>
      <c r="E10" s="10">
        <f>'Bids as Written'!F6</f>
        <v>34608</v>
      </c>
      <c r="F10" s="10">
        <f>Evaluation!C5</f>
        <v>34608</v>
      </c>
      <c r="G10" s="10">
        <f t="shared" si="0"/>
        <v>0</v>
      </c>
      <c r="H10" s="2" t="str">
        <f>IF(G10=0,"",IF(ROUND(C10*Parameters!$B$10,2)=E10,"Extension written at the superseded quantity, corrected, 4.1 and PP-3.4.5","Extension corrected, unit price governs, 4.1"))</f>
        <v/>
      </c>
    </row>
    <row r="11" spans="1:8" x14ac:dyDescent="0.2">
      <c r="A11" s="2" t="s">
        <v>105</v>
      </c>
      <c r="B11" s="2">
        <v>3</v>
      </c>
      <c r="C11" s="9">
        <f>'Bids as Written'!E7</f>
        <v>0.288</v>
      </c>
      <c r="D11" s="2">
        <f>Parameters!B15</f>
        <v>36000</v>
      </c>
      <c r="E11" s="10">
        <f>'Bids as Written'!F7</f>
        <v>10368</v>
      </c>
      <c r="F11" s="10">
        <f>Evaluation!C6</f>
        <v>10368</v>
      </c>
      <c r="G11" s="10">
        <f t="shared" si="0"/>
        <v>0</v>
      </c>
      <c r="H11" s="2" t="str">
        <f>IF(G11=0,"",IF(ROUND(C11*Parameters!$B$10,2)=E11,"Extension written at the superseded quantity, corrected, 4.1 and PP-3.4.5","Extension corrected, unit price governs, 4.1"))</f>
        <v/>
      </c>
    </row>
    <row r="12" spans="1:8" x14ac:dyDescent="0.2">
      <c r="A12" s="2" t="s">
        <v>105</v>
      </c>
      <c r="B12" s="2">
        <v>4</v>
      </c>
      <c r="C12" s="9">
        <f>'Bids as Written'!E8</f>
        <v>1.702</v>
      </c>
      <c r="D12" s="2">
        <f>Parameters!B16</f>
        <v>12000</v>
      </c>
      <c r="E12" s="10">
        <f>'Bids as Written'!F8</f>
        <v>20424</v>
      </c>
      <c r="F12" s="10">
        <f>Evaluation!C7</f>
        <v>20424</v>
      </c>
      <c r="G12" s="10">
        <f t="shared" si="0"/>
        <v>0</v>
      </c>
      <c r="H12" s="2" t="str">
        <f>IF(G12=0,"",IF(ROUND(C12*Parameters!$B$10,2)=E12,"Extension written at the superseded quantity, corrected, 4.1 and PP-3.4.5","Extension corrected, unit price governs, 4.1"))</f>
        <v/>
      </c>
    </row>
    <row r="13" spans="1:8" x14ac:dyDescent="0.2">
      <c r="A13" s="2" t="s">
        <v>105</v>
      </c>
      <c r="B13" s="2">
        <v>5</v>
      </c>
      <c r="C13" s="9">
        <f>'Bids as Written'!E9</f>
        <v>0.972</v>
      </c>
      <c r="D13" s="2">
        <f>Parameters!B17</f>
        <v>30000</v>
      </c>
      <c r="E13" s="10">
        <f>'Bids as Written'!F9</f>
        <v>29160</v>
      </c>
      <c r="F13" s="10">
        <f>Evaluation!C8</f>
        <v>29160</v>
      </c>
      <c r="G13" s="10">
        <f t="shared" si="0"/>
        <v>0</v>
      </c>
      <c r="H13" s="2" t="str">
        <f>IF(G13=0,"",IF(ROUND(C13*Parameters!$B$10,2)=E13,"Extension written at the superseded quantity, corrected, 4.1 and PP-3.4.5","Extension corrected, unit price governs, 4.1"))</f>
        <v/>
      </c>
    </row>
    <row r="14" spans="1:8" x14ac:dyDescent="0.2">
      <c r="A14" s="2" t="s">
        <v>111</v>
      </c>
      <c r="B14" s="2">
        <v>1</v>
      </c>
      <c r="C14" s="9">
        <f>'Bids as Written'!G5</f>
        <v>0.609</v>
      </c>
      <c r="D14" s="2">
        <f>Parameters!B13</f>
        <v>60000</v>
      </c>
      <c r="E14" s="10">
        <f>'Bids as Written'!H5</f>
        <v>36540</v>
      </c>
      <c r="F14" s="10">
        <f>Evaluation!D4</f>
        <v>36540</v>
      </c>
      <c r="G14" s="10">
        <f t="shared" si="0"/>
        <v>0</v>
      </c>
      <c r="H14" s="2" t="str">
        <f>IF(G14=0,"",IF(ROUND(C14*Parameters!$B$10,2)=E14,"Extension written at the superseded quantity, corrected, 4.1 and PP-3.4.5","Extension corrected, unit price governs, 4.1"))</f>
        <v/>
      </c>
    </row>
    <row r="15" spans="1:8" x14ac:dyDescent="0.2">
      <c r="A15" s="2" t="s">
        <v>111</v>
      </c>
      <c r="B15" s="2">
        <v>2</v>
      </c>
      <c r="C15" s="9">
        <f>'Bids as Written'!G6</f>
        <v>0.409</v>
      </c>
      <c r="D15" s="2">
        <f>Parameters!B14</f>
        <v>84000</v>
      </c>
      <c r="E15" s="10">
        <f>'Bids as Written'!H6</f>
        <v>34356</v>
      </c>
      <c r="F15" s="10">
        <f>Evaluation!D5</f>
        <v>34356</v>
      </c>
      <c r="G15" s="10">
        <f t="shared" si="0"/>
        <v>0</v>
      </c>
      <c r="H15" s="2" t="str">
        <f>IF(G15=0,"",IF(ROUND(C15*Parameters!$B$10,2)=E15,"Extension written at the superseded quantity, corrected, 4.1 and PP-3.4.5","Extension corrected, unit price governs, 4.1"))</f>
        <v/>
      </c>
    </row>
    <row r="16" spans="1:8" x14ac:dyDescent="0.2">
      <c r="A16" s="2" t="s">
        <v>111</v>
      </c>
      <c r="B16" s="2">
        <v>3</v>
      </c>
      <c r="C16" s="9">
        <f>'Bids as Written'!G7</f>
        <v>0.287</v>
      </c>
      <c r="D16" s="2">
        <f>Parameters!B15</f>
        <v>36000</v>
      </c>
      <c r="E16" s="10">
        <f>'Bids as Written'!H7</f>
        <v>10332</v>
      </c>
      <c r="F16" s="10">
        <f>Evaluation!D6</f>
        <v>10332</v>
      </c>
      <c r="G16" s="10">
        <f t="shared" si="0"/>
        <v>0</v>
      </c>
      <c r="H16" s="2" t="str">
        <f>IF(G16=0,"",IF(ROUND(C16*Parameters!$B$10,2)=E16,"Extension written at the superseded quantity, corrected, 4.1 and PP-3.4.5","Extension corrected, unit price governs, 4.1"))</f>
        <v/>
      </c>
    </row>
    <row r="17" spans="1:8" x14ac:dyDescent="0.2">
      <c r="A17" s="2" t="s">
        <v>111</v>
      </c>
      <c r="B17" s="2">
        <v>4</v>
      </c>
      <c r="C17" s="9">
        <f>'Bids as Written'!G8</f>
        <v>1.712</v>
      </c>
      <c r="D17" s="2">
        <f>Parameters!B16</f>
        <v>12000</v>
      </c>
      <c r="E17" s="10">
        <f>'Bids as Written'!H8</f>
        <v>20544</v>
      </c>
      <c r="F17" s="10">
        <f>Evaluation!D7</f>
        <v>20544</v>
      </c>
      <c r="G17" s="10">
        <f t="shared" si="0"/>
        <v>0</v>
      </c>
      <c r="H17" s="2" t="str">
        <f>IF(G17=0,"",IF(ROUND(C17*Parameters!$B$10,2)=E17,"Extension written at the superseded quantity, corrected, 4.1 and PP-3.4.5","Extension corrected, unit price governs, 4.1"))</f>
        <v/>
      </c>
    </row>
    <row r="18" spans="1:8" x14ac:dyDescent="0.2">
      <c r="A18" s="2" t="s">
        <v>111</v>
      </c>
      <c r="B18" s="2">
        <v>5</v>
      </c>
      <c r="C18" s="9">
        <f>'Bids as Written'!G9</f>
        <v>0.976</v>
      </c>
      <c r="D18" s="2">
        <f>Parameters!B17</f>
        <v>30000</v>
      </c>
      <c r="E18" s="10">
        <f>'Bids as Written'!H9</f>
        <v>29280</v>
      </c>
      <c r="F18" s="10">
        <f>Evaluation!D8</f>
        <v>29280</v>
      </c>
      <c r="G18" s="10">
        <f t="shared" si="0"/>
        <v>0</v>
      </c>
      <c r="H18" s="2" t="str">
        <f>IF(G18=0,"",IF(ROUND(C18*Parameters!$B$10,2)=E18,"Extension written at the superseded quantity, corrected, 4.1 and PP-3.4.5","Extension corrected, unit price governs, 4.1"))</f>
        <v/>
      </c>
    </row>
    <row r="19" spans="1:8" x14ac:dyDescent="0.2">
      <c r="A19" s="2" t="s">
        <v>117</v>
      </c>
      <c r="B19" s="2">
        <v>1</v>
      </c>
      <c r="C19" s="9">
        <f>'Bids as Written'!I5</f>
        <v>0.601</v>
      </c>
      <c r="D19" s="2">
        <f>Parameters!B13</f>
        <v>60000</v>
      </c>
      <c r="E19" s="10">
        <f>'Bids as Written'!J5</f>
        <v>36060</v>
      </c>
      <c r="F19" s="10">
        <f>Evaluation!E4</f>
        <v>36060</v>
      </c>
      <c r="G19" s="10">
        <f t="shared" si="0"/>
        <v>0</v>
      </c>
      <c r="H19" s="2" t="str">
        <f>IF(G19=0,"",IF(ROUND(C19*Parameters!$B$10,2)=E19,"Extension written at the superseded quantity, corrected, 4.1 and PP-3.4.5","Extension corrected, unit price governs, 4.1"))</f>
        <v/>
      </c>
    </row>
    <row r="20" spans="1:8" x14ac:dyDescent="0.2">
      <c r="A20" s="2" t="s">
        <v>117</v>
      </c>
      <c r="B20" s="2">
        <v>2</v>
      </c>
      <c r="C20" s="9">
        <f>'Bids as Written'!I6</f>
        <v>0.411</v>
      </c>
      <c r="D20" s="2">
        <f>Parameters!B14</f>
        <v>84000</v>
      </c>
      <c r="E20" s="10">
        <f>'Bids as Written'!J6</f>
        <v>34524</v>
      </c>
      <c r="F20" s="10">
        <f>Evaluation!E5</f>
        <v>34524</v>
      </c>
      <c r="G20" s="10">
        <f t="shared" si="0"/>
        <v>0</v>
      </c>
      <c r="H20" s="2" t="str">
        <f>IF(G20=0,"",IF(ROUND(C20*Parameters!$B$10,2)=E20,"Extension written at the superseded quantity, corrected, 4.1 and PP-3.4.5","Extension corrected, unit price governs, 4.1"))</f>
        <v/>
      </c>
    </row>
    <row r="21" spans="1:8" x14ac:dyDescent="0.2">
      <c r="A21" s="2" t="s">
        <v>117</v>
      </c>
      <c r="B21" s="2">
        <v>3</v>
      </c>
      <c r="C21" s="9">
        <f>'Bids as Written'!I7</f>
        <v>0.283</v>
      </c>
      <c r="D21" s="2">
        <f>Parameters!B15</f>
        <v>36000</v>
      </c>
      <c r="E21" s="10">
        <f>'Bids as Written'!J7</f>
        <v>10188</v>
      </c>
      <c r="F21" s="10">
        <f>Evaluation!E6</f>
        <v>10188</v>
      </c>
      <c r="G21" s="10">
        <f t="shared" si="0"/>
        <v>0</v>
      </c>
      <c r="H21" s="2" t="str">
        <f>IF(G21=0,"",IF(ROUND(C21*Parameters!$B$10,2)=E21,"Extension written at the superseded quantity, corrected, 4.1 and PP-3.4.5","Extension corrected, unit price governs, 4.1"))</f>
        <v/>
      </c>
    </row>
    <row r="22" spans="1:8" x14ac:dyDescent="0.2">
      <c r="A22" s="2" t="s">
        <v>117</v>
      </c>
      <c r="B22" s="2">
        <v>4</v>
      </c>
      <c r="C22" s="9">
        <f>'Bids as Written'!I8</f>
        <v>1.694</v>
      </c>
      <c r="D22" s="2">
        <f>Parameters!B16</f>
        <v>12000</v>
      </c>
      <c r="E22" s="10">
        <f>'Bids as Written'!J8</f>
        <v>20328</v>
      </c>
      <c r="F22" s="10">
        <f>Evaluation!E7</f>
        <v>20328</v>
      </c>
      <c r="G22" s="10">
        <f t="shared" si="0"/>
        <v>0</v>
      </c>
      <c r="H22" s="2" t="str">
        <f>IF(G22=0,"",IF(ROUND(C22*Parameters!$B$10,2)=E22,"Extension written at the superseded quantity, corrected, 4.1 and PP-3.4.5","Extension corrected, unit price governs, 4.1"))</f>
        <v/>
      </c>
    </row>
    <row r="23" spans="1:8" x14ac:dyDescent="0.2">
      <c r="A23" s="2" t="s">
        <v>117</v>
      </c>
      <c r="B23" s="2">
        <v>5</v>
      </c>
      <c r="C23" s="9">
        <f>'Bids as Written'!I9</f>
        <v>0.969</v>
      </c>
      <c r="D23" s="2">
        <f>Parameters!B17</f>
        <v>30000</v>
      </c>
      <c r="E23" s="10">
        <f>'Bids as Written'!J9</f>
        <v>29070</v>
      </c>
      <c r="F23" s="10">
        <f>Evaluation!E8</f>
        <v>29070</v>
      </c>
      <c r="G23" s="10">
        <f t="shared" si="0"/>
        <v>0</v>
      </c>
      <c r="H23" s="2" t="str">
        <f>IF(G23=0,"",IF(ROUND(C23*Parameters!$B$10,2)=E23,"Extension written at the superseded quantity, corrected, 4.1 and PP-3.4.5","Extension corrected, unit price governs, 4.1"))</f>
        <v/>
      </c>
    </row>
    <row r="24" spans="1:8" x14ac:dyDescent="0.2">
      <c r="A24" s="2" t="s">
        <v>122</v>
      </c>
      <c r="B24" s="2">
        <v>1</v>
      </c>
      <c r="C24" s="9">
        <f>'Bids as Written'!K5</f>
        <v>0.612</v>
      </c>
      <c r="D24" s="2">
        <f>Parameters!B13</f>
        <v>60000</v>
      </c>
      <c r="E24" s="10">
        <f>'Bids as Written'!L5</f>
        <v>36720</v>
      </c>
      <c r="F24" s="10">
        <f>Evaluation!F4</f>
        <v>36720</v>
      </c>
      <c r="G24" s="10">
        <f t="shared" si="0"/>
        <v>0</v>
      </c>
      <c r="H24" s="2" t="str">
        <f>IF(G24=0,"",IF(ROUND(C24*Parameters!$B$10,2)=E24,"Extension written at the superseded quantity, corrected, 4.1 and PP-3.4.5","Extension corrected, unit price governs, 4.1"))</f>
        <v/>
      </c>
    </row>
    <row r="25" spans="1:8" x14ac:dyDescent="0.2">
      <c r="A25" s="2" t="s">
        <v>122</v>
      </c>
      <c r="B25" s="2">
        <v>2</v>
      </c>
      <c r="C25" s="9">
        <f>'Bids as Written'!K6</f>
        <v>0.418</v>
      </c>
      <c r="D25" s="2">
        <f>Parameters!B14</f>
        <v>84000</v>
      </c>
      <c r="E25" s="10">
        <f>'Bids as Written'!L6</f>
        <v>45112</v>
      </c>
      <c r="F25" s="10">
        <f>Evaluation!F5</f>
        <v>35112</v>
      </c>
      <c r="G25" s="10">
        <f t="shared" si="0"/>
        <v>-10000</v>
      </c>
      <c r="H25" s="2" t="str">
        <f>IF(G25=0,"",IF(ROUND(C25*Parameters!$B$10,2)=E25,"Extension written at the superseded quantity, corrected, 4.1 and PP-3.4.5","Extension corrected, unit price governs, 4.1"))</f>
        <v>Extension corrected, unit price governs, 4.1</v>
      </c>
    </row>
    <row r="26" spans="1:8" x14ac:dyDescent="0.2">
      <c r="A26" s="2" t="s">
        <v>122</v>
      </c>
      <c r="B26" s="2">
        <v>3</v>
      </c>
      <c r="C26" s="9">
        <f>'Bids as Written'!K7</f>
        <v>0.294</v>
      </c>
      <c r="D26" s="2">
        <f>Parameters!B15</f>
        <v>36000</v>
      </c>
      <c r="E26" s="10">
        <f>'Bids as Written'!L7</f>
        <v>10584</v>
      </c>
      <c r="F26" s="10">
        <f>Evaluation!F6</f>
        <v>10584</v>
      </c>
      <c r="G26" s="10">
        <f t="shared" si="0"/>
        <v>0</v>
      </c>
      <c r="H26" s="2" t="str">
        <f>IF(G26=0,"",IF(ROUND(C26*Parameters!$B$10,2)=E26,"Extension written at the superseded quantity, corrected, 4.1 and PP-3.4.5","Extension corrected, unit price governs, 4.1"))</f>
        <v/>
      </c>
    </row>
    <row r="27" spans="1:8" x14ac:dyDescent="0.2">
      <c r="A27" s="2" t="s">
        <v>122</v>
      </c>
      <c r="B27" s="2">
        <v>4</v>
      </c>
      <c r="C27" s="9">
        <f>'Bids as Written'!K8</f>
        <v>1.735</v>
      </c>
      <c r="D27" s="2">
        <f>Parameters!B16</f>
        <v>12000</v>
      </c>
      <c r="E27" s="10">
        <f>'Bids as Written'!L8</f>
        <v>20820</v>
      </c>
      <c r="F27" s="10">
        <f>Evaluation!F7</f>
        <v>20820</v>
      </c>
      <c r="G27" s="10">
        <f t="shared" si="0"/>
        <v>0</v>
      </c>
      <c r="H27" s="2" t="str">
        <f>IF(G27=0,"",IF(ROUND(C27*Parameters!$B$10,2)=E27,"Extension written at the superseded quantity, corrected, 4.1 and PP-3.4.5","Extension corrected, unit price governs, 4.1"))</f>
        <v/>
      </c>
    </row>
    <row r="28" spans="1:8" x14ac:dyDescent="0.2">
      <c r="A28" s="2" t="s">
        <v>122</v>
      </c>
      <c r="B28" s="2">
        <v>5</v>
      </c>
      <c r="C28" s="9">
        <f>'Bids as Written'!K9</f>
        <v>0.988</v>
      </c>
      <c r="D28" s="2">
        <f>Parameters!B17</f>
        <v>30000</v>
      </c>
      <c r="E28" s="10">
        <f>'Bids as Written'!L9</f>
        <v>29640</v>
      </c>
      <c r="F28" s="10">
        <f>Evaluation!F8</f>
        <v>29640</v>
      </c>
      <c r="G28" s="10">
        <f t="shared" si="0"/>
        <v>0</v>
      </c>
      <c r="H28" s="2" t="str">
        <f>IF(G28=0,"",IF(ROUND(C28*Parameters!$B$10,2)=E28,"Extension written at the superseded quantity, corrected, 4.1 and PP-3.4.5","Extension corrected, unit price governs, 4.1"))</f>
        <v/>
      </c>
    </row>
    <row r="29" spans="1:8" x14ac:dyDescent="0.2">
      <c r="A29" s="2" t="s">
        <v>127</v>
      </c>
      <c r="B29" s="2">
        <v>1</v>
      </c>
      <c r="C29" s="9">
        <f>'Bids as Written'!M5</f>
        <v>0.598</v>
      </c>
      <c r="D29" s="2">
        <f>Parameters!B13</f>
        <v>60000</v>
      </c>
      <c r="E29" s="10">
        <f>'Bids as Written'!N5</f>
        <v>35880</v>
      </c>
      <c r="F29" s="10">
        <f>Evaluation!G4</f>
        <v>35880</v>
      </c>
      <c r="G29" s="10">
        <f t="shared" si="0"/>
        <v>0</v>
      </c>
      <c r="H29" s="2" t="str">
        <f>IF(G29=0,"",IF(ROUND(C29*Parameters!$B$10,2)=E29,"Extension written at the superseded quantity, corrected, 4.1 and PP-3.4.5","Extension corrected, unit price governs, 4.1"))</f>
        <v/>
      </c>
    </row>
    <row r="30" spans="1:8" x14ac:dyDescent="0.2">
      <c r="A30" s="2" t="s">
        <v>127</v>
      </c>
      <c r="B30" s="2">
        <v>2</v>
      </c>
      <c r="C30" s="9">
        <f>'Bids as Written'!M6</f>
        <v>0.405</v>
      </c>
      <c r="D30" s="2">
        <f>Parameters!B14</f>
        <v>84000</v>
      </c>
      <c r="E30" s="10">
        <f>'Bids as Written'!N6</f>
        <v>34020</v>
      </c>
      <c r="F30" s="10">
        <f>Evaluation!G5</f>
        <v>34020</v>
      </c>
      <c r="G30" s="10">
        <f t="shared" si="0"/>
        <v>0</v>
      </c>
      <c r="H30" s="2" t="str">
        <f>IF(G30=0,"",IF(ROUND(C30*Parameters!$B$10,2)=E30,"Extension written at the superseded quantity, corrected, 4.1 and PP-3.4.5","Extension corrected, unit price governs, 4.1"))</f>
        <v/>
      </c>
    </row>
    <row r="31" spans="1:8" x14ac:dyDescent="0.2">
      <c r="A31" s="2" t="s">
        <v>127</v>
      </c>
      <c r="B31" s="2">
        <v>3</v>
      </c>
      <c r="C31" s="9">
        <f>'Bids as Written'!M7</f>
        <v>0.281</v>
      </c>
      <c r="D31" s="2">
        <f>Parameters!B15</f>
        <v>36000</v>
      </c>
      <c r="E31" s="10">
        <f>'Bids as Written'!N7</f>
        <v>10116</v>
      </c>
      <c r="F31" s="10">
        <f>Evaluation!G6</f>
        <v>10116</v>
      </c>
      <c r="G31" s="10">
        <f t="shared" si="0"/>
        <v>0</v>
      </c>
      <c r="H31" s="2" t="str">
        <f>IF(G31=0,"",IF(ROUND(C31*Parameters!$B$10,2)=E31,"Extension written at the superseded quantity, corrected, 4.1 and PP-3.4.5","Extension corrected, unit price governs, 4.1"))</f>
        <v/>
      </c>
    </row>
    <row r="32" spans="1:8" x14ac:dyDescent="0.2">
      <c r="A32" s="2" t="s">
        <v>127</v>
      </c>
      <c r="B32" s="2">
        <v>4</v>
      </c>
      <c r="C32" s="9">
        <f>'Bids as Written'!M8</f>
        <v>1.69</v>
      </c>
      <c r="D32" s="2">
        <f>Parameters!B16</f>
        <v>12000</v>
      </c>
      <c r="E32" s="10">
        <f>'Bids as Written'!N8</f>
        <v>20280</v>
      </c>
      <c r="F32" s="10">
        <f>Evaluation!G7</f>
        <v>20280</v>
      </c>
      <c r="G32" s="10">
        <f t="shared" si="0"/>
        <v>0</v>
      </c>
      <c r="H32" s="2" t="str">
        <f>IF(G32=0,"",IF(ROUND(C32*Parameters!$B$10,2)=E32,"Extension written at the superseded quantity, corrected, 4.1 and PP-3.4.5","Extension corrected, unit price governs, 4.1"))</f>
        <v/>
      </c>
    </row>
    <row r="33" spans="1:8" x14ac:dyDescent="0.2">
      <c r="A33" s="2" t="s">
        <v>127</v>
      </c>
      <c r="B33" s="2">
        <v>5</v>
      </c>
      <c r="C33" s="9">
        <f>'Bids as Written'!M9</f>
        <v>0.965</v>
      </c>
      <c r="D33" s="2">
        <f>Parameters!B17</f>
        <v>30000</v>
      </c>
      <c r="E33" s="10">
        <f>'Bids as Written'!N9</f>
        <v>28950</v>
      </c>
      <c r="F33" s="10">
        <f>Evaluation!G8</f>
        <v>28950</v>
      </c>
      <c r="G33" s="10">
        <f t="shared" si="0"/>
        <v>0</v>
      </c>
      <c r="H33" s="2" t="str">
        <f>IF(G33=0,"",IF(ROUND(C33*Parameters!$B$10,2)=E33,"Extension written at the superseded quantity, corrected, 4.1 and PP-3.4.5","Extension corrected, unit price governs, 4.1"))</f>
        <v/>
      </c>
    </row>
    <row r="34" spans="1:8" x14ac:dyDescent="0.2">
      <c r="A34" s="6" t="s">
        <v>31</v>
      </c>
      <c r="G34" s="2">
        <f>COUNTIF(H4:H33,"Extension*")</f>
        <v>2</v>
      </c>
    </row>
    <row r="36" spans="1:8" x14ac:dyDescent="0.2">
      <c r="A36" s="2" t="s">
        <v>254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12"/>
  <sheetViews>
    <sheetView workbookViewId="0"/>
  </sheetViews>
  <sheetFormatPr baseColWidth="10" defaultColWidth="8.83203125" defaultRowHeight="15" x14ac:dyDescent="0.2"/>
  <cols>
    <col min="1" max="1" width="120" customWidth="1"/>
  </cols>
  <sheetData>
    <row r="1" spans="1:1" ht="17" x14ac:dyDescent="0.2">
      <c r="A1" s="1" t="s">
        <v>255</v>
      </c>
    </row>
    <row r="3" spans="1:1" ht="64" x14ac:dyDescent="0.2">
      <c r="A3" s="12" t="s">
        <v>256</v>
      </c>
    </row>
    <row r="4" spans="1:1" ht="48" x14ac:dyDescent="0.2">
      <c r="A4" s="12" t="s">
        <v>257</v>
      </c>
    </row>
    <row r="5" spans="1:1" ht="80" x14ac:dyDescent="0.2">
      <c r="A5" s="12" t="s">
        <v>258</v>
      </c>
    </row>
    <row r="6" spans="1:1" ht="80" x14ac:dyDescent="0.2">
      <c r="A6" s="12" t="s">
        <v>259</v>
      </c>
    </row>
    <row r="7" spans="1:1" ht="80" x14ac:dyDescent="0.2">
      <c r="A7" s="12" t="s">
        <v>260</v>
      </c>
    </row>
    <row r="8" spans="1:1" ht="64" x14ac:dyDescent="0.2">
      <c r="A8" s="12" t="s">
        <v>261</v>
      </c>
    </row>
    <row r="9" spans="1:1" ht="64" x14ac:dyDescent="0.2">
      <c r="A9" s="12" t="s">
        <v>262</v>
      </c>
    </row>
    <row r="10" spans="1:1" ht="64" x14ac:dyDescent="0.2">
      <c r="A10" s="12" t="s">
        <v>263</v>
      </c>
    </row>
    <row r="11" spans="1:1" ht="80" x14ac:dyDescent="0.2">
      <c r="A11" s="12" t="s">
        <v>264</v>
      </c>
    </row>
    <row r="12" spans="1:1" ht="64" x14ac:dyDescent="0.2">
      <c r="A12" s="12" t="s">
        <v>265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Recommendation</vt:lpstr>
      <vt:lpstr>Parameters</vt:lpstr>
      <vt:lpstr>Bids as Written</vt:lpstr>
      <vt:lpstr>Terms</vt:lpstr>
      <vt:lpstr>Bid Conditions</vt:lpstr>
      <vt:lpstr>Holds on Bidders</vt:lpstr>
      <vt:lpstr>Freight</vt:lpstr>
      <vt:lpstr>Responsiveness</vt:lpstr>
      <vt:lpstr>Responsibility</vt:lpstr>
      <vt:lpstr>Evaluation</vt:lpstr>
      <vt:lpstr>Extensions</vt:lpstr>
      <vt:lpstr>Note to Torsten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Bid evaluation ITB 2026-17</dc:title>
  <dcterms:created xmlns:dcterms="http://purl.org/dc/terms/" xmlns:xsi="http://www.w3.org/2001/XMLSchema-instance" xsi:type="dcterms:W3CDTF">2026-10-19T08:15:27Z</dcterms:created>
  <dcterms:modified xmlns:dcterms="http://purl.org/dc/terms/" xmlns:xsi="http://www.w3.org/2001/XMLSchema-instance" xsi:type="dcterms:W3CDTF">2026-10-23T09:36:50Z</dcterms:modified>
  <cp:lastModifiedBy>Nordvik Manufacturing</cp:lastModifiedBy>
</cp:coreProperties>
</file>