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xr:revisionPtr revIDLastSave="0" documentId="13_ncr:1_{66D1DEC1-1B5A-6242-BE6C-21D01FD7C74F}" xr6:coauthVersionLast="47" xr6:coauthVersionMax="47" xr10:uidLastSave="{00000000-0000-0000-0000-000000000000}"/>
  <bookViews>
    <workbookView xWindow="0" yWindow="0" windowWidth="21600" windowHeight="38400" xr2:uid="{00000000-000D-0000-FFFF-FFFF00000000}"/>
  </bookViews>
  <sheets>
    <sheet name="Certificate" sheetId="1" r:id="rId1"/>
    <sheet name="GL TTM" sheetId="2" r:id="rId2"/>
    <sheet name="Parameters" sheetId="3" r:id="rId3"/>
    <sheet name="Ostrander PF" sheetId="4" r:id="rId4"/>
    <sheet name="EBITDA" sheetId="5" r:id="rId5"/>
    <sheet name="Funded Debt" sheetId="6" r:id="rId6"/>
    <sheet name="Capex and Taxes" sheetId="7" r:id="rId7"/>
    <sheet name="Fixed Charges" sheetId="8" r:id="rId8"/>
    <sheet name="Note to Wad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8" l="1"/>
  <c r="B30" i="8"/>
  <c r="B21" i="8"/>
  <c r="B9" i="8"/>
  <c r="B8" i="8"/>
  <c r="B7" i="8"/>
  <c r="B6" i="8"/>
  <c r="B5" i="8"/>
  <c r="B10" i="8" s="1"/>
  <c r="B24" i="8" s="1"/>
  <c r="C35" i="7"/>
  <c r="C34" i="7"/>
  <c r="C33" i="7"/>
  <c r="D24" i="7"/>
  <c r="D23" i="7"/>
  <c r="D21" i="7"/>
  <c r="D20" i="7"/>
  <c r="D22" i="7" s="1"/>
  <c r="B13" i="6"/>
  <c r="B29" i="5"/>
  <c r="B24" i="5"/>
  <c r="B23" i="5"/>
  <c r="B17" i="5"/>
  <c r="B15" i="5"/>
  <c r="B14" i="5"/>
  <c r="B13" i="5"/>
  <c r="B7" i="5"/>
  <c r="B6" i="5"/>
  <c r="B5" i="5"/>
  <c r="B8" i="5" s="1"/>
  <c r="B12" i="5" s="1"/>
  <c r="H32" i="4"/>
  <c r="H29" i="4"/>
  <c r="H28" i="4"/>
  <c r="H23" i="4"/>
  <c r="I23" i="4" s="1"/>
  <c r="H22" i="4"/>
  <c r="I22" i="4" s="1"/>
  <c r="H21" i="4"/>
  <c r="H20" i="4"/>
  <c r="I20" i="4" s="1"/>
  <c r="H19" i="4"/>
  <c r="I19" i="4" s="1"/>
  <c r="H18" i="4"/>
  <c r="I18" i="4" s="1"/>
  <c r="I17" i="4"/>
  <c r="H17" i="4"/>
  <c r="H16" i="4"/>
  <c r="I16" i="4" s="1"/>
  <c r="H15" i="4"/>
  <c r="I15" i="4" s="1"/>
  <c r="H14" i="4"/>
  <c r="I14" i="4" s="1"/>
  <c r="H13" i="4"/>
  <c r="I13" i="4" s="1"/>
  <c r="H12" i="4"/>
  <c r="I12" i="4" s="1"/>
  <c r="H11" i="4"/>
  <c r="I11" i="4" s="1"/>
  <c r="H10" i="4"/>
  <c r="I10" i="4" s="1"/>
  <c r="H9" i="4"/>
  <c r="I9" i="4" s="1"/>
  <c r="H8" i="4"/>
  <c r="I8" i="4" s="1"/>
  <c r="H7" i="4"/>
  <c r="I7" i="4" s="1"/>
  <c r="H6" i="4"/>
  <c r="I6" i="4" s="1"/>
  <c r="H5" i="4"/>
  <c r="I5" i="4" s="1"/>
  <c r="P43" i="2"/>
  <c r="P41" i="2"/>
  <c r="Q41" i="2" s="1"/>
  <c r="P40" i="2"/>
  <c r="Q40" i="2" s="1"/>
  <c r="P39" i="2"/>
  <c r="Q39" i="2" s="1"/>
  <c r="P38" i="2"/>
  <c r="Q38" i="2" s="1"/>
  <c r="P37" i="2"/>
  <c r="Q37" i="2" s="1"/>
  <c r="P36" i="2"/>
  <c r="Q36" i="2" s="1"/>
  <c r="P35" i="2"/>
  <c r="Q35" i="2" s="1"/>
  <c r="P34" i="2"/>
  <c r="Q34" i="2" s="1"/>
  <c r="P33" i="2"/>
  <c r="Q33" i="2" s="1"/>
  <c r="P32" i="2"/>
  <c r="Q32" i="2" s="1"/>
  <c r="P31" i="2"/>
  <c r="Q31" i="2" s="1"/>
  <c r="P30" i="2"/>
  <c r="Q30" i="2" s="1"/>
  <c r="P29" i="2"/>
  <c r="Q29" i="2" s="1"/>
  <c r="P28" i="2"/>
  <c r="Q28" i="2" s="1"/>
  <c r="P27" i="2"/>
  <c r="Q27" i="2" s="1"/>
  <c r="P26" i="2"/>
  <c r="Q26" i="2" s="1"/>
  <c r="P25" i="2"/>
  <c r="Q25" i="2" s="1"/>
  <c r="P24" i="2"/>
  <c r="Q24" i="2" s="1"/>
  <c r="P23" i="2"/>
  <c r="Q23" i="2" s="1"/>
  <c r="P22" i="2"/>
  <c r="Q22" i="2" s="1"/>
  <c r="P21" i="2"/>
  <c r="Q21" i="2" s="1"/>
  <c r="P20" i="2"/>
  <c r="Q20" i="2" s="1"/>
  <c r="P19" i="2"/>
  <c r="Q19" i="2" s="1"/>
  <c r="P18" i="2"/>
  <c r="Q18" i="2" s="1"/>
  <c r="P17" i="2"/>
  <c r="Q17" i="2" s="1"/>
  <c r="P16" i="2"/>
  <c r="Q16" i="2" s="1"/>
  <c r="P15" i="2"/>
  <c r="Q15" i="2" s="1"/>
  <c r="P14" i="2"/>
  <c r="Q14" i="2" s="1"/>
  <c r="P13" i="2"/>
  <c r="Q13" i="2" s="1"/>
  <c r="P12" i="2"/>
  <c r="Q12" i="2" s="1"/>
  <c r="P11" i="2"/>
  <c r="Q11" i="2" s="1"/>
  <c r="P10" i="2"/>
  <c r="Q10" i="2" s="1"/>
  <c r="P9" i="2"/>
  <c r="Q9" i="2" s="1"/>
  <c r="P8" i="2"/>
  <c r="Q8" i="2" s="1"/>
  <c r="P7" i="2"/>
  <c r="Q7" i="2" s="1"/>
  <c r="P6" i="2"/>
  <c r="Q6" i="2" s="1"/>
  <c r="P5" i="2"/>
  <c r="Q5" i="2" s="1"/>
  <c r="B11" i="5" s="1"/>
  <c r="B47" i="1"/>
  <c r="B46" i="1"/>
  <c r="B42" i="1"/>
  <c r="B38" i="1"/>
  <c r="B31" i="1"/>
  <c r="B27" i="1"/>
  <c r="B21" i="1"/>
  <c r="B32" i="8" l="1"/>
  <c r="B36" i="8" s="1"/>
  <c r="B40" i="1"/>
  <c r="B29" i="8"/>
  <c r="B37" i="1"/>
  <c r="B28" i="8"/>
  <c r="B36" i="1"/>
  <c r="B25" i="5"/>
  <c r="B30" i="5" s="1"/>
  <c r="H27" i="4"/>
  <c r="I21" i="4"/>
  <c r="H26" i="4"/>
  <c r="H30" i="4" s="1"/>
  <c r="B29" i="1" l="1"/>
  <c r="B16" i="5"/>
  <c r="B18" i="5" s="1"/>
  <c r="B26" i="5" l="1"/>
  <c r="B27" i="5" l="1"/>
  <c r="B19" i="5" l="1"/>
  <c r="B20" i="5" s="1"/>
  <c r="B40" i="8"/>
  <c r="B35" i="1" l="1"/>
  <c r="B28" i="1"/>
  <c r="B30" i="1" s="1"/>
  <c r="B32" i="1" s="1"/>
  <c r="B27" i="8"/>
  <c r="B31" i="8" s="1"/>
  <c r="B39" i="1" l="1"/>
  <c r="B41" i="8"/>
  <c r="B42" i="8" s="1"/>
  <c r="B43" i="8" s="1"/>
  <c r="B33" i="8"/>
  <c r="B37" i="8"/>
  <c r="B22" i="1" s="1"/>
  <c r="B35" i="8" l="1"/>
  <c r="B43" i="1" s="1"/>
  <c r="B20" i="1"/>
  <c r="B41" i="1"/>
</calcChain>
</file>

<file path=xl/sharedStrings.xml><?xml version="1.0" encoding="utf-8"?>
<sst xmlns="http://schemas.openxmlformats.org/spreadsheetml/2006/main" count="455" uniqueCount="348">
  <si>
    <t>COMPLIANCE CERTIFICATE</t>
  </si>
  <si>
    <t>To: Lakeshore Merchants Bank, N.A., as Administrative Agent</t>
  </si>
  <si>
    <t>Re: Credit Agreement dated as of November 14, 2024, as amended by Amendment No. 1 dated as of February 26, 2026 (the Credit Agreement), among Brennecke Precision Components, Inc., as Borrower, the Lenders party thereto, and Lakeshore Merchants Bank, N.A., as Administrative Agent</t>
  </si>
  <si>
    <t>Fiscal Quarter ended August 31, 2026</t>
  </si>
  <si>
    <t>The undersigned Responsible Officer of the Borrower certifies to the Administrative Agent and the Lenders that:</t>
  </si>
  <si>
    <t>1. The undersigned has reviewed the terms of the Credit Agreement and has made, or has caused to be made under the undersigned's supervision, a review of the transactions and financial condition of the Borrower and its Subsidiaries during the Fiscal Quarter ended August 31, 2026.</t>
  </si>
  <si>
    <t>2. Except as set forth on Schedule 1, no Default has occurred and is continuing.</t>
  </si>
  <si>
    <t>3. Schedule 2 sets forth calculations demonstrating compliance with Sections 6.11 and 6.12 of the Credit Agreement as of August 31, 2026, and reports Capital Expenditures under Section 6.13 for the Fiscal Year to date.</t>
  </si>
  <si>
    <t>BRENNECKE PRECISION COMPONENTS, INC.</t>
  </si>
  <si>
    <t>By: ______________________________</t>
  </si>
  <si>
    <t>Name: Wade Kirchner</t>
  </si>
  <si>
    <t>Title: Chief Financial Officer</t>
  </si>
  <si>
    <t>Date: ______________________________</t>
  </si>
  <si>
    <t>SCHEDULE 1 - DEFAULTS</t>
  </si>
  <si>
    <t>An Event of Default under Section 7.01(d) of the Credit Agreement exists by reason of the Borrower's failure to comply with Section 6.12 as of August 31, 2026, as follows.</t>
  </si>
  <si>
    <t>Fixed Charge Coverage Ratio, Test Period ended August 31, 2026 (Section 6.12)</t>
  </si>
  <si>
    <t>Minimum required under Section 6.12</t>
  </si>
  <si>
    <t>Cure Amount required under Section 6.14 (shortfall in the numerator)</t>
  </si>
  <si>
    <t>Action proposed: exercise of the equity cure right under Section 6.14 in the Cure Amount shown above, by cash common equity contributed within ten Business Days after October 15, 2026, or such other action as is agreed with the Administrative Agent within that period.</t>
  </si>
  <si>
    <t>SCHEDULE 2 - FINANCIAL COVENANT CALCULATIONS</t>
  </si>
  <si>
    <t>Section 6.11 Total Leverage Ratio</t>
  </si>
  <si>
    <t>Consolidated Funded Debt as of August 31, 2026</t>
  </si>
  <si>
    <t>Consolidated EBITDA, Test Period ended August 31, 2026</t>
  </si>
  <si>
    <t>of which Acquired EBITDA, Ostrander Machine LLC, clause (f), shown separately</t>
  </si>
  <si>
    <t>Total Leverage Ratio</t>
  </si>
  <si>
    <t>Maximum permitted, Section 6.11, Fiscal Quarter ending August 31, 2026</t>
  </si>
  <si>
    <t>Section 6.11 status</t>
  </si>
  <si>
    <t>Section 6.12 Fixed Charge Coverage Ratio</t>
  </si>
  <si>
    <t>Less Unfinanced Capital Expenditures</t>
  </si>
  <si>
    <t>Less Cash Taxes</t>
  </si>
  <si>
    <t>Less Restricted Payments</t>
  </si>
  <si>
    <t>Numerator</t>
  </si>
  <si>
    <t>Fixed Charges</t>
  </si>
  <si>
    <t>Fixed Charge Coverage Ratio</t>
  </si>
  <si>
    <t>Minimum required, Section 6.12</t>
  </si>
  <si>
    <t>Section 6.12 status</t>
  </si>
  <si>
    <t>Section 6.13 Capital Expenditures (reported; tested as of the last day of the Fiscal Year)</t>
  </si>
  <si>
    <t>Capital Expenditures, December 1, 2025 through August 31, 2026</t>
  </si>
  <si>
    <t>Limit for the Fiscal Year ending November 30, 2026, Section 6.13</t>
  </si>
  <si>
    <t>General ledger activity by account, September 2025 through August 2026</t>
  </si>
  <si>
    <t>Source: gl_activity_sep25_aug26.csv as exported (debits positive, credits negative). TTM ACTIVITY sums the twelve months; INCOME EFFECT reverses the sign so income is positive.</t>
  </si>
  <si>
    <t>ACCOUNT</t>
  </si>
  <si>
    <t>DESCRIPTION</t>
  </si>
  <si>
    <t>COVENANT LINE</t>
  </si>
  <si>
    <t>Sep-25</t>
  </si>
  <si>
    <t>Oct-25</t>
  </si>
  <si>
    <t>Nov-25</t>
  </si>
  <si>
    <t>Dec-25</t>
  </si>
  <si>
    <t>Jan-26</t>
  </si>
  <si>
    <t>Feb-26</t>
  </si>
  <si>
    <t>Mar-26</t>
  </si>
  <si>
    <t>Apr-26</t>
  </si>
  <si>
    <t>May-26</t>
  </si>
  <si>
    <t>Jun-26</t>
  </si>
  <si>
    <t>Jul-26</t>
  </si>
  <si>
    <t>Aug-26</t>
  </si>
  <si>
    <t>TTM ACTIVITY</t>
  </si>
  <si>
    <t>INCOME EFFECT</t>
  </si>
  <si>
    <t>Product sales - Fond du Lac plant</t>
  </si>
  <si>
    <t>Sales</t>
  </si>
  <si>
    <t>Product sales - Beaver Dam plant</t>
  </si>
  <si>
    <t>Product sales - Oshkosh plant</t>
  </si>
  <si>
    <t>Freight and tooling billed to customers</t>
  </si>
  <si>
    <t>Sales returns and allowances</t>
  </si>
  <si>
    <t>Materials and outside processing</t>
  </si>
  <si>
    <t>Cost of sales</t>
  </si>
  <si>
    <t>Direct labor</t>
  </si>
  <si>
    <t>Indirect plant labor and supervision</t>
  </si>
  <si>
    <t>Perishable tooling and shop supplies</t>
  </si>
  <si>
    <t>Plant utilities</t>
  </si>
  <si>
    <t>Depreciation - plant machinery and equipment</t>
  </si>
  <si>
    <t>Depreciation and amortization</t>
  </si>
  <si>
    <t>Freight out</t>
  </si>
  <si>
    <t>Inventory count adjustments</t>
  </si>
  <si>
    <t>Salaries - administrative</t>
  </si>
  <si>
    <t>Operating expense</t>
  </si>
  <si>
    <t>Salaries and commissions - sales</t>
  </si>
  <si>
    <t>Payroll taxes and employee benefits</t>
  </si>
  <si>
    <t>Rent - operating leases</t>
  </si>
  <si>
    <t>Insurance</t>
  </si>
  <si>
    <t>Professional fees</t>
  </si>
  <si>
    <t>Travel and entertainment</t>
  </si>
  <si>
    <t>Repairs and maintenance - buildings</t>
  </si>
  <si>
    <t>Depreciation - office equipment and vehicles</t>
  </si>
  <si>
    <t>Amortization - customer list and non-compete</t>
  </si>
  <si>
    <t>Severance and retention - Waupun consolidation</t>
  </si>
  <si>
    <t>Approved non-recurring</t>
  </si>
  <si>
    <t>Legal settlement - Kowalczyk matter</t>
  </si>
  <si>
    <t>Not approved</t>
  </si>
  <si>
    <t>Bank fees and service charges</t>
  </si>
  <si>
    <t>Property taxes</t>
  </si>
  <si>
    <t>Interest expense - term loan</t>
  </si>
  <si>
    <t>Cash interest</t>
  </si>
  <si>
    <t>Interest expense - revolving loans</t>
  </si>
  <si>
    <t>Interest expense - seller note</t>
  </si>
  <si>
    <t>Interest expense - finance leases</t>
  </si>
  <si>
    <t>Amortization of deferred financing costs</t>
  </si>
  <si>
    <t>Non-cash interest</t>
  </si>
  <si>
    <t>Gain on sale of equipment</t>
  </si>
  <si>
    <t>Gain on sale</t>
  </si>
  <si>
    <t>Loss on write-off of leasehold improvements - Waupun</t>
  </si>
  <si>
    <t>Non-cash write-off</t>
  </si>
  <si>
    <t>Interest income</t>
  </si>
  <si>
    <t>Provision for income taxes - federal</t>
  </si>
  <si>
    <t>Income taxes</t>
  </si>
  <si>
    <t>Provision for income taxes - state</t>
  </si>
  <si>
    <t>Dividends paid to shareholders</t>
  </si>
  <si>
    <t>Restricted payment</t>
  </si>
  <si>
    <t>Account 3900 is an equity account and is outside net income; it is carried here because the dividend is a Restricted Payment in the fixed charge coverage test.</t>
  </si>
  <si>
    <t>Covenant parameters and sources</t>
  </si>
  <si>
    <t>PARAMETER</t>
  </si>
  <si>
    <t>VALUE</t>
  </si>
  <si>
    <t>SOURCE</t>
  </si>
  <si>
    <t>Maximum Total Leverage Ratio, Fiscal Quarter ending August 31, 2026</t>
  </si>
  <si>
    <t>Section 6.11 of the Credit Agreement, third row of the table</t>
  </si>
  <si>
    <t>Minimum Fixed Charge Coverage Ratio</t>
  </si>
  <si>
    <t>Section 6.12 of the Credit Agreement</t>
  </si>
  <si>
    <t>Clause (e) cap, share of Consolidated EBITDA before clause (e)</t>
  </si>
  <si>
    <t>Section 1.01, definition of Consolidated EBITDA, clause (e)</t>
  </si>
  <si>
    <t>Clause (e) amount approved in writing, Waupun severance and retention</t>
  </si>
  <si>
    <t>Yablonski email of September 8, 2026</t>
  </si>
  <si>
    <t>Capital Expenditures limit per Fiscal Year</t>
  </si>
  <si>
    <t>Section 6.13 of the Credit Agreement</t>
  </si>
  <si>
    <t>Days after quarter end for the Compliance Certificate</t>
  </si>
  <si>
    <t>Section 5.01 of the Credit Agreement</t>
  </si>
  <si>
    <t>Business Days after the certificate due date for an equity cure</t>
  </si>
  <si>
    <t>Section 6.14 of the Credit Agreement</t>
  </si>
  <si>
    <t>Business Days after knowledge of a Default for written notice</t>
  </si>
  <si>
    <t>Section 5.02 of the Credit Agreement</t>
  </si>
  <si>
    <t>Test Period: September 1, 2025 through August 31, 2026 (the four Fiscal Quarters ended August 31, 2026).</t>
  </si>
  <si>
    <t>Ostrander Machine LLC acquired March 2, 2026; pre-closing months in the Test Period are September 2025 through February 2026.</t>
  </si>
  <si>
    <t>Certificate due October 15, 2026, which is 45 days after August 31, 2026.</t>
  </si>
  <si>
    <t>Acquired EBITDA, Ostrander Machine LLC, September 2025 through February 2026</t>
  </si>
  <si>
    <t>Source: ostrander_pl_sep25_feb26.xlsx, the seller's monthly statements delivered to the Agent on March 20, 2026. Pre-closing months only; March 2026 onward is in the Oshkosh accounts of the ledger.</t>
  </si>
  <si>
    <t>LINE</t>
  </si>
  <si>
    <t>Sep 2025</t>
  </si>
  <si>
    <t>Oct 2025</t>
  </si>
  <si>
    <t>Nov 2025</t>
  </si>
  <si>
    <t>Dec 2025</t>
  </si>
  <si>
    <t>Jan 2026</t>
  </si>
  <si>
    <t>Feb 2026</t>
  </si>
  <si>
    <t>SIX MONTHS</t>
  </si>
  <si>
    <t>Sales returns</t>
  </si>
  <si>
    <t>Materials and outside services</t>
  </si>
  <si>
    <t>Shop wages</t>
  </si>
  <si>
    <t>Shop supplies and tooling</t>
  </si>
  <si>
    <t>Utilities</t>
  </si>
  <si>
    <t>Depreciation</t>
  </si>
  <si>
    <t>Officer salary - D. Ostrander</t>
  </si>
  <si>
    <t>Office wages</t>
  </si>
  <si>
    <t>Payroll taxes</t>
  </si>
  <si>
    <t>Rent</t>
  </si>
  <si>
    <t>Auto and travel - D. Ostrander</t>
  </si>
  <si>
    <t>Advertising</t>
  </si>
  <si>
    <t>Repairs and maintenance</t>
  </si>
  <si>
    <t>Interest expense - line of credit</t>
  </si>
  <si>
    <t>Bank charges</t>
  </si>
  <si>
    <t>Miscellaneous</t>
  </si>
  <si>
    <t>ACQUIRED EBITDA BUILD</t>
  </si>
  <si>
    <t>Net ordinary income, six months</t>
  </si>
  <si>
    <t>Plus interest expense, line of credit (repaid at closing)</t>
  </si>
  <si>
    <t>Plus depreciation</t>
  </si>
  <si>
    <t>Plus officer salary, D. Ostrander (ended at closing; approved in writing September 8, 2026)</t>
  </si>
  <si>
    <t>Acquired EBITDA, clause (f)</t>
  </si>
  <si>
    <t>Not added: auto and travel, D. Ostrander (no written approval)</t>
  </si>
  <si>
    <t>Not added: income taxes (none recorded; the seller was taxed as a partnership)</t>
  </si>
  <si>
    <t>Built line by line under Section 1.01 of the Credit Agreement, definition of Consolidated EBITDA. Ledger figures are SUMIFS over the ledger activity tab by covenant line or by account.</t>
  </si>
  <si>
    <t>INTEREST DETAIL, CLAUSE (a)</t>
  </si>
  <si>
    <t>AMOUNT</t>
  </si>
  <si>
    <t>Cash interest expense, accounts 7000, 7005, 7010 and 7015</t>
  </si>
  <si>
    <t>GL TTM, covenant line Cash interest</t>
  </si>
  <si>
    <t>Amortization of deferred financing costs, account 7018</t>
  </si>
  <si>
    <t>GL TTM, covenant line Non-cash interest</t>
  </si>
  <si>
    <t>Less interest income, account 7050</t>
  </si>
  <si>
    <t>GL TTM, covenant line Interest income</t>
  </si>
  <si>
    <t>Consolidated Interest Expense, net of interest income</t>
  </si>
  <si>
    <t>Definition of Consolidated Interest Expense</t>
  </si>
  <si>
    <t>CONSOLIDATED EBITDA</t>
  </si>
  <si>
    <t>Consolidated Net Income, Test Period</t>
  </si>
  <si>
    <t>GL TTM, INCOME EFFECT of the income statement accounts</t>
  </si>
  <si>
    <t>(a) Consolidated Interest Expense, net</t>
  </si>
  <si>
    <t>Interest detail above</t>
  </si>
  <si>
    <t>(b) Provision for income taxes, accounts 8000 and 8010</t>
  </si>
  <si>
    <t>GL TTM, covenant line Income taxes</t>
  </si>
  <si>
    <t>(c) Depreciation and amortization, accounts 5050, 6090 and 6095</t>
  </si>
  <si>
    <t>GL TTM, covenant line Depreciation and amortization</t>
  </si>
  <si>
    <t>(d) Non-cash charges: write-off of Waupun leasehold improvements, account 7030</t>
  </si>
  <si>
    <t>GL TTM, covenant line Non-cash write-off; clause (d), not counted against the clause (e) cap</t>
  </si>
  <si>
    <t>(f) Acquired EBITDA, Ostrander Machine, September 2025 through February 2026</t>
  </si>
  <si>
    <t>Ostrander PF tab; statements delivered March 20, 2026</t>
  </si>
  <si>
    <t>(g) Less gain on sale of Waupun equipment, account 7020</t>
  </si>
  <si>
    <t>GL TTM, covenant line Gain on sale (a credit, deducted)</t>
  </si>
  <si>
    <t>Consolidated EBITDA before clause (e)</t>
  </si>
  <si>
    <t>Base for the 10% cap in clause (e)</t>
  </si>
  <si>
    <t>(e) Approved non-recurring cash charges, as permitted</t>
  </si>
  <si>
    <t>Clause (e) working below</t>
  </si>
  <si>
    <t>Definition of Consolidated EBITDA</t>
  </si>
  <si>
    <t>CLAUSE (e) WORKING</t>
  </si>
  <si>
    <t>Severance and retention, Waupun consolidation, account 6100</t>
  </si>
  <si>
    <t>GL TTM, covenant line Approved non-recurring</t>
  </si>
  <si>
    <t>Amount approved in writing by the Agent</t>
  </si>
  <si>
    <t>Yablonski email of September 8, 2026, up to $412,000 in the aggregate</t>
  </si>
  <si>
    <t>Add-back requested, the lesser of the expense and the approval</t>
  </si>
  <si>
    <t>Expense above the approved amount stays in operating expense</t>
  </si>
  <si>
    <t>Cap: 10% of Consolidated EBITDA before clause (e)</t>
  </si>
  <si>
    <t>Clause (e) proviso</t>
  </si>
  <si>
    <t>(e) permitted, the lesser of the request and the cap</t>
  </si>
  <si>
    <t>Carried to the Consolidated EBITDA line above</t>
  </si>
  <si>
    <t>Not added: legal settlement, Kowalczyk matter, account 6110</t>
  </si>
  <si>
    <t>No written approval from the Agent as of October 13, 2026; Yablonski email of September 11, 2026</t>
  </si>
  <si>
    <t>Not added: severance and retention above the approved amount</t>
  </si>
  <si>
    <t>Remains in operating expense</t>
  </si>
  <si>
    <t>Section 1.01, definition of Consolidated Funded Debt. Balances from treasury_schedules_083126.xlsx.</t>
  </si>
  <si>
    <t>COMPONENT</t>
  </si>
  <si>
    <t>Term Loan, Lakeshore Merchants Bank, balance after the 08/31/2026 scheduled payment</t>
  </si>
  <si>
    <t>Term Loan tab, BALANCE AFTER on the 08/31/2026 row; clause (a)</t>
  </si>
  <si>
    <t>Revolving Loans outstanding at 08/31/2026</t>
  </si>
  <si>
    <t>Revolver tab, OUTSTANDING at 08/31/2026; clause (a)</t>
  </si>
  <si>
    <t>Seller Subordinated Note, Ostrander Machine LLC</t>
  </si>
  <si>
    <t>Seller Note tab, balance after the 06/01/2026 payment; clause (b)</t>
  </si>
  <si>
    <t>Finance lease FL-01, Vandermolen Equipment Credit, CNC lathe cell (2) - Fond du Lac</t>
  </si>
  <si>
    <t>Leases tab, LIABILITY 08/31/2026; clause (c)</t>
  </si>
  <si>
    <t>Finance lease FL-02, Kessler Leasing Corp, Coordinate measuring machine - Beaver Dam</t>
  </si>
  <si>
    <t>Finance lease FL-03, Brandt Capital LLC, 5-axis machining center - Beaver Dam</t>
  </si>
  <si>
    <t>Standby letter of credit SBLC-2024-0117, Waukesha Mutual Casualty Company, face amount (undrawn)</t>
  </si>
  <si>
    <t>LCs tab, FACE AMOUNT; clause (d), whether or not drawn</t>
  </si>
  <si>
    <t>Standby letter of credit SBLC-2025-0203, Tri-County Natural Gas Cooperative, face amount (undrawn)</t>
  </si>
  <si>
    <t>Consolidated Funded Debt, August 31, 2026</t>
  </si>
  <si>
    <t>Sum of clauses (a) through (d); no earn-out is earned and unpaid</t>
  </si>
  <si>
    <t>EXCLUDED FROM CONSOLIDATED FUNDED DEBT</t>
  </si>
  <si>
    <t>LIABILITY 08/31/2026</t>
  </si>
  <si>
    <t>REASON</t>
  </si>
  <si>
    <t>Operating lease OL-01, Mertens Properties LLC, Warehouse and office annex - Fond du Lac</t>
  </si>
  <si>
    <t>Operating lease liability, outside the definition</t>
  </si>
  <si>
    <t>Operating lease OL-02, Schaefer Business Systems, Copiers and print fleet (all plants)</t>
  </si>
  <si>
    <t>Operating lease OL-03, D and P Ostrander Realty LLC, Shop building - Oshkosh (assumed at closing)</t>
  </si>
  <si>
    <t>Unfinanced Capital Expenditures and Cash Taxes, Test Period</t>
  </si>
  <si>
    <t>Source: treasury_schedules_083126.xlsx, Capex and Income Taxes tabs. Fiscal Year 2026 began December 1, 2025.</t>
  </si>
  <si>
    <t>MONTH</t>
  </si>
  <si>
    <t>FISCAL YEAR</t>
  </si>
  <si>
    <t>ADDITION</t>
  </si>
  <si>
    <t>FUNDING</t>
  </si>
  <si>
    <t>FY2025</t>
  </si>
  <si>
    <t>Fixture set and gauging - Fond du Lac (Fond du Lac)</t>
  </si>
  <si>
    <t>Cash</t>
  </si>
  <si>
    <t>Air compressor replacement (Beaver Dam)</t>
  </si>
  <si>
    <t>Beaver Dam expansion - electrical service (Beaver Dam)</t>
  </si>
  <si>
    <t>FY2026</t>
  </si>
  <si>
    <t>Beaver Dam expansion - relocation of Waupun equipment (Beaver Dam)</t>
  </si>
  <si>
    <t>5-axis machining center (Brandt lease FL-03) (Beaver Dam)</t>
  </si>
  <si>
    <t>Finance lease</t>
  </si>
  <si>
    <t>Tooling and workholding for 5-axis center (Beaver Dam)</t>
  </si>
  <si>
    <t>Forklift (Fond du Lac)</t>
  </si>
  <si>
    <t>Oshkosh shop - network and workstations (Oshkosh)</t>
  </si>
  <si>
    <t>Bar feeder (Fond du Lac)</t>
  </si>
  <si>
    <t>Roof section replacement (Fond du Lac)</t>
  </si>
  <si>
    <t>Surface grinder rebuild (Beaver Dam)</t>
  </si>
  <si>
    <t>Delivery van (Fond du Lac)</t>
  </si>
  <si>
    <t>Beaver Dam expansion - HVAC (Beaver Dam)</t>
  </si>
  <si>
    <t>CMM software upgrade (Fond du Lac)</t>
  </si>
  <si>
    <t>Capital Expenditures, Test Period</t>
  </si>
  <si>
    <t>Financed under a finance lease when placed in service</t>
  </si>
  <si>
    <t>Unfinanced Capital Expenditures, Test Period</t>
  </si>
  <si>
    <t>Capital Expenditures, Fiscal Year 2026 to date (December 2025 through August 2026)</t>
  </si>
  <si>
    <t>Limit per Fiscal Year, Section 6.13 (tested as of November 30 only)</t>
  </si>
  <si>
    <t>DATE</t>
  </si>
  <si>
    <t>PAYMENT OR REFUND</t>
  </si>
  <si>
    <t>FEDERAL</t>
  </si>
  <si>
    <t>STATE</t>
  </si>
  <si>
    <t>11/17/2025</t>
  </si>
  <si>
    <t>Estimated payment - fourth installment FY2025</t>
  </si>
  <si>
    <t>01/22/2026</t>
  </si>
  <si>
    <t>Refund received - FY2024 federal return</t>
  </si>
  <si>
    <t>02/17/2026</t>
  </si>
  <si>
    <t>Payment with extension - FY2025 returns</t>
  </si>
  <si>
    <t>03/16/2026</t>
  </si>
  <si>
    <t>Estimated payment - first installment FY2026</t>
  </si>
  <si>
    <t>05/15/2026</t>
  </si>
  <si>
    <t>Estimated payment - second installment FY2026</t>
  </si>
  <si>
    <t>08/17/2026</t>
  </si>
  <si>
    <t>Estimated payment - third installment FY2026</t>
  </si>
  <si>
    <t>Federal income taxes paid in cash, net of the refund</t>
  </si>
  <si>
    <t>State income taxes paid in cash</t>
  </si>
  <si>
    <t>Cash Taxes, Test Period</t>
  </si>
  <si>
    <t>The provision in accounts 8000 and 8010 is the accrual and is not Cash Taxes.</t>
  </si>
  <si>
    <t>Fixed Charges and the Fixed Charge Coverage Ratio, Test Period ended August 31, 2026</t>
  </si>
  <si>
    <t>Section 1.01, definitions of Consolidated Cash Interest Expense, Scheduled Principal Payments, Fixed Charges and Fixed Charge Coverage Ratio; Section 6.12.</t>
  </si>
  <si>
    <t>CONSOLIDATED CASH INTEREST EXPENSE</t>
  </si>
  <si>
    <t>Interest expense, term loan, account 7000</t>
  </si>
  <si>
    <t>GL TTM, account 7000</t>
  </si>
  <si>
    <t>Interest expense, revolving loans, account 7005</t>
  </si>
  <si>
    <t>GL TTM, account 7005</t>
  </si>
  <si>
    <t>Interest expense, seller note, account 7010</t>
  </si>
  <si>
    <t>GL TTM, account 7010</t>
  </si>
  <si>
    <t>Interest expense, finance leases, account 7015</t>
  </si>
  <si>
    <t>GL TTM, account 7015</t>
  </si>
  <si>
    <t>GL TTM; Consolidated Interest Expense is net of interest income</t>
  </si>
  <si>
    <t>Consolidated Cash Interest Expense</t>
  </si>
  <si>
    <t>Excludes the amortization of deferred financing costs in account 7018, which is not paid in cash</t>
  </si>
  <si>
    <t>SCHEDULED PRINCIPAL PAYMENTS</t>
  </si>
  <si>
    <t>Term Loan scheduled principal payment, 11/30/2025</t>
  </si>
  <si>
    <t>Term Loan tab</t>
  </si>
  <si>
    <t>Term Loan scheduled principal payment, 02/28/2026</t>
  </si>
  <si>
    <t>Term Loan scheduled principal payment, 05/31/2026</t>
  </si>
  <si>
    <t>Term Loan scheduled principal payment, 08/31/2026</t>
  </si>
  <si>
    <t>Seller Subordinated Note scheduled principal payment, 06/01/2026</t>
  </si>
  <si>
    <t>Seller Note tab</t>
  </si>
  <si>
    <t>Finance lease FL-01 principal paid, Vandermolen Equipment Credit</t>
  </si>
  <si>
    <t>Leases tab, PRINCIPAL PAID TTM</t>
  </si>
  <si>
    <t>Finance lease FL-02 principal paid, Kessler Leasing Corp</t>
  </si>
  <si>
    <t>Finance lease FL-03 principal paid, Brandt Capital LLC</t>
  </si>
  <si>
    <t>Scheduled Principal Payments</t>
  </si>
  <si>
    <t>Definition of Scheduled Principal Payments</t>
  </si>
  <si>
    <t>Not included: voluntary prepayment of the Term Loan on 04/15/2026</t>
  </si>
  <si>
    <t>Excluded by clause (a) of the definition; revolver paydowns excluded by clause (b)</t>
  </si>
  <si>
    <t>Fixed Charges, Test Period</t>
  </si>
  <si>
    <t>Consolidated Cash Interest Expense plus Scheduled Principal Payments</t>
  </si>
  <si>
    <t>FIXED CHARGE COVERAGE RATIO</t>
  </si>
  <si>
    <t>Consolidated EBITDA, Test Period</t>
  </si>
  <si>
    <t>EBITDA tab</t>
  </si>
  <si>
    <t>Capex and Taxes tab</t>
  </si>
  <si>
    <t>Less Restricted Payments, dividend paid December 19, 2025, account 3900</t>
  </si>
  <si>
    <t>GL TTM, covenant line Restricted payment</t>
  </si>
  <si>
    <t>Numerator of the Fixed Charge Coverage Ratio</t>
  </si>
  <si>
    <t>Numerator required at the minimum ratio</t>
  </si>
  <si>
    <t>Shortfall in the numerator, the Cure Amount required under Section 6.14</t>
  </si>
  <si>
    <t>Cash common equity within ten Business Days after October 15, 2026</t>
  </si>
  <si>
    <t>IF THE KOWALCZYK SETTLEMENT WERE APPROVED UNDER CLAUSE (e)</t>
  </si>
  <si>
    <t>Room left under the clause (e) cap after the severance add-back</t>
  </si>
  <si>
    <t>EBITDA tab, cap less the amount permitted; the settlement of $287,500.00 would be limited to this</t>
  </si>
  <si>
    <t>Numerator with the settlement added at the capped amount</t>
  </si>
  <si>
    <t>Fixed Charge Coverage Ratio with the settlement approved</t>
  </si>
  <si>
    <t>Section 6.12 status with the settlement approved</t>
  </si>
  <si>
    <t>To: Wade Kirchner, Chief Financial Officer</t>
  </si>
  <si>
    <t>Date: October 13, 2026</t>
  </si>
  <si>
    <t>Re: Compliance Certificate for the Fiscal Quarter ended August 31, 2026</t>
  </si>
  <si>
    <t>The certificate cannot go to Curtis as a clean certificate. The Total Leverage Ratio is 2.62 to 1.00 against a maximum of 2.75 to 1.00, so Section 6.11 is met. The Fixed Charge Coverage Ratio is 1.16 to 1.00 against the 1.20 to 1.00 minimum in Section 6.12, and that covenant is not met. Schedule 1 states the Event of Default, and the second certification on the front reads with the Schedule 1 exception.</t>
  </si>
  <si>
    <t>The leverage headroom is smaller than the 3.00 to 1.00 in your note to Curtis of September 10, 2026. Section 6.11 steps the maximum down to 2.75 to 1.00 for the Fiscal Quarter ending August 31, 2026, and Schedule 2 tests against that figure.</t>
  </si>
  <si>
    <t>The shortfall in the fixed charge numerator is $117,515.74, and that is the Cure Amount under Section 6.14: cash common equity contributed within ten Business Days after October 15, 2026, the day the certificate is due under Section 5.01. Section 6.14 allows a cure in no more than two Fiscal Quarters out of any four and never in consecutive quarters, so a cure now closes the option for the quarter ending November 30, 2026. The other route is a waiver or amendment, which is the Agent's decision rather than ours.</t>
  </si>
  <si>
    <t>Section 5.02 requires written notice of the Default to the Agent within five Business Days after a Responsible Officer has knowledge of it, and that period runs from the day you read this note. The certificate delivered on October 15 falls inside that period and can serve as the notice, since Schedule 1 states the details and the action proposed, but a short letter to Curtis this week keeps the two dates from depending on each other.</t>
  </si>
  <si>
    <t>The Kowalczyk settlement of $287,500.00 in account 6110 is not in the add-backs. Clause (e) allows only charges the Agent has approved in writing, and Curtis's email of September 11, 2026 says committee does not take it up until October 7. An approval would not cure the shortfall on its own. The clause (e) total is capped at $500,283.00, which is 10% of the $5,002,830.01 of Consolidated EBITDA before clause (e), so the settlement would add $88,283.00 rather than $287,500.00. The ratio would then be 1.19 to 1.00, still under the minimum.</t>
  </si>
  <si>
    <t>The Waupun severance and retention costs of $438,912.55 in account 6100 are added back at $412,000.00, the ceiling in Curtis's approval of September 8, 2026, and the $26,912.55 above it stays in expense. The Waupun leasehold write-off of $61,238.47 in account 7030 is a non-cash charge under clause (d), so it is added back in full and does not count against the clause (e) cap.</t>
  </si>
  <si>
    <t>Acquired EBITDA for Ostrander is $434,009.02 for September 2025 through February 2026, the six months before the March 2, 2026 closing, built from the statements we sent Curtis: net ordinary income plus the line of credit interest, depreciation, and Dale Ostrander's officer salary, which is the one adjustment approved. His auto and travel costs of $9,225.49 are not added. March through August is already in our ledger in the Oshkosh accounts, so nothing is added for those months.</t>
  </si>
  <si>
    <t>Consolidated Funded Debt is $14,167,103.23: the term loan after the August 31 scheduled payment, the revolver, the Ostrander seller note, the three finance leases, and the face amount of the two standby letters of credit, which count whether or not drawn. The three operating leases are outside the definition and are listed on the funded debt schedule as excluded.</t>
  </si>
  <si>
    <t>Fixed Charges are $2,768,695.77. Cash interest is the four interest accounts net of interest income, without the amortization of deferred financing costs, which is added back to EBITDA but is not paid in cash. Scheduled principal is the four quarterly term loan payments, the June seller note payment, and the principal portion of the finance lease payments. The $500,000.00 prepayment on April 15, 2026 was voluntary and is excluded, and so are the revolver paydowns.</t>
  </si>
  <si>
    <t>The numerator deducts Unfinanced Capital Expenditures of $1,188,565.83, which is the $1,801,015.83 of additions less the $612,450.00 5-axis center financed on the Brandt lease when it went in, Cash Taxes of $583,845.00, which is the estimated and extension payments net of the $42,610.00 federal refund received in January, and the $437,500.00 dividend paid on December 19, 2025 as a Restricted Payment.</t>
  </si>
  <si>
    <t>Capital Expenditures for Fiscal Year 2026 to date are $1,420,452.78 against the $2,400,000.00 limit in Section 6.13. That covenant is tested only as of November 30, so Schedule 2 reports the figure and the certificate does not certify it.</t>
  </si>
  <si>
    <t>Two things this package does not settle. Committee's answer on the Kowalczyk settlement comes after October 7, and an approval would move the ratio to 1.19 to 1.00 without curing it. The Ostrander figures are the seller's internally prepared statements, which the Agent accepted for clause (f) but which no one has audited, and the calculation rests on them as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</si>
</sst>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quot;-&quot;"/>
  </numFmts>
  <fonts count="4" x14ac:knownFonts="1">
    <font>
      <sz val="11"/>
      <color theme="1"/>
      <name val="Calibri"/>
      <family val="2"/>
      <scheme val="minor"/>
    </font>
    <font>
      <b/>
      <sz val="12"/>
      <name val="Arial"/>
      <family val="2"/>
    </font>
    <font>
      <sz val="10"/>
      <name val="Arial"/>
      <family val="2"/>
    </font>
    <font>
      <b/>
      <sz val="10"/>
      <name val="Arial"/>
      <family val="2"/>
    </font>
  </fonts>
  <fills count="4">
    <fill>
      <patternFill patternType="none"/>
    </fill>
    <fill>
      <patternFill patternType="gray125"/>
    </fill>
    <fill>
      <patternFill patternType="solid">
        <fgColor rgb="FFD9D9D9"/>
      </patternFill>
    </fill>
    <fill>
      <patternFill patternType="solid">
        <fgColor rgb="FFFFF2CC"/>
      </patternFill>
    </fill>
  </fills>
  <borders count="2">
    <border>
      <left/>
      <right/>
      <top/>
      <bottom/>
      <diagonal/>
    </border>
    <border>
      <left/>
      <right/>
      <top/>
      <bottom style="thin">
        <color rgb="FF808080"/>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2" borderId="0" xfId="0" applyFont="1" applyFill="1"/>
    <xf numFmtId="0" fontId="2" fillId="0" borderId="0" xfId="0" applyFont="1"/>
    <xf numFmtId="2" fontId="3" fillId="0" borderId="0" xfId="0" applyNumberFormat="1" applyFont="1"/>
    <xf numFmtId="2" fontId="2" fillId="0" borderId="0" xfId="0" applyNumberFormat="1" applyFont="1"/>
    <xf numFmtId="164" fontId="3" fillId="0" borderId="0" xfId="0" applyNumberFormat="1" applyFont="1"/>
    <xf numFmtId="0" fontId="3" fillId="0" borderId="0" xfId="0" applyFont="1"/>
    <xf numFmtId="164" fontId="2" fillId="0" borderId="0" xfId="0" applyNumberFormat="1" applyFont="1"/>
    <xf numFmtId="0" fontId="1" fillId="0" borderId="0" xfId="0" applyFont="1"/>
    <xf numFmtId="0" fontId="3" fillId="2" borderId="1" xfId="0" applyFont="1" applyFill="1" applyBorder="1"/>
    <xf numFmtId="9" fontId="2" fillId="0" borderId="0" xfId="0" applyNumberFormat="1" applyFont="1"/>
    <xf numFmtId="1" fontId="2" fillId="0" borderId="0" xfId="0" applyNumberFormat="1" applyFont="1"/>
    <xf numFmtId="0" fontId="3" fillId="3" borderId="1" xfId="0" applyFont="1" applyFill="1" applyBorder="1"/>
    <xf numFmtId="164" fontId="3" fillId="3" borderId="0" xfId="0" applyNumberFormat="1" applyFont="1" applyFill="1"/>
    <xf numFmtId="2" fontId="3" fillId="3"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abSelected="1" workbookViewId="0"/>
  </sheetViews>
  <sheetFormatPr baseColWidth="10" defaultColWidth="8.83203125" defaultRowHeight="15" x14ac:dyDescent="0.2"/>
  <cols>
    <col min="1" max="1" width="92" customWidth="1"/>
    <col min="2" max="2" width="20" customWidth="1"/>
  </cols>
  <sheetData>
    <row r="1" spans="1:1" ht="17" x14ac:dyDescent="0.2">
      <c r="A1" s="1" t="s">
        <v>0</v>
      </c>
    </row>
    <row r="2" spans="1:1" x14ac:dyDescent="0.2">
      <c r="A2" s="2"/>
    </row>
    <row r="3" spans="1:1" x14ac:dyDescent="0.2">
      <c r="A3" s="2" t="s">
        <v>1</v>
      </c>
    </row>
    <row r="4" spans="1:1" ht="45" customHeight="1" x14ac:dyDescent="0.2">
      <c r="A4" s="2" t="s">
        <v>2</v>
      </c>
    </row>
    <row r="5" spans="1:1" x14ac:dyDescent="0.2">
      <c r="A5" s="3" t="s">
        <v>3</v>
      </c>
    </row>
    <row r="6" spans="1:1" x14ac:dyDescent="0.2">
      <c r="A6" s="2"/>
    </row>
    <row r="7" spans="1:1" ht="30" customHeight="1" x14ac:dyDescent="0.2">
      <c r="A7" s="2" t="s">
        <v>4</v>
      </c>
    </row>
    <row r="8" spans="1:1" ht="45" customHeight="1" x14ac:dyDescent="0.2">
      <c r="A8" s="2" t="s">
        <v>5</v>
      </c>
    </row>
    <row r="9" spans="1:1" x14ac:dyDescent="0.2">
      <c r="A9" s="2" t="s">
        <v>6</v>
      </c>
    </row>
    <row r="10" spans="1:1" ht="30" customHeight="1" x14ac:dyDescent="0.2">
      <c r="A10" s="2" t="s">
        <v>7</v>
      </c>
    </row>
    <row r="11" spans="1:1" x14ac:dyDescent="0.2">
      <c r="A11" s="2"/>
    </row>
    <row r="12" spans="1:1" x14ac:dyDescent="0.2">
      <c r="A12" s="3" t="s">
        <v>8</v>
      </c>
    </row>
    <row r="13" spans="1:1" x14ac:dyDescent="0.2">
      <c r="A13" s="2" t="s">
        <v>9</v>
      </c>
    </row>
    <row r="14" spans="1:1" x14ac:dyDescent="0.2">
      <c r="A14" s="2" t="s">
        <v>10</v>
      </c>
    </row>
    <row r="15" spans="1:1" x14ac:dyDescent="0.2">
      <c r="A15" s="2" t="s">
        <v>11</v>
      </c>
    </row>
    <row r="16" spans="1:1" x14ac:dyDescent="0.2">
      <c r="A16" s="2" t="s">
        <v>12</v>
      </c>
    </row>
    <row r="17" spans="1:2" x14ac:dyDescent="0.2">
      <c r="A17" s="2"/>
    </row>
    <row r="18" spans="1:2" x14ac:dyDescent="0.2">
      <c r="A18" s="4" t="s">
        <v>13</v>
      </c>
    </row>
    <row r="19" spans="1:2" ht="30" customHeight="1" x14ac:dyDescent="0.2">
      <c r="A19" s="2" t="s">
        <v>14</v>
      </c>
    </row>
    <row r="20" spans="1:2" x14ac:dyDescent="0.2">
      <c r="A20" s="5" t="s">
        <v>15</v>
      </c>
      <c r="B20" s="6">
        <f>'Fixed Charges'!$B$33</f>
        <v>1.16</v>
      </c>
    </row>
    <row r="21" spans="1:2" x14ac:dyDescent="0.2">
      <c r="A21" s="5" t="s">
        <v>16</v>
      </c>
      <c r="B21" s="7">
        <f>Parameters!$B$5</f>
        <v>1.2</v>
      </c>
    </row>
    <row r="22" spans="1:2" x14ac:dyDescent="0.2">
      <c r="A22" s="5" t="s">
        <v>17</v>
      </c>
      <c r="B22" s="8">
        <f>'Fixed Charges'!$B$37</f>
        <v>117515.74</v>
      </c>
    </row>
    <row r="23" spans="1:2" ht="45" customHeight="1" x14ac:dyDescent="0.2">
      <c r="A23" s="2" t="s">
        <v>18</v>
      </c>
    </row>
    <row r="25" spans="1:2" x14ac:dyDescent="0.2">
      <c r="A25" s="4" t="s">
        <v>19</v>
      </c>
    </row>
    <row r="26" spans="1:2" x14ac:dyDescent="0.2">
      <c r="A26" s="9" t="s">
        <v>20</v>
      </c>
    </row>
    <row r="27" spans="1:2" x14ac:dyDescent="0.2">
      <c r="A27" s="5" t="s">
        <v>21</v>
      </c>
      <c r="B27" s="10">
        <f>'Funded Debt'!$B$13</f>
        <v>14167103.23</v>
      </c>
    </row>
    <row r="28" spans="1:2" x14ac:dyDescent="0.2">
      <c r="A28" s="5" t="s">
        <v>22</v>
      </c>
      <c r="B28" s="10">
        <f>EBITDA!$B$20</f>
        <v>5414830.01</v>
      </c>
    </row>
    <row r="29" spans="1:2" x14ac:dyDescent="0.2">
      <c r="A29" s="5" t="s">
        <v>23</v>
      </c>
      <c r="B29" s="10">
        <f>'Ostrander PF'!$H$30</f>
        <v>434009.02</v>
      </c>
    </row>
    <row r="30" spans="1:2" x14ac:dyDescent="0.2">
      <c r="A30" s="9" t="s">
        <v>24</v>
      </c>
      <c r="B30" s="6">
        <f>ROUND(B27/B28,2)</f>
        <v>2.62</v>
      </c>
    </row>
    <row r="31" spans="1:2" x14ac:dyDescent="0.2">
      <c r="A31" s="5" t="s">
        <v>25</v>
      </c>
      <c r="B31" s="7">
        <f>Parameters!$B$4</f>
        <v>2.75</v>
      </c>
    </row>
    <row r="32" spans="1:2" x14ac:dyDescent="0.2">
      <c r="A32" s="5" t="s">
        <v>26</v>
      </c>
      <c r="B32" s="9" t="str">
        <f>IF(B30&lt;=B31,"In compliance","Not in compliance")</f>
        <v>In compliance</v>
      </c>
    </row>
    <row r="34" spans="1:2" x14ac:dyDescent="0.2">
      <c r="A34" s="9" t="s">
        <v>27</v>
      </c>
    </row>
    <row r="35" spans="1:2" x14ac:dyDescent="0.2">
      <c r="A35" s="5" t="s">
        <v>22</v>
      </c>
      <c r="B35" s="10">
        <f>EBITDA!$B$20</f>
        <v>5414830.01</v>
      </c>
    </row>
    <row r="36" spans="1:2" x14ac:dyDescent="0.2">
      <c r="A36" s="5" t="s">
        <v>28</v>
      </c>
      <c r="B36" s="10">
        <f>'Capex and Taxes'!$D$22</f>
        <v>1188565.83</v>
      </c>
    </row>
    <row r="37" spans="1:2" x14ac:dyDescent="0.2">
      <c r="A37" s="5" t="s">
        <v>29</v>
      </c>
      <c r="B37" s="10">
        <f>'Capex and Taxes'!$C$35</f>
        <v>583845</v>
      </c>
    </row>
    <row r="38" spans="1:2" x14ac:dyDescent="0.2">
      <c r="A38" s="5" t="s">
        <v>30</v>
      </c>
      <c r="B38" s="10">
        <f>SUMIFS('GL TTM'!$P$5:$P$43,'GL TTM'!$C$5:$C$43,"Restricted payment")</f>
        <v>437500</v>
      </c>
    </row>
    <row r="39" spans="1:2" x14ac:dyDescent="0.2">
      <c r="A39" s="5" t="s">
        <v>31</v>
      </c>
      <c r="B39" s="10">
        <f>'Fixed Charges'!$B$31</f>
        <v>3204919.18</v>
      </c>
    </row>
    <row r="40" spans="1:2" x14ac:dyDescent="0.2">
      <c r="A40" s="5" t="s">
        <v>32</v>
      </c>
      <c r="B40" s="10">
        <f>'Fixed Charges'!$B$24</f>
        <v>2768695.77</v>
      </c>
    </row>
    <row r="41" spans="1:2" x14ac:dyDescent="0.2">
      <c r="A41" s="9" t="s">
        <v>33</v>
      </c>
      <c r="B41" s="6">
        <f>'Fixed Charges'!$B$33</f>
        <v>1.16</v>
      </c>
    </row>
    <row r="42" spans="1:2" x14ac:dyDescent="0.2">
      <c r="A42" s="5" t="s">
        <v>34</v>
      </c>
      <c r="B42" s="7">
        <f>Parameters!$B$5</f>
        <v>1.2</v>
      </c>
    </row>
    <row r="43" spans="1:2" x14ac:dyDescent="0.2">
      <c r="A43" s="5" t="s">
        <v>35</v>
      </c>
      <c r="B43" s="9" t="str">
        <f>'Fixed Charges'!$B$35</f>
        <v>Not in compliance</v>
      </c>
    </row>
    <row r="45" spans="1:2" x14ac:dyDescent="0.2">
      <c r="A45" s="9" t="s">
        <v>36</v>
      </c>
    </row>
    <row r="46" spans="1:2" x14ac:dyDescent="0.2">
      <c r="A46" s="5" t="s">
        <v>37</v>
      </c>
      <c r="B46" s="10">
        <f>'Capex and Taxes'!$D$23</f>
        <v>1420452.78</v>
      </c>
    </row>
    <row r="47" spans="1:2" x14ac:dyDescent="0.2">
      <c r="A47" s="5" t="s">
        <v>38</v>
      </c>
      <c r="B47" s="10">
        <f>Parameters!$B$8</f>
        <v>2400000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5"/>
  <sheetViews>
    <sheetView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9" customWidth="1"/>
    <col min="2" max="2" width="46" customWidth="1"/>
    <col min="3" max="3" width="26" customWidth="1"/>
    <col min="4" max="15" width="13" customWidth="1"/>
    <col min="16" max="17" width="15" customWidth="1"/>
  </cols>
  <sheetData>
    <row r="1" spans="1:17" ht="16" x14ac:dyDescent="0.2">
      <c r="A1" s="11" t="s">
        <v>39</v>
      </c>
    </row>
    <row r="2" spans="1:17" x14ac:dyDescent="0.2">
      <c r="A2" s="5" t="s">
        <v>40</v>
      </c>
    </row>
    <row r="4" spans="1:17" x14ac:dyDescent="0.2">
      <c r="A4" s="12" t="s">
        <v>41</v>
      </c>
      <c r="B4" s="12" t="s">
        <v>42</v>
      </c>
      <c r="C4" s="12" t="s">
        <v>43</v>
      </c>
      <c r="D4" s="12" t="s">
        <v>44</v>
      </c>
      <c r="E4" s="12" t="s">
        <v>45</v>
      </c>
      <c r="F4" s="12" t="s">
        <v>46</v>
      </c>
      <c r="G4" s="12" t="s">
        <v>47</v>
      </c>
      <c r="H4" s="12" t="s">
        <v>48</v>
      </c>
      <c r="I4" s="12" t="s">
        <v>49</v>
      </c>
      <c r="J4" s="12" t="s">
        <v>50</v>
      </c>
      <c r="K4" s="12" t="s">
        <v>51</v>
      </c>
      <c r="L4" s="12" t="s">
        <v>52</v>
      </c>
      <c r="M4" s="12" t="s">
        <v>53</v>
      </c>
      <c r="N4" s="12" t="s">
        <v>54</v>
      </c>
      <c r="O4" s="12" t="s">
        <v>55</v>
      </c>
      <c r="P4" s="12" t="s">
        <v>56</v>
      </c>
      <c r="Q4" s="12" t="s">
        <v>57</v>
      </c>
    </row>
    <row r="5" spans="1:17" x14ac:dyDescent="0.2">
      <c r="A5" s="5">
        <v>4000</v>
      </c>
      <c r="B5" s="5" t="s">
        <v>58</v>
      </c>
      <c r="C5" s="5" t="s">
        <v>59</v>
      </c>
      <c r="D5" s="10">
        <v>-1523828.21</v>
      </c>
      <c r="E5" s="10">
        <v>-1564895.57</v>
      </c>
      <c r="F5" s="10">
        <v>-1506637.56</v>
      </c>
      <c r="G5" s="10">
        <v>-1337473.2</v>
      </c>
      <c r="H5" s="10">
        <v>-1577088.14</v>
      </c>
      <c r="I5" s="10">
        <v>-1602134.42</v>
      </c>
      <c r="J5" s="10">
        <v>-1620406.79</v>
      </c>
      <c r="K5" s="10">
        <v>-1568265.61</v>
      </c>
      <c r="L5" s="10">
        <v>-1597470.42</v>
      </c>
      <c r="M5" s="10">
        <v>-1620242.17</v>
      </c>
      <c r="N5" s="10">
        <v>-1529284.17</v>
      </c>
      <c r="O5" s="10">
        <v>-1542154.34</v>
      </c>
      <c r="P5" s="8">
        <f t="shared" ref="P5:P41" si="0">SUM(D5:O5)</f>
        <v>-18589880.6</v>
      </c>
      <c r="Q5" s="10">
        <f t="shared" ref="Q5:Q41" si="1">-P5</f>
        <v>18589880.6</v>
      </c>
    </row>
    <row r="6" spans="1:17" x14ac:dyDescent="0.2">
      <c r="A6" s="5">
        <v>4010</v>
      </c>
      <c r="B6" s="5" t="s">
        <v>60</v>
      </c>
      <c r="C6" s="5" t="s">
        <v>59</v>
      </c>
      <c r="D6" s="10">
        <v>-915747.61</v>
      </c>
      <c r="E6" s="10">
        <v>-987076.25</v>
      </c>
      <c r="F6" s="10">
        <v>-909597.69</v>
      </c>
      <c r="G6" s="10">
        <v>-842373.68</v>
      </c>
      <c r="H6" s="10">
        <v>-950522.25</v>
      </c>
      <c r="I6" s="10">
        <v>-985538.62</v>
      </c>
      <c r="J6" s="10">
        <v>-993694.92</v>
      </c>
      <c r="K6" s="10">
        <v>-949533.92</v>
      </c>
      <c r="L6" s="10">
        <v>-1011304.78</v>
      </c>
      <c r="M6" s="10">
        <v>-970991.02</v>
      </c>
      <c r="N6" s="10">
        <v>-925773.43</v>
      </c>
      <c r="O6" s="10">
        <v>-941441.42</v>
      </c>
      <c r="P6" s="8">
        <f t="shared" si="0"/>
        <v>-11383595.59</v>
      </c>
      <c r="Q6" s="10">
        <f t="shared" si="1"/>
        <v>11383595.59</v>
      </c>
    </row>
    <row r="7" spans="1:17" x14ac:dyDescent="0.2">
      <c r="A7" s="5">
        <v>4020</v>
      </c>
      <c r="B7" s="5" t="s">
        <v>61</v>
      </c>
      <c r="C7" s="5" t="s">
        <v>59</v>
      </c>
      <c r="D7" s="10">
        <v>0</v>
      </c>
      <c r="E7" s="10">
        <v>0</v>
      </c>
      <c r="F7" s="10">
        <v>0</v>
      </c>
      <c r="G7" s="10">
        <v>0</v>
      </c>
      <c r="H7" s="10">
        <v>0</v>
      </c>
      <c r="I7" s="10">
        <v>0</v>
      </c>
      <c r="J7" s="10">
        <v>-264378.76</v>
      </c>
      <c r="K7" s="10">
        <v>-295403.38</v>
      </c>
      <c r="L7" s="10">
        <v>-303747.68</v>
      </c>
      <c r="M7" s="10">
        <v>-282790.44</v>
      </c>
      <c r="N7" s="10">
        <v>-292602.92</v>
      </c>
      <c r="O7" s="10">
        <v>-280734.67</v>
      </c>
      <c r="P7" s="8">
        <f t="shared" si="0"/>
        <v>-1719657.85</v>
      </c>
      <c r="Q7" s="10">
        <f t="shared" si="1"/>
        <v>1719657.85</v>
      </c>
    </row>
    <row r="8" spans="1:17" x14ac:dyDescent="0.2">
      <c r="A8" s="5">
        <v>4050</v>
      </c>
      <c r="B8" s="5" t="s">
        <v>62</v>
      </c>
      <c r="C8" s="5" t="s">
        <v>59</v>
      </c>
      <c r="D8" s="10">
        <v>-29641.73</v>
      </c>
      <c r="E8" s="10">
        <v>-28755.83</v>
      </c>
      <c r="F8" s="10">
        <v>-28368.21</v>
      </c>
      <c r="G8" s="10">
        <v>-26777.9</v>
      </c>
      <c r="H8" s="10">
        <v>-29606.26</v>
      </c>
      <c r="I8" s="10">
        <v>-29471.5</v>
      </c>
      <c r="J8" s="10">
        <v>-29281.19</v>
      </c>
      <c r="K8" s="10">
        <v>-28555.44</v>
      </c>
      <c r="L8" s="10">
        <v>-27869.53</v>
      </c>
      <c r="M8" s="10">
        <v>-27800.4</v>
      </c>
      <c r="N8" s="10">
        <v>-26830.06</v>
      </c>
      <c r="O8" s="10">
        <v>-30287.77</v>
      </c>
      <c r="P8" s="8">
        <f t="shared" si="0"/>
        <v>-343245.82</v>
      </c>
      <c r="Q8" s="10">
        <f t="shared" si="1"/>
        <v>343245.82</v>
      </c>
    </row>
    <row r="9" spans="1:17" x14ac:dyDescent="0.2">
      <c r="A9" s="5">
        <v>4090</v>
      </c>
      <c r="B9" s="5" t="s">
        <v>63</v>
      </c>
      <c r="C9" s="5" t="s">
        <v>59</v>
      </c>
      <c r="D9" s="10">
        <v>15241.14</v>
      </c>
      <c r="E9" s="10">
        <v>13172.48</v>
      </c>
      <c r="F9" s="10">
        <v>15355.28</v>
      </c>
      <c r="G9" s="10">
        <v>15941.53</v>
      </c>
      <c r="H9" s="10">
        <v>14603.48</v>
      </c>
      <c r="I9" s="10">
        <v>14479.63</v>
      </c>
      <c r="J9" s="10">
        <v>11972.63</v>
      </c>
      <c r="K9" s="10">
        <v>11226.07</v>
      </c>
      <c r="L9" s="10">
        <v>10809.97</v>
      </c>
      <c r="M9" s="10">
        <v>11198.04</v>
      </c>
      <c r="N9" s="10">
        <v>12702.47</v>
      </c>
      <c r="O9" s="10">
        <v>9814.84</v>
      </c>
      <c r="P9" s="8">
        <f t="shared" si="0"/>
        <v>156517.56</v>
      </c>
      <c r="Q9" s="10">
        <f t="shared" si="1"/>
        <v>-156517.56</v>
      </c>
    </row>
    <row r="10" spans="1:17" x14ac:dyDescent="0.2">
      <c r="A10" s="5">
        <v>5000</v>
      </c>
      <c r="B10" s="5" t="s">
        <v>64</v>
      </c>
      <c r="C10" s="5" t="s">
        <v>65</v>
      </c>
      <c r="D10" s="10">
        <v>911127.89</v>
      </c>
      <c r="E10" s="10">
        <v>962528.45</v>
      </c>
      <c r="F10" s="10">
        <v>896415.31</v>
      </c>
      <c r="G10" s="10">
        <v>826495.93</v>
      </c>
      <c r="H10" s="10">
        <v>934991.98</v>
      </c>
      <c r="I10" s="10">
        <v>980923.69</v>
      </c>
      <c r="J10" s="10">
        <v>1071554.5</v>
      </c>
      <c r="K10" s="10">
        <v>1041339.57</v>
      </c>
      <c r="L10" s="10">
        <v>1085497.77</v>
      </c>
      <c r="M10" s="10">
        <v>1067295.5</v>
      </c>
      <c r="N10" s="10">
        <v>1020426.17</v>
      </c>
      <c r="O10" s="10">
        <v>1023059.18</v>
      </c>
      <c r="P10" s="8">
        <f t="shared" si="0"/>
        <v>11821655.94</v>
      </c>
      <c r="Q10" s="10">
        <f t="shared" si="1"/>
        <v>-11821655.94</v>
      </c>
    </row>
    <row r="11" spans="1:17" x14ac:dyDescent="0.2">
      <c r="A11" s="5">
        <v>5010</v>
      </c>
      <c r="B11" s="5" t="s">
        <v>66</v>
      </c>
      <c r="C11" s="5" t="s">
        <v>65</v>
      </c>
      <c r="D11" s="10">
        <v>363699.97</v>
      </c>
      <c r="E11" s="10">
        <v>382989.79</v>
      </c>
      <c r="F11" s="10">
        <v>374578.18</v>
      </c>
      <c r="G11" s="10">
        <v>324845.53</v>
      </c>
      <c r="H11" s="10">
        <v>387870.25</v>
      </c>
      <c r="I11" s="10">
        <v>398105.7</v>
      </c>
      <c r="J11" s="10">
        <v>438949.42</v>
      </c>
      <c r="K11" s="10">
        <v>429989.57</v>
      </c>
      <c r="L11" s="10">
        <v>440014.59</v>
      </c>
      <c r="M11" s="10">
        <v>440693.92</v>
      </c>
      <c r="N11" s="10">
        <v>414666.19</v>
      </c>
      <c r="O11" s="10">
        <v>419392.47</v>
      </c>
      <c r="P11" s="8">
        <f t="shared" si="0"/>
        <v>4815795.58</v>
      </c>
      <c r="Q11" s="10">
        <f t="shared" si="1"/>
        <v>-4815795.58</v>
      </c>
    </row>
    <row r="12" spans="1:17" x14ac:dyDescent="0.2">
      <c r="A12" s="5">
        <v>5020</v>
      </c>
      <c r="B12" s="5" t="s">
        <v>67</v>
      </c>
      <c r="C12" s="5" t="s">
        <v>65</v>
      </c>
      <c r="D12" s="10">
        <v>121089.73</v>
      </c>
      <c r="E12" s="10">
        <v>125242.6</v>
      </c>
      <c r="F12" s="10">
        <v>119031.31</v>
      </c>
      <c r="G12" s="10">
        <v>108213.58</v>
      </c>
      <c r="H12" s="10">
        <v>122398.76</v>
      </c>
      <c r="I12" s="10">
        <v>128955.75</v>
      </c>
      <c r="J12" s="10">
        <v>140745.05</v>
      </c>
      <c r="K12" s="10">
        <v>138280.22</v>
      </c>
      <c r="L12" s="10">
        <v>142624.46</v>
      </c>
      <c r="M12" s="10">
        <v>141762.92</v>
      </c>
      <c r="N12" s="10">
        <v>135986.13</v>
      </c>
      <c r="O12" s="10">
        <v>137366.58</v>
      </c>
      <c r="P12" s="8">
        <f t="shared" si="0"/>
        <v>1561697.09</v>
      </c>
      <c r="Q12" s="10">
        <f t="shared" si="1"/>
        <v>-1561697.09</v>
      </c>
    </row>
    <row r="13" spans="1:17" x14ac:dyDescent="0.2">
      <c r="A13" s="5">
        <v>5030</v>
      </c>
      <c r="B13" s="5" t="s">
        <v>68</v>
      </c>
      <c r="C13" s="5" t="s">
        <v>65</v>
      </c>
      <c r="D13" s="10">
        <v>73998.24</v>
      </c>
      <c r="E13" s="10">
        <v>76671.83</v>
      </c>
      <c r="F13" s="10">
        <v>71642.29</v>
      </c>
      <c r="G13" s="10">
        <v>70748.95</v>
      </c>
      <c r="H13" s="10">
        <v>79520.67</v>
      </c>
      <c r="I13" s="10">
        <v>76645.57</v>
      </c>
      <c r="J13" s="10">
        <v>88714.4</v>
      </c>
      <c r="K13" s="10">
        <v>91410.19</v>
      </c>
      <c r="L13" s="10">
        <v>88341.71</v>
      </c>
      <c r="M13" s="10">
        <v>93051.64</v>
      </c>
      <c r="N13" s="10">
        <v>89019.09</v>
      </c>
      <c r="O13" s="10">
        <v>85510.06</v>
      </c>
      <c r="P13" s="8">
        <f t="shared" si="0"/>
        <v>985274.64</v>
      </c>
      <c r="Q13" s="10">
        <f t="shared" si="1"/>
        <v>-985274.64</v>
      </c>
    </row>
    <row r="14" spans="1:17" x14ac:dyDescent="0.2">
      <c r="A14" s="5">
        <v>5040</v>
      </c>
      <c r="B14" s="5" t="s">
        <v>69</v>
      </c>
      <c r="C14" s="5" t="s">
        <v>65</v>
      </c>
      <c r="D14" s="10">
        <v>36417.65</v>
      </c>
      <c r="E14" s="10">
        <v>40189.73</v>
      </c>
      <c r="F14" s="10">
        <v>45603.42</v>
      </c>
      <c r="G14" s="10">
        <v>49152.83</v>
      </c>
      <c r="H14" s="10">
        <v>53622.5</v>
      </c>
      <c r="I14" s="10">
        <v>50283.26</v>
      </c>
      <c r="J14" s="10">
        <v>44580.45</v>
      </c>
      <c r="K14" s="10">
        <v>40851.65</v>
      </c>
      <c r="L14" s="10">
        <v>38188.08</v>
      </c>
      <c r="M14" s="10">
        <v>42148.9</v>
      </c>
      <c r="N14" s="10">
        <v>42548.65</v>
      </c>
      <c r="O14" s="10">
        <v>40939.17</v>
      </c>
      <c r="P14" s="8">
        <f t="shared" si="0"/>
        <v>524526.29</v>
      </c>
      <c r="Q14" s="10">
        <f t="shared" si="1"/>
        <v>-524526.29</v>
      </c>
    </row>
    <row r="15" spans="1:17" x14ac:dyDescent="0.2">
      <c r="A15" s="5">
        <v>5050</v>
      </c>
      <c r="B15" s="5" t="s">
        <v>70</v>
      </c>
      <c r="C15" s="5" t="s">
        <v>71</v>
      </c>
      <c r="D15" s="10">
        <v>116418.22</v>
      </c>
      <c r="E15" s="10">
        <v>116418.22</v>
      </c>
      <c r="F15" s="10">
        <v>116418.22</v>
      </c>
      <c r="G15" s="10">
        <v>116418.22</v>
      </c>
      <c r="H15" s="10">
        <v>126263.55</v>
      </c>
      <c r="I15" s="10">
        <v>126263.55</v>
      </c>
      <c r="J15" s="10">
        <v>139497.31</v>
      </c>
      <c r="K15" s="10">
        <v>139497.31</v>
      </c>
      <c r="L15" s="10">
        <v>139497.31</v>
      </c>
      <c r="M15" s="10">
        <v>139497.31</v>
      </c>
      <c r="N15" s="10">
        <v>139497.31</v>
      </c>
      <c r="O15" s="10">
        <v>139497.31</v>
      </c>
      <c r="P15" s="8">
        <f t="shared" si="0"/>
        <v>1555183.84</v>
      </c>
      <c r="Q15" s="10">
        <f t="shared" si="1"/>
        <v>-1555183.84</v>
      </c>
    </row>
    <row r="16" spans="1:17" x14ac:dyDescent="0.2">
      <c r="A16" s="5">
        <v>5060</v>
      </c>
      <c r="B16" s="5" t="s">
        <v>72</v>
      </c>
      <c r="C16" s="5" t="s">
        <v>65</v>
      </c>
      <c r="D16" s="10">
        <v>27302.89</v>
      </c>
      <c r="E16" s="10">
        <v>29256.5</v>
      </c>
      <c r="F16" s="10">
        <v>26198.28</v>
      </c>
      <c r="G16" s="10">
        <v>23428.03</v>
      </c>
      <c r="H16" s="10">
        <v>28139.05</v>
      </c>
      <c r="I16" s="10">
        <v>28295.93</v>
      </c>
      <c r="J16" s="10">
        <v>32372.41</v>
      </c>
      <c r="K16" s="10">
        <v>31852.4</v>
      </c>
      <c r="L16" s="10">
        <v>30218.03</v>
      </c>
      <c r="M16" s="10">
        <v>31141.25</v>
      </c>
      <c r="N16" s="10">
        <v>28645.41</v>
      </c>
      <c r="O16" s="10">
        <v>31135.61</v>
      </c>
      <c r="P16" s="8">
        <f t="shared" si="0"/>
        <v>347985.79</v>
      </c>
      <c r="Q16" s="10">
        <f t="shared" si="1"/>
        <v>-347985.79</v>
      </c>
    </row>
    <row r="17" spans="1:17" x14ac:dyDescent="0.2">
      <c r="A17" s="5">
        <v>5070</v>
      </c>
      <c r="B17" s="5" t="s">
        <v>73</v>
      </c>
      <c r="C17" s="5" t="s">
        <v>65</v>
      </c>
      <c r="D17" s="10">
        <v>8815.38</v>
      </c>
      <c r="E17" s="10">
        <v>-4735.67</v>
      </c>
      <c r="F17" s="10">
        <v>-3001.53</v>
      </c>
      <c r="G17" s="10">
        <v>996.02</v>
      </c>
      <c r="H17" s="10">
        <v>5398</v>
      </c>
      <c r="I17" s="10">
        <v>-5022.97</v>
      </c>
      <c r="J17" s="10">
        <v>6816.57</v>
      </c>
      <c r="K17" s="10">
        <v>6226.77</v>
      </c>
      <c r="L17" s="10">
        <v>11811.04</v>
      </c>
      <c r="M17" s="10">
        <v>-1314.39</v>
      </c>
      <c r="N17" s="10">
        <v>714.38</v>
      </c>
      <c r="O17" s="10">
        <v>12750.17</v>
      </c>
      <c r="P17" s="8">
        <f t="shared" si="0"/>
        <v>39453.77</v>
      </c>
      <c r="Q17" s="10">
        <f t="shared" si="1"/>
        <v>-39453.77</v>
      </c>
    </row>
    <row r="18" spans="1:17" x14ac:dyDescent="0.2">
      <c r="A18" s="5">
        <v>6000</v>
      </c>
      <c r="B18" s="5" t="s">
        <v>74</v>
      </c>
      <c r="C18" s="5" t="s">
        <v>75</v>
      </c>
      <c r="D18" s="10">
        <v>148275.11</v>
      </c>
      <c r="E18" s="10">
        <v>149355.7</v>
      </c>
      <c r="F18" s="10">
        <v>148428.06</v>
      </c>
      <c r="G18" s="10">
        <v>146951.57</v>
      </c>
      <c r="H18" s="10">
        <v>150947.25</v>
      </c>
      <c r="I18" s="10">
        <v>147852.97</v>
      </c>
      <c r="J18" s="10">
        <v>151699.41</v>
      </c>
      <c r="K18" s="10">
        <v>150332.96</v>
      </c>
      <c r="L18" s="10">
        <v>148515.85</v>
      </c>
      <c r="M18" s="10">
        <v>149617.71</v>
      </c>
      <c r="N18" s="10">
        <v>152027.6</v>
      </c>
      <c r="O18" s="10">
        <v>144433.85</v>
      </c>
      <c r="P18" s="8">
        <f t="shared" si="0"/>
        <v>1788438.04</v>
      </c>
      <c r="Q18" s="10">
        <f t="shared" si="1"/>
        <v>-1788438.04</v>
      </c>
    </row>
    <row r="19" spans="1:17" x14ac:dyDescent="0.2">
      <c r="A19" s="5">
        <v>6010</v>
      </c>
      <c r="B19" s="5" t="s">
        <v>76</v>
      </c>
      <c r="C19" s="5" t="s">
        <v>75</v>
      </c>
      <c r="D19" s="10">
        <v>89883.55</v>
      </c>
      <c r="E19" s="10">
        <v>94390.95</v>
      </c>
      <c r="F19" s="10">
        <v>89413.17</v>
      </c>
      <c r="G19" s="10">
        <v>84269.4</v>
      </c>
      <c r="H19" s="10">
        <v>94423</v>
      </c>
      <c r="I19" s="10">
        <v>96749.18</v>
      </c>
      <c r="J19" s="10">
        <v>102774.41</v>
      </c>
      <c r="K19" s="10">
        <v>100979.02</v>
      </c>
      <c r="L19" s="10">
        <v>103611.09</v>
      </c>
      <c r="M19" s="10">
        <v>103612.49</v>
      </c>
      <c r="N19" s="10">
        <v>96666.99</v>
      </c>
      <c r="O19" s="10">
        <v>102300.91</v>
      </c>
      <c r="P19" s="8">
        <f t="shared" si="0"/>
        <v>1159074.16</v>
      </c>
      <c r="Q19" s="10">
        <f t="shared" si="1"/>
        <v>-1159074.16</v>
      </c>
    </row>
    <row r="20" spans="1:17" x14ac:dyDescent="0.2">
      <c r="A20" s="5">
        <v>6020</v>
      </c>
      <c r="B20" s="5" t="s">
        <v>77</v>
      </c>
      <c r="C20" s="5" t="s">
        <v>75</v>
      </c>
      <c r="D20" s="10">
        <v>151320.33</v>
      </c>
      <c r="E20" s="10">
        <v>162725.9</v>
      </c>
      <c r="F20" s="10">
        <v>156838.42</v>
      </c>
      <c r="G20" s="10">
        <v>138688.48</v>
      </c>
      <c r="H20" s="10">
        <v>163992.76</v>
      </c>
      <c r="I20" s="10">
        <v>166275.62</v>
      </c>
      <c r="J20" s="10">
        <v>179172.87</v>
      </c>
      <c r="K20" s="10">
        <v>176342.66</v>
      </c>
      <c r="L20" s="10">
        <v>177754.39</v>
      </c>
      <c r="M20" s="10">
        <v>178755.18</v>
      </c>
      <c r="N20" s="10">
        <v>171414.72</v>
      </c>
      <c r="O20" s="10">
        <v>168808.28</v>
      </c>
      <c r="P20" s="8">
        <f t="shared" si="0"/>
        <v>1992089.61</v>
      </c>
      <c r="Q20" s="10">
        <f t="shared" si="1"/>
        <v>-1992089.61</v>
      </c>
    </row>
    <row r="21" spans="1:17" x14ac:dyDescent="0.2">
      <c r="A21" s="5">
        <v>6040</v>
      </c>
      <c r="B21" s="5" t="s">
        <v>78</v>
      </c>
      <c r="C21" s="5" t="s">
        <v>75</v>
      </c>
      <c r="D21" s="10">
        <v>31246</v>
      </c>
      <c r="E21" s="10">
        <v>31246</v>
      </c>
      <c r="F21" s="10">
        <v>31246</v>
      </c>
      <c r="G21" s="10">
        <v>31246</v>
      </c>
      <c r="H21" s="10">
        <v>31246</v>
      </c>
      <c r="I21" s="10">
        <v>31246</v>
      </c>
      <c r="J21" s="10">
        <v>39996</v>
      </c>
      <c r="K21" s="10">
        <v>39996</v>
      </c>
      <c r="L21" s="10">
        <v>39996</v>
      </c>
      <c r="M21" s="10">
        <v>39996</v>
      </c>
      <c r="N21" s="10">
        <v>39996</v>
      </c>
      <c r="O21" s="10">
        <v>39996</v>
      </c>
      <c r="P21" s="8">
        <f t="shared" si="0"/>
        <v>427452</v>
      </c>
      <c r="Q21" s="10">
        <f t="shared" si="1"/>
        <v>-427452</v>
      </c>
    </row>
    <row r="22" spans="1:17" x14ac:dyDescent="0.2">
      <c r="A22" s="5">
        <v>6050</v>
      </c>
      <c r="B22" s="5" t="s">
        <v>79</v>
      </c>
      <c r="C22" s="5" t="s">
        <v>75</v>
      </c>
      <c r="D22" s="10">
        <v>27641.16</v>
      </c>
      <c r="E22" s="10">
        <v>27212.42</v>
      </c>
      <c r="F22" s="10">
        <v>27312.71</v>
      </c>
      <c r="G22" s="10">
        <v>27147.11</v>
      </c>
      <c r="H22" s="10">
        <v>27223.63</v>
      </c>
      <c r="I22" s="10">
        <v>27492.32</v>
      </c>
      <c r="J22" s="10">
        <v>30037.96</v>
      </c>
      <c r="K22" s="10">
        <v>30080.08</v>
      </c>
      <c r="L22" s="10">
        <v>30445.43</v>
      </c>
      <c r="M22" s="10">
        <v>30090.16</v>
      </c>
      <c r="N22" s="10">
        <v>30213.14</v>
      </c>
      <c r="O22" s="10">
        <v>30124.66</v>
      </c>
      <c r="P22" s="8">
        <f t="shared" si="0"/>
        <v>345020.78</v>
      </c>
      <c r="Q22" s="10">
        <f t="shared" si="1"/>
        <v>-345020.78</v>
      </c>
    </row>
    <row r="23" spans="1:17" x14ac:dyDescent="0.2">
      <c r="A23" s="5">
        <v>6060</v>
      </c>
      <c r="B23" s="5" t="s">
        <v>80</v>
      </c>
      <c r="C23" s="5" t="s">
        <v>75</v>
      </c>
      <c r="D23" s="10">
        <v>14061.61</v>
      </c>
      <c r="E23" s="10">
        <v>12047.22</v>
      </c>
      <c r="F23" s="10">
        <v>19437.83</v>
      </c>
      <c r="G23" s="10">
        <v>15971.84</v>
      </c>
      <c r="H23" s="10">
        <v>48742.97</v>
      </c>
      <c r="I23" s="10">
        <v>59583.61</v>
      </c>
      <c r="J23" s="10">
        <v>44572.01</v>
      </c>
      <c r="K23" s="10">
        <v>16064.57</v>
      </c>
      <c r="L23" s="10">
        <v>12704.91</v>
      </c>
      <c r="M23" s="10">
        <v>18049.22</v>
      </c>
      <c r="N23" s="10">
        <v>13745.83</v>
      </c>
      <c r="O23" s="10">
        <v>15703.8</v>
      </c>
      <c r="P23" s="8">
        <f t="shared" si="0"/>
        <v>290685.42</v>
      </c>
      <c r="Q23" s="10">
        <f t="shared" si="1"/>
        <v>-290685.42</v>
      </c>
    </row>
    <row r="24" spans="1:17" x14ac:dyDescent="0.2">
      <c r="A24" s="5">
        <v>6070</v>
      </c>
      <c r="B24" s="5" t="s">
        <v>81</v>
      </c>
      <c r="C24" s="5" t="s">
        <v>75</v>
      </c>
      <c r="D24" s="10">
        <v>8789.11</v>
      </c>
      <c r="E24" s="10">
        <v>11171.52</v>
      </c>
      <c r="F24" s="10">
        <v>9225.98</v>
      </c>
      <c r="G24" s="10">
        <v>9742.02</v>
      </c>
      <c r="H24" s="10">
        <v>10149.78</v>
      </c>
      <c r="I24" s="10">
        <v>9836.95</v>
      </c>
      <c r="J24" s="10">
        <v>10334</v>
      </c>
      <c r="K24" s="10">
        <v>9722.12</v>
      </c>
      <c r="L24" s="10">
        <v>11737.14</v>
      </c>
      <c r="M24" s="10">
        <v>10914.36</v>
      </c>
      <c r="N24" s="10">
        <v>11592.01</v>
      </c>
      <c r="O24" s="10">
        <v>8084.36</v>
      </c>
      <c r="P24" s="8">
        <f t="shared" si="0"/>
        <v>121299.35</v>
      </c>
      <c r="Q24" s="10">
        <f t="shared" si="1"/>
        <v>-121299.35</v>
      </c>
    </row>
    <row r="25" spans="1:17" x14ac:dyDescent="0.2">
      <c r="A25" s="5">
        <v>6080</v>
      </c>
      <c r="B25" s="5" t="s">
        <v>82</v>
      </c>
      <c r="C25" s="5" t="s">
        <v>75</v>
      </c>
      <c r="D25" s="10">
        <v>10581.42</v>
      </c>
      <c r="E25" s="10">
        <v>13345.45</v>
      </c>
      <c r="F25" s="10">
        <v>13064.01</v>
      </c>
      <c r="G25" s="10">
        <v>8711.64</v>
      </c>
      <c r="H25" s="10">
        <v>10619.22</v>
      </c>
      <c r="I25" s="10">
        <v>9254.4</v>
      </c>
      <c r="J25" s="10">
        <v>10297.74</v>
      </c>
      <c r="K25" s="10">
        <v>8829.22</v>
      </c>
      <c r="L25" s="10">
        <v>12927.27</v>
      </c>
      <c r="M25" s="10">
        <v>12596.71</v>
      </c>
      <c r="N25" s="10">
        <v>13730.49</v>
      </c>
      <c r="O25" s="10">
        <v>13895.66</v>
      </c>
      <c r="P25" s="8">
        <f t="shared" si="0"/>
        <v>137853.23</v>
      </c>
      <c r="Q25" s="10">
        <f t="shared" si="1"/>
        <v>-137853.23</v>
      </c>
    </row>
    <row r="26" spans="1:17" x14ac:dyDescent="0.2">
      <c r="A26" s="5">
        <v>6090</v>
      </c>
      <c r="B26" s="5" t="s">
        <v>83</v>
      </c>
      <c r="C26" s="5" t="s">
        <v>71</v>
      </c>
      <c r="D26" s="10">
        <v>14218.4</v>
      </c>
      <c r="E26" s="10">
        <v>14218.4</v>
      </c>
      <c r="F26" s="10">
        <v>14218.4</v>
      </c>
      <c r="G26" s="10">
        <v>14218.4</v>
      </c>
      <c r="H26" s="10">
        <v>14218.4</v>
      </c>
      <c r="I26" s="10">
        <v>14218.4</v>
      </c>
      <c r="J26" s="10">
        <v>15361.15</v>
      </c>
      <c r="K26" s="10">
        <v>15361.15</v>
      </c>
      <c r="L26" s="10">
        <v>15361.15</v>
      </c>
      <c r="M26" s="10">
        <v>15361.15</v>
      </c>
      <c r="N26" s="10">
        <v>15361.15</v>
      </c>
      <c r="O26" s="10">
        <v>15361.15</v>
      </c>
      <c r="P26" s="8">
        <f t="shared" si="0"/>
        <v>177477.3</v>
      </c>
      <c r="Q26" s="10">
        <f t="shared" si="1"/>
        <v>-177477.3</v>
      </c>
    </row>
    <row r="27" spans="1:17" x14ac:dyDescent="0.2">
      <c r="A27" s="5">
        <v>6095</v>
      </c>
      <c r="B27" s="5" t="s">
        <v>84</v>
      </c>
      <c r="C27" s="5" t="s">
        <v>71</v>
      </c>
      <c r="D27" s="10">
        <v>0</v>
      </c>
      <c r="E27" s="10">
        <v>0</v>
      </c>
      <c r="F27" s="10">
        <v>0</v>
      </c>
      <c r="G27" s="10">
        <v>0</v>
      </c>
      <c r="H27" s="10">
        <v>0</v>
      </c>
      <c r="I27" s="10">
        <v>0</v>
      </c>
      <c r="J27" s="10">
        <v>12708.33</v>
      </c>
      <c r="K27" s="10">
        <v>12708.33</v>
      </c>
      <c r="L27" s="10">
        <v>12708.33</v>
      </c>
      <c r="M27" s="10">
        <v>12708.33</v>
      </c>
      <c r="N27" s="10">
        <v>12708.33</v>
      </c>
      <c r="O27" s="10">
        <v>12708.33</v>
      </c>
      <c r="P27" s="8">
        <f t="shared" si="0"/>
        <v>76249.98</v>
      </c>
      <c r="Q27" s="10">
        <f t="shared" si="1"/>
        <v>-76249.98</v>
      </c>
    </row>
    <row r="28" spans="1:17" x14ac:dyDescent="0.2">
      <c r="A28" s="5">
        <v>6100</v>
      </c>
      <c r="B28" s="5" t="s">
        <v>85</v>
      </c>
      <c r="C28" s="5" t="s">
        <v>86</v>
      </c>
      <c r="D28" s="10">
        <v>0</v>
      </c>
      <c r="E28" s="10">
        <v>118406.2</v>
      </c>
      <c r="F28" s="10">
        <v>96250</v>
      </c>
      <c r="G28" s="10">
        <v>142880.1</v>
      </c>
      <c r="H28" s="10">
        <v>44375.75</v>
      </c>
      <c r="I28" s="10">
        <v>37000.5</v>
      </c>
      <c r="J28" s="10">
        <v>0</v>
      </c>
      <c r="K28" s="10">
        <v>0</v>
      </c>
      <c r="L28" s="10">
        <v>0</v>
      </c>
      <c r="M28" s="10">
        <v>0</v>
      </c>
      <c r="N28" s="10">
        <v>0</v>
      </c>
      <c r="O28" s="10">
        <v>0</v>
      </c>
      <c r="P28" s="8">
        <f t="shared" si="0"/>
        <v>438912.55</v>
      </c>
      <c r="Q28" s="10">
        <f t="shared" si="1"/>
        <v>-438912.55</v>
      </c>
    </row>
    <row r="29" spans="1:17" x14ac:dyDescent="0.2">
      <c r="A29" s="5">
        <v>6110</v>
      </c>
      <c r="B29" s="5" t="s">
        <v>87</v>
      </c>
      <c r="C29" s="5" t="s">
        <v>88</v>
      </c>
      <c r="D29" s="10">
        <v>0</v>
      </c>
      <c r="E29" s="10">
        <v>0</v>
      </c>
      <c r="F29" s="10">
        <v>0</v>
      </c>
      <c r="G29" s="10">
        <v>0</v>
      </c>
      <c r="H29" s="10">
        <v>0</v>
      </c>
      <c r="I29" s="10">
        <v>0</v>
      </c>
      <c r="J29" s="10">
        <v>0</v>
      </c>
      <c r="K29" s="10">
        <v>0</v>
      </c>
      <c r="L29" s="10">
        <v>0</v>
      </c>
      <c r="M29" s="10">
        <v>287500</v>
      </c>
      <c r="N29" s="10">
        <v>0</v>
      </c>
      <c r="O29" s="10">
        <v>0</v>
      </c>
      <c r="P29" s="8">
        <f t="shared" si="0"/>
        <v>287500</v>
      </c>
      <c r="Q29" s="10">
        <f t="shared" si="1"/>
        <v>-287500</v>
      </c>
    </row>
    <row r="30" spans="1:17" x14ac:dyDescent="0.2">
      <c r="A30" s="5">
        <v>6120</v>
      </c>
      <c r="B30" s="5" t="s">
        <v>89</v>
      </c>
      <c r="C30" s="5" t="s">
        <v>75</v>
      </c>
      <c r="D30" s="10">
        <v>3040.22</v>
      </c>
      <c r="E30" s="10">
        <v>3346.69</v>
      </c>
      <c r="F30" s="10">
        <v>2531.4</v>
      </c>
      <c r="G30" s="10">
        <v>2399.74</v>
      </c>
      <c r="H30" s="10">
        <v>2465.31</v>
      </c>
      <c r="I30" s="10">
        <v>3516.75</v>
      </c>
      <c r="J30" s="10">
        <v>3233.74</v>
      </c>
      <c r="K30" s="10">
        <v>2848.31</v>
      </c>
      <c r="L30" s="10">
        <v>3423.55</v>
      </c>
      <c r="M30" s="10">
        <v>3195.79</v>
      </c>
      <c r="N30" s="10">
        <v>2426.91</v>
      </c>
      <c r="O30" s="10">
        <v>3240</v>
      </c>
      <c r="P30" s="8">
        <f t="shared" si="0"/>
        <v>35668.41</v>
      </c>
      <c r="Q30" s="10">
        <f t="shared" si="1"/>
        <v>-35668.41</v>
      </c>
    </row>
    <row r="31" spans="1:17" x14ac:dyDescent="0.2">
      <c r="A31" s="5">
        <v>6130</v>
      </c>
      <c r="B31" s="5" t="s">
        <v>90</v>
      </c>
      <c r="C31" s="5" t="s">
        <v>75</v>
      </c>
      <c r="D31" s="10">
        <v>15820.92</v>
      </c>
      <c r="E31" s="10">
        <v>16025.64</v>
      </c>
      <c r="F31" s="10">
        <v>15891.59</v>
      </c>
      <c r="G31" s="10">
        <v>15874.56</v>
      </c>
      <c r="H31" s="10">
        <v>15903.15</v>
      </c>
      <c r="I31" s="10">
        <v>16015.15</v>
      </c>
      <c r="J31" s="10">
        <v>15807.7</v>
      </c>
      <c r="K31" s="10">
        <v>15999.89</v>
      </c>
      <c r="L31" s="10">
        <v>15772.22</v>
      </c>
      <c r="M31" s="10">
        <v>15859.98</v>
      </c>
      <c r="N31" s="10">
        <v>15779.43</v>
      </c>
      <c r="O31" s="10">
        <v>15908.43</v>
      </c>
      <c r="P31" s="8">
        <f t="shared" si="0"/>
        <v>190658.66</v>
      </c>
      <c r="Q31" s="10">
        <f t="shared" si="1"/>
        <v>-190658.66</v>
      </c>
    </row>
    <row r="32" spans="1:17" x14ac:dyDescent="0.2">
      <c r="A32" s="5">
        <v>7000</v>
      </c>
      <c r="B32" s="5" t="s">
        <v>91</v>
      </c>
      <c r="C32" s="5" t="s">
        <v>92</v>
      </c>
      <c r="D32" s="10">
        <v>65608.75</v>
      </c>
      <c r="E32" s="10">
        <v>67795.71</v>
      </c>
      <c r="F32" s="10">
        <v>65608.75</v>
      </c>
      <c r="G32" s="10">
        <v>65628.72</v>
      </c>
      <c r="H32" s="10">
        <v>64077</v>
      </c>
      <c r="I32" s="10">
        <v>57876</v>
      </c>
      <c r="J32" s="10">
        <v>61961.25</v>
      </c>
      <c r="K32" s="10">
        <v>58500</v>
      </c>
      <c r="L32" s="10">
        <v>58267.08</v>
      </c>
      <c r="M32" s="10">
        <v>54363.33</v>
      </c>
      <c r="N32" s="10">
        <v>56175.44</v>
      </c>
      <c r="O32" s="10">
        <v>56175.44</v>
      </c>
      <c r="P32" s="8">
        <f t="shared" si="0"/>
        <v>732037.47</v>
      </c>
      <c r="Q32" s="10">
        <f t="shared" si="1"/>
        <v>-732037.47</v>
      </c>
    </row>
    <row r="33" spans="1:17" x14ac:dyDescent="0.2">
      <c r="A33" s="5">
        <v>7005</v>
      </c>
      <c r="B33" s="5" t="s">
        <v>93</v>
      </c>
      <c r="C33" s="5" t="s">
        <v>92</v>
      </c>
      <c r="D33" s="10">
        <v>15031.62</v>
      </c>
      <c r="E33" s="10">
        <v>16974.44</v>
      </c>
      <c r="F33" s="10">
        <v>17115.25</v>
      </c>
      <c r="G33" s="10">
        <v>15408.56</v>
      </c>
      <c r="H33" s="10">
        <v>16664.22</v>
      </c>
      <c r="I33" s="10">
        <v>17180.97</v>
      </c>
      <c r="J33" s="10">
        <v>20605.41</v>
      </c>
      <c r="K33" s="10">
        <v>18236.24</v>
      </c>
      <c r="L33" s="10">
        <v>16348.43</v>
      </c>
      <c r="M33" s="10">
        <v>15045.02</v>
      </c>
      <c r="N33" s="10">
        <v>15148.47</v>
      </c>
      <c r="O33" s="10">
        <v>14139.99</v>
      </c>
      <c r="P33" s="8">
        <f t="shared" si="0"/>
        <v>197898.62</v>
      </c>
      <c r="Q33" s="10">
        <f t="shared" si="1"/>
        <v>-197898.62</v>
      </c>
    </row>
    <row r="34" spans="1:17" x14ac:dyDescent="0.2">
      <c r="A34" s="5">
        <v>7010</v>
      </c>
      <c r="B34" s="5" t="s">
        <v>94</v>
      </c>
      <c r="C34" s="5" t="s">
        <v>92</v>
      </c>
      <c r="D34" s="10">
        <v>0</v>
      </c>
      <c r="E34" s="10">
        <v>0</v>
      </c>
      <c r="F34" s="10">
        <v>0</v>
      </c>
      <c r="G34" s="10">
        <v>0</v>
      </c>
      <c r="H34" s="10">
        <v>0</v>
      </c>
      <c r="I34" s="10">
        <v>0</v>
      </c>
      <c r="J34" s="10">
        <v>7250</v>
      </c>
      <c r="K34" s="10">
        <v>7500</v>
      </c>
      <c r="L34" s="10">
        <v>7500</v>
      </c>
      <c r="M34" s="10">
        <v>7187.5</v>
      </c>
      <c r="N34" s="10">
        <v>7187.5</v>
      </c>
      <c r="O34" s="10">
        <v>7187.5</v>
      </c>
      <c r="P34" s="8">
        <f t="shared" si="0"/>
        <v>43812.5</v>
      </c>
      <c r="Q34" s="10">
        <f t="shared" si="1"/>
        <v>-43812.5</v>
      </c>
    </row>
    <row r="35" spans="1:17" x14ac:dyDescent="0.2">
      <c r="A35" s="5">
        <v>7015</v>
      </c>
      <c r="B35" s="5" t="s">
        <v>95</v>
      </c>
      <c r="C35" s="5" t="s">
        <v>92</v>
      </c>
      <c r="D35" s="10">
        <v>3576.8</v>
      </c>
      <c r="E35" s="10">
        <v>3483.15</v>
      </c>
      <c r="F35" s="10">
        <v>3389.01</v>
      </c>
      <c r="G35" s="10">
        <v>3294.4</v>
      </c>
      <c r="H35" s="10">
        <v>3199.31</v>
      </c>
      <c r="I35" s="10">
        <v>6548.77</v>
      </c>
      <c r="J35" s="10">
        <v>6404.29</v>
      </c>
      <c r="K35" s="10">
        <v>6259.05</v>
      </c>
      <c r="L35" s="10">
        <v>6113.05</v>
      </c>
      <c r="M35" s="10">
        <v>5966.26</v>
      </c>
      <c r="N35" s="10">
        <v>5818.73</v>
      </c>
      <c r="O35" s="10">
        <v>5670.41</v>
      </c>
      <c r="P35" s="8">
        <f t="shared" si="0"/>
        <v>59723.23</v>
      </c>
      <c r="Q35" s="10">
        <f t="shared" si="1"/>
        <v>-59723.23</v>
      </c>
    </row>
    <row r="36" spans="1:17" x14ac:dyDescent="0.2">
      <c r="A36" s="5">
        <v>7018</v>
      </c>
      <c r="B36" s="5" t="s">
        <v>96</v>
      </c>
      <c r="C36" s="5" t="s">
        <v>97</v>
      </c>
      <c r="D36" s="10">
        <v>4833.33</v>
      </c>
      <c r="E36" s="10">
        <v>4833.33</v>
      </c>
      <c r="F36" s="10">
        <v>4833.33</v>
      </c>
      <c r="G36" s="10">
        <v>4833.33</v>
      </c>
      <c r="H36" s="10">
        <v>4833.33</v>
      </c>
      <c r="I36" s="10">
        <v>4833.33</v>
      </c>
      <c r="J36" s="10">
        <v>4833.33</v>
      </c>
      <c r="K36" s="10">
        <v>4833.33</v>
      </c>
      <c r="L36" s="10">
        <v>4833.33</v>
      </c>
      <c r="M36" s="10">
        <v>4833.33</v>
      </c>
      <c r="N36" s="10">
        <v>4833.33</v>
      </c>
      <c r="O36" s="10">
        <v>4833.33</v>
      </c>
      <c r="P36" s="8">
        <f t="shared" si="0"/>
        <v>57999.96</v>
      </c>
      <c r="Q36" s="10">
        <f t="shared" si="1"/>
        <v>-57999.96</v>
      </c>
    </row>
    <row r="37" spans="1:17" x14ac:dyDescent="0.2">
      <c r="A37" s="5">
        <v>7020</v>
      </c>
      <c r="B37" s="5" t="s">
        <v>98</v>
      </c>
      <c r="C37" s="5" t="s">
        <v>99</v>
      </c>
      <c r="D37" s="10">
        <v>0</v>
      </c>
      <c r="E37" s="10">
        <v>0</v>
      </c>
      <c r="F37" s="10">
        <v>-86412</v>
      </c>
      <c r="G37" s="10">
        <v>0</v>
      </c>
      <c r="H37" s="10">
        <v>0</v>
      </c>
      <c r="I37" s="10">
        <v>0</v>
      </c>
      <c r="J37" s="10">
        <v>0</v>
      </c>
      <c r="K37" s="10">
        <v>0</v>
      </c>
      <c r="L37" s="10">
        <v>0</v>
      </c>
      <c r="M37" s="10">
        <v>0</v>
      </c>
      <c r="N37" s="10">
        <v>0</v>
      </c>
      <c r="O37" s="10">
        <v>0</v>
      </c>
      <c r="P37" s="8">
        <f t="shared" si="0"/>
        <v>-86412</v>
      </c>
      <c r="Q37" s="10">
        <f t="shared" si="1"/>
        <v>86412</v>
      </c>
    </row>
    <row r="38" spans="1:17" x14ac:dyDescent="0.2">
      <c r="A38" s="5">
        <v>7030</v>
      </c>
      <c r="B38" s="5" t="s">
        <v>100</v>
      </c>
      <c r="C38" s="5" t="s">
        <v>101</v>
      </c>
      <c r="D38" s="10">
        <v>0</v>
      </c>
      <c r="E38" s="10">
        <v>0</v>
      </c>
      <c r="F38" s="10">
        <v>0</v>
      </c>
      <c r="G38" s="10">
        <v>61238.47</v>
      </c>
      <c r="H38" s="10">
        <v>0</v>
      </c>
      <c r="I38" s="10">
        <v>0</v>
      </c>
      <c r="J38" s="10">
        <v>0</v>
      </c>
      <c r="K38" s="10">
        <v>0</v>
      </c>
      <c r="L38" s="10">
        <v>0</v>
      </c>
      <c r="M38" s="10">
        <v>0</v>
      </c>
      <c r="N38" s="10">
        <v>0</v>
      </c>
      <c r="O38" s="10">
        <v>0</v>
      </c>
      <c r="P38" s="8">
        <f t="shared" si="0"/>
        <v>61238.47</v>
      </c>
      <c r="Q38" s="10">
        <f t="shared" si="1"/>
        <v>-61238.47</v>
      </c>
    </row>
    <row r="39" spans="1:17" x14ac:dyDescent="0.2">
      <c r="A39" s="5">
        <v>7050</v>
      </c>
      <c r="B39" s="5" t="s">
        <v>102</v>
      </c>
      <c r="C39" s="5" t="s">
        <v>102</v>
      </c>
      <c r="D39" s="10">
        <v>-1676.96</v>
      </c>
      <c r="E39" s="10">
        <v>-1469.83</v>
      </c>
      <c r="F39" s="10">
        <v>-1346.1</v>
      </c>
      <c r="G39" s="10">
        <v>-1635.9</v>
      </c>
      <c r="H39" s="10">
        <v>-1630.66</v>
      </c>
      <c r="I39" s="10">
        <v>-1635.22</v>
      </c>
      <c r="J39" s="10">
        <v>-1239.87</v>
      </c>
      <c r="K39" s="10">
        <v>-1623.79</v>
      </c>
      <c r="L39" s="10">
        <v>-1236.16</v>
      </c>
      <c r="M39" s="10">
        <v>-1205.99</v>
      </c>
      <c r="N39" s="10">
        <v>-1589.86</v>
      </c>
      <c r="O39" s="10">
        <v>-1269.18</v>
      </c>
      <c r="P39" s="8">
        <f t="shared" si="0"/>
        <v>-17559.52</v>
      </c>
      <c r="Q39" s="10">
        <f t="shared" si="1"/>
        <v>17559.52</v>
      </c>
    </row>
    <row r="40" spans="1:17" x14ac:dyDescent="0.2">
      <c r="A40" s="5">
        <v>8000</v>
      </c>
      <c r="B40" s="5" t="s">
        <v>103</v>
      </c>
      <c r="C40" s="5" t="s">
        <v>104</v>
      </c>
      <c r="D40" s="10">
        <v>40853.86</v>
      </c>
      <c r="E40" s="10">
        <v>20560.22</v>
      </c>
      <c r="F40" s="10">
        <v>30523.78</v>
      </c>
      <c r="G40" s="10">
        <v>0</v>
      </c>
      <c r="H40" s="10">
        <v>20862.29</v>
      </c>
      <c r="I40" s="10">
        <v>22411.85</v>
      </c>
      <c r="J40" s="10">
        <v>47383.29</v>
      </c>
      <c r="K40" s="10">
        <v>53133.52</v>
      </c>
      <c r="L40" s="10">
        <v>54795.97</v>
      </c>
      <c r="M40" s="10">
        <v>0</v>
      </c>
      <c r="N40" s="10">
        <v>46095.7</v>
      </c>
      <c r="O40" s="10">
        <v>49097.11</v>
      </c>
      <c r="P40" s="8">
        <f t="shared" si="0"/>
        <v>385717.59</v>
      </c>
      <c r="Q40" s="10">
        <f t="shared" si="1"/>
        <v>-385717.59</v>
      </c>
    </row>
    <row r="41" spans="1:17" x14ac:dyDescent="0.2">
      <c r="A41" s="5">
        <v>8010</v>
      </c>
      <c r="B41" s="5" t="s">
        <v>105</v>
      </c>
      <c r="C41" s="5" t="s">
        <v>104</v>
      </c>
      <c r="D41" s="10">
        <v>15864.9</v>
      </c>
      <c r="E41" s="10">
        <v>8014.36</v>
      </c>
      <c r="F41" s="10">
        <v>13120.28</v>
      </c>
      <c r="G41" s="10">
        <v>0</v>
      </c>
      <c r="H41" s="10">
        <v>7644.65</v>
      </c>
      <c r="I41" s="10">
        <v>9548.89</v>
      </c>
      <c r="J41" s="10">
        <v>17273.11</v>
      </c>
      <c r="K41" s="10">
        <v>18555.55</v>
      </c>
      <c r="L41" s="10">
        <v>21826.69</v>
      </c>
      <c r="M41" s="10">
        <v>0</v>
      </c>
      <c r="N41" s="10">
        <v>18478.01</v>
      </c>
      <c r="O41" s="10">
        <v>19418.25</v>
      </c>
      <c r="P41" s="8">
        <f t="shared" si="0"/>
        <v>149744.69</v>
      </c>
      <c r="Q41" s="10">
        <f t="shared" si="1"/>
        <v>-149744.69</v>
      </c>
    </row>
    <row r="43" spans="1:17" x14ac:dyDescent="0.2">
      <c r="A43" s="5">
        <v>3900</v>
      </c>
      <c r="B43" s="5" t="s">
        <v>106</v>
      </c>
      <c r="C43" s="5" t="s">
        <v>107</v>
      </c>
      <c r="D43" s="10">
        <v>0</v>
      </c>
      <c r="E43" s="10">
        <v>0</v>
      </c>
      <c r="F43" s="10">
        <v>0</v>
      </c>
      <c r="G43" s="10">
        <v>437500</v>
      </c>
      <c r="H43" s="10">
        <v>0</v>
      </c>
      <c r="I43" s="10">
        <v>0</v>
      </c>
      <c r="J43" s="10">
        <v>0</v>
      </c>
      <c r="K43" s="10">
        <v>0</v>
      </c>
      <c r="L43" s="10">
        <v>0</v>
      </c>
      <c r="M43" s="10">
        <v>0</v>
      </c>
      <c r="N43" s="10">
        <v>0</v>
      </c>
      <c r="O43" s="10">
        <v>0</v>
      </c>
      <c r="P43" s="8">
        <f>SUM(D43:O43)</f>
        <v>437500</v>
      </c>
    </row>
    <row r="45" spans="1:17" x14ac:dyDescent="0.2">
      <c r="A45" s="5" t="s">
        <v>108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heetViews>
  <sheetFormatPr baseColWidth="10" defaultColWidth="8.83203125" defaultRowHeight="15" x14ac:dyDescent="0.2"/>
  <cols>
    <col min="1" max="1" width="66" customWidth="1"/>
    <col min="2" max="2" width="16" customWidth="1"/>
    <col min="3" max="3" width="58" customWidth="1"/>
  </cols>
  <sheetData>
    <row r="1" spans="1:3" ht="16" x14ac:dyDescent="0.2">
      <c r="A1" s="11" t="s">
        <v>109</v>
      </c>
    </row>
    <row r="3" spans="1:3" x14ac:dyDescent="0.2">
      <c r="A3" s="12" t="s">
        <v>110</v>
      </c>
      <c r="B3" s="12" t="s">
        <v>111</v>
      </c>
      <c r="C3" s="12" t="s">
        <v>112</v>
      </c>
    </row>
    <row r="4" spans="1:3" x14ac:dyDescent="0.2">
      <c r="A4" s="5" t="s">
        <v>113</v>
      </c>
      <c r="B4" s="7">
        <v>2.75</v>
      </c>
      <c r="C4" s="5" t="s">
        <v>114</v>
      </c>
    </row>
    <row r="5" spans="1:3" x14ac:dyDescent="0.2">
      <c r="A5" s="5" t="s">
        <v>115</v>
      </c>
      <c r="B5" s="7">
        <v>1.2</v>
      </c>
      <c r="C5" s="5" t="s">
        <v>116</v>
      </c>
    </row>
    <row r="6" spans="1:3" x14ac:dyDescent="0.2">
      <c r="A6" s="5" t="s">
        <v>117</v>
      </c>
      <c r="B6" s="13">
        <v>0.1</v>
      </c>
      <c r="C6" s="5" t="s">
        <v>118</v>
      </c>
    </row>
    <row r="7" spans="1:3" x14ac:dyDescent="0.2">
      <c r="A7" s="5" t="s">
        <v>119</v>
      </c>
      <c r="B7" s="10">
        <v>412000</v>
      </c>
      <c r="C7" s="5" t="s">
        <v>120</v>
      </c>
    </row>
    <row r="8" spans="1:3" x14ac:dyDescent="0.2">
      <c r="A8" s="5" t="s">
        <v>121</v>
      </c>
      <c r="B8" s="10">
        <v>2400000</v>
      </c>
      <c r="C8" s="5" t="s">
        <v>122</v>
      </c>
    </row>
    <row r="9" spans="1:3" x14ac:dyDescent="0.2">
      <c r="A9" s="5" t="s">
        <v>123</v>
      </c>
      <c r="B9" s="14">
        <v>45</v>
      </c>
      <c r="C9" s="5" t="s">
        <v>124</v>
      </c>
    </row>
    <row r="10" spans="1:3" x14ac:dyDescent="0.2">
      <c r="A10" s="5" t="s">
        <v>125</v>
      </c>
      <c r="B10" s="14">
        <v>10</v>
      </c>
      <c r="C10" s="5" t="s">
        <v>126</v>
      </c>
    </row>
    <row r="11" spans="1:3" x14ac:dyDescent="0.2">
      <c r="A11" s="5" t="s">
        <v>127</v>
      </c>
      <c r="B11" s="14">
        <v>5</v>
      </c>
      <c r="C11" s="5" t="s">
        <v>128</v>
      </c>
    </row>
    <row r="13" spans="1:3" x14ac:dyDescent="0.2">
      <c r="A13" s="5" t="s">
        <v>129</v>
      </c>
    </row>
    <row r="14" spans="1:3" x14ac:dyDescent="0.2">
      <c r="A14" s="5" t="s">
        <v>130</v>
      </c>
    </row>
    <row r="15" spans="1:3" x14ac:dyDescent="0.2">
      <c r="A15" s="5"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3"/>
  <sheetViews>
    <sheetView workbookViewId="0"/>
  </sheetViews>
  <sheetFormatPr baseColWidth="10" defaultColWidth="8.83203125" defaultRowHeight="15" x14ac:dyDescent="0.2"/>
  <cols>
    <col min="1" max="1" width="58" customWidth="1"/>
    <col min="2" max="7" width="13" customWidth="1"/>
    <col min="8" max="9" width="15" customWidth="1"/>
  </cols>
  <sheetData>
    <row r="1" spans="1:9" ht="16" x14ac:dyDescent="0.2">
      <c r="A1" s="11" t="s">
        <v>132</v>
      </c>
    </row>
    <row r="2" spans="1:9" x14ac:dyDescent="0.2">
      <c r="A2" s="5" t="s">
        <v>133</v>
      </c>
    </row>
    <row r="4" spans="1:9" x14ac:dyDescent="0.2">
      <c r="A4" s="12" t="s">
        <v>134</v>
      </c>
      <c r="B4" s="12" t="s">
        <v>135</v>
      </c>
      <c r="C4" s="12" t="s">
        <v>136</v>
      </c>
      <c r="D4" s="12" t="s">
        <v>137</v>
      </c>
      <c r="E4" s="12" t="s">
        <v>138</v>
      </c>
      <c r="F4" s="12" t="s">
        <v>139</v>
      </c>
      <c r="G4" s="12" t="s">
        <v>140</v>
      </c>
      <c r="H4" s="12" t="s">
        <v>141</v>
      </c>
      <c r="I4" s="12" t="s">
        <v>57</v>
      </c>
    </row>
    <row r="5" spans="1:9" x14ac:dyDescent="0.2">
      <c r="A5" s="5" t="s">
        <v>59</v>
      </c>
      <c r="B5" s="10">
        <v>267424.98</v>
      </c>
      <c r="C5" s="10">
        <v>283646.37</v>
      </c>
      <c r="D5" s="10">
        <v>269270.23</v>
      </c>
      <c r="E5" s="10">
        <v>253723.12</v>
      </c>
      <c r="F5" s="10">
        <v>296599.06</v>
      </c>
      <c r="G5" s="10">
        <v>297898.35</v>
      </c>
      <c r="H5" s="8">
        <f t="shared" ref="H5:H23" si="0">SUM(B5:G5)</f>
        <v>1668562.11</v>
      </c>
      <c r="I5" s="10">
        <f>H5</f>
        <v>1668562.11</v>
      </c>
    </row>
    <row r="6" spans="1:9" x14ac:dyDescent="0.2">
      <c r="A6" s="5" t="s">
        <v>142</v>
      </c>
      <c r="B6" s="10">
        <v>-4177.38</v>
      </c>
      <c r="C6" s="10">
        <v>-2930.83</v>
      </c>
      <c r="D6" s="10">
        <v>-2196.04</v>
      </c>
      <c r="E6" s="10">
        <v>-2340.11</v>
      </c>
      <c r="F6" s="10">
        <v>-2496.02</v>
      </c>
      <c r="G6" s="10">
        <v>-2898.81</v>
      </c>
      <c r="H6" s="8">
        <f t="shared" si="0"/>
        <v>-17039.19</v>
      </c>
      <c r="I6" s="10">
        <f>H6</f>
        <v>-17039.19</v>
      </c>
    </row>
    <row r="7" spans="1:9" x14ac:dyDescent="0.2">
      <c r="A7" s="5" t="s">
        <v>143</v>
      </c>
      <c r="B7" s="10">
        <v>90427.76</v>
      </c>
      <c r="C7" s="10">
        <v>96493.97</v>
      </c>
      <c r="D7" s="10">
        <v>89038.58</v>
      </c>
      <c r="E7" s="10">
        <v>84409.66</v>
      </c>
      <c r="F7" s="10">
        <v>99908.69</v>
      </c>
      <c r="G7" s="10">
        <v>97641.7</v>
      </c>
      <c r="H7" s="8">
        <f t="shared" si="0"/>
        <v>557920.36</v>
      </c>
      <c r="I7" s="10">
        <f t="shared" ref="I7:I23" si="1">-H7</f>
        <v>-557920.36</v>
      </c>
    </row>
    <row r="8" spans="1:9" x14ac:dyDescent="0.2">
      <c r="A8" s="5" t="s">
        <v>144</v>
      </c>
      <c r="B8" s="10">
        <v>57486.93</v>
      </c>
      <c r="C8" s="10">
        <v>59002.86</v>
      </c>
      <c r="D8" s="10">
        <v>58026.84</v>
      </c>
      <c r="E8" s="10">
        <v>54413.14</v>
      </c>
      <c r="F8" s="10">
        <v>62358.39</v>
      </c>
      <c r="G8" s="10">
        <v>63270.98</v>
      </c>
      <c r="H8" s="8">
        <f t="shared" si="0"/>
        <v>354559.14</v>
      </c>
      <c r="I8" s="10">
        <f t="shared" si="1"/>
        <v>-354559.14</v>
      </c>
    </row>
    <row r="9" spans="1:9" x14ac:dyDescent="0.2">
      <c r="A9" s="5" t="s">
        <v>145</v>
      </c>
      <c r="B9" s="10">
        <v>9212.81</v>
      </c>
      <c r="C9" s="10">
        <v>10028.9</v>
      </c>
      <c r="D9" s="10">
        <v>9454.4</v>
      </c>
      <c r="E9" s="10">
        <v>9251.27</v>
      </c>
      <c r="F9" s="10">
        <v>10375.38</v>
      </c>
      <c r="G9" s="10">
        <v>10269.98</v>
      </c>
      <c r="H9" s="8">
        <f t="shared" si="0"/>
        <v>58592.74</v>
      </c>
      <c r="I9" s="10">
        <f t="shared" si="1"/>
        <v>-58592.74</v>
      </c>
    </row>
    <row r="10" spans="1:9" x14ac:dyDescent="0.2">
      <c r="A10" s="5" t="s">
        <v>146</v>
      </c>
      <c r="B10" s="10">
        <v>4177.89</v>
      </c>
      <c r="C10" s="10">
        <v>4567.89</v>
      </c>
      <c r="D10" s="10">
        <v>5273.61</v>
      </c>
      <c r="E10" s="10">
        <v>5922.22</v>
      </c>
      <c r="F10" s="10">
        <v>5856.89</v>
      </c>
      <c r="G10" s="10">
        <v>5368.68</v>
      </c>
      <c r="H10" s="8">
        <f t="shared" si="0"/>
        <v>31167.18</v>
      </c>
      <c r="I10" s="10">
        <f t="shared" si="1"/>
        <v>-31167.18</v>
      </c>
    </row>
    <row r="11" spans="1:9" x14ac:dyDescent="0.2">
      <c r="A11" s="5" t="s">
        <v>147</v>
      </c>
      <c r="B11" s="10">
        <v>7916.67</v>
      </c>
      <c r="C11" s="10">
        <v>7916.67</v>
      </c>
      <c r="D11" s="10">
        <v>7916.67</v>
      </c>
      <c r="E11" s="10">
        <v>7916.67</v>
      </c>
      <c r="F11" s="10">
        <v>7916.67</v>
      </c>
      <c r="G11" s="10">
        <v>7916.67</v>
      </c>
      <c r="H11" s="8">
        <f t="shared" si="0"/>
        <v>47500.02</v>
      </c>
      <c r="I11" s="10">
        <f t="shared" si="1"/>
        <v>-47500.02</v>
      </c>
    </row>
    <row r="12" spans="1:9" x14ac:dyDescent="0.2">
      <c r="A12" s="5" t="s">
        <v>148</v>
      </c>
      <c r="B12" s="10">
        <v>18500</v>
      </c>
      <c r="C12" s="10">
        <v>18500</v>
      </c>
      <c r="D12" s="10">
        <v>18500</v>
      </c>
      <c r="E12" s="10">
        <v>18500</v>
      </c>
      <c r="F12" s="10">
        <v>18500</v>
      </c>
      <c r="G12" s="10">
        <v>18500</v>
      </c>
      <c r="H12" s="8">
        <f t="shared" si="0"/>
        <v>111000</v>
      </c>
      <c r="I12" s="10">
        <f t="shared" si="1"/>
        <v>-111000</v>
      </c>
    </row>
    <row r="13" spans="1:9" x14ac:dyDescent="0.2">
      <c r="A13" s="5" t="s">
        <v>149</v>
      </c>
      <c r="B13" s="10">
        <v>9833.26</v>
      </c>
      <c r="C13" s="10">
        <v>9624.09</v>
      </c>
      <c r="D13" s="10">
        <v>9626.84</v>
      </c>
      <c r="E13" s="10">
        <v>9891.37</v>
      </c>
      <c r="F13" s="10">
        <v>10111.78</v>
      </c>
      <c r="G13" s="10">
        <v>9806.79</v>
      </c>
      <c r="H13" s="8">
        <f t="shared" si="0"/>
        <v>58894.13</v>
      </c>
      <c r="I13" s="10">
        <f t="shared" si="1"/>
        <v>-58894.13</v>
      </c>
    </row>
    <row r="14" spans="1:9" x14ac:dyDescent="0.2">
      <c r="A14" s="5" t="s">
        <v>150</v>
      </c>
      <c r="B14" s="10">
        <v>6496.45</v>
      </c>
      <c r="C14" s="10">
        <v>6393.21</v>
      </c>
      <c r="D14" s="10">
        <v>6366.09</v>
      </c>
      <c r="E14" s="10">
        <v>6412.32</v>
      </c>
      <c r="F14" s="10">
        <v>6392.03</v>
      </c>
      <c r="G14" s="10">
        <v>6618.12</v>
      </c>
      <c r="H14" s="8">
        <f t="shared" si="0"/>
        <v>38678.22</v>
      </c>
      <c r="I14" s="10">
        <f t="shared" si="1"/>
        <v>-38678.22</v>
      </c>
    </row>
    <row r="15" spans="1:9" x14ac:dyDescent="0.2">
      <c r="A15" s="5" t="s">
        <v>151</v>
      </c>
      <c r="B15" s="10">
        <v>8750</v>
      </c>
      <c r="C15" s="10">
        <v>8750</v>
      </c>
      <c r="D15" s="10">
        <v>8750</v>
      </c>
      <c r="E15" s="10">
        <v>8750</v>
      </c>
      <c r="F15" s="10">
        <v>8750</v>
      </c>
      <c r="G15" s="10">
        <v>8750</v>
      </c>
      <c r="H15" s="8">
        <f t="shared" si="0"/>
        <v>52500</v>
      </c>
      <c r="I15" s="10">
        <f t="shared" si="1"/>
        <v>-52500</v>
      </c>
    </row>
    <row r="16" spans="1:9" x14ac:dyDescent="0.2">
      <c r="A16" s="5" t="s">
        <v>79</v>
      </c>
      <c r="B16" s="10">
        <v>3226.58</v>
      </c>
      <c r="C16" s="10">
        <v>3260.05</v>
      </c>
      <c r="D16" s="10">
        <v>3272.31</v>
      </c>
      <c r="E16" s="10">
        <v>3234.91</v>
      </c>
      <c r="F16" s="10">
        <v>3243.1</v>
      </c>
      <c r="G16" s="10">
        <v>3258.26</v>
      </c>
      <c r="H16" s="8">
        <f t="shared" si="0"/>
        <v>19495.21</v>
      </c>
      <c r="I16" s="10">
        <f t="shared" si="1"/>
        <v>-19495.21</v>
      </c>
    </row>
    <row r="17" spans="1:9" x14ac:dyDescent="0.2">
      <c r="A17" s="5" t="s">
        <v>152</v>
      </c>
      <c r="B17" s="10">
        <v>1370.78</v>
      </c>
      <c r="C17" s="10">
        <v>1699.19</v>
      </c>
      <c r="D17" s="10">
        <v>1288.34</v>
      </c>
      <c r="E17" s="10">
        <v>1820.66</v>
      </c>
      <c r="F17" s="10">
        <v>1355.78</v>
      </c>
      <c r="G17" s="10">
        <v>1690.74</v>
      </c>
      <c r="H17" s="8">
        <f t="shared" si="0"/>
        <v>9225.49</v>
      </c>
      <c r="I17" s="10">
        <f t="shared" si="1"/>
        <v>-9225.49</v>
      </c>
    </row>
    <row r="18" spans="1:9" x14ac:dyDescent="0.2">
      <c r="A18" s="5" t="s">
        <v>80</v>
      </c>
      <c r="B18" s="10">
        <v>1400.34</v>
      </c>
      <c r="C18" s="10">
        <v>1191.15</v>
      </c>
      <c r="D18" s="10">
        <v>3078.01</v>
      </c>
      <c r="E18" s="10">
        <v>6338.03</v>
      </c>
      <c r="F18" s="10">
        <v>1236.62</v>
      </c>
      <c r="G18" s="10">
        <v>1617.33</v>
      </c>
      <c r="H18" s="8">
        <f t="shared" si="0"/>
        <v>14861.48</v>
      </c>
      <c r="I18" s="10">
        <f t="shared" si="1"/>
        <v>-14861.48</v>
      </c>
    </row>
    <row r="19" spans="1:9" x14ac:dyDescent="0.2">
      <c r="A19" s="5" t="s">
        <v>153</v>
      </c>
      <c r="B19" s="10">
        <v>596.73</v>
      </c>
      <c r="C19" s="10">
        <v>548.46</v>
      </c>
      <c r="D19" s="10">
        <v>798.12</v>
      </c>
      <c r="E19" s="10">
        <v>691.48</v>
      </c>
      <c r="F19" s="10">
        <v>563.82</v>
      </c>
      <c r="G19" s="10">
        <v>532.73</v>
      </c>
      <c r="H19" s="8">
        <f t="shared" si="0"/>
        <v>3731.34</v>
      </c>
      <c r="I19" s="10">
        <f t="shared" si="1"/>
        <v>-3731.34</v>
      </c>
    </row>
    <row r="20" spans="1:9" x14ac:dyDescent="0.2">
      <c r="A20" s="5" t="s">
        <v>154</v>
      </c>
      <c r="B20" s="10">
        <v>2341.24</v>
      </c>
      <c r="C20" s="10">
        <v>2537.31</v>
      </c>
      <c r="D20" s="10">
        <v>2197.48</v>
      </c>
      <c r="E20" s="10">
        <v>1456.11</v>
      </c>
      <c r="F20" s="10">
        <v>1267.95</v>
      </c>
      <c r="G20" s="10">
        <v>1676.68</v>
      </c>
      <c r="H20" s="8">
        <f t="shared" si="0"/>
        <v>11476.77</v>
      </c>
      <c r="I20" s="10">
        <f t="shared" si="1"/>
        <v>-11476.77</v>
      </c>
    </row>
    <row r="21" spans="1:9" x14ac:dyDescent="0.2">
      <c r="A21" s="5" t="s">
        <v>155</v>
      </c>
      <c r="B21" s="10">
        <v>2188.47</v>
      </c>
      <c r="C21" s="10">
        <v>2041.26</v>
      </c>
      <c r="D21" s="10">
        <v>2261.15</v>
      </c>
      <c r="E21" s="10">
        <v>2123.78</v>
      </c>
      <c r="F21" s="10">
        <v>2317.38</v>
      </c>
      <c r="G21" s="10">
        <v>2171.27</v>
      </c>
      <c r="H21" s="8">
        <f t="shared" si="0"/>
        <v>13103.31</v>
      </c>
      <c r="I21" s="10">
        <f t="shared" si="1"/>
        <v>-13103.31</v>
      </c>
    </row>
    <row r="22" spans="1:9" x14ac:dyDescent="0.2">
      <c r="A22" s="5" t="s">
        <v>156</v>
      </c>
      <c r="B22" s="10">
        <v>323.77</v>
      </c>
      <c r="C22" s="10">
        <v>313.71</v>
      </c>
      <c r="D22" s="10">
        <v>277.55</v>
      </c>
      <c r="E22" s="10">
        <v>308.6</v>
      </c>
      <c r="F22" s="10">
        <v>261.13</v>
      </c>
      <c r="G22" s="10">
        <v>311.35</v>
      </c>
      <c r="H22" s="8">
        <f t="shared" si="0"/>
        <v>1796.11</v>
      </c>
      <c r="I22" s="10">
        <f t="shared" si="1"/>
        <v>-1796.11</v>
      </c>
    </row>
    <row r="23" spans="1:9" x14ac:dyDescent="0.2">
      <c r="A23" s="5" t="s">
        <v>157</v>
      </c>
      <c r="B23" s="10">
        <v>773</v>
      </c>
      <c r="C23" s="10">
        <v>967.56</v>
      </c>
      <c r="D23" s="10">
        <v>529.22</v>
      </c>
      <c r="E23" s="10">
        <v>959.36</v>
      </c>
      <c r="F23" s="10">
        <v>817.77</v>
      </c>
      <c r="G23" s="10">
        <v>568.82</v>
      </c>
      <c r="H23" s="8">
        <f t="shared" si="0"/>
        <v>4615.73</v>
      </c>
      <c r="I23" s="10">
        <f t="shared" si="1"/>
        <v>-4615.73</v>
      </c>
    </row>
    <row r="25" spans="1:9" x14ac:dyDescent="0.2">
      <c r="A25" s="15" t="s">
        <v>158</v>
      </c>
      <c r="B25" s="15"/>
      <c r="C25" s="15"/>
      <c r="D25" s="15"/>
      <c r="E25" s="15"/>
      <c r="F25" s="15"/>
      <c r="G25" s="15"/>
      <c r="H25" s="15" t="s">
        <v>141</v>
      </c>
      <c r="I25" s="15"/>
    </row>
    <row r="26" spans="1:9" x14ac:dyDescent="0.2">
      <c r="A26" s="5" t="s">
        <v>159</v>
      </c>
      <c r="H26" s="8">
        <f>SUM(I5:I23)</f>
        <v>262405.69</v>
      </c>
    </row>
    <row r="27" spans="1:9" x14ac:dyDescent="0.2">
      <c r="A27" s="5" t="s">
        <v>160</v>
      </c>
      <c r="H27" s="10">
        <f>H21</f>
        <v>13103.31</v>
      </c>
    </row>
    <row r="28" spans="1:9" x14ac:dyDescent="0.2">
      <c r="A28" s="5" t="s">
        <v>161</v>
      </c>
      <c r="H28" s="10">
        <f>H11</f>
        <v>47500.02</v>
      </c>
    </row>
    <row r="29" spans="1:9" x14ac:dyDescent="0.2">
      <c r="A29" s="5" t="s">
        <v>162</v>
      </c>
      <c r="H29" s="10">
        <f>H12</f>
        <v>111000</v>
      </c>
    </row>
    <row r="30" spans="1:9" x14ac:dyDescent="0.2">
      <c r="A30" s="9" t="s">
        <v>163</v>
      </c>
      <c r="H30" s="16">
        <f>SUM(H26:H29)</f>
        <v>434009.02</v>
      </c>
    </row>
    <row r="32" spans="1:9" x14ac:dyDescent="0.2">
      <c r="A32" s="5" t="s">
        <v>164</v>
      </c>
      <c r="H32" s="10">
        <f>H17</f>
        <v>9225.49</v>
      </c>
    </row>
    <row r="33" spans="1:1" x14ac:dyDescent="0.2">
      <c r="A33" s="5" t="s">
        <v>165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workbookViewId="0"/>
  </sheetViews>
  <sheetFormatPr baseColWidth="10" defaultColWidth="8.83203125" defaultRowHeight="15" x14ac:dyDescent="0.2"/>
  <cols>
    <col min="1" max="1" width="78" customWidth="1"/>
    <col min="2" max="2" width="18" customWidth="1"/>
    <col min="3" max="3" width="74" customWidth="1"/>
  </cols>
  <sheetData>
    <row r="1" spans="1:3" ht="16" x14ac:dyDescent="0.2">
      <c r="A1" s="11" t="s">
        <v>22</v>
      </c>
    </row>
    <row r="2" spans="1:3" x14ac:dyDescent="0.2">
      <c r="A2" s="5" t="s">
        <v>166</v>
      </c>
    </row>
    <row r="4" spans="1:3" x14ac:dyDescent="0.2">
      <c r="A4" s="12" t="s">
        <v>167</v>
      </c>
      <c r="B4" s="12" t="s">
        <v>168</v>
      </c>
      <c r="C4" s="12" t="s">
        <v>112</v>
      </c>
    </row>
    <row r="5" spans="1:3" x14ac:dyDescent="0.2">
      <c r="A5" s="5" t="s">
        <v>169</v>
      </c>
      <c r="B5" s="10">
        <f>SUMIFS('GL TTM'!$P$5:$P$43,'GL TTM'!$C$5:$C$43,"Cash interest")</f>
        <v>1033471.82</v>
      </c>
      <c r="C5" s="5" t="s">
        <v>170</v>
      </c>
    </row>
    <row r="6" spans="1:3" x14ac:dyDescent="0.2">
      <c r="A6" s="5" t="s">
        <v>171</v>
      </c>
      <c r="B6" s="10">
        <f>SUMIFS('GL TTM'!$P$5:$P$43,'GL TTM'!$C$5:$C$43,"Non-cash interest")</f>
        <v>57999.96</v>
      </c>
      <c r="C6" s="5" t="s">
        <v>172</v>
      </c>
    </row>
    <row r="7" spans="1:3" x14ac:dyDescent="0.2">
      <c r="A7" s="5" t="s">
        <v>173</v>
      </c>
      <c r="B7" s="10">
        <f>SUMIFS('GL TTM'!$P$5:$P$43,'GL TTM'!$C$5:$C$43,"Interest income")</f>
        <v>-17559.52</v>
      </c>
      <c r="C7" s="5" t="s">
        <v>174</v>
      </c>
    </row>
    <row r="8" spans="1:3" x14ac:dyDescent="0.2">
      <c r="A8" s="9" t="s">
        <v>175</v>
      </c>
      <c r="B8" s="8">
        <f>SUM(B5:B7)</f>
        <v>1073912.26</v>
      </c>
      <c r="C8" s="5" t="s">
        <v>176</v>
      </c>
    </row>
    <row r="10" spans="1:3" x14ac:dyDescent="0.2">
      <c r="A10" s="12" t="s">
        <v>177</v>
      </c>
      <c r="B10" s="12" t="s">
        <v>168</v>
      </c>
      <c r="C10" s="12" t="s">
        <v>112</v>
      </c>
    </row>
    <row r="11" spans="1:3" x14ac:dyDescent="0.2">
      <c r="A11" s="5" t="s">
        <v>178</v>
      </c>
      <c r="B11" s="10">
        <f>SUM('GL TTM'!$Q$5:$Q$41)</f>
        <v>1175708.86</v>
      </c>
      <c r="C11" s="5" t="s">
        <v>179</v>
      </c>
    </row>
    <row r="12" spans="1:3" x14ac:dyDescent="0.2">
      <c r="A12" s="5" t="s">
        <v>180</v>
      </c>
      <c r="B12" s="10">
        <f>B8</f>
        <v>1073912.26</v>
      </c>
      <c r="C12" s="5" t="s">
        <v>181</v>
      </c>
    </row>
    <row r="13" spans="1:3" x14ac:dyDescent="0.2">
      <c r="A13" s="5" t="s">
        <v>182</v>
      </c>
      <c r="B13" s="10">
        <f>SUMIFS('GL TTM'!$P$5:$P$43,'GL TTM'!$C$5:$C$43,"Income taxes")</f>
        <v>535462.28</v>
      </c>
      <c r="C13" s="5" t="s">
        <v>183</v>
      </c>
    </row>
    <row r="14" spans="1:3" x14ac:dyDescent="0.2">
      <c r="A14" s="5" t="s">
        <v>184</v>
      </c>
      <c r="B14" s="10">
        <f>SUMIFS('GL TTM'!$P$5:$P$43,'GL TTM'!$C$5:$C$43,"Depreciation and amortization")</f>
        <v>1808911.12</v>
      </c>
      <c r="C14" s="5" t="s">
        <v>185</v>
      </c>
    </row>
    <row r="15" spans="1:3" x14ac:dyDescent="0.2">
      <c r="A15" s="5" t="s">
        <v>186</v>
      </c>
      <c r="B15" s="10">
        <f>SUMIFS('GL TTM'!$P$5:$P$43,'GL TTM'!$C$5:$C$43,"Non-cash write-off")</f>
        <v>61238.47</v>
      </c>
      <c r="C15" s="5" t="s">
        <v>187</v>
      </c>
    </row>
    <row r="16" spans="1:3" x14ac:dyDescent="0.2">
      <c r="A16" s="5" t="s">
        <v>188</v>
      </c>
      <c r="B16" s="10">
        <f>'Ostrander PF'!$H$30</f>
        <v>434009.02</v>
      </c>
      <c r="C16" s="5" t="s">
        <v>189</v>
      </c>
    </row>
    <row r="17" spans="1:3" x14ac:dyDescent="0.2">
      <c r="A17" s="5" t="s">
        <v>190</v>
      </c>
      <c r="B17" s="10">
        <f>SUMIFS('GL TTM'!$P$5:$P$43,'GL TTM'!$C$5:$C$43,"Gain on sale")</f>
        <v>-86412</v>
      </c>
      <c r="C17" s="5" t="s">
        <v>191</v>
      </c>
    </row>
    <row r="18" spans="1:3" x14ac:dyDescent="0.2">
      <c r="A18" s="9" t="s">
        <v>192</v>
      </c>
      <c r="B18" s="8">
        <f>SUM(B11:B17)</f>
        <v>5002830.01</v>
      </c>
      <c r="C18" s="5" t="s">
        <v>193</v>
      </c>
    </row>
    <row r="19" spans="1:3" x14ac:dyDescent="0.2">
      <c r="A19" s="5" t="s">
        <v>194</v>
      </c>
      <c r="B19" s="10">
        <f>B27</f>
        <v>412000</v>
      </c>
      <c r="C19" s="5" t="s">
        <v>195</v>
      </c>
    </row>
    <row r="20" spans="1:3" x14ac:dyDescent="0.2">
      <c r="A20" s="9" t="s">
        <v>22</v>
      </c>
      <c r="B20" s="16">
        <f>SUM(B18:B19)</f>
        <v>5414830.01</v>
      </c>
      <c r="C20" s="5" t="s">
        <v>196</v>
      </c>
    </row>
    <row r="22" spans="1:3" x14ac:dyDescent="0.2">
      <c r="A22" s="12" t="s">
        <v>197</v>
      </c>
      <c r="B22" s="12" t="s">
        <v>168</v>
      </c>
      <c r="C22" s="12" t="s">
        <v>112</v>
      </c>
    </row>
    <row r="23" spans="1:3" x14ac:dyDescent="0.2">
      <c r="A23" s="5" t="s">
        <v>198</v>
      </c>
      <c r="B23" s="10">
        <f>SUMIFS('GL TTM'!$P$5:$P$43,'GL TTM'!$C$5:$C$43,"Approved non-recurring")</f>
        <v>438912.55</v>
      </c>
      <c r="C23" s="5" t="s">
        <v>199</v>
      </c>
    </row>
    <row r="24" spans="1:3" x14ac:dyDescent="0.2">
      <c r="A24" s="5" t="s">
        <v>200</v>
      </c>
      <c r="B24" s="10">
        <f>Parameters!$B$7</f>
        <v>412000</v>
      </c>
      <c r="C24" s="5" t="s">
        <v>201</v>
      </c>
    </row>
    <row r="25" spans="1:3" x14ac:dyDescent="0.2">
      <c r="A25" s="5" t="s">
        <v>202</v>
      </c>
      <c r="B25" s="10">
        <f>MIN(B23,B24)</f>
        <v>412000</v>
      </c>
      <c r="C25" s="5" t="s">
        <v>203</v>
      </c>
    </row>
    <row r="26" spans="1:3" x14ac:dyDescent="0.2">
      <c r="A26" s="5" t="s">
        <v>204</v>
      </c>
      <c r="B26" s="10">
        <f>ROUND(B18*Parameters!$B$6,2)</f>
        <v>500283</v>
      </c>
      <c r="C26" s="5" t="s">
        <v>205</v>
      </c>
    </row>
    <row r="27" spans="1:3" x14ac:dyDescent="0.2">
      <c r="A27" s="9" t="s">
        <v>206</v>
      </c>
      <c r="B27" s="8">
        <f>MIN(B25,B26)</f>
        <v>412000</v>
      </c>
      <c r="C27" s="5" t="s">
        <v>207</v>
      </c>
    </row>
    <row r="29" spans="1:3" x14ac:dyDescent="0.2">
      <c r="A29" s="5" t="s">
        <v>208</v>
      </c>
      <c r="B29" s="10">
        <f>SUMIFS('GL TTM'!$P$5:$P$43,'GL TTM'!$C$5:$C$43,"Not approved")</f>
        <v>287500</v>
      </c>
      <c r="C29" s="5" t="s">
        <v>209</v>
      </c>
    </row>
    <row r="30" spans="1:3" x14ac:dyDescent="0.2">
      <c r="A30" s="5" t="s">
        <v>210</v>
      </c>
      <c r="B30" s="10">
        <f>B23-B25</f>
        <v>26912.55</v>
      </c>
      <c r="C30" s="5" t="s">
        <v>211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8"/>
  <sheetViews>
    <sheetView workbookViewId="0"/>
  </sheetViews>
  <sheetFormatPr baseColWidth="10" defaultColWidth="8.83203125" defaultRowHeight="15" x14ac:dyDescent="0.2"/>
  <cols>
    <col min="1" max="1" width="82" customWidth="1"/>
    <col min="2" max="2" width="20" customWidth="1"/>
    <col min="3" max="3" width="66" customWidth="1"/>
  </cols>
  <sheetData>
    <row r="1" spans="1:3" ht="16" x14ac:dyDescent="0.2">
      <c r="A1" s="11" t="s">
        <v>21</v>
      </c>
    </row>
    <row r="2" spans="1:3" x14ac:dyDescent="0.2">
      <c r="A2" s="5" t="s">
        <v>212</v>
      </c>
    </row>
    <row r="4" spans="1:3" x14ac:dyDescent="0.2">
      <c r="A4" s="12" t="s">
        <v>213</v>
      </c>
      <c r="B4" s="12" t="s">
        <v>168</v>
      </c>
      <c r="C4" s="12" t="s">
        <v>112</v>
      </c>
    </row>
    <row r="5" spans="1:3" x14ac:dyDescent="0.2">
      <c r="A5" s="5" t="s">
        <v>214</v>
      </c>
      <c r="B5" s="10">
        <v>9050000</v>
      </c>
      <c r="C5" s="5" t="s">
        <v>215</v>
      </c>
    </row>
    <row r="6" spans="1:3" x14ac:dyDescent="0.2">
      <c r="A6" s="5" t="s">
        <v>216</v>
      </c>
      <c r="B6" s="10">
        <v>2175000</v>
      </c>
      <c r="C6" s="5" t="s">
        <v>217</v>
      </c>
    </row>
    <row r="7" spans="1:3" x14ac:dyDescent="0.2">
      <c r="A7" s="5" t="s">
        <v>218</v>
      </c>
      <c r="B7" s="10">
        <v>1437500</v>
      </c>
      <c r="C7" s="5" t="s">
        <v>219</v>
      </c>
    </row>
    <row r="8" spans="1:3" x14ac:dyDescent="0.2">
      <c r="A8" s="5" t="s">
        <v>220</v>
      </c>
      <c r="B8" s="10">
        <v>313556.82</v>
      </c>
      <c r="C8" s="5" t="s">
        <v>221</v>
      </c>
    </row>
    <row r="9" spans="1:3" x14ac:dyDescent="0.2">
      <c r="A9" s="5" t="s">
        <v>222</v>
      </c>
      <c r="B9" s="10">
        <v>164893.83</v>
      </c>
      <c r="C9" s="5" t="s">
        <v>221</v>
      </c>
    </row>
    <row r="10" spans="1:3" x14ac:dyDescent="0.2">
      <c r="A10" s="5" t="s">
        <v>223</v>
      </c>
      <c r="B10" s="10">
        <v>551152.58</v>
      </c>
      <c r="C10" s="5" t="s">
        <v>221</v>
      </c>
    </row>
    <row r="11" spans="1:3" x14ac:dyDescent="0.2">
      <c r="A11" s="5" t="s">
        <v>224</v>
      </c>
      <c r="B11" s="10">
        <v>350000</v>
      </c>
      <c r="C11" s="5" t="s">
        <v>225</v>
      </c>
    </row>
    <row r="12" spans="1:3" x14ac:dyDescent="0.2">
      <c r="A12" s="5" t="s">
        <v>226</v>
      </c>
      <c r="B12" s="10">
        <v>125000</v>
      </c>
      <c r="C12" s="5" t="s">
        <v>225</v>
      </c>
    </row>
    <row r="13" spans="1:3" x14ac:dyDescent="0.2">
      <c r="A13" s="9" t="s">
        <v>227</v>
      </c>
      <c r="B13" s="16">
        <f>SUM(B5:B12)</f>
        <v>14167103.23</v>
      </c>
      <c r="C13" s="5" t="s">
        <v>228</v>
      </c>
    </row>
    <row r="15" spans="1:3" x14ac:dyDescent="0.2">
      <c r="A15" s="12" t="s">
        <v>229</v>
      </c>
      <c r="B15" s="12" t="s">
        <v>230</v>
      </c>
      <c r="C15" s="12" t="s">
        <v>231</v>
      </c>
    </row>
    <row r="16" spans="1:3" x14ac:dyDescent="0.2">
      <c r="A16" s="5" t="s">
        <v>232</v>
      </c>
      <c r="B16" s="10">
        <v>1461799.51</v>
      </c>
      <c r="C16" s="5" t="s">
        <v>233</v>
      </c>
    </row>
    <row r="17" spans="1:3" x14ac:dyDescent="0.2">
      <c r="A17" s="5" t="s">
        <v>234</v>
      </c>
      <c r="B17" s="10">
        <v>77345.94</v>
      </c>
      <c r="C17" s="5" t="s">
        <v>233</v>
      </c>
    </row>
    <row r="18" spans="1:3" x14ac:dyDescent="0.2">
      <c r="A18" s="5" t="s">
        <v>235</v>
      </c>
      <c r="B18" s="10">
        <v>295903.65</v>
      </c>
      <c r="C18" s="5" t="s">
        <v>233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6"/>
  <sheetViews>
    <sheetView workbookViewId="0"/>
  </sheetViews>
  <sheetFormatPr baseColWidth="10" defaultColWidth="8.83203125" defaultRowHeight="15" x14ac:dyDescent="0.2"/>
  <cols>
    <col min="1" max="1" width="12" customWidth="1"/>
    <col min="2" max="2" width="52" customWidth="1"/>
    <col min="3" max="3" width="70" customWidth="1"/>
    <col min="4" max="4" width="18" customWidth="1"/>
    <col min="5" max="5" width="14" customWidth="1"/>
  </cols>
  <sheetData>
    <row r="1" spans="1:5" ht="16" x14ac:dyDescent="0.2">
      <c r="A1" s="11" t="s">
        <v>236</v>
      </c>
    </row>
    <row r="2" spans="1:5" x14ac:dyDescent="0.2">
      <c r="A2" s="5" t="s">
        <v>237</v>
      </c>
    </row>
    <row r="4" spans="1:5" x14ac:dyDescent="0.2">
      <c r="A4" s="12" t="s">
        <v>238</v>
      </c>
      <c r="B4" s="12" t="s">
        <v>239</v>
      </c>
      <c r="C4" s="12" t="s">
        <v>240</v>
      </c>
      <c r="D4" s="12" t="s">
        <v>168</v>
      </c>
      <c r="E4" s="12" t="s">
        <v>241</v>
      </c>
    </row>
    <row r="5" spans="1:5" x14ac:dyDescent="0.2">
      <c r="A5" s="5" t="s">
        <v>44</v>
      </c>
      <c r="B5" s="5" t="s">
        <v>242</v>
      </c>
      <c r="C5" s="5" t="s">
        <v>243</v>
      </c>
      <c r="D5" s="10">
        <v>38412.6</v>
      </c>
      <c r="E5" s="5" t="s">
        <v>244</v>
      </c>
    </row>
    <row r="6" spans="1:5" x14ac:dyDescent="0.2">
      <c r="A6" s="5" t="s">
        <v>45</v>
      </c>
      <c r="B6" s="5" t="s">
        <v>242</v>
      </c>
      <c r="C6" s="5" t="s">
        <v>245</v>
      </c>
      <c r="D6" s="10">
        <v>54900</v>
      </c>
      <c r="E6" s="5" t="s">
        <v>244</v>
      </c>
    </row>
    <row r="7" spans="1:5" x14ac:dyDescent="0.2">
      <c r="A7" s="5" t="s">
        <v>46</v>
      </c>
      <c r="B7" s="5" t="s">
        <v>242</v>
      </c>
      <c r="C7" s="5" t="s">
        <v>246</v>
      </c>
      <c r="D7" s="10">
        <v>287250.45</v>
      </c>
      <c r="E7" s="5" t="s">
        <v>244</v>
      </c>
    </row>
    <row r="8" spans="1:5" x14ac:dyDescent="0.2">
      <c r="A8" s="5" t="s">
        <v>47</v>
      </c>
      <c r="B8" s="5" t="s">
        <v>247</v>
      </c>
      <c r="C8" s="5" t="s">
        <v>248</v>
      </c>
      <c r="D8" s="10">
        <v>96318.2</v>
      </c>
      <c r="E8" s="5" t="s">
        <v>244</v>
      </c>
    </row>
    <row r="9" spans="1:5" x14ac:dyDescent="0.2">
      <c r="A9" s="5" t="s">
        <v>48</v>
      </c>
      <c r="B9" s="5" t="s">
        <v>247</v>
      </c>
      <c r="C9" s="5" t="s">
        <v>249</v>
      </c>
      <c r="D9" s="10">
        <v>612450</v>
      </c>
      <c r="E9" s="5" t="s">
        <v>250</v>
      </c>
    </row>
    <row r="10" spans="1:5" x14ac:dyDescent="0.2">
      <c r="A10" s="5" t="s">
        <v>48</v>
      </c>
      <c r="B10" s="5" t="s">
        <v>247</v>
      </c>
      <c r="C10" s="5" t="s">
        <v>251</v>
      </c>
      <c r="D10" s="10">
        <v>41775.9</v>
      </c>
      <c r="E10" s="5" t="s">
        <v>244</v>
      </c>
    </row>
    <row r="11" spans="1:5" x14ac:dyDescent="0.2">
      <c r="A11" s="5" t="s">
        <v>49</v>
      </c>
      <c r="B11" s="5" t="s">
        <v>247</v>
      </c>
      <c r="C11" s="5" t="s">
        <v>252</v>
      </c>
      <c r="D11" s="10">
        <v>46200</v>
      </c>
      <c r="E11" s="5" t="s">
        <v>244</v>
      </c>
    </row>
    <row r="12" spans="1:5" x14ac:dyDescent="0.2">
      <c r="A12" s="5" t="s">
        <v>50</v>
      </c>
      <c r="B12" s="5" t="s">
        <v>247</v>
      </c>
      <c r="C12" s="5" t="s">
        <v>253</v>
      </c>
      <c r="D12" s="10">
        <v>22614.33</v>
      </c>
      <c r="E12" s="5" t="s">
        <v>244</v>
      </c>
    </row>
    <row r="13" spans="1:5" x14ac:dyDescent="0.2">
      <c r="A13" s="5" t="s">
        <v>51</v>
      </c>
      <c r="B13" s="5" t="s">
        <v>247</v>
      </c>
      <c r="C13" s="5" t="s">
        <v>254</v>
      </c>
      <c r="D13" s="10">
        <v>78940</v>
      </c>
      <c r="E13" s="5" t="s">
        <v>244</v>
      </c>
    </row>
    <row r="14" spans="1:5" x14ac:dyDescent="0.2">
      <c r="A14" s="5" t="s">
        <v>52</v>
      </c>
      <c r="B14" s="5" t="s">
        <v>247</v>
      </c>
      <c r="C14" s="5" t="s">
        <v>255</v>
      </c>
      <c r="D14" s="10">
        <v>152500</v>
      </c>
      <c r="E14" s="5" t="s">
        <v>244</v>
      </c>
    </row>
    <row r="15" spans="1:5" x14ac:dyDescent="0.2">
      <c r="A15" s="5" t="s">
        <v>53</v>
      </c>
      <c r="B15" s="5" t="s">
        <v>247</v>
      </c>
      <c r="C15" s="5" t="s">
        <v>256</v>
      </c>
      <c r="D15" s="10">
        <v>61208.75</v>
      </c>
      <c r="E15" s="5" t="s">
        <v>244</v>
      </c>
    </row>
    <row r="16" spans="1:5" x14ac:dyDescent="0.2">
      <c r="A16" s="5" t="s">
        <v>54</v>
      </c>
      <c r="B16" s="5" t="s">
        <v>247</v>
      </c>
      <c r="C16" s="5" t="s">
        <v>257</v>
      </c>
      <c r="D16" s="10">
        <v>47315</v>
      </c>
      <c r="E16" s="5" t="s">
        <v>244</v>
      </c>
    </row>
    <row r="17" spans="1:5" x14ac:dyDescent="0.2">
      <c r="A17" s="5" t="s">
        <v>55</v>
      </c>
      <c r="B17" s="5" t="s">
        <v>247</v>
      </c>
      <c r="C17" s="5" t="s">
        <v>258</v>
      </c>
      <c r="D17" s="10">
        <v>231480.6</v>
      </c>
      <c r="E17" s="5" t="s">
        <v>244</v>
      </c>
    </row>
    <row r="18" spans="1:5" x14ac:dyDescent="0.2">
      <c r="A18" s="5" t="s">
        <v>55</v>
      </c>
      <c r="B18" s="5" t="s">
        <v>247</v>
      </c>
      <c r="C18" s="5" t="s">
        <v>259</v>
      </c>
      <c r="D18" s="10">
        <v>29650</v>
      </c>
      <c r="E18" s="5" t="s">
        <v>244</v>
      </c>
    </row>
    <row r="20" spans="1:5" x14ac:dyDescent="0.2">
      <c r="C20" s="9" t="s">
        <v>260</v>
      </c>
      <c r="D20" s="8">
        <f>SUM(D5:D18)</f>
        <v>1801015.83</v>
      </c>
    </row>
    <row r="21" spans="1:5" x14ac:dyDescent="0.2">
      <c r="C21" s="5" t="s">
        <v>261</v>
      </c>
      <c r="D21" s="10">
        <f>SUMIFS(D5:D18,E5:E18,"Finance lease")</f>
        <v>612450</v>
      </c>
    </row>
    <row r="22" spans="1:5" x14ac:dyDescent="0.2">
      <c r="C22" s="9" t="s">
        <v>262</v>
      </c>
      <c r="D22" s="16">
        <f>D20-D21</f>
        <v>1188565.83</v>
      </c>
    </row>
    <row r="23" spans="1:5" x14ac:dyDescent="0.2">
      <c r="C23" s="5" t="s">
        <v>263</v>
      </c>
      <c r="D23" s="10">
        <f>SUMIFS(D5:D18,B5:B18,"FY2026")</f>
        <v>1420452.78</v>
      </c>
    </row>
    <row r="24" spans="1:5" x14ac:dyDescent="0.2">
      <c r="C24" s="5" t="s">
        <v>264</v>
      </c>
      <c r="D24" s="10">
        <f>Parameters!$B$8</f>
        <v>2400000</v>
      </c>
    </row>
    <row r="26" spans="1:5" x14ac:dyDescent="0.2">
      <c r="A26" s="12" t="s">
        <v>265</v>
      </c>
      <c r="B26" s="12" t="s">
        <v>266</v>
      </c>
      <c r="C26" s="12" t="s">
        <v>267</v>
      </c>
      <c r="D26" s="12" t="s">
        <v>268</v>
      </c>
      <c r="E26" s="12"/>
    </row>
    <row r="27" spans="1:5" x14ac:dyDescent="0.2">
      <c r="A27" s="5" t="s">
        <v>269</v>
      </c>
      <c r="B27" s="5" t="s">
        <v>270</v>
      </c>
      <c r="C27" s="10">
        <v>104000</v>
      </c>
      <c r="D27" s="10">
        <v>27500</v>
      </c>
    </row>
    <row r="28" spans="1:5" x14ac:dyDescent="0.2">
      <c r="A28" s="5" t="s">
        <v>271</v>
      </c>
      <c r="B28" s="5" t="s">
        <v>272</v>
      </c>
      <c r="C28" s="10">
        <v>-42610</v>
      </c>
      <c r="D28" s="10">
        <v>0</v>
      </c>
    </row>
    <row r="29" spans="1:5" x14ac:dyDescent="0.2">
      <c r="A29" s="5" t="s">
        <v>273</v>
      </c>
      <c r="B29" s="5" t="s">
        <v>274</v>
      </c>
      <c r="C29" s="10">
        <v>58340</v>
      </c>
      <c r="D29" s="10">
        <v>15115</v>
      </c>
    </row>
    <row r="30" spans="1:5" x14ac:dyDescent="0.2">
      <c r="A30" s="5" t="s">
        <v>275</v>
      </c>
      <c r="B30" s="5" t="s">
        <v>276</v>
      </c>
      <c r="C30" s="10">
        <v>109000</v>
      </c>
      <c r="D30" s="10">
        <v>28500</v>
      </c>
    </row>
    <row r="31" spans="1:5" x14ac:dyDescent="0.2">
      <c r="A31" s="5" t="s">
        <v>277</v>
      </c>
      <c r="B31" s="5" t="s">
        <v>278</v>
      </c>
      <c r="C31" s="10">
        <v>109000</v>
      </c>
      <c r="D31" s="10">
        <v>28500</v>
      </c>
    </row>
    <row r="32" spans="1:5" x14ac:dyDescent="0.2">
      <c r="A32" s="5" t="s">
        <v>279</v>
      </c>
      <c r="B32" s="5" t="s">
        <v>280</v>
      </c>
      <c r="C32" s="10">
        <v>116000</v>
      </c>
      <c r="D32" s="10">
        <v>30500</v>
      </c>
    </row>
    <row r="33" spans="2:3" x14ac:dyDescent="0.2">
      <c r="B33" s="5" t="s">
        <v>281</v>
      </c>
      <c r="C33" s="10">
        <f>SUM(C27:C32)</f>
        <v>453730</v>
      </c>
    </row>
    <row r="34" spans="2:3" x14ac:dyDescent="0.2">
      <c r="B34" s="5" t="s">
        <v>282</v>
      </c>
      <c r="C34" s="10">
        <f>SUM(D27:D32)</f>
        <v>130115</v>
      </c>
    </row>
    <row r="35" spans="2:3" x14ac:dyDescent="0.2">
      <c r="B35" s="9" t="s">
        <v>283</v>
      </c>
      <c r="C35" s="16">
        <f>SUM(C33:C34)</f>
        <v>583845</v>
      </c>
    </row>
    <row r="36" spans="2:3" x14ac:dyDescent="0.2">
      <c r="B36" s="5" t="s">
        <v>284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3"/>
  <sheetViews>
    <sheetView workbookViewId="0"/>
  </sheetViews>
  <sheetFormatPr baseColWidth="10" defaultColWidth="8.83203125" defaultRowHeight="15" x14ac:dyDescent="0.2"/>
  <cols>
    <col min="1" max="1" width="76" customWidth="1"/>
    <col min="2" max="2" width="18" customWidth="1"/>
    <col min="3" max="3" width="84" customWidth="1"/>
  </cols>
  <sheetData>
    <row r="1" spans="1:3" ht="16" x14ac:dyDescent="0.2">
      <c r="A1" s="11" t="s">
        <v>285</v>
      </c>
    </row>
    <row r="2" spans="1:3" x14ac:dyDescent="0.2">
      <c r="A2" s="5" t="s">
        <v>286</v>
      </c>
    </row>
    <row r="4" spans="1:3" x14ac:dyDescent="0.2">
      <c r="A4" s="12" t="s">
        <v>287</v>
      </c>
      <c r="B4" s="12" t="s">
        <v>168</v>
      </c>
      <c r="C4" s="12" t="s">
        <v>112</v>
      </c>
    </row>
    <row r="5" spans="1:3" x14ac:dyDescent="0.2">
      <c r="A5" s="5" t="s">
        <v>288</v>
      </c>
      <c r="B5" s="10">
        <f>SUMIFS('GL TTM'!$P$5:$P$43,'GL TTM'!$A$5:$A$43,7000)</f>
        <v>732037.47</v>
      </c>
      <c r="C5" s="5" t="s">
        <v>289</v>
      </c>
    </row>
    <row r="6" spans="1:3" x14ac:dyDescent="0.2">
      <c r="A6" s="5" t="s">
        <v>290</v>
      </c>
      <c r="B6" s="10">
        <f>SUMIFS('GL TTM'!$P$5:$P$43,'GL TTM'!$A$5:$A$43,7005)</f>
        <v>197898.62</v>
      </c>
      <c r="C6" s="5" t="s">
        <v>291</v>
      </c>
    </row>
    <row r="7" spans="1:3" x14ac:dyDescent="0.2">
      <c r="A7" s="5" t="s">
        <v>292</v>
      </c>
      <c r="B7" s="10">
        <f>SUMIFS('GL TTM'!$P$5:$P$43,'GL TTM'!$A$5:$A$43,7010)</f>
        <v>43812.5</v>
      </c>
      <c r="C7" s="5" t="s">
        <v>293</v>
      </c>
    </row>
    <row r="8" spans="1:3" x14ac:dyDescent="0.2">
      <c r="A8" s="5" t="s">
        <v>294</v>
      </c>
      <c r="B8" s="10">
        <f>SUMIFS('GL TTM'!$P$5:$P$43,'GL TTM'!$A$5:$A$43,7015)</f>
        <v>59723.23</v>
      </c>
      <c r="C8" s="5" t="s">
        <v>295</v>
      </c>
    </row>
    <row r="9" spans="1:3" x14ac:dyDescent="0.2">
      <c r="A9" s="5" t="s">
        <v>173</v>
      </c>
      <c r="B9" s="10">
        <f>SUMIFS('GL TTM'!$P$5:$P$43,'GL TTM'!$A$5:$A$43,7050)</f>
        <v>-17559.52</v>
      </c>
      <c r="C9" s="5" t="s">
        <v>296</v>
      </c>
    </row>
    <row r="10" spans="1:3" x14ac:dyDescent="0.2">
      <c r="A10" s="9" t="s">
        <v>297</v>
      </c>
      <c r="B10" s="8">
        <f>SUM(B5:B9)</f>
        <v>1015912.3</v>
      </c>
      <c r="C10" s="5" t="s">
        <v>298</v>
      </c>
    </row>
    <row r="12" spans="1:3" x14ac:dyDescent="0.2">
      <c r="A12" s="12" t="s">
        <v>299</v>
      </c>
      <c r="B12" s="12" t="s">
        <v>168</v>
      </c>
      <c r="C12" s="12" t="s">
        <v>112</v>
      </c>
    </row>
    <row r="13" spans="1:3" x14ac:dyDescent="0.2">
      <c r="A13" s="5" t="s">
        <v>300</v>
      </c>
      <c r="B13" s="10">
        <v>350000</v>
      </c>
      <c r="C13" s="5" t="s">
        <v>301</v>
      </c>
    </row>
    <row r="14" spans="1:3" x14ac:dyDescent="0.2">
      <c r="A14" s="5" t="s">
        <v>302</v>
      </c>
      <c r="B14" s="10">
        <v>350000</v>
      </c>
      <c r="C14" s="5" t="s">
        <v>301</v>
      </c>
    </row>
    <row r="15" spans="1:3" x14ac:dyDescent="0.2">
      <c r="A15" s="5" t="s">
        <v>303</v>
      </c>
      <c r="B15" s="10">
        <v>350000</v>
      </c>
      <c r="C15" s="5" t="s">
        <v>301</v>
      </c>
    </row>
    <row r="16" spans="1:3" x14ac:dyDescent="0.2">
      <c r="A16" s="5" t="s">
        <v>304</v>
      </c>
      <c r="B16" s="10">
        <v>350000</v>
      </c>
      <c r="C16" s="5" t="s">
        <v>301</v>
      </c>
    </row>
    <row r="17" spans="1:3" x14ac:dyDescent="0.2">
      <c r="A17" s="5" t="s">
        <v>305</v>
      </c>
      <c r="B17" s="10">
        <v>62500</v>
      </c>
      <c r="C17" s="5" t="s">
        <v>306</v>
      </c>
    </row>
    <row r="18" spans="1:3" x14ac:dyDescent="0.2">
      <c r="A18" s="5" t="s">
        <v>307</v>
      </c>
      <c r="B18" s="10">
        <v>157295.3</v>
      </c>
      <c r="C18" s="5" t="s">
        <v>308</v>
      </c>
    </row>
    <row r="19" spans="1:3" x14ac:dyDescent="0.2">
      <c r="A19" s="5" t="s">
        <v>309</v>
      </c>
      <c r="B19" s="10">
        <v>71690.75</v>
      </c>
      <c r="C19" s="5" t="s">
        <v>308</v>
      </c>
    </row>
    <row r="20" spans="1:3" x14ac:dyDescent="0.2">
      <c r="A20" s="5" t="s">
        <v>310</v>
      </c>
      <c r="B20" s="10">
        <v>61297.42</v>
      </c>
      <c r="C20" s="5" t="s">
        <v>308</v>
      </c>
    </row>
    <row r="21" spans="1:3" x14ac:dyDescent="0.2">
      <c r="A21" s="9" t="s">
        <v>311</v>
      </c>
      <c r="B21" s="8">
        <f>SUM(B13:B20)</f>
        <v>1752783.47</v>
      </c>
      <c r="C21" s="5" t="s">
        <v>312</v>
      </c>
    </row>
    <row r="22" spans="1:3" x14ac:dyDescent="0.2">
      <c r="A22" s="5" t="s">
        <v>313</v>
      </c>
      <c r="B22" s="10">
        <v>500000</v>
      </c>
      <c r="C22" s="5" t="s">
        <v>314</v>
      </c>
    </row>
    <row r="24" spans="1:3" x14ac:dyDescent="0.2">
      <c r="A24" s="9" t="s">
        <v>315</v>
      </c>
      <c r="B24" s="16">
        <f>SUM(B10,B21)</f>
        <v>2768695.77</v>
      </c>
      <c r="C24" s="5" t="s">
        <v>316</v>
      </c>
    </row>
    <row r="26" spans="1:3" x14ac:dyDescent="0.2">
      <c r="A26" s="12" t="s">
        <v>317</v>
      </c>
      <c r="B26" s="12" t="s">
        <v>168</v>
      </c>
      <c r="C26" s="12" t="s">
        <v>112</v>
      </c>
    </row>
    <row r="27" spans="1:3" x14ac:dyDescent="0.2">
      <c r="A27" s="5" t="s">
        <v>318</v>
      </c>
      <c r="B27" s="10">
        <f>EBITDA!$B$20</f>
        <v>5414830.01</v>
      </c>
      <c r="C27" s="5" t="s">
        <v>319</v>
      </c>
    </row>
    <row r="28" spans="1:3" x14ac:dyDescent="0.2">
      <c r="A28" s="5" t="s">
        <v>28</v>
      </c>
      <c r="B28" s="10">
        <f>-'Capex and Taxes'!$D$22</f>
        <v>-1188565.83</v>
      </c>
      <c r="C28" s="5" t="s">
        <v>320</v>
      </c>
    </row>
    <row r="29" spans="1:3" x14ac:dyDescent="0.2">
      <c r="A29" s="5" t="s">
        <v>29</v>
      </c>
      <c r="B29" s="10">
        <f>-'Capex and Taxes'!$C$35</f>
        <v>-583845</v>
      </c>
      <c r="C29" s="5" t="s">
        <v>320</v>
      </c>
    </row>
    <row r="30" spans="1:3" x14ac:dyDescent="0.2">
      <c r="A30" s="5" t="s">
        <v>321</v>
      </c>
      <c r="B30" s="10">
        <f>-SUMIFS('GL TTM'!$P$5:$P$43,'GL TTM'!$C$5:$C$43,"Restricted payment")</f>
        <v>-437500</v>
      </c>
      <c r="C30" s="5" t="s">
        <v>322</v>
      </c>
    </row>
    <row r="31" spans="1:3" x14ac:dyDescent="0.2">
      <c r="A31" s="9" t="s">
        <v>323</v>
      </c>
      <c r="B31" s="8">
        <f>SUM(B27:B30)</f>
        <v>3204919.18</v>
      </c>
    </row>
    <row r="32" spans="1:3" x14ac:dyDescent="0.2">
      <c r="A32" s="5" t="s">
        <v>32</v>
      </c>
      <c r="B32" s="10">
        <f>B24</f>
        <v>2768695.77</v>
      </c>
    </row>
    <row r="33" spans="1:3" x14ac:dyDescent="0.2">
      <c r="A33" s="9" t="s">
        <v>33</v>
      </c>
      <c r="B33" s="17">
        <f>ROUND(B31/B32,2)</f>
        <v>1.16</v>
      </c>
    </row>
    <row r="34" spans="1:3" x14ac:dyDescent="0.2">
      <c r="A34" s="5" t="s">
        <v>34</v>
      </c>
      <c r="B34" s="7">
        <f>Parameters!$B$5</f>
        <v>1.2</v>
      </c>
    </row>
    <row r="35" spans="1:3" x14ac:dyDescent="0.2">
      <c r="A35" s="5" t="s">
        <v>35</v>
      </c>
      <c r="B35" s="9" t="str">
        <f>IF(B33&gt;=B34,"In compliance","Not in compliance")</f>
        <v>Not in compliance</v>
      </c>
    </row>
    <row r="36" spans="1:3" x14ac:dyDescent="0.2">
      <c r="A36" s="5" t="s">
        <v>324</v>
      </c>
      <c r="B36" s="10">
        <f>ROUND(B32*B34,2)</f>
        <v>3322434.92</v>
      </c>
    </row>
    <row r="37" spans="1:3" x14ac:dyDescent="0.2">
      <c r="A37" s="9" t="s">
        <v>325</v>
      </c>
      <c r="B37" s="16">
        <f>B36-B31</f>
        <v>117515.74</v>
      </c>
      <c r="C37" s="5" t="s">
        <v>326</v>
      </c>
    </row>
    <row r="39" spans="1:3" x14ac:dyDescent="0.2">
      <c r="A39" s="12" t="s">
        <v>327</v>
      </c>
      <c r="B39" s="12" t="s">
        <v>168</v>
      </c>
      <c r="C39" s="12" t="s">
        <v>112</v>
      </c>
    </row>
    <row r="40" spans="1:3" x14ac:dyDescent="0.2">
      <c r="A40" s="5" t="s">
        <v>328</v>
      </c>
      <c r="B40" s="10">
        <f>EBITDA!B26-EBITDA!B27</f>
        <v>88283</v>
      </c>
      <c r="C40" s="5" t="s">
        <v>329</v>
      </c>
    </row>
    <row r="41" spans="1:3" x14ac:dyDescent="0.2">
      <c r="A41" s="5" t="s">
        <v>330</v>
      </c>
      <c r="B41" s="10">
        <f>B31+B40</f>
        <v>3293202.18</v>
      </c>
    </row>
    <row r="42" spans="1:3" x14ac:dyDescent="0.2">
      <c r="A42" s="9" t="s">
        <v>331</v>
      </c>
      <c r="B42" s="6">
        <f>ROUND(B41/B32,2)</f>
        <v>1.19</v>
      </c>
    </row>
    <row r="43" spans="1:3" x14ac:dyDescent="0.2">
      <c r="A43" s="5" t="s">
        <v>332</v>
      </c>
      <c r="B43" s="9" t="str">
        <f>IF(B42&gt;=B34,"In compliance","Not in compliance")</f>
        <v>Not in compliance</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6"/>
  <sheetViews>
    <sheetView workbookViewId="0"/>
  </sheetViews>
  <sheetFormatPr baseColWidth="10" defaultColWidth="8.83203125" defaultRowHeight="15" x14ac:dyDescent="0.2"/>
  <cols>
    <col min="1" max="1" width="118" customWidth="1"/>
  </cols>
  <sheetData>
    <row r="1" spans="1:1" x14ac:dyDescent="0.2">
      <c r="A1" s="9" t="s">
        <v>333</v>
      </c>
    </row>
    <row r="2" spans="1:1" x14ac:dyDescent="0.2">
      <c r="A2" s="5" t="s">
        <v>334</v>
      </c>
    </row>
    <row r="3" spans="1:1" x14ac:dyDescent="0.2">
      <c r="A3" s="9" t="s">
        <v>335</v>
      </c>
    </row>
    <row r="5" spans="1:1" ht="60" customHeight="1" x14ac:dyDescent="0.2">
      <c r="A5" s="2" t="s">
        <v>336</v>
      </c>
    </row>
    <row r="6" spans="1:1" ht="45" customHeight="1" x14ac:dyDescent="0.2">
      <c r="A6" s="2" t="s">
        <v>337</v>
      </c>
    </row>
    <row r="7" spans="1:1" ht="75" customHeight="1" x14ac:dyDescent="0.2">
      <c r="A7" s="2" t="s">
        <v>338</v>
      </c>
    </row>
    <row r="8" spans="1:1" ht="75" customHeight="1" x14ac:dyDescent="0.2">
      <c r="A8" s="2" t="s">
        <v>339</v>
      </c>
    </row>
    <row r="9" spans="1:1" ht="90" customHeight="1" x14ac:dyDescent="0.2">
      <c r="A9" s="2" t="s">
        <v>340</v>
      </c>
    </row>
    <row r="10" spans="1:1" ht="60" customHeight="1" x14ac:dyDescent="0.2">
      <c r="A10" s="2" t="s">
        <v>341</v>
      </c>
    </row>
    <row r="11" spans="1:1" ht="75" customHeight="1" x14ac:dyDescent="0.2">
      <c r="A11" s="2" t="s">
        <v>342</v>
      </c>
    </row>
    <row r="12" spans="1:1" ht="60" customHeight="1" x14ac:dyDescent="0.2">
      <c r="A12" s="2" t="s">
        <v>343</v>
      </c>
    </row>
    <row r="13" spans="1:1" ht="75" customHeight="1" x14ac:dyDescent="0.2">
      <c r="A13" s="2" t="s">
        <v>344</v>
      </c>
    </row>
    <row r="14" spans="1:1" ht="60" customHeight="1" x14ac:dyDescent="0.2">
      <c r="A14" s="2" t="s">
        <v>345</v>
      </c>
    </row>
    <row r="15" spans="1:1" ht="45" customHeight="1" x14ac:dyDescent="0.2">
      <c r="A15" s="2" t="s">
        <v>346</v>
      </c>
    </row>
    <row r="16" spans="1:1" ht="60" customHeight="1" x14ac:dyDescent="0.2">
      <c r="A16" s="2" t="s">
        <v>347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Certificate</vt:lpstr>
      <vt:lpstr>GL TTM</vt:lpstr>
      <vt:lpstr>Parameters</vt:lpstr>
      <vt:lpstr>Ostrander PF</vt:lpstr>
      <vt:lpstr>EBITDA</vt:lpstr>
      <vt:lpstr>Funded Debt</vt:lpstr>
      <vt:lpstr>Capex and Taxes</vt:lpstr>
      <vt:lpstr>Fixed Charges</vt:lpstr>
      <vt:lpstr>Note to Wade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Brennecke Precision Components, Inc.</dc:creator>
  <dc:title xmlns:dc="http://purl.org/dc/elements/1.1/">Compliance Certificate - Fiscal Quarter ended August 31, 2026</dc:title>
  <dcterms:created xmlns:dcterms="http://purl.org/dc/terms/" xmlns:xsi="http://www.w3.org/2001/XMLSchema-instance" xsi:type="dcterms:W3CDTF">2026-10-09T08:14:22Z</dcterms:created>
  <dcterms:modified xmlns:dcterms="http://purl.org/dc/terms/" xmlns:xsi="http://www.w3.org/2001/XMLSchema-instance" xsi:type="dcterms:W3CDTF">2026-10-13T11:37:05Z</dcterms:modified>
  <cp:lastModifiedBy>Brennecke Precision Components, Inc.</cp:lastModifiedBy>
</cp:coreProperties>
</file>