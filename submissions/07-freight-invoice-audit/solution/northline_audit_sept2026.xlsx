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xr:revisionPtr revIDLastSave="0" documentId="13_ncr:1_{EB9CC7CD-9904-9A4F-9242-A33EA56E971F}" xr6:coauthVersionLast="47" xr6:coauthVersionMax="47" xr10:uidLastSave="{00000000-0000-0000-0000-000000000000}"/>
  <bookViews>
    <workbookView xWindow="0" yWindow="0" windowWidth="21600" windowHeight="38400" xr2:uid="{00000000-000D-0000-FFFF-FFFF00000000}"/>
  </bookViews>
  <sheets>
    <sheet name="Summary" sheetId="1" r:id="rId1"/>
    <sheet name="Terms" sheetId="2" r:id="rId2"/>
    <sheet name="Tariff" sheetId="3" r:id="rId3"/>
    <sheet name="Fuel Index" sheetId="4" r:id="rId4"/>
    <sheet name="BOL" sheetId="5" r:id="rId5"/>
    <sheet name="Invoices" sheetId="6" r:id="rId6"/>
    <sheet name="Audit" sheetId="7" r:id="rId7"/>
    <sheet name="Exceptions" sheetId="8" r:id="rId8"/>
    <sheet name="Claim Schedule" sheetId="9" r:id="rId9"/>
    <sheet name="Undercharges" sheetId="10" r:id="rId10"/>
    <sheet name="Note to Ingri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8" l="1"/>
  <c r="BD22" i="7"/>
  <c r="BC22" i="7"/>
  <c r="BB22" i="7"/>
  <c r="AZ22" i="7"/>
  <c r="AL22" i="7"/>
  <c r="AJ22" i="7"/>
  <c r="AE22" i="7"/>
  <c r="AD22" i="7"/>
  <c r="AA22" i="7"/>
  <c r="Z22" i="7"/>
  <c r="Y22" i="7"/>
  <c r="W22" i="7"/>
  <c r="I22" i="7"/>
  <c r="G22" i="7"/>
  <c r="B22" i="7"/>
  <c r="A22" i="7"/>
  <c r="BD21" i="7"/>
  <c r="BC21" i="7"/>
  <c r="BB21" i="7"/>
  <c r="AZ21" i="7"/>
  <c r="AL21" i="7"/>
  <c r="AJ21" i="7"/>
  <c r="AE21" i="7"/>
  <c r="AD21" i="7"/>
  <c r="AA21" i="7"/>
  <c r="Z21" i="7"/>
  <c r="Y21" i="7"/>
  <c r="W21" i="7"/>
  <c r="I21" i="7"/>
  <c r="G21" i="7"/>
  <c r="B21" i="7"/>
  <c r="A21" i="7"/>
  <c r="BD20" i="7"/>
  <c r="BC20" i="7"/>
  <c r="BB20" i="7"/>
  <c r="AZ20" i="7"/>
  <c r="AL20" i="7"/>
  <c r="AJ20" i="7"/>
  <c r="AE20" i="7"/>
  <c r="AD20" i="7"/>
  <c r="AA20" i="7"/>
  <c r="Z20" i="7"/>
  <c r="Y20" i="7"/>
  <c r="W20" i="7"/>
  <c r="I20" i="7"/>
  <c r="G20" i="7"/>
  <c r="B20" i="7"/>
  <c r="A20" i="7"/>
  <c r="BD19" i="7"/>
  <c r="BC19" i="7"/>
  <c r="BB19" i="7"/>
  <c r="AZ19" i="7"/>
  <c r="AL19" i="7"/>
  <c r="AJ19" i="7"/>
  <c r="AE19" i="7"/>
  <c r="AD19" i="7"/>
  <c r="AA19" i="7"/>
  <c r="Z19" i="7"/>
  <c r="Y19" i="7"/>
  <c r="W19" i="7"/>
  <c r="I19" i="7"/>
  <c r="G19" i="7"/>
  <c r="B19" i="7"/>
  <c r="A19" i="7"/>
  <c r="BD18" i="7"/>
  <c r="BC18" i="7"/>
  <c r="BB18" i="7"/>
  <c r="AZ18" i="7"/>
  <c r="AL18" i="7"/>
  <c r="AJ18" i="7"/>
  <c r="AE18" i="7"/>
  <c r="AD18" i="7"/>
  <c r="AA18" i="7"/>
  <c r="Z18" i="7"/>
  <c r="Y18" i="7"/>
  <c r="W18" i="7"/>
  <c r="I18" i="7"/>
  <c r="G18" i="7"/>
  <c r="B18" i="7"/>
  <c r="A18" i="7"/>
  <c r="BD17" i="7"/>
  <c r="BC17" i="7"/>
  <c r="BB17" i="7"/>
  <c r="AZ17" i="7"/>
  <c r="AX17" i="7"/>
  <c r="AW17" i="7"/>
  <c r="AL17" i="7"/>
  <c r="AJ17" i="7"/>
  <c r="AI17" i="7"/>
  <c r="AE17" i="7"/>
  <c r="AD17" i="7"/>
  <c r="AA17" i="7"/>
  <c r="Z17" i="7"/>
  <c r="Y17" i="7"/>
  <c r="W17" i="7"/>
  <c r="I17" i="7"/>
  <c r="G17" i="7"/>
  <c r="B17" i="7"/>
  <c r="A17" i="7"/>
  <c r="BD16" i="7"/>
  <c r="BC16" i="7"/>
  <c r="BB16" i="7"/>
  <c r="AZ16" i="7"/>
  <c r="AL16" i="7"/>
  <c r="AJ16" i="7"/>
  <c r="AE16" i="7"/>
  <c r="AD16" i="7"/>
  <c r="AA16" i="7"/>
  <c r="Z16" i="7"/>
  <c r="Y16" i="7"/>
  <c r="W16" i="7"/>
  <c r="I16" i="7"/>
  <c r="G16" i="7"/>
  <c r="B16" i="7"/>
  <c r="A16" i="7"/>
  <c r="BD15" i="7"/>
  <c r="BC15" i="7"/>
  <c r="BB15" i="7"/>
  <c r="AZ15" i="7"/>
  <c r="AL15" i="7"/>
  <c r="AJ15" i="7"/>
  <c r="AE15" i="7"/>
  <c r="AD15" i="7"/>
  <c r="AA15" i="7"/>
  <c r="Z15" i="7"/>
  <c r="Y15" i="7"/>
  <c r="W15" i="7"/>
  <c r="I15" i="7"/>
  <c r="G15" i="7"/>
  <c r="B15" i="7"/>
  <c r="A15" i="7"/>
  <c r="BD14" i="7"/>
  <c r="BC14" i="7"/>
  <c r="BB14" i="7"/>
  <c r="AZ14" i="7"/>
  <c r="AL14" i="7"/>
  <c r="AJ14" i="7"/>
  <c r="AE14" i="7"/>
  <c r="AD14" i="7"/>
  <c r="AA14" i="7"/>
  <c r="Z14" i="7"/>
  <c r="Y14" i="7"/>
  <c r="W14" i="7"/>
  <c r="I14" i="7"/>
  <c r="G14" i="7"/>
  <c r="B14" i="7"/>
  <c r="A14" i="7"/>
  <c r="BD13" i="7"/>
  <c r="BC13" i="7"/>
  <c r="BB13" i="7"/>
  <c r="AZ13" i="7"/>
  <c r="AL13" i="7"/>
  <c r="AJ13" i="7"/>
  <c r="AE13" i="7"/>
  <c r="AD13" i="7"/>
  <c r="AA13" i="7"/>
  <c r="Z13" i="7"/>
  <c r="Y13" i="7"/>
  <c r="W13" i="7"/>
  <c r="I13" i="7"/>
  <c r="G13" i="7"/>
  <c r="B13" i="7"/>
  <c r="A13" i="7"/>
  <c r="BD12" i="7"/>
  <c r="BC12" i="7"/>
  <c r="BB12" i="7"/>
  <c r="AZ12" i="7"/>
  <c r="AL12" i="7"/>
  <c r="AJ12" i="7"/>
  <c r="AE12" i="7"/>
  <c r="AD12" i="7"/>
  <c r="AA12" i="7"/>
  <c r="Z12" i="7"/>
  <c r="Y12" i="7"/>
  <c r="W12" i="7"/>
  <c r="I12" i="7"/>
  <c r="G12" i="7"/>
  <c r="B12" i="7"/>
  <c r="A12" i="7"/>
  <c r="BD11" i="7"/>
  <c r="BC11" i="7"/>
  <c r="BB11" i="7"/>
  <c r="AZ11" i="7"/>
  <c r="AL11" i="7"/>
  <c r="AJ11" i="7"/>
  <c r="AE11" i="7"/>
  <c r="AD11" i="7"/>
  <c r="AA11" i="7"/>
  <c r="Z11" i="7"/>
  <c r="Y11" i="7"/>
  <c r="W11" i="7"/>
  <c r="I11" i="7"/>
  <c r="G11" i="7"/>
  <c r="B11" i="7"/>
  <c r="A11" i="7"/>
  <c r="BD10" i="7"/>
  <c r="BC10" i="7"/>
  <c r="BB10" i="7"/>
  <c r="AZ10" i="7"/>
  <c r="AL10" i="7"/>
  <c r="AJ10" i="7"/>
  <c r="AE10" i="7"/>
  <c r="AD10" i="7"/>
  <c r="AA10" i="7"/>
  <c r="Z10" i="7"/>
  <c r="Y10" i="7"/>
  <c r="W10" i="7"/>
  <c r="I10" i="7"/>
  <c r="G10" i="7"/>
  <c r="B10" i="7"/>
  <c r="A10" i="7"/>
  <c r="BD9" i="7"/>
  <c r="BC9" i="7"/>
  <c r="BB9" i="7"/>
  <c r="AZ9" i="7"/>
  <c r="AL9" i="7"/>
  <c r="AJ9" i="7"/>
  <c r="AE9" i="7"/>
  <c r="AD9" i="7"/>
  <c r="AA9" i="7"/>
  <c r="Z9" i="7"/>
  <c r="Y9" i="7"/>
  <c r="W9" i="7"/>
  <c r="I9" i="7"/>
  <c r="G9" i="7"/>
  <c r="B9" i="7"/>
  <c r="A9" i="7"/>
  <c r="BD8" i="7"/>
  <c r="BC8" i="7"/>
  <c r="BB8" i="7"/>
  <c r="AZ8" i="7"/>
  <c r="AL8" i="7"/>
  <c r="AJ8" i="7"/>
  <c r="AE8" i="7"/>
  <c r="AD8" i="7"/>
  <c r="AA8" i="7"/>
  <c r="Z8" i="7"/>
  <c r="Y8" i="7"/>
  <c r="W8" i="7"/>
  <c r="I8" i="7"/>
  <c r="G8" i="7"/>
  <c r="B8" i="7"/>
  <c r="A8" i="7"/>
  <c r="BD7" i="7"/>
  <c r="BC7" i="7"/>
  <c r="BB7" i="7"/>
  <c r="AZ7" i="7"/>
  <c r="AL7" i="7"/>
  <c r="AJ7" i="7"/>
  <c r="AE7" i="7"/>
  <c r="AD7" i="7"/>
  <c r="AA7" i="7"/>
  <c r="Z7" i="7"/>
  <c r="Y7" i="7"/>
  <c r="W7" i="7"/>
  <c r="I7" i="7"/>
  <c r="G7" i="7"/>
  <c r="B7" i="7"/>
  <c r="A7" i="7"/>
  <c r="BD6" i="7"/>
  <c r="BC6" i="7"/>
  <c r="BB6" i="7"/>
  <c r="AZ6" i="7"/>
  <c r="AL6" i="7"/>
  <c r="AJ6" i="7"/>
  <c r="AE6" i="7"/>
  <c r="AD6" i="7"/>
  <c r="AA6" i="7"/>
  <c r="Z6" i="7"/>
  <c r="Y6" i="7"/>
  <c r="W6" i="7"/>
  <c r="I6" i="7"/>
  <c r="G6" i="7"/>
  <c r="B6" i="7"/>
  <c r="A6" i="7"/>
  <c r="BD5" i="7"/>
  <c r="BC5" i="7"/>
  <c r="BB5" i="7"/>
  <c r="AZ5" i="7"/>
  <c r="AL5" i="7"/>
  <c r="AJ5" i="7"/>
  <c r="AE5" i="7"/>
  <c r="AD5" i="7"/>
  <c r="AA5" i="7"/>
  <c r="Z5" i="7"/>
  <c r="Y5" i="7"/>
  <c r="W5" i="7"/>
  <c r="I5" i="7"/>
  <c r="G5" i="7"/>
  <c r="B5" i="7"/>
  <c r="A5" i="7"/>
  <c r="BD4" i="7"/>
  <c r="BC4" i="7"/>
  <c r="BB4" i="7"/>
  <c r="AZ4" i="7"/>
  <c r="AL4" i="7"/>
  <c r="AJ4" i="7"/>
  <c r="AE4" i="7"/>
  <c r="AD4" i="7"/>
  <c r="AA4" i="7"/>
  <c r="Z4" i="7"/>
  <c r="Y4" i="7"/>
  <c r="W4" i="7"/>
  <c r="I4" i="7"/>
  <c r="G4" i="7"/>
  <c r="B4" i="7"/>
  <c r="A4" i="7"/>
  <c r="C12" i="4"/>
  <c r="C11" i="4"/>
  <c r="C10" i="4"/>
  <c r="C9" i="4"/>
  <c r="C8" i="4"/>
  <c r="C7" i="4"/>
  <c r="C6" i="4"/>
  <c r="C5" i="4"/>
  <c r="C4" i="4"/>
  <c r="B15" i="1"/>
  <c r="B14" i="1"/>
  <c r="B13" i="1"/>
  <c r="B7" i="1"/>
  <c r="B6" i="1"/>
  <c r="B16" i="1" s="1"/>
  <c r="AX22" i="7" l="1"/>
  <c r="AW22" i="7"/>
  <c r="AI22" i="7"/>
  <c r="AH22" i="7"/>
  <c r="AK22" i="7" s="1"/>
  <c r="AM22" i="7" s="1"/>
  <c r="AG22" i="7"/>
  <c r="AF22" i="7"/>
  <c r="AT22" i="7" s="1"/>
  <c r="AU22" i="7" s="1"/>
  <c r="U22" i="7"/>
  <c r="T22" i="7"/>
  <c r="F22" i="7"/>
  <c r="E22" i="7"/>
  <c r="H22" i="7" s="1"/>
  <c r="J22" i="7" s="1"/>
  <c r="D22" i="7"/>
  <c r="C22" i="7"/>
  <c r="Q22" i="7" s="1"/>
  <c r="R22" i="7" s="1"/>
  <c r="AX21" i="7"/>
  <c r="AW21" i="7"/>
  <c r="AI21" i="7"/>
  <c r="AH21" i="7"/>
  <c r="AK21" i="7" s="1"/>
  <c r="AM21" i="7" s="1"/>
  <c r="AG21" i="7"/>
  <c r="AF21" i="7"/>
  <c r="AT21" i="7" s="1"/>
  <c r="AU21" i="7" s="1"/>
  <c r="U21" i="7"/>
  <c r="T21" i="7"/>
  <c r="F21" i="7"/>
  <c r="E21" i="7"/>
  <c r="H21" i="7" s="1"/>
  <c r="J21" i="7" s="1"/>
  <c r="D21" i="7"/>
  <c r="C21" i="7"/>
  <c r="Q21" i="7" s="1"/>
  <c r="R21" i="7" s="1"/>
  <c r="AH20" i="7"/>
  <c r="AK20" i="7" s="1"/>
  <c r="AM20" i="7" s="1"/>
  <c r="AX20" i="7"/>
  <c r="AF20" i="7"/>
  <c r="AT20" i="7" s="1"/>
  <c r="AU20" i="7" s="1"/>
  <c r="AG20" i="7"/>
  <c r="AI20" i="7"/>
  <c r="AW20" i="7"/>
  <c r="D20" i="7"/>
  <c r="C20" i="7"/>
  <c r="Q20" i="7" s="1"/>
  <c r="R20" i="7" s="1"/>
  <c r="U20" i="7"/>
  <c r="T20" i="7"/>
  <c r="F20" i="7"/>
  <c r="E20" i="7"/>
  <c r="H20" i="7" s="1"/>
  <c r="J20" i="7" s="1"/>
  <c r="AG19" i="7"/>
  <c r="AX19" i="7"/>
  <c r="AW19" i="7"/>
  <c r="AI19" i="7"/>
  <c r="AH19" i="7"/>
  <c r="AK19" i="7" s="1"/>
  <c r="AM19" i="7" s="1"/>
  <c r="AF19" i="7"/>
  <c r="AT19" i="7" s="1"/>
  <c r="AU19" i="7" s="1"/>
  <c r="U19" i="7"/>
  <c r="T19" i="7"/>
  <c r="F19" i="7"/>
  <c r="E19" i="7"/>
  <c r="H19" i="7" s="1"/>
  <c r="J19" i="7" s="1"/>
  <c r="D19" i="7"/>
  <c r="C19" i="7"/>
  <c r="Q19" i="7" s="1"/>
  <c r="R19" i="7" s="1"/>
  <c r="AG18" i="7"/>
  <c r="AF18" i="7"/>
  <c r="AT18" i="7" s="1"/>
  <c r="AU18" i="7" s="1"/>
  <c r="AX18" i="7"/>
  <c r="AW18" i="7"/>
  <c r="AI18" i="7"/>
  <c r="AH18" i="7"/>
  <c r="AK18" i="7" s="1"/>
  <c r="AM18" i="7" s="1"/>
  <c r="E18" i="7"/>
  <c r="H18" i="7" s="1"/>
  <c r="J18" i="7" s="1"/>
  <c r="C18" i="7"/>
  <c r="Q18" i="7" s="1"/>
  <c r="R18" i="7" s="1"/>
  <c r="U18" i="7"/>
  <c r="T18" i="7"/>
  <c r="D18" i="7"/>
  <c r="F18" i="7"/>
  <c r="AN17" i="7"/>
  <c r="AH17" i="7"/>
  <c r="AK17" i="7" s="1"/>
  <c r="AG17" i="7"/>
  <c r="AO17" i="7" s="1"/>
  <c r="AP17" i="7" s="1"/>
  <c r="AF17" i="7"/>
  <c r="AT17" i="7" s="1"/>
  <c r="AU17" i="7" s="1"/>
  <c r="U17" i="7"/>
  <c r="T17" i="7"/>
  <c r="F17" i="7"/>
  <c r="E17" i="7"/>
  <c r="H17" i="7" s="1"/>
  <c r="J17" i="7" s="1"/>
  <c r="D17" i="7"/>
  <c r="C17" i="7"/>
  <c r="Q17" i="7" s="1"/>
  <c r="R17" i="7" s="1"/>
  <c r="AW16" i="7"/>
  <c r="AX16" i="7"/>
  <c r="AI16" i="7"/>
  <c r="AH16" i="7"/>
  <c r="AK16" i="7" s="1"/>
  <c r="AM16" i="7" s="1"/>
  <c r="AG16" i="7"/>
  <c r="AF16" i="7"/>
  <c r="AT16" i="7" s="1"/>
  <c r="AU16" i="7" s="1"/>
  <c r="U16" i="7"/>
  <c r="T16" i="7"/>
  <c r="F16" i="7"/>
  <c r="E16" i="7"/>
  <c r="H16" i="7" s="1"/>
  <c r="J16" i="7" s="1"/>
  <c r="D16" i="7"/>
  <c r="C16" i="7"/>
  <c r="Q16" i="7" s="1"/>
  <c r="R16" i="7" s="1"/>
  <c r="AF15" i="7"/>
  <c r="AT15" i="7" s="1"/>
  <c r="AU15" i="7" s="1"/>
  <c r="AH15" i="7"/>
  <c r="AK15" i="7" s="1"/>
  <c r="AM15" i="7" s="1"/>
  <c r="AW15" i="7"/>
  <c r="AG15" i="7"/>
  <c r="AX15" i="7"/>
  <c r="AI15" i="7"/>
  <c r="T15" i="7"/>
  <c r="U15" i="7"/>
  <c r="F15" i="7"/>
  <c r="C15" i="7"/>
  <c r="Q15" i="7" s="1"/>
  <c r="R15" i="7" s="1"/>
  <c r="E15" i="7"/>
  <c r="H15" i="7" s="1"/>
  <c r="J15" i="7" s="1"/>
  <c r="D15" i="7"/>
  <c r="AX14" i="7"/>
  <c r="AW14" i="7"/>
  <c r="AI14" i="7"/>
  <c r="AH14" i="7"/>
  <c r="AK14" i="7" s="1"/>
  <c r="AM14" i="7" s="1"/>
  <c r="AG14" i="7"/>
  <c r="AF14" i="7"/>
  <c r="AT14" i="7" s="1"/>
  <c r="AU14" i="7" s="1"/>
  <c r="C14" i="7"/>
  <c r="Q14" i="7" s="1"/>
  <c r="R14" i="7" s="1"/>
  <c r="D14" i="7"/>
  <c r="E14" i="7"/>
  <c r="H14" i="7" s="1"/>
  <c r="J14" i="7" s="1"/>
  <c r="T14" i="7"/>
  <c r="U14" i="7"/>
  <c r="F14" i="7"/>
  <c r="AX13" i="7"/>
  <c r="AW13" i="7"/>
  <c r="AI13" i="7"/>
  <c r="AH13" i="7"/>
  <c r="AK13" i="7" s="1"/>
  <c r="AM13" i="7" s="1"/>
  <c r="AG13" i="7"/>
  <c r="AF13" i="7"/>
  <c r="AT13" i="7" s="1"/>
  <c r="AU13" i="7" s="1"/>
  <c r="C13" i="7"/>
  <c r="Q13" i="7" s="1"/>
  <c r="R13" i="7" s="1"/>
  <c r="U13" i="7"/>
  <c r="T13" i="7"/>
  <c r="E13" i="7"/>
  <c r="H13" i="7" s="1"/>
  <c r="J13" i="7" s="1"/>
  <c r="F13" i="7"/>
  <c r="D13" i="7"/>
  <c r="AX12" i="7"/>
  <c r="AW12" i="7"/>
  <c r="AG12" i="7"/>
  <c r="AI12" i="7"/>
  <c r="AF12" i="7"/>
  <c r="AT12" i="7" s="1"/>
  <c r="AU12" i="7" s="1"/>
  <c r="AH12" i="7"/>
  <c r="AK12" i="7" s="1"/>
  <c r="AM12" i="7" s="1"/>
  <c r="D12" i="7"/>
  <c r="E12" i="7"/>
  <c r="H12" i="7" s="1"/>
  <c r="J12" i="7" s="1"/>
  <c r="T12" i="7"/>
  <c r="U12" i="7"/>
  <c r="C12" i="7"/>
  <c r="Q12" i="7" s="1"/>
  <c r="R12" i="7" s="1"/>
  <c r="F12" i="7"/>
  <c r="AH11" i="7"/>
  <c r="AK11" i="7" s="1"/>
  <c r="AM11" i="7" s="1"/>
  <c r="AG11" i="7"/>
  <c r="AW11" i="7"/>
  <c r="AI11" i="7"/>
  <c r="AF11" i="7"/>
  <c r="AT11" i="7" s="1"/>
  <c r="AU11" i="7" s="1"/>
  <c r="AX11" i="7"/>
  <c r="U11" i="7"/>
  <c r="C11" i="7"/>
  <c r="Q11" i="7" s="1"/>
  <c r="R11" i="7" s="1"/>
  <c r="D11" i="7"/>
  <c r="T11" i="7"/>
  <c r="E11" i="7"/>
  <c r="H11" i="7" s="1"/>
  <c r="J11" i="7" s="1"/>
  <c r="F11" i="7"/>
  <c r="AF10" i="7"/>
  <c r="AT10" i="7" s="1"/>
  <c r="AU10" i="7" s="1"/>
  <c r="AX10" i="7"/>
  <c r="AH10" i="7"/>
  <c r="AK10" i="7" s="1"/>
  <c r="AM10" i="7" s="1"/>
  <c r="AW10" i="7"/>
  <c r="AG10" i="7"/>
  <c r="AI10" i="7"/>
  <c r="F10" i="7"/>
  <c r="C10" i="7"/>
  <c r="Q10" i="7" s="1"/>
  <c r="R10" i="7" s="1"/>
  <c r="T10" i="7"/>
  <c r="E10" i="7"/>
  <c r="H10" i="7" s="1"/>
  <c r="J10" i="7" s="1"/>
  <c r="U10" i="7"/>
  <c r="D10" i="7"/>
  <c r="AI9" i="7"/>
  <c r="AG9" i="7"/>
  <c r="AH9" i="7"/>
  <c r="AK9" i="7" s="1"/>
  <c r="AM9" i="7" s="1"/>
  <c r="AW9" i="7"/>
  <c r="AX9" i="7"/>
  <c r="AF9" i="7"/>
  <c r="AT9" i="7" s="1"/>
  <c r="AU9" i="7" s="1"/>
  <c r="D9" i="7"/>
  <c r="E9" i="7"/>
  <c r="H9" i="7" s="1"/>
  <c r="J9" i="7" s="1"/>
  <c r="T9" i="7"/>
  <c r="F9" i="7"/>
  <c r="C9" i="7"/>
  <c r="Q9" i="7" s="1"/>
  <c r="R9" i="7" s="1"/>
  <c r="U9" i="7"/>
  <c r="AI8" i="7"/>
  <c r="AF8" i="7"/>
  <c r="AT8" i="7" s="1"/>
  <c r="AU8" i="7" s="1"/>
  <c r="AW8" i="7"/>
  <c r="AH8" i="7"/>
  <c r="AK8" i="7" s="1"/>
  <c r="AM8" i="7" s="1"/>
  <c r="AG8" i="7"/>
  <c r="AX8" i="7"/>
  <c r="C8" i="7"/>
  <c r="Q8" i="7" s="1"/>
  <c r="R8" i="7" s="1"/>
  <c r="D8" i="7"/>
  <c r="U8" i="7"/>
  <c r="E8" i="7"/>
  <c r="H8" i="7" s="1"/>
  <c r="J8" i="7" s="1"/>
  <c r="F8" i="7"/>
  <c r="T8" i="7"/>
  <c r="AF7" i="7"/>
  <c r="AT7" i="7" s="1"/>
  <c r="AU7" i="7" s="1"/>
  <c r="AX7" i="7"/>
  <c r="AI7" i="7"/>
  <c r="AG7" i="7"/>
  <c r="AW7" i="7"/>
  <c r="AH7" i="7"/>
  <c r="AK7" i="7" s="1"/>
  <c r="AM7" i="7" s="1"/>
  <c r="E7" i="7"/>
  <c r="H7" i="7" s="1"/>
  <c r="J7" i="7" s="1"/>
  <c r="D7" i="7"/>
  <c r="U7" i="7"/>
  <c r="C7" i="7"/>
  <c r="Q7" i="7" s="1"/>
  <c r="R7" i="7" s="1"/>
  <c r="F7" i="7"/>
  <c r="T7" i="7"/>
  <c r="AG6" i="7"/>
  <c r="AF6" i="7"/>
  <c r="AT6" i="7" s="1"/>
  <c r="AU6" i="7" s="1"/>
  <c r="AI6" i="7"/>
  <c r="AX6" i="7"/>
  <c r="AH6" i="7"/>
  <c r="AK6" i="7" s="1"/>
  <c r="AM6" i="7" s="1"/>
  <c r="AW6" i="7"/>
  <c r="D6" i="7"/>
  <c r="E6" i="7"/>
  <c r="H6" i="7" s="1"/>
  <c r="J6" i="7" s="1"/>
  <c r="T6" i="7"/>
  <c r="F6" i="7"/>
  <c r="C6" i="7"/>
  <c r="Q6" i="7" s="1"/>
  <c r="R6" i="7" s="1"/>
  <c r="U6" i="7"/>
  <c r="AF5" i="7"/>
  <c r="AT5" i="7" s="1"/>
  <c r="AU5" i="7" s="1"/>
  <c r="AH5" i="7"/>
  <c r="AK5" i="7" s="1"/>
  <c r="AM5" i="7" s="1"/>
  <c r="AI5" i="7"/>
  <c r="AW5" i="7"/>
  <c r="AX5" i="7"/>
  <c r="AG5" i="7"/>
  <c r="D5" i="7"/>
  <c r="E5" i="7"/>
  <c r="H5" i="7" s="1"/>
  <c r="J5" i="7" s="1"/>
  <c r="F5" i="7"/>
  <c r="U5" i="7"/>
  <c r="C5" i="7"/>
  <c r="Q5" i="7" s="1"/>
  <c r="R5" i="7" s="1"/>
  <c r="T5" i="7"/>
  <c r="AZ23" i="7"/>
  <c r="AW4" i="7"/>
  <c r="AF4" i="7"/>
  <c r="AT4" i="7" s="1"/>
  <c r="AU4" i="7" s="1"/>
  <c r="AH4" i="7"/>
  <c r="AK4" i="7" s="1"/>
  <c r="AM4" i="7" s="1"/>
  <c r="AI4" i="7"/>
  <c r="AX4" i="7"/>
  <c r="AG4" i="7"/>
  <c r="W23" i="7"/>
  <c r="B25" i="7" s="1"/>
  <c r="C4" i="7"/>
  <c r="Q4" i="7" s="1"/>
  <c r="R4" i="7" s="1"/>
  <c r="E4" i="7"/>
  <c r="H4" i="7" s="1"/>
  <c r="J4" i="7" s="1"/>
  <c r="U4" i="7"/>
  <c r="D4" i="7"/>
  <c r="F4" i="7"/>
  <c r="T4" i="7"/>
  <c r="C6" i="10"/>
  <c r="B4" i="8"/>
  <c r="D4" i="8"/>
  <c r="B5" i="8"/>
  <c r="D5" i="8"/>
  <c r="B6" i="8"/>
  <c r="D6" i="8"/>
  <c r="B7" i="8"/>
  <c r="D7" i="8"/>
  <c r="B8" i="8"/>
  <c r="D8" i="8"/>
  <c r="B9" i="8"/>
  <c r="D9" i="8"/>
  <c r="B10" i="8"/>
  <c r="D10" i="8"/>
  <c r="B11" i="8"/>
  <c r="D11" i="8"/>
  <c r="B12" i="8"/>
  <c r="D12" i="8"/>
  <c r="B13" i="8"/>
  <c r="D13" i="8"/>
  <c r="B14" i="8"/>
  <c r="D14" i="8"/>
  <c r="B15" i="8"/>
  <c r="D15" i="8"/>
  <c r="B16" i="8"/>
  <c r="D16" i="8"/>
  <c r="A4" i="9"/>
  <c r="C4" i="9"/>
  <c r="A5" i="9"/>
  <c r="C5" i="9"/>
  <c r="A6" i="9"/>
  <c r="C6" i="9"/>
  <c r="A7" i="9"/>
  <c r="C7" i="9"/>
  <c r="A8" i="9"/>
  <c r="C8" i="9"/>
  <c r="A9" i="9"/>
  <c r="C9" i="9"/>
  <c r="A10" i="9"/>
  <c r="C10" i="9"/>
  <c r="A11" i="9"/>
  <c r="C11" i="9"/>
  <c r="A12" i="9"/>
  <c r="C12" i="9"/>
  <c r="A13" i="9"/>
  <c r="C13" i="9"/>
  <c r="A4" i="10"/>
  <c r="C4" i="10"/>
  <c r="A5" i="10"/>
  <c r="C5" i="10"/>
  <c r="A6" i="10"/>
  <c r="AY22" i="7" l="1"/>
  <c r="BE22" i="7"/>
  <c r="AN22" i="7"/>
  <c r="K22" i="7"/>
  <c r="AN21" i="7"/>
  <c r="K21" i="7"/>
  <c r="AN20" i="7"/>
  <c r="K20" i="7"/>
  <c r="AN19" i="7"/>
  <c r="K19" i="7"/>
  <c r="AN18" i="7"/>
  <c r="K18" i="7"/>
  <c r="K17" i="7"/>
  <c r="BE16" i="7"/>
  <c r="AN16" i="7"/>
  <c r="AB16" i="7"/>
  <c r="K16" i="7"/>
  <c r="AN15" i="7"/>
  <c r="K15" i="7"/>
  <c r="AY14" i="7"/>
  <c r="BE14" i="7"/>
  <c r="AN14" i="7"/>
  <c r="K14" i="7"/>
  <c r="AN13" i="7"/>
  <c r="K13" i="7"/>
  <c r="AN12" i="7"/>
  <c r="AB12" i="7"/>
  <c r="K12" i="7"/>
  <c r="AN11" i="7"/>
  <c r="K11" i="7"/>
  <c r="AN10" i="7"/>
  <c r="K10" i="7"/>
  <c r="AN9" i="7"/>
  <c r="K9" i="7"/>
  <c r="AN8" i="7"/>
  <c r="K8" i="7"/>
  <c r="AN7" i="7"/>
  <c r="K7" i="7"/>
  <c r="AN6" i="7"/>
  <c r="K6" i="7"/>
  <c r="AN5" i="7"/>
  <c r="K5" i="7"/>
  <c r="AN4" i="7"/>
  <c r="K4" i="7"/>
  <c r="D17" i="8"/>
  <c r="C14" i="9"/>
  <c r="AQ17" i="7"/>
  <c r="AR17" i="7" s="1"/>
  <c r="C7" i="10"/>
  <c r="AM17" i="7"/>
  <c r="D13" i="9" l="1"/>
  <c r="E13" i="9" s="1"/>
  <c r="E16" i="8"/>
  <c r="F16" i="8" s="1"/>
  <c r="G16" i="8" s="1"/>
  <c r="BA22" i="7"/>
  <c r="F13" i="9"/>
  <c r="G13" i="9" s="1"/>
  <c r="C16" i="8"/>
  <c r="AO22" i="7"/>
  <c r="AP22" i="7" s="1"/>
  <c r="AQ22" i="7"/>
  <c r="L22" i="7"/>
  <c r="M22" i="7" s="1"/>
  <c r="N22" i="7"/>
  <c r="AO21" i="7"/>
  <c r="AP21" i="7" s="1"/>
  <c r="AR21" i="7" s="1"/>
  <c r="AQ21" i="7"/>
  <c r="L21" i="7"/>
  <c r="M21" i="7" s="1"/>
  <c r="N21" i="7"/>
  <c r="AO20" i="7"/>
  <c r="AP20" i="7" s="1"/>
  <c r="AQ20" i="7"/>
  <c r="L20" i="7"/>
  <c r="M20" i="7" s="1"/>
  <c r="N20" i="7"/>
  <c r="AO19" i="7"/>
  <c r="AP19" i="7" s="1"/>
  <c r="AQ19" i="7"/>
  <c r="L19" i="7"/>
  <c r="M19" i="7" s="1"/>
  <c r="N19" i="7"/>
  <c r="AO18" i="7"/>
  <c r="AP18" i="7" s="1"/>
  <c r="AR18" i="7" s="1"/>
  <c r="AQ18" i="7"/>
  <c r="L18" i="7"/>
  <c r="M18" i="7" s="1"/>
  <c r="N18" i="7"/>
  <c r="L17" i="7"/>
  <c r="M17" i="7" s="1"/>
  <c r="N17" i="7"/>
  <c r="F11" i="9"/>
  <c r="G11" i="9" s="1"/>
  <c r="C14" i="8"/>
  <c r="AO16" i="7"/>
  <c r="AP16" i="7" s="1"/>
  <c r="AQ16" i="7"/>
  <c r="F5" i="9"/>
  <c r="G5" i="9" s="1"/>
  <c r="C7" i="8"/>
  <c r="L16" i="7"/>
  <c r="M16" i="7" s="1"/>
  <c r="O16" i="7" s="1"/>
  <c r="P16" i="7" s="1"/>
  <c r="N16" i="7"/>
  <c r="AO15" i="7"/>
  <c r="AP15" i="7" s="1"/>
  <c r="AQ15" i="7"/>
  <c r="L15" i="7"/>
  <c r="M15" i="7" s="1"/>
  <c r="N15" i="7"/>
  <c r="D10" i="9"/>
  <c r="E10" i="9" s="1"/>
  <c r="E13" i="8"/>
  <c r="F13" i="8" s="1"/>
  <c r="G13" i="8" s="1"/>
  <c r="BA14" i="7"/>
  <c r="F10" i="9"/>
  <c r="G10" i="9" s="1"/>
  <c r="C13" i="8"/>
  <c r="AO14" i="7"/>
  <c r="AP14" i="7" s="1"/>
  <c r="AQ14" i="7"/>
  <c r="L14" i="7"/>
  <c r="M14" i="7" s="1"/>
  <c r="N14" i="7" s="1"/>
  <c r="O14" i="7" s="1"/>
  <c r="AO13" i="7"/>
  <c r="AP13" i="7" s="1"/>
  <c r="AQ13" i="7"/>
  <c r="L13" i="7"/>
  <c r="M13" i="7" s="1"/>
  <c r="N13" i="7"/>
  <c r="AO12" i="7"/>
  <c r="AP12" i="7" s="1"/>
  <c r="AQ12" i="7"/>
  <c r="F4" i="9"/>
  <c r="C6" i="8"/>
  <c r="L12" i="7"/>
  <c r="M12" i="7" s="1"/>
  <c r="N12" i="7"/>
  <c r="AO11" i="7"/>
  <c r="AP11" i="7" s="1"/>
  <c r="AQ11" i="7"/>
  <c r="L11" i="7"/>
  <c r="M11" i="7" s="1"/>
  <c r="N11" i="7"/>
  <c r="AO10" i="7"/>
  <c r="AP10" i="7" s="1"/>
  <c r="AQ10" i="7"/>
  <c r="L10" i="7"/>
  <c r="M10" i="7" s="1"/>
  <c r="N10" i="7"/>
  <c r="AO9" i="7"/>
  <c r="AP9" i="7" s="1"/>
  <c r="AQ9" i="7"/>
  <c r="L9" i="7"/>
  <c r="M9" i="7" s="1"/>
  <c r="N9" i="7"/>
  <c r="AO8" i="7"/>
  <c r="AP8" i="7" s="1"/>
  <c r="AQ8" i="7"/>
  <c r="L8" i="7"/>
  <c r="M8" i="7" s="1"/>
  <c r="N8" i="7"/>
  <c r="AO7" i="7"/>
  <c r="AP7" i="7" s="1"/>
  <c r="AQ7" i="7"/>
  <c r="L7" i="7"/>
  <c r="M7" i="7" s="1"/>
  <c r="N7" i="7"/>
  <c r="AO6" i="7"/>
  <c r="AP6" i="7" s="1"/>
  <c r="AR6" i="7" s="1"/>
  <c r="AQ6" i="7"/>
  <c r="L6" i="7"/>
  <c r="M6" i="7" s="1"/>
  <c r="N6" i="7"/>
  <c r="AO5" i="7"/>
  <c r="AP5" i="7" s="1"/>
  <c r="AQ5" i="7"/>
  <c r="L5" i="7"/>
  <c r="M5" i="7" s="1"/>
  <c r="N5" i="7"/>
  <c r="AO4" i="7"/>
  <c r="AP4" i="7" s="1"/>
  <c r="AQ4" i="7"/>
  <c r="L4" i="7"/>
  <c r="M4" i="7" s="1"/>
  <c r="N4" i="7"/>
  <c r="AS17" i="7"/>
  <c r="BE17" i="7"/>
  <c r="BE21" i="7" l="1"/>
  <c r="AS21" i="7"/>
  <c r="BE18" i="7"/>
  <c r="AS18" i="7"/>
  <c r="S16" i="7"/>
  <c r="V16" i="7" s="1"/>
  <c r="AB14" i="7"/>
  <c r="P14" i="7"/>
  <c r="G4" i="9"/>
  <c r="BE6" i="7"/>
  <c r="AS6" i="7"/>
  <c r="AV17" i="7"/>
  <c r="AY17" i="7" s="1"/>
  <c r="BA17" i="7" s="1"/>
  <c r="O21" i="7"/>
  <c r="AR20" i="7"/>
  <c r="O20" i="7"/>
  <c r="AR19" i="7"/>
  <c r="O19" i="7"/>
  <c r="AR14" i="7"/>
  <c r="AS14" i="7" s="1"/>
  <c r="AV14" i="7" s="1"/>
  <c r="AR12" i="7"/>
  <c r="O10" i="7"/>
  <c r="AR8" i="7"/>
  <c r="AR7" i="7"/>
  <c r="O18" i="7"/>
  <c r="O17" i="7"/>
  <c r="AR16" i="7"/>
  <c r="AS16" i="7" s="1"/>
  <c r="O13" i="7"/>
  <c r="O12" i="7"/>
  <c r="P12" i="7" s="1"/>
  <c r="AR10" i="7"/>
  <c r="O9" i="7"/>
  <c r="O8" i="7"/>
  <c r="O7" i="7"/>
  <c r="AR15" i="7"/>
  <c r="O15" i="7"/>
  <c r="AR13" i="7"/>
  <c r="AR11" i="7"/>
  <c r="O11" i="7"/>
  <c r="AR9" i="7"/>
  <c r="O6" i="7"/>
  <c r="AR5" i="7"/>
  <c r="O5" i="7"/>
  <c r="AR4" i="7"/>
  <c r="O4" i="7"/>
  <c r="AR22" i="7"/>
  <c r="AS22" i="7" s="1"/>
  <c r="AV22" i="7" s="1"/>
  <c r="O22" i="7"/>
  <c r="AV21" i="7" l="1"/>
  <c r="AY21" i="7" s="1"/>
  <c r="BA21" i="7" s="1"/>
  <c r="AV18" i="7"/>
  <c r="AY18" i="7" s="1"/>
  <c r="BA18" i="7" s="1"/>
  <c r="X16" i="7"/>
  <c r="E7" i="8"/>
  <c r="F7" i="8" s="1"/>
  <c r="G7" i="8" s="1"/>
  <c r="D5" i="9"/>
  <c r="E5" i="9" s="1"/>
  <c r="S14" i="7"/>
  <c r="V14" i="7" s="1"/>
  <c r="X14" i="7" s="1"/>
  <c r="AV6" i="7"/>
  <c r="AY6" i="7" s="1"/>
  <c r="BA6" i="7" s="1"/>
  <c r="P21" i="7"/>
  <c r="AB21" i="7"/>
  <c r="AS20" i="7"/>
  <c r="BE20" i="7"/>
  <c r="P20" i="7"/>
  <c r="AB20" i="7"/>
  <c r="AS19" i="7"/>
  <c r="BE19" i="7"/>
  <c r="P19" i="7"/>
  <c r="AB19" i="7"/>
  <c r="AS12" i="7"/>
  <c r="BE12" i="7"/>
  <c r="P10" i="7"/>
  <c r="AB10" i="7"/>
  <c r="AS8" i="7"/>
  <c r="BE8" i="7"/>
  <c r="AS7" i="7"/>
  <c r="BE7" i="7"/>
  <c r="P18" i="7"/>
  <c r="AB18" i="7"/>
  <c r="P17" i="7"/>
  <c r="AB17" i="7"/>
  <c r="AV16" i="7"/>
  <c r="AY16" i="7"/>
  <c r="P13" i="7"/>
  <c r="AB13" i="7"/>
  <c r="S12" i="7"/>
  <c r="V12" i="7"/>
  <c r="AS10" i="7"/>
  <c r="BE10" i="7"/>
  <c r="P9" i="7"/>
  <c r="AB9" i="7"/>
  <c r="P8" i="7"/>
  <c r="AB8" i="7"/>
  <c r="P7" i="7"/>
  <c r="AB7" i="7"/>
  <c r="AS15" i="7"/>
  <c r="BE15" i="7"/>
  <c r="P15" i="7"/>
  <c r="AB15" i="7"/>
  <c r="AS13" i="7"/>
  <c r="BE13" i="7"/>
  <c r="AS11" i="7"/>
  <c r="BE11" i="7"/>
  <c r="P11" i="7"/>
  <c r="AB11" i="7"/>
  <c r="AS9" i="7"/>
  <c r="BE9" i="7"/>
  <c r="P6" i="7"/>
  <c r="AB6" i="7"/>
  <c r="AS5" i="7"/>
  <c r="BE5" i="7"/>
  <c r="P5" i="7"/>
  <c r="AB5" i="7"/>
  <c r="AS4" i="7"/>
  <c r="BE4" i="7"/>
  <c r="P4" i="7"/>
  <c r="AB4" i="7"/>
  <c r="P22" i="7"/>
  <c r="AB22" i="7"/>
  <c r="S21" i="7" l="1"/>
  <c r="V21" i="7" s="1"/>
  <c r="X21" i="7" s="1"/>
  <c r="AV20" i="7"/>
  <c r="AY20" i="7" s="1"/>
  <c r="BA20" i="7" s="1"/>
  <c r="S20" i="7"/>
  <c r="V20" i="7" s="1"/>
  <c r="C10" i="8"/>
  <c r="F8" i="9"/>
  <c r="G8" i="9" s="1"/>
  <c r="AV19" i="7"/>
  <c r="AY19" i="7" s="1"/>
  <c r="C15" i="8"/>
  <c r="F12" i="9"/>
  <c r="G12" i="9" s="1"/>
  <c r="S19" i="7"/>
  <c r="V19" i="7" s="1"/>
  <c r="X19" i="7" s="1"/>
  <c r="AV12" i="7"/>
  <c r="AY12" i="7" s="1"/>
  <c r="BA12" i="7" s="1"/>
  <c r="S10" i="7"/>
  <c r="V10" i="7" s="1"/>
  <c r="C5" i="8"/>
  <c r="F5" i="10"/>
  <c r="G5" i="10" s="1"/>
  <c r="AV8" i="7"/>
  <c r="AY8" i="7" s="1"/>
  <c r="BA8" i="7" s="1"/>
  <c r="AV7" i="7"/>
  <c r="AY7" i="7" s="1"/>
  <c r="BA7" i="7" s="1"/>
  <c r="S18" i="7"/>
  <c r="V18" i="7" s="1"/>
  <c r="C9" i="8"/>
  <c r="F7" i="9"/>
  <c r="G7" i="9" s="1"/>
  <c r="S17" i="7"/>
  <c r="V17" i="7" s="1"/>
  <c r="C8" i="8"/>
  <c r="F6" i="9"/>
  <c r="BA16" i="7"/>
  <c r="E14" i="8"/>
  <c r="F14" i="8" s="1"/>
  <c r="G14" i="8" s="1"/>
  <c r="D11" i="9"/>
  <c r="E11" i="9" s="1"/>
  <c r="S13" i="7"/>
  <c r="V13" i="7" s="1"/>
  <c r="X13" i="7" s="1"/>
  <c r="X12" i="7"/>
  <c r="E6" i="8"/>
  <c r="F6" i="8" s="1"/>
  <c r="G6" i="8" s="1"/>
  <c r="D4" i="9"/>
  <c r="AV10" i="7"/>
  <c r="AY10" i="7" s="1"/>
  <c r="BA10" i="7" s="1"/>
  <c r="S9" i="7"/>
  <c r="V9" i="7" s="1"/>
  <c r="X9" i="7" s="1"/>
  <c r="S8" i="7"/>
  <c r="V8" i="7" s="1"/>
  <c r="C4" i="8"/>
  <c r="F4" i="10"/>
  <c r="G4" i="10" s="1"/>
  <c r="S7" i="7"/>
  <c r="V7" i="7" s="1"/>
  <c r="X7" i="7" s="1"/>
  <c r="AV15" i="7"/>
  <c r="AY15" i="7" s="1"/>
  <c r="BA15" i="7" s="1"/>
  <c r="S15" i="7"/>
  <c r="V15" i="7" s="1"/>
  <c r="X15" i="7" s="1"/>
  <c r="AV13" i="7"/>
  <c r="AY13" i="7" s="1"/>
  <c r="BA13" i="7" s="1"/>
  <c r="AV11" i="7"/>
  <c r="AY11" i="7" s="1"/>
  <c r="C12" i="8"/>
  <c r="F6" i="10"/>
  <c r="G6" i="10" s="1"/>
  <c r="S11" i="7"/>
  <c r="V11" i="7" s="1"/>
  <c r="X11" i="7" s="1"/>
  <c r="AV9" i="7"/>
  <c r="AY9" i="7" s="1"/>
  <c r="BA9" i="7" s="1"/>
  <c r="S6" i="7"/>
  <c r="V6" i="7" s="1"/>
  <c r="X6" i="7" s="1"/>
  <c r="AY5" i="7"/>
  <c r="AV5" i="7"/>
  <c r="C11" i="8"/>
  <c r="F9" i="9"/>
  <c r="G9" i="9" s="1"/>
  <c r="S5" i="7"/>
  <c r="V5" i="7" s="1"/>
  <c r="X5" i="7" s="1"/>
  <c r="AV4" i="7"/>
  <c r="AY4" i="7" s="1"/>
  <c r="S4" i="7"/>
  <c r="V4" i="7" s="1"/>
  <c r="S22" i="7"/>
  <c r="V22" i="7" s="1"/>
  <c r="X22" i="7" s="1"/>
  <c r="X20" i="7" l="1"/>
  <c r="E10" i="8"/>
  <c r="F10" i="8" s="1"/>
  <c r="G10" i="8" s="1"/>
  <c r="D8" i="9"/>
  <c r="E8" i="9" s="1"/>
  <c r="BA19" i="7"/>
  <c r="E15" i="8"/>
  <c r="F15" i="8" s="1"/>
  <c r="G15" i="8" s="1"/>
  <c r="D12" i="9"/>
  <c r="E12" i="9" s="1"/>
  <c r="X10" i="7"/>
  <c r="E5" i="8"/>
  <c r="F5" i="8" s="1"/>
  <c r="G5" i="8" s="1"/>
  <c r="D5" i="10"/>
  <c r="E5" i="10" s="1"/>
  <c r="X18" i="7"/>
  <c r="E9" i="8"/>
  <c r="F9" i="8" s="1"/>
  <c r="G9" i="8" s="1"/>
  <c r="D7" i="9"/>
  <c r="E7" i="9" s="1"/>
  <c r="X17" i="7"/>
  <c r="E8" i="8"/>
  <c r="F8" i="8" s="1"/>
  <c r="G8" i="8" s="1"/>
  <c r="D6" i="9"/>
  <c r="B25" i="1"/>
  <c r="B28" i="1"/>
  <c r="B29" i="1"/>
  <c r="B26" i="1"/>
  <c r="G6" i="9"/>
  <c r="E4" i="9"/>
  <c r="X8" i="7"/>
  <c r="E4" i="8"/>
  <c r="D4" i="10"/>
  <c r="B22" i="1"/>
  <c r="B21" i="1"/>
  <c r="B20" i="1"/>
  <c r="B19" i="1"/>
  <c r="B23" i="1"/>
  <c r="B18" i="1"/>
  <c r="BA11" i="7"/>
  <c r="D6" i="10"/>
  <c r="E6" i="10" s="1"/>
  <c r="E12" i="8"/>
  <c r="F12" i="8" s="1"/>
  <c r="G12" i="8" s="1"/>
  <c r="BA5" i="7"/>
  <c r="E11" i="8"/>
  <c r="F11" i="8" s="1"/>
  <c r="G11" i="8" s="1"/>
  <c r="D9" i="9"/>
  <c r="E9" i="9" s="1"/>
  <c r="AY23" i="7"/>
  <c r="BA4" i="7"/>
  <c r="V23" i="7"/>
  <c r="B24" i="7" s="1"/>
  <c r="B8" i="1" s="1"/>
  <c r="B9" i="1" s="1"/>
  <c r="X4" i="7"/>
  <c r="B27" i="1" l="1"/>
  <c r="B32" i="1"/>
  <c r="B33" i="1" s="1"/>
  <c r="E14" i="9"/>
  <c r="B10" i="1" s="1"/>
  <c r="B12" i="1" s="1"/>
  <c r="F4" i="8"/>
  <c r="E17" i="8"/>
  <c r="D7" i="10"/>
  <c r="E4" i="10"/>
  <c r="E7" i="10" s="1"/>
  <c r="B11" i="1" s="1"/>
  <c r="BA23" i="7"/>
  <c r="X23" i="7"/>
  <c r="E6" i="9"/>
  <c r="B30" i="1" s="1"/>
  <c r="D14" i="9"/>
  <c r="F17" i="8" l="1"/>
  <c r="G4" i="8"/>
</calcChain>
</file>

<file path=xl/sharedStrings.xml><?xml version="1.0" encoding="utf-8"?>
<sst xmlns="http://schemas.openxmlformats.org/spreadsheetml/2006/main" count="920" uniqueCount="380">
  <si>
    <t>Northline freight bill audit, September 2026 pickups, Halvorsen Building Products</t>
  </si>
  <si>
    <t>Prepared for Ingrid Solheim, controller; report prepared October 16, 2026</t>
  </si>
  <si>
    <t>Agreement NFL-2026-HBP; Northline freight bills for September pickups</t>
  </si>
  <si>
    <t>Finding</t>
  </si>
  <si>
    <t>Value</t>
  </si>
  <si>
    <t>Read from</t>
  </si>
  <si>
    <t>Freight bills in the file</t>
  </si>
  <si>
    <t>Invoices</t>
  </si>
  <si>
    <t>Total billed by Northline</t>
  </si>
  <si>
    <t>Total due under the contract</t>
  </si>
  <si>
    <t>Audit</t>
  </si>
  <si>
    <t>Net difference, billed less due</t>
  </si>
  <si>
    <t>Summary</t>
  </si>
  <si>
    <t>Overcharges claimed</t>
  </si>
  <si>
    <t>Claim Schedule</t>
  </si>
  <si>
    <t>Undercharges reported, not netted</t>
  </si>
  <si>
    <t>Undercharges</t>
  </si>
  <si>
    <t>Overcharges as a share of billings</t>
  </si>
  <si>
    <t>Freight bills claimed</t>
  </si>
  <si>
    <t>Freight bills underbilled</t>
  </si>
  <si>
    <t>Freight bills with an exception</t>
  </si>
  <si>
    <t>Exceptions</t>
  </si>
  <si>
    <t>Freight bills billed as the contract provides</t>
  </si>
  <si>
    <t>Exceptions by contract term</t>
  </si>
  <si>
    <t>Duplicate freight bills (7.1)</t>
  </si>
  <si>
    <t>Class not the product group class (4.3)</t>
  </si>
  <si>
    <t>Reweigh with no scale ticket (4.5)</t>
  </si>
  <si>
    <t>Deficit weight rule not applied (4.2)</t>
  </si>
  <si>
    <t>Fuel surcharge on the wrong week (5.2)</t>
  </si>
  <si>
    <t>Accessorial not on the bill of lading or omitted (6.1)</t>
  </si>
  <si>
    <t>Overcharges claimed by contract term</t>
  </si>
  <si>
    <t>Claimed under section 7.1, duplicate freight bills</t>
  </si>
  <si>
    <t>Claimed under section 4.2, deficit weight</t>
  </si>
  <si>
    <t>Claimed under section 4.3, class</t>
  </si>
  <si>
    <t>Claimed under section 4.5, reweigh</t>
  </si>
  <si>
    <t>Claimed under section 5.2, fuel week</t>
  </si>
  <si>
    <t>Claimed under section 6.1, accessorial not requested</t>
  </si>
  <si>
    <t>Largest single exception</t>
  </si>
  <si>
    <t>Largest overcharge on one freight bill</t>
  </si>
  <si>
    <t>Freight bill carrying it</t>
  </si>
  <si>
    <t>Every value on this page reads from the tab named beside it; the Audit tab rates each freight bill from the BOL, Invoices, Tariff and Fuel Index tabs, which copy the files in the folder.</t>
  </si>
  <si>
    <t>Contract terms the audit applies, agreement NFL-2026-HBP</t>
  </si>
  <si>
    <t>Term</t>
  </si>
  <si>
    <t>Section</t>
  </si>
  <si>
    <t>Discount off the class-rated linehaul</t>
  </si>
  <si>
    <t>4.4</t>
  </si>
  <si>
    <t>Minimum charge, net of discount ($)</t>
  </si>
  <si>
    <t>Reweigh tolerance over declared weight</t>
  </si>
  <si>
    <t>4.5</t>
  </si>
  <si>
    <t>Overcharge claim window (days from bill date)</t>
  </si>
  <si>
    <t>7.2</t>
  </si>
  <si>
    <t>Carrier balance-due window on undercharges (days)</t>
  </si>
  <si>
    <t>7.3</t>
  </si>
  <si>
    <t>Percent divisor for the billed surcharge column</t>
  </si>
  <si>
    <t>Invoice file, FSC_PCT in percent</t>
  </si>
  <si>
    <t>Rating method. The linehaul is the class 70 lane rate for the destination state at the shipment's weight break, times the class factor for the product group class, at the bill of lading weight. The gross charge is the lesser of that figure and the next break's minimum weight at the next break's rate. The net linehaul is the gross less the discount, rounded to the cent, with the minimum charge as a floor. The fuel surcharge is the net linehaul times the percentage for the DOE index in force on the pickup date, rounded to the cent. Accessorials are added at the flat rate only where the bill of lading requests the service. A second bill on a pro already billed is due at zero under section 7.1. Undercharges are reported and not netted under section 7.3.</t>
  </si>
  <si>
    <t>Exhibit B tariff tables, copied from northline_contract_rates_2026.xlsx</t>
  </si>
  <si>
    <t>DEST_STATE</t>
  </si>
  <si>
    <t>L5C</t>
  </si>
  <si>
    <t>5C</t>
  </si>
  <si>
    <t>1M</t>
  </si>
  <si>
    <t>2M</t>
  </si>
  <si>
    <t>5M</t>
  </si>
  <si>
    <t>NMFC_CLASS</t>
  </si>
  <si>
    <t>FACTOR</t>
  </si>
  <si>
    <t>PRODUCT_GROUP</t>
  </si>
  <si>
    <t>BOL_FLAG</t>
  </si>
  <si>
    <t>CHARGE</t>
  </si>
  <si>
    <t>PRICE_AT_LEAST</t>
  </si>
  <si>
    <t>FSC_PCT</t>
  </si>
  <si>
    <t>MN</t>
  </si>
  <si>
    <t>Gypsum and cement board</t>
  </si>
  <si>
    <t>LIFTGATE</t>
  </si>
  <si>
    <t>SD</t>
  </si>
  <si>
    <t>Fasteners and hardware</t>
  </si>
  <si>
    <t>RESIDENTIAL</t>
  </si>
  <si>
    <t>MT</t>
  </si>
  <si>
    <t>Metal roofing panels</t>
  </si>
  <si>
    <t>LIMITED_ACCESS</t>
  </si>
  <si>
    <t>IA</t>
  </si>
  <si>
    <t>Sealants and coatings</t>
  </si>
  <si>
    <t>INSIDE_DELIVERY</t>
  </si>
  <si>
    <t>WI</t>
  </si>
  <si>
    <t>Vinyl siding</t>
  </si>
  <si>
    <t>NE</t>
  </si>
  <si>
    <t>Windows and doors</t>
  </si>
  <si>
    <t>ND</t>
  </si>
  <si>
    <t>Minimum weight (lb)</t>
  </si>
  <si>
    <t>DOE index by week and the surcharge percentage it produces, from the September bulletin and the tariff table</t>
  </si>
  <si>
    <t>INDEX_MONDAY</t>
  </si>
  <si>
    <t>DOE_PRICE</t>
  </si>
  <si>
    <t>08/03/2026</t>
  </si>
  <si>
    <t>08/10/2026</t>
  </si>
  <si>
    <t>08/17/2026</t>
  </si>
  <si>
    <t>08/24/2026</t>
  </si>
  <si>
    <t>08/31/2026</t>
  </si>
  <si>
    <t>09/07/2026</t>
  </si>
  <si>
    <t>09/14/2026</t>
  </si>
  <si>
    <t>09/21/2026</t>
  </si>
  <si>
    <t>09/28/2026</t>
  </si>
  <si>
    <t>Bills of lading, bills_of_lading_sept_2026.csv, copied line for line</t>
  </si>
  <si>
    <t>BOL_NO</t>
  </si>
  <si>
    <t>PRO_NO</t>
  </si>
  <si>
    <t>PICKUP_DATE</t>
  </si>
  <si>
    <t>CONSIGNEE_CITY</t>
  </si>
  <si>
    <t>PIECES</t>
  </si>
  <si>
    <t>WEIGHT_LB</t>
  </si>
  <si>
    <t>DELIVERED_DATE</t>
  </si>
  <si>
    <t>HBP-44817</t>
  </si>
  <si>
    <t>217645</t>
  </si>
  <si>
    <t>09/01/2026</t>
  </si>
  <si>
    <t>Superior</t>
  </si>
  <si>
    <t>N</t>
  </si>
  <si>
    <t>Y</t>
  </si>
  <si>
    <t>09/04/2026</t>
  </si>
  <si>
    <t>HBP-44868</t>
  </si>
  <si>
    <t>217763</t>
  </si>
  <si>
    <t>Sioux City</t>
  </si>
  <si>
    <t>HBP-44843</t>
  </si>
  <si>
    <t>217703</t>
  </si>
  <si>
    <t>09/03/2026</t>
  </si>
  <si>
    <t>Moorhead</t>
  </si>
  <si>
    <t>HBP-44895</t>
  </si>
  <si>
    <t>217822</t>
  </si>
  <si>
    <t>Hudson</t>
  </si>
  <si>
    <t>09/09/2026</t>
  </si>
  <si>
    <t>HBP-44832</t>
  </si>
  <si>
    <t>217675</t>
  </si>
  <si>
    <t>09/08/2026</t>
  </si>
  <si>
    <t>Miles City</t>
  </si>
  <si>
    <t>HBP-44839</t>
  </si>
  <si>
    <t>217700</t>
  </si>
  <si>
    <t>Aberdeen</t>
  </si>
  <si>
    <t>09/10/2026</t>
  </si>
  <si>
    <t>HBP-44875</t>
  </si>
  <si>
    <t>217784</t>
  </si>
  <si>
    <t>Minot</t>
  </si>
  <si>
    <t>HBP-44902</t>
  </si>
  <si>
    <t>217846</t>
  </si>
  <si>
    <t>HBP-44858</t>
  </si>
  <si>
    <t>217738</t>
  </si>
  <si>
    <t>Brainerd</t>
  </si>
  <si>
    <t>09/11/2026</t>
  </si>
  <si>
    <t>HBP-44820</t>
  </si>
  <si>
    <t>217649</t>
  </si>
  <si>
    <t>Alexandria</t>
  </si>
  <si>
    <t>09/17/2026</t>
  </si>
  <si>
    <t>HBP-44856</t>
  </si>
  <si>
    <t>217733</t>
  </si>
  <si>
    <t>Norfolk</t>
  </si>
  <si>
    <t>09/18/2026</t>
  </si>
  <si>
    <t>HBP-44879</t>
  </si>
  <si>
    <t>217792</t>
  </si>
  <si>
    <t>09/15/2026</t>
  </si>
  <si>
    <t>HBP-44908</t>
  </si>
  <si>
    <t>217861</t>
  </si>
  <si>
    <t>Detroit Lakes</t>
  </si>
  <si>
    <t>HBP-44828</t>
  </si>
  <si>
    <t>217669</t>
  </si>
  <si>
    <t>HBP-44838</t>
  </si>
  <si>
    <t>217692</t>
  </si>
  <si>
    <t>Eau Claire</t>
  </si>
  <si>
    <t>HBP-44870</t>
  </si>
  <si>
    <t>217766</t>
  </si>
  <si>
    <t>09/16/2026</t>
  </si>
  <si>
    <t>Glendive</t>
  </si>
  <si>
    <t>HBP-44883</t>
  </si>
  <si>
    <t>217798</t>
  </si>
  <si>
    <t>Jamestown</t>
  </si>
  <si>
    <t>HBP-44915</t>
  </si>
  <si>
    <t>217873</t>
  </si>
  <si>
    <t>HBP-44826</t>
  </si>
  <si>
    <t>217666</t>
  </si>
  <si>
    <t>HBP-44853</t>
  </si>
  <si>
    <t>217724</t>
  </si>
  <si>
    <t>Bismarck</t>
  </si>
  <si>
    <t>09/22/2026</t>
  </si>
  <si>
    <t>HBP-44896</t>
  </si>
  <si>
    <t>217833</t>
  </si>
  <si>
    <t>Fergus Falls</t>
  </si>
  <si>
    <t>HBP-44918</t>
  </si>
  <si>
    <t>217883</t>
  </si>
  <si>
    <t>HBP-44906</t>
  </si>
  <si>
    <t>217851</t>
  </si>
  <si>
    <t>09/25/2026</t>
  </si>
  <si>
    <t>HBP-44913</t>
  </si>
  <si>
    <t>217864</t>
  </si>
  <si>
    <t>09/23/2026</t>
  </si>
  <si>
    <t>HBP-44863</t>
  </si>
  <si>
    <t>217757</t>
  </si>
  <si>
    <t>HBP-44885</t>
  </si>
  <si>
    <t>217803</t>
  </si>
  <si>
    <t>Mason City</t>
  </si>
  <si>
    <t>09/24/2026</t>
  </si>
  <si>
    <t>HBP-44874</t>
  </si>
  <si>
    <t>217775</t>
  </si>
  <si>
    <t>Grand Island</t>
  </si>
  <si>
    <t>HBP-44901</t>
  </si>
  <si>
    <t>217841</t>
  </si>
  <si>
    <t>HBP-44862</t>
  </si>
  <si>
    <t>217750</t>
  </si>
  <si>
    <t>09/29/2026</t>
  </si>
  <si>
    <t>HBP-44833</t>
  </si>
  <si>
    <t>217687</t>
  </si>
  <si>
    <t>Williston</t>
  </si>
  <si>
    <t>10/02/2026</t>
  </si>
  <si>
    <t>HBP-44891</t>
  </si>
  <si>
    <t>217820</t>
  </si>
  <si>
    <t>10/01/2026</t>
  </si>
  <si>
    <t>HBP-44822</t>
  </si>
  <si>
    <t>217654</t>
  </si>
  <si>
    <t>HBP-44847</t>
  </si>
  <si>
    <t>217712</t>
  </si>
  <si>
    <t>HBP-44921</t>
  </si>
  <si>
    <t>217888</t>
  </si>
  <si>
    <t>Watertown</t>
  </si>
  <si>
    <t>HBP-44849</t>
  </si>
  <si>
    <t>217720</t>
  </si>
  <si>
    <t>09/30/2026</t>
  </si>
  <si>
    <t>HBP-44887</t>
  </si>
  <si>
    <t>217810</t>
  </si>
  <si>
    <t>Billings</t>
  </si>
  <si>
    <t>Northline freight bills, northline_invoices_sept_2026.csv, copied line for line</t>
  </si>
  <si>
    <t>INVOICE_NO</t>
  </si>
  <si>
    <t>INVOICE_DATE</t>
  </si>
  <si>
    <t>SHIP_DATE</t>
  </si>
  <si>
    <t>BILLED_WEIGHT</t>
  </si>
  <si>
    <t>BILLED_CLASS</t>
  </si>
  <si>
    <t>BASE_CHARGE</t>
  </si>
  <si>
    <t>DISCOUNT_AMT</t>
  </si>
  <si>
    <t>NET_LINEHAUL</t>
  </si>
  <si>
    <t>FSC_AMT</t>
  </si>
  <si>
    <t>ACCESSORIAL_DESC</t>
  </si>
  <si>
    <t>ACCESSORIAL_AMT</t>
  </si>
  <si>
    <t>INVOICE_TOTAL</t>
  </si>
  <si>
    <t>NFL-90311</t>
  </si>
  <si>
    <t>09/05/2026</t>
  </si>
  <si>
    <t>Limited access delivery</t>
  </si>
  <si>
    <t>NFL-90313</t>
  </si>
  <si>
    <t>Liftgate delivery</t>
  </si>
  <si>
    <t>NFL-90314</t>
  </si>
  <si>
    <t>09/12/2026</t>
  </si>
  <si>
    <t>NFL-90316</t>
  </si>
  <si>
    <t>None</t>
  </si>
  <si>
    <t>NFL-90317</t>
  </si>
  <si>
    <t>09/13/2026</t>
  </si>
  <si>
    <t>NFL-90318</t>
  </si>
  <si>
    <t>NFL-90319</t>
  </si>
  <si>
    <t>Liftgate delivery/Limited access delivery</t>
  </si>
  <si>
    <t>NFL-90321</t>
  </si>
  <si>
    <t>NFL-90322</t>
  </si>
  <si>
    <t>NFL-90324</t>
  </si>
  <si>
    <t>NFL-90326</t>
  </si>
  <si>
    <t>NFL-90327</t>
  </si>
  <si>
    <t>09/19/2026</t>
  </si>
  <si>
    <t>NFL-90328</t>
  </si>
  <si>
    <t>NFL-90330</t>
  </si>
  <si>
    <t>09/20/2026</t>
  </si>
  <si>
    <t>NFL-90332</t>
  </si>
  <si>
    <t>NFL-90333</t>
  </si>
  <si>
    <t>NFL-90335</t>
  </si>
  <si>
    <t>Residential delivery</t>
  </si>
  <si>
    <t>NFL-90336</t>
  </si>
  <si>
    <t>Liftgate delivery/Inside delivery</t>
  </si>
  <si>
    <t>NFL-90337</t>
  </si>
  <si>
    <t>Liftgate delivery/Residential delivery</t>
  </si>
  <si>
    <t>NFL-90338</t>
  </si>
  <si>
    <t>NFL-90339</t>
  </si>
  <si>
    <t>Residential delivery/Inside delivery/Liftgate delivery</t>
  </si>
  <si>
    <t>NFL-90340</t>
  </si>
  <si>
    <t>NFL-90341</t>
  </si>
  <si>
    <t>Inside delivery</t>
  </si>
  <si>
    <t>NFL-90343</t>
  </si>
  <si>
    <t>09/26/2026</t>
  </si>
  <si>
    <t>NFL-90344</t>
  </si>
  <si>
    <t>09/27/2026</t>
  </si>
  <si>
    <t>NFL-90345</t>
  </si>
  <si>
    <t>NFL-90346</t>
  </si>
  <si>
    <t>NFL-90347</t>
  </si>
  <si>
    <t>NFL-90348</t>
  </si>
  <si>
    <t>NFL-90349</t>
  </si>
  <si>
    <t>NFL-90350</t>
  </si>
  <si>
    <t>NFL-90351</t>
  </si>
  <si>
    <t>NFL-90353</t>
  </si>
  <si>
    <t>NFL-90355</t>
  </si>
  <si>
    <t>NFL-90356</t>
  </si>
  <si>
    <t>NFL-90357</t>
  </si>
  <si>
    <t>NFL-90358</t>
  </si>
  <si>
    <t>NFL-90360</t>
  </si>
  <si>
    <t>Every freight bill rated under the contract beside what Northline billed; bills 1 to 19 in the left panel, 20 to 38 in the right</t>
  </si>
  <si>
    <t>BOL_WEIGHT</t>
  </si>
  <si>
    <t>CONTRACT_CLASS</t>
  </si>
  <si>
    <t>CLASS_FACTOR</t>
  </si>
  <si>
    <t>BREAK</t>
  </si>
  <si>
    <t>RATE_CWT</t>
  </si>
  <si>
    <t>OWN_BREAK_CHARGE</t>
  </si>
  <si>
    <t>NEXT_BREAK_CHARGE</t>
  </si>
  <si>
    <t>GROSS_LINEHAUL</t>
  </si>
  <si>
    <t>FSC_MONDAY</t>
  </si>
  <si>
    <t>FSC_DUE</t>
  </si>
  <si>
    <t>ACCESSORIALS_DUE</t>
  </si>
  <si>
    <t>DUPLICATE</t>
  </si>
  <si>
    <t>CONTRACT_TOTAL</t>
  </si>
  <si>
    <t>BILLED_TOTAL</t>
  </si>
  <si>
    <t>VARIANCE</t>
  </si>
  <si>
    <t>BILLED_BASE</t>
  </si>
  <si>
    <t>BILLED_FSC_PCT</t>
  </si>
  <si>
    <t>BILLED_ACCESSORIALS</t>
  </si>
  <si>
    <t>EXCEPTION</t>
  </si>
  <si>
    <t>INVOICE_NO_2</t>
  </si>
  <si>
    <t>PRO_NO_2</t>
  </si>
  <si>
    <t>PICKUP_DATE_2</t>
  </si>
  <si>
    <t>DEST_STATE_2</t>
  </si>
  <si>
    <t>PRODUCT_GROUP_2</t>
  </si>
  <si>
    <t>BOL_WEIGHT_2</t>
  </si>
  <si>
    <t>BILLED_WEIGHT_2</t>
  </si>
  <si>
    <t>CONTRACT_CLASS_2</t>
  </si>
  <si>
    <t>BILLED_CLASS_2</t>
  </si>
  <si>
    <t>CLASS_FACTOR_2</t>
  </si>
  <si>
    <t>BREAK_2</t>
  </si>
  <si>
    <t>RATE_CWT_2</t>
  </si>
  <si>
    <t>OWN_BREAK_CHARGE_2</t>
  </si>
  <si>
    <t>NEXT_BREAK_CHARGE_2</t>
  </si>
  <si>
    <t>GROSS_LINEHAUL_2</t>
  </si>
  <si>
    <t>NET_LINEHAUL_2</t>
  </si>
  <si>
    <t>FSC_MONDAY_2</t>
  </si>
  <si>
    <t>FSC_PCT_2</t>
  </si>
  <si>
    <t>FSC_DUE_2</t>
  </si>
  <si>
    <t>ACCESSORIALS_DUE_2</t>
  </si>
  <si>
    <t>DUPLICATE_2</t>
  </si>
  <si>
    <t>CONTRACT_TOTAL_2</t>
  </si>
  <si>
    <t>BILLED_TOTAL_2</t>
  </si>
  <si>
    <t>VARIANCE_2</t>
  </si>
  <si>
    <t>BILLED_BASE_2</t>
  </si>
  <si>
    <t>BILLED_FSC_PCT_2</t>
  </si>
  <si>
    <t>BILLED_ACCESSORIALS_2</t>
  </si>
  <si>
    <t>EXCEPTION_2</t>
  </si>
  <si>
    <t>Totals</t>
  </si>
  <si>
    <t>Totals_2</t>
  </si>
  <si>
    <t>Total due under the contract, both panels</t>
  </si>
  <si>
    <t>Total billed, both panels</t>
  </si>
  <si>
    <t>Terms B9 is the percent divisor for the invoice file's FSC_PCT column, which Northline states in whole percent.</t>
  </si>
  <si>
    <t>Freight bills that do not match the contract, with the section each exception rests on</t>
  </si>
  <si>
    <t>FREIGHT_BILL</t>
  </si>
  <si>
    <t>BILLED</t>
  </si>
  <si>
    <t>DUE</t>
  </si>
  <si>
    <t>DISPOSITION</t>
  </si>
  <si>
    <t>Exceptions listed</t>
  </si>
  <si>
    <t>Overcharge claim schedule under section 7.2, Halvorsen Building Products to Northline Freight Lines, September 2026 freight bills</t>
  </si>
  <si>
    <t>AMOUNT_BILLED</t>
  </si>
  <si>
    <t>AMOUNT_DUE</t>
  </si>
  <si>
    <t>DIFFERENCE</t>
  </si>
  <si>
    <t>SECTION</t>
  </si>
  <si>
    <t>BASIS</t>
  </si>
  <si>
    <t>Total claimed</t>
  </si>
  <si>
    <t>Basis text by section</t>
  </si>
  <si>
    <t>7.1</t>
  </si>
  <si>
    <t>Second freight bill on a pro number already billed; void under 7.1</t>
  </si>
  <si>
    <t>4.3</t>
  </si>
  <si>
    <t>Billed at a class other than the product group class in Exhibit B; no inspection certificate attached</t>
  </si>
  <si>
    <t>Billed weight exceeds the bill of lading weight; no certified scale ticket attached</t>
  </si>
  <si>
    <t>4.2</t>
  </si>
  <si>
    <t>Rated at the shipment's own break where the next break's minimum weight rates lower</t>
  </si>
  <si>
    <t>5.2</t>
  </si>
  <si>
    <t>Fuel surcharge taken from a week other than the pickup week</t>
  </si>
  <si>
    <t>6.1</t>
  </si>
  <si>
    <t>Accessorial billed that the bill of lading did not request</t>
  </si>
  <si>
    <t>Freight bills where Northline billed less than the contract, reported under section 7.3 and not netted against the claim</t>
  </si>
  <si>
    <t>SHORTFALL</t>
  </si>
  <si>
    <t>Total reported</t>
  </si>
  <si>
    <t>Accessorial the bill of lading requested was not billed</t>
  </si>
  <si>
    <t>Note to Ingrid Solheim on the September Northline audit</t>
  </si>
  <si>
    <t>Ingrid, this is the September audit of the Northline freight bills, job file in the folder. Every figure on the summary reads from the tabs behind it, and the tabs behind read from the BOL and Invoices tabs, which copy the two files line for line, so nothing on the summary is typed in. The contract terms the audit applies are on the Terms and Tariff tabs with the section of the agreement each one comes from.</t>
  </si>
  <si>
    <t>Northline billed $20,348.35 on 38 freight bills for September pickups. Rated under the agreement the same shipments come to $18,918.03, so Northline billed $1,430.32 more than the contract allows on a net basis. That net figure is not the claim. The agreement does not let us net an undercharge against an overcharge, so the claim is the overcharges alone, $1,507.50 on 10 freight bills, and the undercharges go on their own list, $77.18 on 3 freight bills, reported to Northline and not deducted.</t>
  </si>
  <si>
    <t>The two duplicate freight bills are most of the claim, $1,051.33 between them. Northline billed pro 217883 twice, on NFL-90340 and again on NFL-90349, and pro 217841 twice, on NFL-90347 and again on NFL-90360. Section 7.1 makes the second bill on a pro void. If accounts payable has already paid either second bill, it goes on the claim; if not, return it unpaid and take it off the claim schedule before you file, because the schedule assumes payment.</t>
  </si>
  <si>
    <t>Two bills were rated without the deficit weight rule in section 4.2, $162.52 together. On NFL-90332 the 4,650-pound Eau Claire shipment rates cheaper as 5,000 pounds at the 5M rate, and on NFL-90335 the 1,860-pound Jamestown shipment rates cheaper as 2,000 pounds at the 2M rate. Northline's own rating system is supposed to apply the rule, so these are worth raising with the pricing desk as a system question and not only as a claim.</t>
  </si>
  <si>
    <t>Two bills carry a class higher than the product group class in the tariff, $69.42 together. NFL-90322 bills the Minot sealants shipment at class 92.5 where the tariff puts sealants and coatings at class 85, and NFL-90328 bills the Norfolk gypsum board at class 70 where the tariff puts it at class 55. Section 4.3 allows a reclass only with a signed inspection certificate attached, and neither bill has one in the file.</t>
  </si>
  <si>
    <t>NFL-90350 bills the Mason City roofing shipment at 1,620 pounds against 1,310 pounds on the bill of lading, $71.22 over. Section 4.5 lets a reweigh stand only with a certified scale ticket attached and only where it exceeds the declared weight by more than five percent. This one is 23.7 percent over, so if Northline produces a ticket the reweigh holds and the item comes off the claim; the file has no ticket, so the audit reverts to the bill of lading weight.</t>
  </si>
  <si>
    <t>Two bills carry an accessorial the bill of lading did not request, a liftgate on NFL-90330 to Detroit Lakes and a liftgate on NFL-90339 to Bismarck, $150.00 together under section 6.1. Three bills carry a fuel surcharge from the wrong week: NFL-90353 was rated on the September 21 index instead of the September 28 index for its September 29 pickup, $3.01 over, and NFL-90319 and NFL-90346 were rated on the week of their invoice date instead of the week of pickup, which undercharged us $0.77 and $1.41. Section 5.2 keys the surcharge to the pickup week regardless of the invoice date. NFL-90317 omitted the liftgate the Brainerd bill of lading requested, $75.00 under.</t>
  </si>
  <si>
    <t>Three things the file does not settle. First, whether the two second bills on the duplicate pros were paid, which decides whether they are claimed or returned. Second, whether Northline holds a scale ticket for the Mason City reweigh or an inspection certificate for either reclass; the claim letter should ask for them, because either document would take its item off the claim. Third, the agreement lets Northline issue a balance-due bill on the three undercharges within ninety days of each original bill, so accounts payable should expect a small bill on the Brainerd liftgate rather than paying it unasked. The claim window under section 7.2 is 180 days from each freight bill date, so there is time on every item. The duplicates are the cleanest to claim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</si>
</sst>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3" x14ac:knownFonts="1">
    <font>
      <sz val="11"/>
      <color theme="1"/>
      <name val="Calibri"/>
      <family val="2"/>
      <scheme val="minor"/>
    </font>
    <font>
      <b/>
      <sz val="13"/>
      <name val="Calibri"/>
      <family val="2"/>
    </font>
    <font>
      <b/>
      <sz val="11"/>
      <name val="Calibri"/>
      <family val="2"/>
    </font>
  </fonts>
  <fills count="3">
    <fill>
      <patternFill patternType="none"/>
    </fill>
    <fill>
      <patternFill patternType="gray125"/>
    </fill>
    <fill>
      <patternFill patternType="solid">
        <fgColor rgb="FFDCE6F0"/>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2" borderId="0" xfId="0" applyFont="1" applyFill="1"/>
    <xf numFmtId="1" fontId="0" fillId="0" borderId="0" xfId="0" applyNumberFormat="1" applyAlignment="1">
      <alignment horizontal="left"/>
    </xf>
    <xf numFmtId="4" fontId="0" fillId="0" borderId="0" xfId="0" applyNumberFormat="1" applyAlignment="1">
      <alignment horizontal="left"/>
    </xf>
    <xf numFmtId="10" fontId="0" fillId="0" borderId="0" xfId="0" applyNumberFormat="1" applyAlignment="1">
      <alignment horizontal="left"/>
    </xf>
    <xf numFmtId="0" fontId="2" fillId="0" borderId="0" xfId="0" applyFont="1"/>
    <xf numFmtId="49" fontId="0" fillId="0" borderId="0" xfId="0" applyNumberFormat="1" applyAlignment="1">
      <alignment horizontal="left"/>
    </xf>
    <xf numFmtId="9" fontId="0" fillId="0" borderId="0" xfId="0" applyNumberFormat="1"/>
    <xf numFmtId="4" fontId="0" fillId="0" borderId="0" xfId="0" applyNumberFormat="1"/>
    <xf numFmtId="0" fontId="0" fillId="0" borderId="0" xfId="0" applyAlignment="1">
      <alignment vertical="top" wrapText="1"/>
    </xf>
    <xf numFmtId="2" fontId="0" fillId="0" borderId="0" xfId="0" applyNumberFormat="1"/>
    <xf numFmtId="164" fontId="0" fillId="0" borderId="0" xfId="0" applyNumberFormat="1"/>
    <xf numFmtId="165" fontId="0" fillId="0" borderId="0" xfId="0" applyNumberFormat="1"/>
    <xf numFmtId="4" fontId="2"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5"/>
  <sheetViews>
    <sheetView tabSelected="1" workbookViewId="0"/>
  </sheetViews>
  <sheetFormatPr baseColWidth="10" defaultColWidth="8.83203125" defaultRowHeight="15" x14ac:dyDescent="0.2"/>
  <cols>
    <col min="1" max="1" width="54" customWidth="1"/>
    <col min="2" max="2" width="16" customWidth="1"/>
    <col min="3" max="3" width="22" customWidth="1"/>
  </cols>
  <sheetData>
    <row r="1" spans="1:3" ht="17" x14ac:dyDescent="0.2">
      <c r="A1" s="1" t="s">
        <v>0</v>
      </c>
    </row>
    <row r="2" spans="1:3" x14ac:dyDescent="0.2">
      <c r="A2" t="s">
        <v>1</v>
      </c>
    </row>
    <row r="3" spans="1:3" x14ac:dyDescent="0.2">
      <c r="A3" t="s">
        <v>2</v>
      </c>
    </row>
    <row r="5" spans="1:3" x14ac:dyDescent="0.2">
      <c r="A5" s="2" t="s">
        <v>3</v>
      </c>
      <c r="B5" s="2" t="s">
        <v>4</v>
      </c>
      <c r="C5" s="2" t="s">
        <v>5</v>
      </c>
    </row>
    <row r="6" spans="1:3" x14ac:dyDescent="0.2">
      <c r="A6" t="s">
        <v>6</v>
      </c>
      <c r="B6" s="3">
        <f>COUNTA(Invoices!A4:A41)</f>
        <v>38</v>
      </c>
      <c r="C6" t="s">
        <v>7</v>
      </c>
    </row>
    <row r="7" spans="1:3" x14ac:dyDescent="0.2">
      <c r="A7" t="s">
        <v>8</v>
      </c>
      <c r="B7" s="4">
        <f>ROUND(SUM(Invoices!O4:O41),2)</f>
        <v>20348.35</v>
      </c>
      <c r="C7" t="s">
        <v>7</v>
      </c>
    </row>
    <row r="8" spans="1:3" x14ac:dyDescent="0.2">
      <c r="A8" t="s">
        <v>9</v>
      </c>
      <c r="B8" s="4">
        <f>Audit!B24</f>
        <v>18918.03</v>
      </c>
      <c r="C8" t="s">
        <v>10</v>
      </c>
    </row>
    <row r="9" spans="1:3" x14ac:dyDescent="0.2">
      <c r="A9" t="s">
        <v>11</v>
      </c>
      <c r="B9" s="4">
        <f>ROUND(B7-B8,2)</f>
        <v>1430.32</v>
      </c>
      <c r="C9" t="s">
        <v>12</v>
      </c>
    </row>
    <row r="10" spans="1:3" x14ac:dyDescent="0.2">
      <c r="A10" t="s">
        <v>13</v>
      </c>
      <c r="B10" s="4">
        <f>'Claim Schedule'!E14</f>
        <v>1507.5</v>
      </c>
      <c r="C10" t="s">
        <v>14</v>
      </c>
    </row>
    <row r="11" spans="1:3" x14ac:dyDescent="0.2">
      <c r="A11" t="s">
        <v>15</v>
      </c>
      <c r="B11" s="4">
        <f>Undercharges!E7</f>
        <v>77.18</v>
      </c>
      <c r="C11" t="s">
        <v>16</v>
      </c>
    </row>
    <row r="12" spans="1:3" x14ac:dyDescent="0.2">
      <c r="A12" t="s">
        <v>17</v>
      </c>
      <c r="B12" s="5">
        <f>ROUND(B10/B7,4)</f>
        <v>0.0741</v>
      </c>
      <c r="C12" t="s">
        <v>12</v>
      </c>
    </row>
    <row r="13" spans="1:3" x14ac:dyDescent="0.2">
      <c r="A13" t="s">
        <v>18</v>
      </c>
      <c r="B13" s="3">
        <f>COUNTA('Claim Schedule'!B4:B13)</f>
        <v>10</v>
      </c>
      <c r="C13" t="s">
        <v>14</v>
      </c>
    </row>
    <row r="14" spans="1:3" x14ac:dyDescent="0.2">
      <c r="A14" t="s">
        <v>19</v>
      </c>
      <c r="B14" s="3">
        <f>COUNTA(Undercharges!B4:B6)</f>
        <v>3</v>
      </c>
      <c r="C14" t="s">
        <v>16</v>
      </c>
    </row>
    <row r="15" spans="1:3" x14ac:dyDescent="0.2">
      <c r="A15" t="s">
        <v>20</v>
      </c>
      <c r="B15" s="3">
        <f>COUNTA(Exceptions!A4:A16)</f>
        <v>13</v>
      </c>
      <c r="C15" t="s">
        <v>21</v>
      </c>
    </row>
    <row r="16" spans="1:3" x14ac:dyDescent="0.2">
      <c r="A16" t="s">
        <v>22</v>
      </c>
      <c r="B16" s="3">
        <f>B6-B15</f>
        <v>25</v>
      </c>
      <c r="C16" t="s">
        <v>12</v>
      </c>
    </row>
    <row r="17" spans="1:3" x14ac:dyDescent="0.2">
      <c r="A17" s="6" t="s">
        <v>23</v>
      </c>
    </row>
    <row r="18" spans="1:3" x14ac:dyDescent="0.2">
      <c r="A18" t="s">
        <v>24</v>
      </c>
      <c r="B18" s="3">
        <f>COUNTIF(Exceptions!C4:C16,"7.1*")</f>
        <v>2</v>
      </c>
      <c r="C18" t="s">
        <v>10</v>
      </c>
    </row>
    <row r="19" spans="1:3" x14ac:dyDescent="0.2">
      <c r="A19" t="s">
        <v>25</v>
      </c>
      <c r="B19" s="3">
        <f>COUNTIF(Exceptions!C4:C16,"4.3*")</f>
        <v>2</v>
      </c>
      <c r="C19" t="s">
        <v>10</v>
      </c>
    </row>
    <row r="20" spans="1:3" x14ac:dyDescent="0.2">
      <c r="A20" t="s">
        <v>26</v>
      </c>
      <c r="B20" s="3">
        <f>COUNTIF(Exceptions!C4:C16,"4.5*")</f>
        <v>1</v>
      </c>
      <c r="C20" t="s">
        <v>10</v>
      </c>
    </row>
    <row r="21" spans="1:3" x14ac:dyDescent="0.2">
      <c r="A21" t="s">
        <v>27</v>
      </c>
      <c r="B21" s="3">
        <f>COUNTIF(Exceptions!C4:C16,"4.2*")</f>
        <v>2</v>
      </c>
      <c r="C21" t="s">
        <v>10</v>
      </c>
    </row>
    <row r="22" spans="1:3" x14ac:dyDescent="0.2">
      <c r="A22" t="s">
        <v>28</v>
      </c>
      <c r="B22" s="3">
        <f>COUNTIF(Exceptions!C4:C16,"5.2*")</f>
        <v>3</v>
      </c>
      <c r="C22" t="s">
        <v>10</v>
      </c>
    </row>
    <row r="23" spans="1:3" x14ac:dyDescent="0.2">
      <c r="A23" t="s">
        <v>29</v>
      </c>
      <c r="B23" s="3">
        <f>COUNTIF(Exceptions!C4:C16,"6.1*")</f>
        <v>3</v>
      </c>
      <c r="C23" t="s">
        <v>10</v>
      </c>
    </row>
    <row r="24" spans="1:3" x14ac:dyDescent="0.2">
      <c r="A24" s="6" t="s">
        <v>30</v>
      </c>
    </row>
    <row r="25" spans="1:3" x14ac:dyDescent="0.2">
      <c r="A25" t="s">
        <v>31</v>
      </c>
      <c r="B25" s="4">
        <f>ROUND(SUMIF('Claim Schedule'!F4:F13,"7.1",'Claim Schedule'!E4:E13),2)</f>
        <v>1051.33</v>
      </c>
      <c r="C25" t="s">
        <v>14</v>
      </c>
    </row>
    <row r="26" spans="1:3" x14ac:dyDescent="0.2">
      <c r="A26" t="s">
        <v>32</v>
      </c>
      <c r="B26" s="4">
        <f>ROUND(SUMIF('Claim Schedule'!F4:F13,"4.2",'Claim Schedule'!E4:E13),2)</f>
        <v>162.52</v>
      </c>
      <c r="C26" t="s">
        <v>14</v>
      </c>
    </row>
    <row r="27" spans="1:3" x14ac:dyDescent="0.2">
      <c r="A27" t="s">
        <v>33</v>
      </c>
      <c r="B27" s="4">
        <f>ROUND(SUMIF('Claim Schedule'!F4:F13,"4.3",'Claim Schedule'!E4:E13),2)</f>
        <v>69.42</v>
      </c>
      <c r="C27" t="s">
        <v>14</v>
      </c>
    </row>
    <row r="28" spans="1:3" x14ac:dyDescent="0.2">
      <c r="A28" t="s">
        <v>34</v>
      </c>
      <c r="B28" s="4">
        <f>ROUND(SUMIF('Claim Schedule'!F4:F13,"4.5",'Claim Schedule'!E4:E13),2)</f>
        <v>71.22</v>
      </c>
      <c r="C28" t="s">
        <v>14</v>
      </c>
    </row>
    <row r="29" spans="1:3" x14ac:dyDescent="0.2">
      <c r="A29" t="s">
        <v>35</v>
      </c>
      <c r="B29" s="4">
        <f>ROUND(SUMIF('Claim Schedule'!F4:F13,"5.2",'Claim Schedule'!E4:E13),2)</f>
        <v>3.01</v>
      </c>
      <c r="C29" t="s">
        <v>14</v>
      </c>
    </row>
    <row r="30" spans="1:3" x14ac:dyDescent="0.2">
      <c r="A30" t="s">
        <v>36</v>
      </c>
      <c r="B30" s="4">
        <f>ROUND(SUMIF('Claim Schedule'!F4:F13,"6.1",'Claim Schedule'!E4:E13),2)</f>
        <v>150</v>
      </c>
      <c r="C30" t="s">
        <v>14</v>
      </c>
    </row>
    <row r="31" spans="1:3" x14ac:dyDescent="0.2">
      <c r="A31" s="6" t="s">
        <v>37</v>
      </c>
    </row>
    <row r="32" spans="1:3" x14ac:dyDescent="0.2">
      <c r="A32" t="s">
        <v>38</v>
      </c>
      <c r="B32" s="4">
        <f>MAX('Claim Schedule'!E4:E13)</f>
        <v>603.63</v>
      </c>
      <c r="C32" t="s">
        <v>14</v>
      </c>
    </row>
    <row r="33" spans="1:3" x14ac:dyDescent="0.2">
      <c r="A33" t="s">
        <v>39</v>
      </c>
      <c r="B33" s="7" t="str">
        <f>INDEX('Claim Schedule'!B4:B13,MATCH(B32,'Claim Schedule'!E4:E13,0))</f>
        <v>NFL-90360</v>
      </c>
      <c r="C33" t="s">
        <v>14</v>
      </c>
    </row>
    <row r="35" spans="1:3" x14ac:dyDescent="0.2">
      <c r="A35" t="s">
        <v>40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1"/>
  <sheetViews>
    <sheetView workbookViewId="0"/>
  </sheetViews>
  <sheetFormatPr baseColWidth="10" defaultColWidth="8.83203125" defaultRowHeight="15" x14ac:dyDescent="0.2"/>
  <cols>
    <col min="1" max="1" width="52" customWidth="1"/>
    <col min="2" max="2" width="14" customWidth="1"/>
    <col min="3" max="3" width="44" customWidth="1"/>
  </cols>
  <sheetData>
    <row r="1" spans="1:3" ht="17" x14ac:dyDescent="0.2">
      <c r="A1" s="1" t="s">
        <v>41</v>
      </c>
    </row>
    <row r="3" spans="1:3" x14ac:dyDescent="0.2">
      <c r="A3" s="2" t="s">
        <v>42</v>
      </c>
      <c r="B3" s="2" t="s">
        <v>4</v>
      </c>
      <c r="C3" s="2" t="s">
        <v>43</v>
      </c>
    </row>
    <row r="4" spans="1:3" x14ac:dyDescent="0.2">
      <c r="A4" t="s">
        <v>44</v>
      </c>
      <c r="B4" s="8">
        <v>0.62</v>
      </c>
      <c r="C4" t="s">
        <v>45</v>
      </c>
    </row>
    <row r="5" spans="1:3" x14ac:dyDescent="0.2">
      <c r="A5" t="s">
        <v>46</v>
      </c>
      <c r="B5" s="9">
        <v>118.4</v>
      </c>
      <c r="C5" t="s">
        <v>45</v>
      </c>
    </row>
    <row r="6" spans="1:3" x14ac:dyDescent="0.2">
      <c r="A6" t="s">
        <v>47</v>
      </c>
      <c r="B6" s="8">
        <v>0.05</v>
      </c>
      <c r="C6" t="s">
        <v>48</v>
      </c>
    </row>
    <row r="7" spans="1:3" x14ac:dyDescent="0.2">
      <c r="A7" t="s">
        <v>49</v>
      </c>
      <c r="B7">
        <v>180</v>
      </c>
      <c r="C7" t="s">
        <v>50</v>
      </c>
    </row>
    <row r="8" spans="1:3" x14ac:dyDescent="0.2">
      <c r="A8" t="s">
        <v>51</v>
      </c>
      <c r="B8">
        <v>90</v>
      </c>
      <c r="C8" t="s">
        <v>52</v>
      </c>
    </row>
    <row r="9" spans="1:3" x14ac:dyDescent="0.2">
      <c r="A9" t="s">
        <v>53</v>
      </c>
      <c r="B9">
        <v>100</v>
      </c>
      <c r="C9" t="s">
        <v>54</v>
      </c>
    </row>
    <row r="11" spans="1:3" ht="120" customHeight="1" x14ac:dyDescent="0.2">
      <c r="A11" s="10" t="s">
        <v>55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1"/>
  <sheetViews>
    <sheetView workbookViewId="0"/>
  </sheetViews>
  <sheetFormatPr baseColWidth="10" defaultColWidth="8.83203125" defaultRowHeight="15" x14ac:dyDescent="0.2"/>
  <cols>
    <col min="1" max="1" width="12" customWidth="1"/>
    <col min="2" max="6" width="9" customWidth="1"/>
    <col min="8" max="8" width="12" customWidth="1"/>
    <col min="9" max="9" width="9" customWidth="1"/>
    <col min="11" max="11" width="26" customWidth="1"/>
    <col min="12" max="12" width="12" customWidth="1"/>
    <col min="14" max="14" width="18" customWidth="1"/>
    <col min="15" max="15" width="10" customWidth="1"/>
    <col min="17" max="17" width="16" customWidth="1"/>
    <col min="18" max="18" width="10" customWidth="1"/>
  </cols>
  <sheetData>
    <row r="1" spans="1:18" ht="17" x14ac:dyDescent="0.2">
      <c r="A1" s="1" t="s">
        <v>56</v>
      </c>
    </row>
    <row r="3" spans="1:18" x14ac:dyDescent="0.2">
      <c r="A3" s="2" t="s">
        <v>57</v>
      </c>
      <c r="B3" s="2" t="s">
        <v>58</v>
      </c>
      <c r="C3" s="2" t="s">
        <v>59</v>
      </c>
      <c r="D3" s="2" t="s">
        <v>60</v>
      </c>
      <c r="E3" s="2" t="s">
        <v>61</v>
      </c>
      <c r="F3" s="2" t="s">
        <v>62</v>
      </c>
      <c r="H3" s="2" t="s">
        <v>63</v>
      </c>
      <c r="I3" s="2" t="s">
        <v>64</v>
      </c>
      <c r="K3" s="2" t="s">
        <v>65</v>
      </c>
      <c r="L3" s="2" t="s">
        <v>63</v>
      </c>
      <c r="N3" s="2" t="s">
        <v>66</v>
      </c>
      <c r="O3" s="2" t="s">
        <v>67</v>
      </c>
      <c r="Q3" s="2" t="s">
        <v>68</v>
      </c>
      <c r="R3" s="2" t="s">
        <v>69</v>
      </c>
    </row>
    <row r="4" spans="1:18" x14ac:dyDescent="0.2">
      <c r="A4" t="s">
        <v>70</v>
      </c>
      <c r="B4" s="11">
        <v>58.4</v>
      </c>
      <c r="C4" s="11">
        <v>49.1</v>
      </c>
      <c r="D4" s="11">
        <v>41.75</v>
      </c>
      <c r="E4" s="11">
        <v>34.2</v>
      </c>
      <c r="F4" s="11">
        <v>27.85</v>
      </c>
      <c r="H4">
        <v>50</v>
      </c>
      <c r="I4" s="11">
        <v>0.8</v>
      </c>
      <c r="K4" t="s">
        <v>71</v>
      </c>
      <c r="L4">
        <v>55</v>
      </c>
      <c r="N4" t="s">
        <v>72</v>
      </c>
      <c r="O4" s="9">
        <v>75</v>
      </c>
      <c r="Q4" s="12">
        <v>3</v>
      </c>
      <c r="R4" s="13">
        <v>0.195</v>
      </c>
    </row>
    <row r="5" spans="1:18" x14ac:dyDescent="0.2">
      <c r="A5" t="s">
        <v>73</v>
      </c>
      <c r="B5" s="11">
        <v>61.2</v>
      </c>
      <c r="C5" s="11">
        <v>51.65</v>
      </c>
      <c r="D5" s="11">
        <v>43.9</v>
      </c>
      <c r="E5" s="11">
        <v>36.05</v>
      </c>
      <c r="F5" s="11">
        <v>29.4</v>
      </c>
      <c r="H5">
        <v>55</v>
      </c>
      <c r="I5" s="11">
        <v>0.88</v>
      </c>
      <c r="K5" t="s">
        <v>74</v>
      </c>
      <c r="L5">
        <v>60</v>
      </c>
      <c r="N5" t="s">
        <v>75</v>
      </c>
      <c r="O5" s="9">
        <v>95</v>
      </c>
      <c r="Q5" s="12">
        <v>3.1</v>
      </c>
      <c r="R5" s="13">
        <v>0.205</v>
      </c>
    </row>
    <row r="6" spans="1:18" x14ac:dyDescent="0.2">
      <c r="A6" t="s">
        <v>76</v>
      </c>
      <c r="B6" s="11">
        <v>84.7</v>
      </c>
      <c r="C6" s="11">
        <v>71.3</v>
      </c>
      <c r="D6" s="11">
        <v>60.85</v>
      </c>
      <c r="E6" s="11">
        <v>49.95</v>
      </c>
      <c r="F6" s="11">
        <v>40.6</v>
      </c>
      <c r="H6">
        <v>60</v>
      </c>
      <c r="I6" s="11">
        <v>0.94</v>
      </c>
      <c r="K6" t="s">
        <v>77</v>
      </c>
      <c r="L6">
        <v>70</v>
      </c>
      <c r="N6" t="s">
        <v>78</v>
      </c>
      <c r="O6" s="9">
        <v>85</v>
      </c>
      <c r="Q6" s="12">
        <v>3.2</v>
      </c>
      <c r="R6" s="13">
        <v>0.215</v>
      </c>
    </row>
    <row r="7" spans="1:18" x14ac:dyDescent="0.2">
      <c r="A7" t="s">
        <v>79</v>
      </c>
      <c r="B7" s="11">
        <v>66.35</v>
      </c>
      <c r="C7" s="11">
        <v>55.9</v>
      </c>
      <c r="D7" s="11">
        <v>47.6</v>
      </c>
      <c r="E7" s="11">
        <v>39.1</v>
      </c>
      <c r="F7" s="11">
        <v>31.85</v>
      </c>
      <c r="H7">
        <v>70</v>
      </c>
      <c r="I7" s="11">
        <v>1</v>
      </c>
      <c r="K7" t="s">
        <v>80</v>
      </c>
      <c r="L7">
        <v>85</v>
      </c>
      <c r="N7" t="s">
        <v>81</v>
      </c>
      <c r="O7" s="9">
        <v>60</v>
      </c>
      <c r="Q7" s="12">
        <v>3.3</v>
      </c>
      <c r="R7" s="13">
        <v>0.225</v>
      </c>
    </row>
    <row r="8" spans="1:18" x14ac:dyDescent="0.2">
      <c r="A8" t="s">
        <v>82</v>
      </c>
      <c r="B8" s="11">
        <v>70.15</v>
      </c>
      <c r="C8" s="11">
        <v>59.05</v>
      </c>
      <c r="D8" s="11">
        <v>50.3</v>
      </c>
      <c r="E8" s="11">
        <v>41.3</v>
      </c>
      <c r="F8" s="11">
        <v>33.65</v>
      </c>
      <c r="H8">
        <v>85</v>
      </c>
      <c r="I8" s="11">
        <v>1.15</v>
      </c>
      <c r="K8" t="s">
        <v>83</v>
      </c>
      <c r="L8">
        <v>92.5</v>
      </c>
      <c r="Q8" s="12">
        <v>3.4</v>
      </c>
      <c r="R8" s="13">
        <v>0.235</v>
      </c>
    </row>
    <row r="9" spans="1:18" x14ac:dyDescent="0.2">
      <c r="A9" t="s">
        <v>84</v>
      </c>
      <c r="B9" s="11">
        <v>69.4</v>
      </c>
      <c r="C9" s="11">
        <v>58.45</v>
      </c>
      <c r="D9" s="11">
        <v>49.8</v>
      </c>
      <c r="E9" s="11">
        <v>40.9</v>
      </c>
      <c r="F9" s="11">
        <v>33.3</v>
      </c>
      <c r="H9">
        <v>92.5</v>
      </c>
      <c r="I9" s="11">
        <v>1.3</v>
      </c>
      <c r="K9" t="s">
        <v>85</v>
      </c>
      <c r="L9">
        <v>100</v>
      </c>
      <c r="Q9" s="12">
        <v>3.5</v>
      </c>
      <c r="R9" s="13">
        <v>0.245</v>
      </c>
    </row>
    <row r="10" spans="1:18" x14ac:dyDescent="0.2">
      <c r="A10" t="s">
        <v>86</v>
      </c>
      <c r="B10" s="11">
        <v>44.9</v>
      </c>
      <c r="C10" s="11">
        <v>37.8</v>
      </c>
      <c r="D10" s="11">
        <v>32.15</v>
      </c>
      <c r="E10" s="11">
        <v>26.4</v>
      </c>
      <c r="F10" s="11">
        <v>21.5</v>
      </c>
      <c r="H10">
        <v>100</v>
      </c>
      <c r="I10" s="11">
        <v>1.45</v>
      </c>
      <c r="Q10" s="12">
        <v>3.55</v>
      </c>
      <c r="R10" s="13">
        <v>0.25</v>
      </c>
    </row>
    <row r="11" spans="1:18" x14ac:dyDescent="0.2">
      <c r="Q11" s="12">
        <v>3.6</v>
      </c>
      <c r="R11" s="13">
        <v>0.255</v>
      </c>
    </row>
    <row r="12" spans="1:18" x14ac:dyDescent="0.2">
      <c r="A12" s="6" t="s">
        <v>87</v>
      </c>
      <c r="B12">
        <v>1</v>
      </c>
      <c r="C12">
        <v>500</v>
      </c>
      <c r="D12">
        <v>1000</v>
      </c>
      <c r="E12">
        <v>2000</v>
      </c>
      <c r="F12">
        <v>5000</v>
      </c>
      <c r="Q12" s="12">
        <v>3.65</v>
      </c>
      <c r="R12" s="13">
        <v>0.26</v>
      </c>
    </row>
    <row r="13" spans="1:18" x14ac:dyDescent="0.2">
      <c r="Q13" s="12">
        <v>3.7</v>
      </c>
      <c r="R13" s="13">
        <v>0.265</v>
      </c>
    </row>
    <row r="14" spans="1:18" x14ac:dyDescent="0.2">
      <c r="Q14" s="12">
        <v>3.75</v>
      </c>
      <c r="R14" s="13">
        <v>0.27</v>
      </c>
    </row>
    <row r="15" spans="1:18" x14ac:dyDescent="0.2">
      <c r="Q15" s="12">
        <v>3.8</v>
      </c>
      <c r="R15" s="13">
        <v>0.275</v>
      </c>
    </row>
    <row r="16" spans="1:18" x14ac:dyDescent="0.2">
      <c r="Q16" s="12">
        <v>3.85</v>
      </c>
      <c r="R16" s="13">
        <v>0.28</v>
      </c>
    </row>
    <row r="17" spans="17:18" x14ac:dyDescent="0.2">
      <c r="Q17" s="12">
        <v>3.9</v>
      </c>
      <c r="R17" s="13">
        <v>0.285</v>
      </c>
    </row>
    <row r="18" spans="17:18" x14ac:dyDescent="0.2">
      <c r="Q18" s="12">
        <v>3.95</v>
      </c>
      <c r="R18" s="13">
        <v>0.29</v>
      </c>
    </row>
    <row r="19" spans="17:18" x14ac:dyDescent="0.2">
      <c r="Q19" s="12">
        <v>4</v>
      </c>
      <c r="R19" s="13">
        <v>0.295</v>
      </c>
    </row>
    <row r="20" spans="17:18" x14ac:dyDescent="0.2">
      <c r="Q20" s="12">
        <v>4.1</v>
      </c>
      <c r="R20" s="13">
        <v>0.305</v>
      </c>
    </row>
    <row r="21" spans="17:18" x14ac:dyDescent="0.2">
      <c r="Q21" s="12">
        <v>4.2</v>
      </c>
      <c r="R21" s="13">
        <v>0.315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2"/>
  <sheetViews>
    <sheetView workbookViewId="0"/>
  </sheetViews>
  <sheetFormatPr baseColWidth="10" defaultColWidth="8.83203125" defaultRowHeight="15" x14ac:dyDescent="0.2"/>
  <cols>
    <col min="1" max="1" width="16" customWidth="1"/>
    <col min="2" max="2" width="12" customWidth="1"/>
    <col min="3" max="3" width="10" customWidth="1"/>
  </cols>
  <sheetData>
    <row r="1" spans="1:3" ht="17" x14ac:dyDescent="0.2">
      <c r="A1" s="1" t="s">
        <v>88</v>
      </c>
    </row>
    <row r="3" spans="1:3" x14ac:dyDescent="0.2">
      <c r="A3" s="2" t="s">
        <v>89</v>
      </c>
      <c r="B3" s="2" t="s">
        <v>90</v>
      </c>
      <c r="C3" s="2" t="s">
        <v>69</v>
      </c>
    </row>
    <row r="4" spans="1:3" x14ac:dyDescent="0.2">
      <c r="A4" t="s">
        <v>91</v>
      </c>
      <c r="B4" s="12">
        <v>3.618</v>
      </c>
      <c r="C4" s="13">
        <f>VLOOKUP(B4,Tariff!$Q$4:$R$21,2,TRUE)</f>
        <v>0.255</v>
      </c>
    </row>
    <row r="5" spans="1:3" x14ac:dyDescent="0.2">
      <c r="A5" t="s">
        <v>92</v>
      </c>
      <c r="B5" s="12">
        <v>3.641</v>
      </c>
      <c r="C5" s="13">
        <f>VLOOKUP(B5,Tariff!$Q$4:$R$21,2,TRUE)</f>
        <v>0.255</v>
      </c>
    </row>
    <row r="6" spans="1:3" x14ac:dyDescent="0.2">
      <c r="A6" t="s">
        <v>93</v>
      </c>
      <c r="B6" s="12">
        <v>3.677</v>
      </c>
      <c r="C6" s="13">
        <f>VLOOKUP(B6,Tariff!$Q$4:$R$21,2,TRUE)</f>
        <v>0.26</v>
      </c>
    </row>
    <row r="7" spans="1:3" x14ac:dyDescent="0.2">
      <c r="A7" t="s">
        <v>94</v>
      </c>
      <c r="B7" s="12">
        <v>3.664</v>
      </c>
      <c r="C7" s="13">
        <f>VLOOKUP(B7,Tariff!$Q$4:$R$21,2,TRUE)</f>
        <v>0.26</v>
      </c>
    </row>
    <row r="8" spans="1:3" x14ac:dyDescent="0.2">
      <c r="A8" t="s">
        <v>95</v>
      </c>
      <c r="B8" s="12">
        <v>3.712</v>
      </c>
      <c r="C8" s="13">
        <f>VLOOKUP(B8,Tariff!$Q$4:$R$21,2,TRUE)</f>
        <v>0.265</v>
      </c>
    </row>
    <row r="9" spans="1:3" x14ac:dyDescent="0.2">
      <c r="A9" t="s">
        <v>96</v>
      </c>
      <c r="B9" s="12">
        <v>3.748</v>
      </c>
      <c r="C9" s="13">
        <f>VLOOKUP(B9,Tariff!$Q$4:$R$21,2,TRUE)</f>
        <v>0.265</v>
      </c>
    </row>
    <row r="10" spans="1:3" x14ac:dyDescent="0.2">
      <c r="A10" t="s">
        <v>97</v>
      </c>
      <c r="B10" s="12">
        <v>3.691</v>
      </c>
      <c r="C10" s="13">
        <f>VLOOKUP(B10,Tariff!$Q$4:$R$21,2,TRUE)</f>
        <v>0.26</v>
      </c>
    </row>
    <row r="11" spans="1:3" x14ac:dyDescent="0.2">
      <c r="A11" t="s">
        <v>98</v>
      </c>
      <c r="B11" s="12">
        <v>3.803</v>
      </c>
      <c r="C11" s="13">
        <f>VLOOKUP(B11,Tariff!$Q$4:$R$21,2,TRUE)</f>
        <v>0.275</v>
      </c>
    </row>
    <row r="12" spans="1:3" x14ac:dyDescent="0.2">
      <c r="A12" t="s">
        <v>99</v>
      </c>
      <c r="B12" s="12">
        <v>3.779</v>
      </c>
      <c r="C12" s="13">
        <f>VLOOKUP(B12,Tariff!$Q$4:$R$21,2,TRUE)</f>
        <v>0.27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39"/>
  <sheetViews>
    <sheetView workbookViewId="0"/>
  </sheetViews>
  <sheetFormatPr baseColWidth="10" defaultColWidth="8.83203125" defaultRowHeight="15" x14ac:dyDescent="0.2"/>
  <cols>
    <col min="1" max="1" width="12" customWidth="1"/>
    <col min="2" max="2" width="10" customWidth="1"/>
    <col min="3" max="3" width="12" customWidth="1"/>
    <col min="4" max="4" width="16" customWidth="1"/>
    <col min="5" max="5" width="10" customWidth="1"/>
    <col min="6" max="6" width="24" customWidth="1"/>
    <col min="7" max="7" width="8" customWidth="1"/>
    <col min="8" max="8" width="10" customWidth="1"/>
    <col min="9" max="9" width="9" customWidth="1"/>
    <col min="10" max="10" width="11" customWidth="1"/>
    <col min="11" max="13" width="14" customWidth="1"/>
  </cols>
  <sheetData>
    <row r="1" spans="1:13" ht="17" x14ac:dyDescent="0.2">
      <c r="A1" s="1" t="s">
        <v>100</v>
      </c>
    </row>
    <row r="3" spans="1:13" x14ac:dyDescent="0.2">
      <c r="A3" s="2" t="s">
        <v>101</v>
      </c>
      <c r="B3" s="2" t="s">
        <v>102</v>
      </c>
      <c r="C3" s="2" t="s">
        <v>103</v>
      </c>
      <c r="D3" s="2" t="s">
        <v>104</v>
      </c>
      <c r="E3" s="2" t="s">
        <v>57</v>
      </c>
      <c r="F3" s="2" t="s">
        <v>65</v>
      </c>
      <c r="G3" s="2" t="s">
        <v>105</v>
      </c>
      <c r="H3" s="2" t="s">
        <v>106</v>
      </c>
      <c r="I3" s="2" t="s">
        <v>72</v>
      </c>
      <c r="J3" s="2" t="s">
        <v>75</v>
      </c>
      <c r="K3" s="2" t="s">
        <v>78</v>
      </c>
      <c r="L3" s="2" t="s">
        <v>81</v>
      </c>
      <c r="M3" s="2" t="s">
        <v>107</v>
      </c>
    </row>
    <row r="4" spans="1:13" x14ac:dyDescent="0.2">
      <c r="A4" t="s">
        <v>108</v>
      </c>
      <c r="B4" t="s">
        <v>109</v>
      </c>
      <c r="C4" t="s">
        <v>110</v>
      </c>
      <c r="D4" t="s">
        <v>111</v>
      </c>
      <c r="E4" t="s">
        <v>82</v>
      </c>
      <c r="F4" t="s">
        <v>77</v>
      </c>
      <c r="G4">
        <v>2</v>
      </c>
      <c r="H4">
        <v>1240</v>
      </c>
      <c r="I4" t="s">
        <v>112</v>
      </c>
      <c r="J4" t="s">
        <v>112</v>
      </c>
      <c r="K4" t="s">
        <v>113</v>
      </c>
      <c r="L4" t="s">
        <v>112</v>
      </c>
      <c r="M4" t="s">
        <v>114</v>
      </c>
    </row>
    <row r="5" spans="1:13" x14ac:dyDescent="0.2">
      <c r="A5" t="s">
        <v>115</v>
      </c>
      <c r="B5" t="s">
        <v>116</v>
      </c>
      <c r="C5" t="s">
        <v>110</v>
      </c>
      <c r="D5" t="s">
        <v>117</v>
      </c>
      <c r="E5" t="s">
        <v>79</v>
      </c>
      <c r="F5" t="s">
        <v>74</v>
      </c>
      <c r="G5">
        <v>7</v>
      </c>
      <c r="H5">
        <v>1620</v>
      </c>
      <c r="I5" t="s">
        <v>113</v>
      </c>
      <c r="J5" t="s">
        <v>112</v>
      </c>
      <c r="K5" t="s">
        <v>112</v>
      </c>
      <c r="L5" t="s">
        <v>112</v>
      </c>
      <c r="M5" t="s">
        <v>114</v>
      </c>
    </row>
    <row r="6" spans="1:13" x14ac:dyDescent="0.2">
      <c r="A6" t="s">
        <v>118</v>
      </c>
      <c r="B6" t="s">
        <v>119</v>
      </c>
      <c r="C6" t="s">
        <v>120</v>
      </c>
      <c r="D6" t="s">
        <v>121</v>
      </c>
      <c r="E6" t="s">
        <v>70</v>
      </c>
      <c r="F6" t="s">
        <v>80</v>
      </c>
      <c r="G6">
        <v>4</v>
      </c>
      <c r="H6">
        <v>720</v>
      </c>
      <c r="I6" t="s">
        <v>113</v>
      </c>
      <c r="J6" t="s">
        <v>112</v>
      </c>
      <c r="K6" t="s">
        <v>113</v>
      </c>
      <c r="L6" t="s">
        <v>112</v>
      </c>
      <c r="M6" t="s">
        <v>96</v>
      </c>
    </row>
    <row r="7" spans="1:13" x14ac:dyDescent="0.2">
      <c r="A7" t="s">
        <v>122</v>
      </c>
      <c r="B7" t="s">
        <v>123</v>
      </c>
      <c r="C7" t="s">
        <v>96</v>
      </c>
      <c r="D7" t="s">
        <v>124</v>
      </c>
      <c r="E7" t="s">
        <v>82</v>
      </c>
      <c r="F7" t="s">
        <v>77</v>
      </c>
      <c r="G7">
        <v>8</v>
      </c>
      <c r="H7">
        <v>4210</v>
      </c>
      <c r="I7" t="s">
        <v>113</v>
      </c>
      <c r="J7" t="s">
        <v>112</v>
      </c>
      <c r="K7" t="s">
        <v>112</v>
      </c>
      <c r="L7" t="s">
        <v>112</v>
      </c>
      <c r="M7" t="s">
        <v>125</v>
      </c>
    </row>
    <row r="8" spans="1:13" x14ac:dyDescent="0.2">
      <c r="A8" t="s">
        <v>126</v>
      </c>
      <c r="B8" t="s">
        <v>127</v>
      </c>
      <c r="C8" t="s">
        <v>128</v>
      </c>
      <c r="D8" t="s">
        <v>129</v>
      </c>
      <c r="E8" t="s">
        <v>76</v>
      </c>
      <c r="F8" t="s">
        <v>74</v>
      </c>
      <c r="G8">
        <v>3</v>
      </c>
      <c r="H8">
        <v>1760</v>
      </c>
      <c r="I8" t="s">
        <v>112</v>
      </c>
      <c r="J8" t="s">
        <v>112</v>
      </c>
      <c r="K8" t="s">
        <v>112</v>
      </c>
      <c r="L8" t="s">
        <v>112</v>
      </c>
      <c r="M8" t="s">
        <v>97</v>
      </c>
    </row>
    <row r="9" spans="1:13" x14ac:dyDescent="0.2">
      <c r="A9" t="s">
        <v>130</v>
      </c>
      <c r="B9" t="s">
        <v>131</v>
      </c>
      <c r="C9" t="s">
        <v>125</v>
      </c>
      <c r="D9" t="s">
        <v>132</v>
      </c>
      <c r="E9" t="s">
        <v>73</v>
      </c>
      <c r="F9" t="s">
        <v>77</v>
      </c>
      <c r="G9">
        <v>6</v>
      </c>
      <c r="H9">
        <v>1980</v>
      </c>
      <c r="I9" t="s">
        <v>112</v>
      </c>
      <c r="J9" t="s">
        <v>112</v>
      </c>
      <c r="K9" t="s">
        <v>112</v>
      </c>
      <c r="L9" t="s">
        <v>112</v>
      </c>
      <c r="M9" t="s">
        <v>133</v>
      </c>
    </row>
    <row r="10" spans="1:13" x14ac:dyDescent="0.2">
      <c r="A10" t="s">
        <v>134</v>
      </c>
      <c r="B10" t="s">
        <v>135</v>
      </c>
      <c r="C10" t="s">
        <v>125</v>
      </c>
      <c r="D10" t="s">
        <v>136</v>
      </c>
      <c r="E10" t="s">
        <v>86</v>
      </c>
      <c r="F10" t="s">
        <v>80</v>
      </c>
      <c r="G10">
        <v>14</v>
      </c>
      <c r="H10">
        <v>2430</v>
      </c>
      <c r="I10" t="s">
        <v>112</v>
      </c>
      <c r="J10" t="s">
        <v>112</v>
      </c>
      <c r="K10" t="s">
        <v>113</v>
      </c>
      <c r="L10" t="s">
        <v>112</v>
      </c>
      <c r="M10" t="s">
        <v>97</v>
      </c>
    </row>
    <row r="11" spans="1:13" x14ac:dyDescent="0.2">
      <c r="A11" t="s">
        <v>137</v>
      </c>
      <c r="B11" t="s">
        <v>138</v>
      </c>
      <c r="C11" t="s">
        <v>125</v>
      </c>
      <c r="D11" t="s">
        <v>124</v>
      </c>
      <c r="E11" t="s">
        <v>82</v>
      </c>
      <c r="F11" t="s">
        <v>85</v>
      </c>
      <c r="G11">
        <v>9</v>
      </c>
      <c r="H11">
        <v>1590</v>
      </c>
      <c r="I11" t="s">
        <v>113</v>
      </c>
      <c r="J11" t="s">
        <v>112</v>
      </c>
      <c r="K11" t="s">
        <v>112</v>
      </c>
      <c r="L11" t="s">
        <v>112</v>
      </c>
      <c r="M11" t="s">
        <v>97</v>
      </c>
    </row>
    <row r="12" spans="1:13" x14ac:dyDescent="0.2">
      <c r="A12" t="s">
        <v>139</v>
      </c>
      <c r="B12" t="s">
        <v>140</v>
      </c>
      <c r="C12" t="s">
        <v>133</v>
      </c>
      <c r="D12" t="s">
        <v>141</v>
      </c>
      <c r="E12" t="s">
        <v>70</v>
      </c>
      <c r="F12" t="s">
        <v>74</v>
      </c>
      <c r="G12">
        <v>2</v>
      </c>
      <c r="H12">
        <v>1130</v>
      </c>
      <c r="I12" t="s">
        <v>113</v>
      </c>
      <c r="J12" t="s">
        <v>112</v>
      </c>
      <c r="K12" t="s">
        <v>112</v>
      </c>
      <c r="L12" t="s">
        <v>112</v>
      </c>
      <c r="M12" t="s">
        <v>142</v>
      </c>
    </row>
    <row r="13" spans="1:13" x14ac:dyDescent="0.2">
      <c r="A13" t="s">
        <v>143</v>
      </c>
      <c r="B13" t="s">
        <v>144</v>
      </c>
      <c r="C13" t="s">
        <v>97</v>
      </c>
      <c r="D13" t="s">
        <v>145</v>
      </c>
      <c r="E13" t="s">
        <v>70</v>
      </c>
      <c r="F13" t="s">
        <v>80</v>
      </c>
      <c r="G13">
        <v>2</v>
      </c>
      <c r="H13">
        <v>380</v>
      </c>
      <c r="I13" t="s">
        <v>112</v>
      </c>
      <c r="J13" t="s">
        <v>112</v>
      </c>
      <c r="K13" t="s">
        <v>112</v>
      </c>
      <c r="L13" t="s">
        <v>112</v>
      </c>
      <c r="M13" t="s">
        <v>146</v>
      </c>
    </row>
    <row r="14" spans="1:13" x14ac:dyDescent="0.2">
      <c r="A14" t="s">
        <v>147</v>
      </c>
      <c r="B14" t="s">
        <v>148</v>
      </c>
      <c r="C14" t="s">
        <v>97</v>
      </c>
      <c r="D14" t="s">
        <v>149</v>
      </c>
      <c r="E14" t="s">
        <v>84</v>
      </c>
      <c r="F14" t="s">
        <v>80</v>
      </c>
      <c r="G14">
        <v>2</v>
      </c>
      <c r="H14">
        <v>640</v>
      </c>
      <c r="I14" t="s">
        <v>112</v>
      </c>
      <c r="J14" t="s">
        <v>112</v>
      </c>
      <c r="K14" t="s">
        <v>112</v>
      </c>
      <c r="L14" t="s">
        <v>112</v>
      </c>
      <c r="M14" t="s">
        <v>150</v>
      </c>
    </row>
    <row r="15" spans="1:13" x14ac:dyDescent="0.2">
      <c r="A15" t="s">
        <v>151</v>
      </c>
      <c r="B15" t="s">
        <v>152</v>
      </c>
      <c r="C15" t="s">
        <v>97</v>
      </c>
      <c r="D15" t="s">
        <v>149</v>
      </c>
      <c r="E15" t="s">
        <v>84</v>
      </c>
      <c r="F15" t="s">
        <v>71</v>
      </c>
      <c r="G15">
        <v>2</v>
      </c>
      <c r="H15">
        <v>690</v>
      </c>
      <c r="I15" t="s">
        <v>112</v>
      </c>
      <c r="J15" t="s">
        <v>112</v>
      </c>
      <c r="K15" t="s">
        <v>112</v>
      </c>
      <c r="L15" t="s">
        <v>112</v>
      </c>
      <c r="M15" t="s">
        <v>153</v>
      </c>
    </row>
    <row r="16" spans="1:13" x14ac:dyDescent="0.2">
      <c r="A16" t="s">
        <v>154</v>
      </c>
      <c r="B16" t="s">
        <v>155</v>
      </c>
      <c r="C16" t="s">
        <v>97</v>
      </c>
      <c r="D16" t="s">
        <v>156</v>
      </c>
      <c r="E16" t="s">
        <v>70</v>
      </c>
      <c r="F16" t="s">
        <v>83</v>
      </c>
      <c r="G16">
        <v>2</v>
      </c>
      <c r="H16">
        <v>770</v>
      </c>
      <c r="I16" t="s">
        <v>112</v>
      </c>
      <c r="J16" t="s">
        <v>112</v>
      </c>
      <c r="K16" t="s">
        <v>112</v>
      </c>
      <c r="L16" t="s">
        <v>112</v>
      </c>
      <c r="M16" t="s">
        <v>150</v>
      </c>
    </row>
    <row r="17" spans="1:13" x14ac:dyDescent="0.2">
      <c r="A17" t="s">
        <v>157</v>
      </c>
      <c r="B17" t="s">
        <v>158</v>
      </c>
      <c r="C17" t="s">
        <v>153</v>
      </c>
      <c r="D17" t="s">
        <v>129</v>
      </c>
      <c r="E17" t="s">
        <v>76</v>
      </c>
      <c r="F17" t="s">
        <v>77</v>
      </c>
      <c r="G17">
        <v>30</v>
      </c>
      <c r="H17">
        <v>5380</v>
      </c>
      <c r="I17" t="s">
        <v>112</v>
      </c>
      <c r="J17" t="s">
        <v>112</v>
      </c>
      <c r="K17" t="s">
        <v>112</v>
      </c>
      <c r="L17" t="s">
        <v>112</v>
      </c>
      <c r="M17" t="s">
        <v>150</v>
      </c>
    </row>
    <row r="18" spans="1:13" x14ac:dyDescent="0.2">
      <c r="A18" t="s">
        <v>159</v>
      </c>
      <c r="B18" t="s">
        <v>160</v>
      </c>
      <c r="C18" t="s">
        <v>153</v>
      </c>
      <c r="D18" t="s">
        <v>161</v>
      </c>
      <c r="E18" t="s">
        <v>82</v>
      </c>
      <c r="F18" t="s">
        <v>77</v>
      </c>
      <c r="G18">
        <v>10</v>
      </c>
      <c r="H18">
        <v>4650</v>
      </c>
      <c r="I18" t="s">
        <v>113</v>
      </c>
      <c r="J18" t="s">
        <v>112</v>
      </c>
      <c r="K18" t="s">
        <v>112</v>
      </c>
      <c r="L18" t="s">
        <v>112</v>
      </c>
      <c r="M18" t="s">
        <v>150</v>
      </c>
    </row>
    <row r="19" spans="1:13" x14ac:dyDescent="0.2">
      <c r="A19" t="s">
        <v>162</v>
      </c>
      <c r="B19" t="s">
        <v>163</v>
      </c>
      <c r="C19" t="s">
        <v>164</v>
      </c>
      <c r="D19" t="s">
        <v>165</v>
      </c>
      <c r="E19" t="s">
        <v>76</v>
      </c>
      <c r="F19" t="s">
        <v>74</v>
      </c>
      <c r="G19">
        <v>15</v>
      </c>
      <c r="H19">
        <v>5960</v>
      </c>
      <c r="I19" t="s">
        <v>112</v>
      </c>
      <c r="J19" t="s">
        <v>112</v>
      </c>
      <c r="K19" t="s">
        <v>112</v>
      </c>
      <c r="L19" t="s">
        <v>112</v>
      </c>
      <c r="M19" t="s">
        <v>146</v>
      </c>
    </row>
    <row r="20" spans="1:13" x14ac:dyDescent="0.2">
      <c r="A20" t="s">
        <v>166</v>
      </c>
      <c r="B20" t="s">
        <v>167</v>
      </c>
      <c r="C20" t="s">
        <v>146</v>
      </c>
      <c r="D20" t="s">
        <v>168</v>
      </c>
      <c r="E20" t="s">
        <v>86</v>
      </c>
      <c r="F20" t="s">
        <v>85</v>
      </c>
      <c r="G20">
        <v>3</v>
      </c>
      <c r="H20">
        <v>1860</v>
      </c>
      <c r="I20" t="s">
        <v>112</v>
      </c>
      <c r="J20" t="s">
        <v>113</v>
      </c>
      <c r="K20" t="s">
        <v>112</v>
      </c>
      <c r="L20" t="s">
        <v>112</v>
      </c>
      <c r="M20" t="s">
        <v>98</v>
      </c>
    </row>
    <row r="21" spans="1:13" x14ac:dyDescent="0.2">
      <c r="A21" t="s">
        <v>169</v>
      </c>
      <c r="B21" t="s">
        <v>170</v>
      </c>
      <c r="C21" t="s">
        <v>146</v>
      </c>
      <c r="D21" t="s">
        <v>165</v>
      </c>
      <c r="E21" t="s">
        <v>76</v>
      </c>
      <c r="F21" t="s">
        <v>85</v>
      </c>
      <c r="G21">
        <v>7</v>
      </c>
      <c r="H21">
        <v>2790</v>
      </c>
      <c r="I21" t="s">
        <v>113</v>
      </c>
      <c r="J21" t="s">
        <v>112</v>
      </c>
      <c r="K21" t="s">
        <v>112</v>
      </c>
      <c r="L21" t="s">
        <v>113</v>
      </c>
      <c r="M21" t="s">
        <v>150</v>
      </c>
    </row>
    <row r="22" spans="1:13" x14ac:dyDescent="0.2">
      <c r="A22" t="s">
        <v>171</v>
      </c>
      <c r="B22" t="s">
        <v>172</v>
      </c>
      <c r="C22" t="s">
        <v>150</v>
      </c>
      <c r="D22" t="s">
        <v>124</v>
      </c>
      <c r="E22" t="s">
        <v>82</v>
      </c>
      <c r="F22" t="s">
        <v>71</v>
      </c>
      <c r="G22">
        <v>2</v>
      </c>
      <c r="H22">
        <v>905</v>
      </c>
      <c r="I22" t="s">
        <v>112</v>
      </c>
      <c r="J22" t="s">
        <v>112</v>
      </c>
      <c r="K22" t="s">
        <v>112</v>
      </c>
      <c r="L22" t="s">
        <v>112</v>
      </c>
      <c r="M22" t="s">
        <v>98</v>
      </c>
    </row>
    <row r="23" spans="1:13" x14ac:dyDescent="0.2">
      <c r="A23" t="s">
        <v>173</v>
      </c>
      <c r="B23" t="s">
        <v>174</v>
      </c>
      <c r="C23" t="s">
        <v>150</v>
      </c>
      <c r="D23" t="s">
        <v>175</v>
      </c>
      <c r="E23" t="s">
        <v>86</v>
      </c>
      <c r="F23" t="s">
        <v>71</v>
      </c>
      <c r="G23">
        <v>8</v>
      </c>
      <c r="H23">
        <v>1450</v>
      </c>
      <c r="I23" t="s">
        <v>112</v>
      </c>
      <c r="J23" t="s">
        <v>113</v>
      </c>
      <c r="K23" t="s">
        <v>112</v>
      </c>
      <c r="L23" t="s">
        <v>113</v>
      </c>
      <c r="M23" t="s">
        <v>176</v>
      </c>
    </row>
    <row r="24" spans="1:13" x14ac:dyDescent="0.2">
      <c r="A24" t="s">
        <v>177</v>
      </c>
      <c r="B24" t="s">
        <v>178</v>
      </c>
      <c r="C24" t="s">
        <v>150</v>
      </c>
      <c r="D24" t="s">
        <v>179</v>
      </c>
      <c r="E24" t="s">
        <v>70</v>
      </c>
      <c r="F24" t="s">
        <v>83</v>
      </c>
      <c r="G24">
        <v>2</v>
      </c>
      <c r="H24">
        <v>950</v>
      </c>
      <c r="I24" t="s">
        <v>113</v>
      </c>
      <c r="J24" t="s">
        <v>113</v>
      </c>
      <c r="K24" t="s">
        <v>112</v>
      </c>
      <c r="L24" t="s">
        <v>112</v>
      </c>
      <c r="M24" t="s">
        <v>98</v>
      </c>
    </row>
    <row r="25" spans="1:13" x14ac:dyDescent="0.2">
      <c r="A25" t="s">
        <v>180</v>
      </c>
      <c r="B25" t="s">
        <v>181</v>
      </c>
      <c r="C25" t="s">
        <v>150</v>
      </c>
      <c r="D25" t="s">
        <v>161</v>
      </c>
      <c r="E25" t="s">
        <v>82</v>
      </c>
      <c r="F25" t="s">
        <v>85</v>
      </c>
      <c r="G25">
        <v>3</v>
      </c>
      <c r="H25">
        <v>1010</v>
      </c>
      <c r="I25" t="s">
        <v>112</v>
      </c>
      <c r="J25" t="s">
        <v>113</v>
      </c>
      <c r="K25" t="s">
        <v>112</v>
      </c>
      <c r="L25" t="s">
        <v>112</v>
      </c>
      <c r="M25" t="s">
        <v>98</v>
      </c>
    </row>
    <row r="26" spans="1:13" x14ac:dyDescent="0.2">
      <c r="A26" t="s">
        <v>182</v>
      </c>
      <c r="B26" t="s">
        <v>183</v>
      </c>
      <c r="C26" t="s">
        <v>98</v>
      </c>
      <c r="D26" t="s">
        <v>145</v>
      </c>
      <c r="E26" t="s">
        <v>70</v>
      </c>
      <c r="F26" t="s">
        <v>80</v>
      </c>
      <c r="G26">
        <v>11</v>
      </c>
      <c r="H26">
        <v>4470</v>
      </c>
      <c r="I26" t="s">
        <v>112</v>
      </c>
      <c r="J26" t="s">
        <v>112</v>
      </c>
      <c r="K26" t="s">
        <v>112</v>
      </c>
      <c r="L26" t="s">
        <v>112</v>
      </c>
      <c r="M26" t="s">
        <v>184</v>
      </c>
    </row>
    <row r="27" spans="1:13" x14ac:dyDescent="0.2">
      <c r="A27" t="s">
        <v>185</v>
      </c>
      <c r="B27" t="s">
        <v>186</v>
      </c>
      <c r="C27" t="s">
        <v>98</v>
      </c>
      <c r="D27" t="s">
        <v>165</v>
      </c>
      <c r="E27" t="s">
        <v>76</v>
      </c>
      <c r="F27" t="s">
        <v>77</v>
      </c>
      <c r="G27">
        <v>2</v>
      </c>
      <c r="H27">
        <v>1220</v>
      </c>
      <c r="I27" t="s">
        <v>112</v>
      </c>
      <c r="J27" t="s">
        <v>112</v>
      </c>
      <c r="K27" t="s">
        <v>112</v>
      </c>
      <c r="L27" t="s">
        <v>112</v>
      </c>
      <c r="M27" t="s">
        <v>187</v>
      </c>
    </row>
    <row r="28" spans="1:13" x14ac:dyDescent="0.2">
      <c r="A28" t="s">
        <v>188</v>
      </c>
      <c r="B28" t="s">
        <v>189</v>
      </c>
      <c r="C28" t="s">
        <v>176</v>
      </c>
      <c r="D28" t="s">
        <v>161</v>
      </c>
      <c r="E28" t="s">
        <v>82</v>
      </c>
      <c r="F28" t="s">
        <v>85</v>
      </c>
      <c r="G28">
        <v>1</v>
      </c>
      <c r="H28">
        <v>830</v>
      </c>
      <c r="I28" t="s">
        <v>112</v>
      </c>
      <c r="J28" t="s">
        <v>112</v>
      </c>
      <c r="K28" t="s">
        <v>112</v>
      </c>
      <c r="L28" t="s">
        <v>112</v>
      </c>
      <c r="M28" t="s">
        <v>184</v>
      </c>
    </row>
    <row r="29" spans="1:13" x14ac:dyDescent="0.2">
      <c r="A29" t="s">
        <v>190</v>
      </c>
      <c r="B29" t="s">
        <v>191</v>
      </c>
      <c r="C29" t="s">
        <v>176</v>
      </c>
      <c r="D29" t="s">
        <v>192</v>
      </c>
      <c r="E29" t="s">
        <v>79</v>
      </c>
      <c r="F29" t="s">
        <v>83</v>
      </c>
      <c r="G29">
        <v>11</v>
      </c>
      <c r="H29">
        <v>3560</v>
      </c>
      <c r="I29" t="s">
        <v>112</v>
      </c>
      <c r="J29" t="s">
        <v>112</v>
      </c>
      <c r="K29" t="s">
        <v>112</v>
      </c>
      <c r="L29" t="s">
        <v>113</v>
      </c>
      <c r="M29" t="s">
        <v>193</v>
      </c>
    </row>
    <row r="30" spans="1:13" x14ac:dyDescent="0.2">
      <c r="A30" t="s">
        <v>194</v>
      </c>
      <c r="B30" t="s">
        <v>195</v>
      </c>
      <c r="C30" t="s">
        <v>187</v>
      </c>
      <c r="D30" t="s">
        <v>196</v>
      </c>
      <c r="E30" t="s">
        <v>84</v>
      </c>
      <c r="F30" t="s">
        <v>83</v>
      </c>
      <c r="G30">
        <v>2</v>
      </c>
      <c r="H30">
        <v>1040</v>
      </c>
      <c r="I30" t="s">
        <v>112</v>
      </c>
      <c r="J30" t="s">
        <v>112</v>
      </c>
      <c r="K30" t="s">
        <v>112</v>
      </c>
      <c r="L30" t="s">
        <v>112</v>
      </c>
      <c r="M30" t="s">
        <v>99</v>
      </c>
    </row>
    <row r="31" spans="1:13" x14ac:dyDescent="0.2">
      <c r="A31" t="s">
        <v>197</v>
      </c>
      <c r="B31" t="s">
        <v>198</v>
      </c>
      <c r="C31" t="s">
        <v>193</v>
      </c>
      <c r="D31" t="s">
        <v>129</v>
      </c>
      <c r="E31" t="s">
        <v>76</v>
      </c>
      <c r="F31" t="s">
        <v>74</v>
      </c>
      <c r="G31">
        <v>5</v>
      </c>
      <c r="H31">
        <v>2060</v>
      </c>
      <c r="I31" t="s">
        <v>113</v>
      </c>
      <c r="J31" t="s">
        <v>112</v>
      </c>
      <c r="K31" t="s">
        <v>112</v>
      </c>
      <c r="L31" t="s">
        <v>113</v>
      </c>
      <c r="M31" t="s">
        <v>99</v>
      </c>
    </row>
    <row r="32" spans="1:13" x14ac:dyDescent="0.2">
      <c r="A32" t="s">
        <v>199</v>
      </c>
      <c r="B32" t="s">
        <v>200</v>
      </c>
      <c r="C32" t="s">
        <v>184</v>
      </c>
      <c r="D32" t="s">
        <v>165</v>
      </c>
      <c r="E32" t="s">
        <v>76</v>
      </c>
      <c r="F32" t="s">
        <v>71</v>
      </c>
      <c r="G32">
        <v>7</v>
      </c>
      <c r="H32">
        <v>2980</v>
      </c>
      <c r="I32" t="s">
        <v>113</v>
      </c>
      <c r="J32" t="s">
        <v>112</v>
      </c>
      <c r="K32" t="s">
        <v>112</v>
      </c>
      <c r="L32" t="s">
        <v>112</v>
      </c>
      <c r="M32" t="s">
        <v>201</v>
      </c>
    </row>
    <row r="33" spans="1:13" x14ac:dyDescent="0.2">
      <c r="A33" t="s">
        <v>202</v>
      </c>
      <c r="B33" t="s">
        <v>203</v>
      </c>
      <c r="C33" t="s">
        <v>99</v>
      </c>
      <c r="D33" t="s">
        <v>204</v>
      </c>
      <c r="E33" t="s">
        <v>86</v>
      </c>
      <c r="F33" t="s">
        <v>71</v>
      </c>
      <c r="G33">
        <v>3</v>
      </c>
      <c r="H33">
        <v>460</v>
      </c>
      <c r="I33" t="s">
        <v>112</v>
      </c>
      <c r="J33" t="s">
        <v>112</v>
      </c>
      <c r="K33" t="s">
        <v>112</v>
      </c>
      <c r="L33" t="s">
        <v>112</v>
      </c>
      <c r="M33" t="s">
        <v>205</v>
      </c>
    </row>
    <row r="34" spans="1:13" x14ac:dyDescent="0.2">
      <c r="A34" t="s">
        <v>206</v>
      </c>
      <c r="B34" t="s">
        <v>207</v>
      </c>
      <c r="C34" t="s">
        <v>99</v>
      </c>
      <c r="D34" t="s">
        <v>192</v>
      </c>
      <c r="E34" t="s">
        <v>79</v>
      </c>
      <c r="F34" t="s">
        <v>77</v>
      </c>
      <c r="G34">
        <v>3</v>
      </c>
      <c r="H34">
        <v>1310</v>
      </c>
      <c r="I34" t="s">
        <v>112</v>
      </c>
      <c r="J34" t="s">
        <v>112</v>
      </c>
      <c r="K34" t="s">
        <v>112</v>
      </c>
      <c r="L34" t="s">
        <v>112</v>
      </c>
      <c r="M34" t="s">
        <v>208</v>
      </c>
    </row>
    <row r="35" spans="1:13" x14ac:dyDescent="0.2">
      <c r="A35" t="s">
        <v>209</v>
      </c>
      <c r="B35" t="s">
        <v>210</v>
      </c>
      <c r="C35" t="s">
        <v>201</v>
      </c>
      <c r="D35" t="s">
        <v>192</v>
      </c>
      <c r="E35" t="s">
        <v>79</v>
      </c>
      <c r="F35" t="s">
        <v>85</v>
      </c>
      <c r="G35">
        <v>6</v>
      </c>
      <c r="H35">
        <v>2650</v>
      </c>
      <c r="I35" t="s">
        <v>112</v>
      </c>
      <c r="J35" t="s">
        <v>112</v>
      </c>
      <c r="K35" t="s">
        <v>112</v>
      </c>
      <c r="L35" t="s">
        <v>112</v>
      </c>
      <c r="M35" t="s">
        <v>205</v>
      </c>
    </row>
    <row r="36" spans="1:13" x14ac:dyDescent="0.2">
      <c r="A36" t="s">
        <v>211</v>
      </c>
      <c r="B36" t="s">
        <v>212</v>
      </c>
      <c r="C36" t="s">
        <v>201</v>
      </c>
      <c r="D36" t="s">
        <v>165</v>
      </c>
      <c r="E36" t="s">
        <v>76</v>
      </c>
      <c r="F36" t="s">
        <v>83</v>
      </c>
      <c r="G36">
        <v>12</v>
      </c>
      <c r="H36">
        <v>2210</v>
      </c>
      <c r="I36" t="s">
        <v>112</v>
      </c>
      <c r="J36" t="s">
        <v>112</v>
      </c>
      <c r="K36" t="s">
        <v>112</v>
      </c>
      <c r="L36" t="s">
        <v>112</v>
      </c>
      <c r="M36" t="s">
        <v>205</v>
      </c>
    </row>
    <row r="37" spans="1:13" x14ac:dyDescent="0.2">
      <c r="A37" t="s">
        <v>213</v>
      </c>
      <c r="B37" t="s">
        <v>214</v>
      </c>
      <c r="C37" t="s">
        <v>201</v>
      </c>
      <c r="D37" t="s">
        <v>215</v>
      </c>
      <c r="E37" t="s">
        <v>73</v>
      </c>
      <c r="F37" t="s">
        <v>83</v>
      </c>
      <c r="G37">
        <v>14</v>
      </c>
      <c r="H37">
        <v>3380</v>
      </c>
      <c r="I37" t="s">
        <v>112</v>
      </c>
      <c r="J37" t="s">
        <v>113</v>
      </c>
      <c r="K37" t="s">
        <v>112</v>
      </c>
      <c r="L37" t="s">
        <v>112</v>
      </c>
      <c r="M37" t="s">
        <v>205</v>
      </c>
    </row>
    <row r="38" spans="1:13" x14ac:dyDescent="0.2">
      <c r="A38" t="s">
        <v>216</v>
      </c>
      <c r="B38" t="s">
        <v>217</v>
      </c>
      <c r="C38" t="s">
        <v>218</v>
      </c>
      <c r="D38" t="s">
        <v>124</v>
      </c>
      <c r="E38" t="s">
        <v>82</v>
      </c>
      <c r="F38" t="s">
        <v>77</v>
      </c>
      <c r="G38">
        <v>27</v>
      </c>
      <c r="H38">
        <v>4890</v>
      </c>
      <c r="I38" t="s">
        <v>112</v>
      </c>
      <c r="J38" t="s">
        <v>112</v>
      </c>
      <c r="K38" t="s">
        <v>112</v>
      </c>
      <c r="L38" t="s">
        <v>112</v>
      </c>
      <c r="M38" t="s">
        <v>205</v>
      </c>
    </row>
    <row r="39" spans="1:13" x14ac:dyDescent="0.2">
      <c r="A39" t="s">
        <v>219</v>
      </c>
      <c r="B39" t="s">
        <v>220</v>
      </c>
      <c r="C39" t="s">
        <v>218</v>
      </c>
      <c r="D39" t="s">
        <v>221</v>
      </c>
      <c r="E39" t="s">
        <v>76</v>
      </c>
      <c r="F39" t="s">
        <v>74</v>
      </c>
      <c r="G39">
        <v>3</v>
      </c>
      <c r="H39">
        <v>510</v>
      </c>
      <c r="I39" t="s">
        <v>113</v>
      </c>
      <c r="J39" t="s">
        <v>113</v>
      </c>
      <c r="K39" t="s">
        <v>112</v>
      </c>
      <c r="L39" t="s">
        <v>112</v>
      </c>
      <c r="M39" t="s">
        <v>205</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1"/>
  <sheetViews>
    <sheetView workbookViewId="0"/>
  </sheetViews>
  <sheetFormatPr baseColWidth="10" defaultColWidth="8.83203125" defaultRowHeight="15" x14ac:dyDescent="0.2"/>
  <cols>
    <col min="1" max="1" width="12" customWidth="1"/>
    <col min="2" max="2" width="10" customWidth="1"/>
    <col min="3" max="4" width="12" customWidth="1"/>
    <col min="5" max="5" width="10" customWidth="1"/>
    <col min="6" max="10" width="12" customWidth="1"/>
    <col min="11" max="11" width="9" customWidth="1"/>
    <col min="12" max="12" width="10" customWidth="1"/>
    <col min="13" max="13" width="30" customWidth="1"/>
    <col min="14" max="14" width="14" customWidth="1"/>
    <col min="15" max="15" width="13" customWidth="1"/>
  </cols>
  <sheetData>
    <row r="1" spans="1:15" ht="17" x14ac:dyDescent="0.2">
      <c r="A1" s="1" t="s">
        <v>222</v>
      </c>
    </row>
    <row r="3" spans="1:15" x14ac:dyDescent="0.2">
      <c r="A3" s="2" t="s">
        <v>223</v>
      </c>
      <c r="B3" s="2" t="s">
        <v>102</v>
      </c>
      <c r="C3" s="2" t="s">
        <v>224</v>
      </c>
      <c r="D3" s="2" t="s">
        <v>225</v>
      </c>
      <c r="E3" s="2" t="s">
        <v>57</v>
      </c>
      <c r="F3" s="2" t="s">
        <v>226</v>
      </c>
      <c r="G3" s="2" t="s">
        <v>227</v>
      </c>
      <c r="H3" s="2" t="s">
        <v>228</v>
      </c>
      <c r="I3" s="2" t="s">
        <v>229</v>
      </c>
      <c r="J3" s="2" t="s">
        <v>230</v>
      </c>
      <c r="K3" s="2" t="s">
        <v>69</v>
      </c>
      <c r="L3" s="2" t="s">
        <v>231</v>
      </c>
      <c r="M3" s="2" t="s">
        <v>232</v>
      </c>
      <c r="N3" s="2" t="s">
        <v>233</v>
      </c>
      <c r="O3" s="2" t="s">
        <v>234</v>
      </c>
    </row>
    <row r="4" spans="1:15" x14ac:dyDescent="0.2">
      <c r="A4" t="s">
        <v>235</v>
      </c>
      <c r="B4" t="s">
        <v>109</v>
      </c>
      <c r="C4" t="s">
        <v>236</v>
      </c>
      <c r="D4" t="s">
        <v>110</v>
      </c>
      <c r="E4" t="s">
        <v>82</v>
      </c>
      <c r="F4">
        <v>1240</v>
      </c>
      <c r="G4">
        <v>70</v>
      </c>
      <c r="H4" s="9">
        <v>623.72</v>
      </c>
      <c r="I4" s="9">
        <v>386.71</v>
      </c>
      <c r="J4" s="9">
        <v>237.01</v>
      </c>
      <c r="K4">
        <v>26.5</v>
      </c>
      <c r="L4" s="9">
        <v>62.81</v>
      </c>
      <c r="M4" t="s">
        <v>237</v>
      </c>
      <c r="N4" s="9">
        <v>85</v>
      </c>
      <c r="O4" s="9">
        <v>384.82</v>
      </c>
    </row>
    <row r="5" spans="1:15" x14ac:dyDescent="0.2">
      <c r="A5" t="s">
        <v>238</v>
      </c>
      <c r="B5" t="s">
        <v>116</v>
      </c>
      <c r="C5" t="s">
        <v>96</v>
      </c>
      <c r="D5" t="s">
        <v>110</v>
      </c>
      <c r="E5" t="s">
        <v>79</v>
      </c>
      <c r="F5">
        <v>1620</v>
      </c>
      <c r="G5">
        <v>60</v>
      </c>
      <c r="H5" s="9">
        <v>724.85</v>
      </c>
      <c r="I5" s="9">
        <v>449.41</v>
      </c>
      <c r="J5" s="9">
        <v>275.44</v>
      </c>
      <c r="K5">
        <v>26.5</v>
      </c>
      <c r="L5" s="9">
        <v>72.99</v>
      </c>
      <c r="M5" t="s">
        <v>239</v>
      </c>
      <c r="N5" s="9">
        <v>75</v>
      </c>
      <c r="O5" s="9">
        <v>423.43</v>
      </c>
    </row>
    <row r="6" spans="1:15" x14ac:dyDescent="0.2">
      <c r="A6" t="s">
        <v>240</v>
      </c>
      <c r="B6" t="s">
        <v>123</v>
      </c>
      <c r="C6" t="s">
        <v>241</v>
      </c>
      <c r="D6" t="s">
        <v>96</v>
      </c>
      <c r="E6" t="s">
        <v>82</v>
      </c>
      <c r="F6">
        <v>4210</v>
      </c>
      <c r="G6">
        <v>70</v>
      </c>
      <c r="H6" s="9">
        <v>1682.5</v>
      </c>
      <c r="I6" s="9">
        <v>1043.15</v>
      </c>
      <c r="J6" s="9">
        <v>639.35</v>
      </c>
      <c r="K6">
        <v>26.5</v>
      </c>
      <c r="L6" s="9">
        <v>169.43</v>
      </c>
      <c r="M6" t="s">
        <v>239</v>
      </c>
      <c r="N6" s="9">
        <v>75</v>
      </c>
      <c r="O6" s="9">
        <v>883.78</v>
      </c>
    </row>
    <row r="7" spans="1:15" x14ac:dyDescent="0.2">
      <c r="A7" t="s">
        <v>242</v>
      </c>
      <c r="B7" t="s">
        <v>127</v>
      </c>
      <c r="C7" t="s">
        <v>241</v>
      </c>
      <c r="D7" t="s">
        <v>128</v>
      </c>
      <c r="E7" t="s">
        <v>76</v>
      </c>
      <c r="F7">
        <v>1760</v>
      </c>
      <c r="G7">
        <v>60</v>
      </c>
      <c r="H7" s="9">
        <v>939.06</v>
      </c>
      <c r="I7" s="9">
        <v>582.22</v>
      </c>
      <c r="J7" s="9">
        <v>356.84</v>
      </c>
      <c r="K7">
        <v>26.5</v>
      </c>
      <c r="L7" s="9">
        <v>94.56</v>
      </c>
      <c r="M7" t="s">
        <v>243</v>
      </c>
      <c r="N7" s="9">
        <v>0</v>
      </c>
      <c r="O7" s="9">
        <v>451.4</v>
      </c>
    </row>
    <row r="8" spans="1:15" x14ac:dyDescent="0.2">
      <c r="A8" t="s">
        <v>244</v>
      </c>
      <c r="B8" t="s">
        <v>140</v>
      </c>
      <c r="C8" t="s">
        <v>245</v>
      </c>
      <c r="D8" t="s">
        <v>133</v>
      </c>
      <c r="E8" t="s">
        <v>70</v>
      </c>
      <c r="F8">
        <v>1130</v>
      </c>
      <c r="G8">
        <v>60</v>
      </c>
      <c r="H8" s="9">
        <v>443.47</v>
      </c>
      <c r="I8" s="9">
        <v>274.95</v>
      </c>
      <c r="J8" s="9">
        <v>168.52</v>
      </c>
      <c r="K8">
        <v>26.5</v>
      </c>
      <c r="L8" s="9">
        <v>44.66</v>
      </c>
      <c r="M8" t="s">
        <v>243</v>
      </c>
      <c r="N8" s="9">
        <v>0</v>
      </c>
      <c r="O8" s="9">
        <v>213.18</v>
      </c>
    </row>
    <row r="9" spans="1:15" x14ac:dyDescent="0.2">
      <c r="A9" t="s">
        <v>246</v>
      </c>
      <c r="B9" t="s">
        <v>138</v>
      </c>
      <c r="C9" t="s">
        <v>97</v>
      </c>
      <c r="D9" t="s">
        <v>125</v>
      </c>
      <c r="E9" t="s">
        <v>82</v>
      </c>
      <c r="F9">
        <v>1590</v>
      </c>
      <c r="G9">
        <v>100</v>
      </c>
      <c r="H9" s="9">
        <v>1159.67</v>
      </c>
      <c r="I9" s="9">
        <v>719</v>
      </c>
      <c r="J9" s="9">
        <v>440.67</v>
      </c>
      <c r="K9">
        <v>26.5</v>
      </c>
      <c r="L9" s="9">
        <v>116.78</v>
      </c>
      <c r="M9" t="s">
        <v>239</v>
      </c>
      <c r="N9" s="9">
        <v>75</v>
      </c>
      <c r="O9" s="9">
        <v>632.45</v>
      </c>
    </row>
    <row r="10" spans="1:15" x14ac:dyDescent="0.2">
      <c r="A10" t="s">
        <v>247</v>
      </c>
      <c r="B10" t="s">
        <v>119</v>
      </c>
      <c r="C10" t="s">
        <v>153</v>
      </c>
      <c r="D10" t="s">
        <v>120</v>
      </c>
      <c r="E10" t="s">
        <v>70</v>
      </c>
      <c r="F10">
        <v>720</v>
      </c>
      <c r="G10">
        <v>85</v>
      </c>
      <c r="H10" s="9">
        <v>406.55</v>
      </c>
      <c r="I10" s="9">
        <v>252.06</v>
      </c>
      <c r="J10" s="9">
        <v>154.49</v>
      </c>
      <c r="K10">
        <v>26</v>
      </c>
      <c r="L10" s="9">
        <v>40.17</v>
      </c>
      <c r="M10" t="s">
        <v>248</v>
      </c>
      <c r="N10" s="9">
        <v>160</v>
      </c>
      <c r="O10" s="9">
        <v>354.66</v>
      </c>
    </row>
    <row r="11" spans="1:15" x14ac:dyDescent="0.2">
      <c r="A11" t="s">
        <v>249</v>
      </c>
      <c r="B11" t="s">
        <v>131</v>
      </c>
      <c r="C11" t="s">
        <v>153</v>
      </c>
      <c r="D11" t="s">
        <v>125</v>
      </c>
      <c r="E11" t="s">
        <v>73</v>
      </c>
      <c r="F11">
        <v>1980</v>
      </c>
      <c r="G11">
        <v>70</v>
      </c>
      <c r="H11" s="9">
        <v>721</v>
      </c>
      <c r="I11" s="9">
        <v>447.02</v>
      </c>
      <c r="J11" s="9">
        <v>273.98</v>
      </c>
      <c r="K11">
        <v>26.5</v>
      </c>
      <c r="L11" s="9">
        <v>72.6</v>
      </c>
      <c r="M11" t="s">
        <v>243</v>
      </c>
      <c r="N11" s="9">
        <v>0</v>
      </c>
      <c r="O11" s="9">
        <v>346.58</v>
      </c>
    </row>
    <row r="12" spans="1:15" x14ac:dyDescent="0.2">
      <c r="A12" t="s">
        <v>250</v>
      </c>
      <c r="B12" t="s">
        <v>135</v>
      </c>
      <c r="C12" t="s">
        <v>153</v>
      </c>
      <c r="D12" t="s">
        <v>125</v>
      </c>
      <c r="E12" t="s">
        <v>86</v>
      </c>
      <c r="F12">
        <v>2430</v>
      </c>
      <c r="G12">
        <v>92.5</v>
      </c>
      <c r="H12" s="9">
        <v>833.98</v>
      </c>
      <c r="I12" s="9">
        <v>517.07</v>
      </c>
      <c r="J12" s="9">
        <v>316.91</v>
      </c>
      <c r="K12">
        <v>26.5</v>
      </c>
      <c r="L12" s="9">
        <v>83.98</v>
      </c>
      <c r="M12" t="s">
        <v>237</v>
      </c>
      <c r="N12" s="9">
        <v>85</v>
      </c>
      <c r="O12" s="9">
        <v>485.89</v>
      </c>
    </row>
    <row r="13" spans="1:15" x14ac:dyDescent="0.2">
      <c r="A13" t="s">
        <v>251</v>
      </c>
      <c r="B13" t="s">
        <v>148</v>
      </c>
      <c r="C13" t="s">
        <v>150</v>
      </c>
      <c r="D13" t="s">
        <v>97</v>
      </c>
      <c r="E13" t="s">
        <v>84</v>
      </c>
      <c r="F13">
        <v>640</v>
      </c>
      <c r="G13">
        <v>85</v>
      </c>
      <c r="H13" s="9">
        <v>430.19</v>
      </c>
      <c r="I13" s="9">
        <v>266.72</v>
      </c>
      <c r="J13" s="9">
        <v>163.47</v>
      </c>
      <c r="K13">
        <v>26</v>
      </c>
      <c r="L13" s="9">
        <v>42.5</v>
      </c>
      <c r="M13" t="s">
        <v>243</v>
      </c>
      <c r="N13" s="9">
        <v>0</v>
      </c>
      <c r="O13" s="9">
        <v>205.97</v>
      </c>
    </row>
    <row r="14" spans="1:15" x14ac:dyDescent="0.2">
      <c r="A14" t="s">
        <v>252</v>
      </c>
      <c r="B14" t="s">
        <v>158</v>
      </c>
      <c r="C14" t="s">
        <v>150</v>
      </c>
      <c r="D14" t="s">
        <v>153</v>
      </c>
      <c r="E14" t="s">
        <v>76</v>
      </c>
      <c r="F14">
        <v>5380</v>
      </c>
      <c r="G14">
        <v>70</v>
      </c>
      <c r="H14" s="9">
        <v>2184.28</v>
      </c>
      <c r="I14" s="9">
        <v>1354.25</v>
      </c>
      <c r="J14" s="9">
        <v>830.03</v>
      </c>
      <c r="K14">
        <v>26</v>
      </c>
      <c r="L14" s="9">
        <v>215.81</v>
      </c>
      <c r="M14" t="s">
        <v>243</v>
      </c>
      <c r="N14" s="9">
        <v>0</v>
      </c>
      <c r="O14" s="9">
        <v>1045.84</v>
      </c>
    </row>
    <row r="15" spans="1:15" x14ac:dyDescent="0.2">
      <c r="A15" t="s">
        <v>253</v>
      </c>
      <c r="B15" t="s">
        <v>144</v>
      </c>
      <c r="C15" t="s">
        <v>254</v>
      </c>
      <c r="D15" t="s">
        <v>97</v>
      </c>
      <c r="E15" t="s">
        <v>70</v>
      </c>
      <c r="F15">
        <v>380</v>
      </c>
      <c r="G15">
        <v>85</v>
      </c>
      <c r="H15" s="9">
        <v>255.21</v>
      </c>
      <c r="I15" s="9">
        <v>136.81</v>
      </c>
      <c r="J15" s="9">
        <v>118.4</v>
      </c>
      <c r="K15">
        <v>26</v>
      </c>
      <c r="L15" s="9">
        <v>30.78</v>
      </c>
      <c r="M15" t="s">
        <v>243</v>
      </c>
      <c r="N15" s="9">
        <v>0</v>
      </c>
      <c r="O15" s="9">
        <v>149.18</v>
      </c>
    </row>
    <row r="16" spans="1:15" x14ac:dyDescent="0.2">
      <c r="A16" t="s">
        <v>255</v>
      </c>
      <c r="B16" t="s">
        <v>152</v>
      </c>
      <c r="C16" t="s">
        <v>254</v>
      </c>
      <c r="D16" t="s">
        <v>97</v>
      </c>
      <c r="E16" t="s">
        <v>84</v>
      </c>
      <c r="F16">
        <v>690</v>
      </c>
      <c r="G16">
        <v>70</v>
      </c>
      <c r="H16" s="9">
        <v>403.31</v>
      </c>
      <c r="I16" s="9">
        <v>250.05</v>
      </c>
      <c r="J16" s="9">
        <v>153.26</v>
      </c>
      <c r="K16">
        <v>26</v>
      </c>
      <c r="L16" s="9">
        <v>39.85</v>
      </c>
      <c r="M16" t="s">
        <v>243</v>
      </c>
      <c r="N16" s="9">
        <v>0</v>
      </c>
      <c r="O16" s="9">
        <v>193.11</v>
      </c>
    </row>
    <row r="17" spans="1:15" x14ac:dyDescent="0.2">
      <c r="A17" t="s">
        <v>256</v>
      </c>
      <c r="B17" t="s">
        <v>155</v>
      </c>
      <c r="C17" t="s">
        <v>257</v>
      </c>
      <c r="D17" t="s">
        <v>97</v>
      </c>
      <c r="E17" t="s">
        <v>70</v>
      </c>
      <c r="F17">
        <v>770</v>
      </c>
      <c r="G17">
        <v>92.5</v>
      </c>
      <c r="H17" s="9">
        <v>491.49</v>
      </c>
      <c r="I17" s="9">
        <v>304.72</v>
      </c>
      <c r="J17" s="9">
        <v>186.77</v>
      </c>
      <c r="K17">
        <v>26</v>
      </c>
      <c r="L17" s="9">
        <v>48.56</v>
      </c>
      <c r="M17" t="s">
        <v>239</v>
      </c>
      <c r="N17" s="9">
        <v>75</v>
      </c>
      <c r="O17" s="9">
        <v>310.33</v>
      </c>
    </row>
    <row r="18" spans="1:15" x14ac:dyDescent="0.2">
      <c r="A18" t="s">
        <v>258</v>
      </c>
      <c r="B18" t="s">
        <v>160</v>
      </c>
      <c r="C18" t="s">
        <v>257</v>
      </c>
      <c r="D18" t="s">
        <v>153</v>
      </c>
      <c r="E18" t="s">
        <v>82</v>
      </c>
      <c r="F18">
        <v>4650</v>
      </c>
      <c r="G18">
        <v>70</v>
      </c>
      <c r="H18" s="9">
        <v>1920.45</v>
      </c>
      <c r="I18" s="9">
        <v>1190.68</v>
      </c>
      <c r="J18" s="9">
        <v>729.77</v>
      </c>
      <c r="K18">
        <v>26</v>
      </c>
      <c r="L18" s="9">
        <v>189.74</v>
      </c>
      <c r="M18" t="s">
        <v>239</v>
      </c>
      <c r="N18" s="9">
        <v>75</v>
      </c>
      <c r="O18" s="9">
        <v>994.51</v>
      </c>
    </row>
    <row r="19" spans="1:15" x14ac:dyDescent="0.2">
      <c r="A19" t="s">
        <v>259</v>
      </c>
      <c r="B19" t="s">
        <v>163</v>
      </c>
      <c r="C19" t="s">
        <v>98</v>
      </c>
      <c r="D19" t="s">
        <v>164</v>
      </c>
      <c r="E19" t="s">
        <v>76</v>
      </c>
      <c r="F19">
        <v>5960</v>
      </c>
      <c r="G19">
        <v>60</v>
      </c>
      <c r="H19" s="9">
        <v>2274.57</v>
      </c>
      <c r="I19" s="9">
        <v>1410.23</v>
      </c>
      <c r="J19" s="9">
        <v>864.34</v>
      </c>
      <c r="K19">
        <v>26</v>
      </c>
      <c r="L19" s="9">
        <v>224.73</v>
      </c>
      <c r="M19" t="s">
        <v>243</v>
      </c>
      <c r="N19" s="9">
        <v>0</v>
      </c>
      <c r="O19" s="9">
        <v>1089.07</v>
      </c>
    </row>
    <row r="20" spans="1:15" x14ac:dyDescent="0.2">
      <c r="A20" t="s">
        <v>260</v>
      </c>
      <c r="B20" t="s">
        <v>167</v>
      </c>
      <c r="C20" t="s">
        <v>98</v>
      </c>
      <c r="D20" t="s">
        <v>146</v>
      </c>
      <c r="E20" t="s">
        <v>86</v>
      </c>
      <c r="F20">
        <v>1860</v>
      </c>
      <c r="G20">
        <v>100</v>
      </c>
      <c r="H20" s="9">
        <v>867.09</v>
      </c>
      <c r="I20" s="9">
        <v>537.6</v>
      </c>
      <c r="J20" s="9">
        <v>329.49</v>
      </c>
      <c r="K20">
        <v>26</v>
      </c>
      <c r="L20" s="9">
        <v>85.67</v>
      </c>
      <c r="M20" t="s">
        <v>261</v>
      </c>
      <c r="N20" s="9">
        <v>95</v>
      </c>
      <c r="O20" s="9">
        <v>510.16</v>
      </c>
    </row>
    <row r="21" spans="1:15" x14ac:dyDescent="0.2">
      <c r="A21" t="s">
        <v>262</v>
      </c>
      <c r="B21" t="s">
        <v>170</v>
      </c>
      <c r="C21" t="s">
        <v>98</v>
      </c>
      <c r="D21" t="s">
        <v>146</v>
      </c>
      <c r="E21" t="s">
        <v>76</v>
      </c>
      <c r="F21">
        <v>2790</v>
      </c>
      <c r="G21">
        <v>100</v>
      </c>
      <c r="H21" s="9">
        <v>2020.73</v>
      </c>
      <c r="I21" s="9">
        <v>1252.85</v>
      </c>
      <c r="J21" s="9">
        <v>767.88</v>
      </c>
      <c r="K21">
        <v>26</v>
      </c>
      <c r="L21" s="9">
        <v>199.65</v>
      </c>
      <c r="M21" t="s">
        <v>263</v>
      </c>
      <c r="N21" s="9">
        <v>135</v>
      </c>
      <c r="O21" s="9">
        <v>1102.53</v>
      </c>
    </row>
    <row r="22" spans="1:15" x14ac:dyDescent="0.2">
      <c r="A22" t="s">
        <v>264</v>
      </c>
      <c r="B22" t="s">
        <v>178</v>
      </c>
      <c r="C22" t="s">
        <v>98</v>
      </c>
      <c r="D22" t="s">
        <v>150</v>
      </c>
      <c r="E22" t="s">
        <v>70</v>
      </c>
      <c r="F22">
        <v>950</v>
      </c>
      <c r="G22">
        <v>92.5</v>
      </c>
      <c r="H22" s="9">
        <v>542.75</v>
      </c>
      <c r="I22" s="9">
        <v>336.5</v>
      </c>
      <c r="J22" s="9">
        <v>206.25</v>
      </c>
      <c r="K22">
        <v>26</v>
      </c>
      <c r="L22" s="9">
        <v>53.63</v>
      </c>
      <c r="M22" t="s">
        <v>265</v>
      </c>
      <c r="N22" s="9">
        <v>170</v>
      </c>
      <c r="O22" s="9">
        <v>429.88</v>
      </c>
    </row>
    <row r="23" spans="1:15" x14ac:dyDescent="0.2">
      <c r="A23" t="s">
        <v>266</v>
      </c>
      <c r="B23" t="s">
        <v>172</v>
      </c>
      <c r="C23" t="s">
        <v>187</v>
      </c>
      <c r="D23" t="s">
        <v>150</v>
      </c>
      <c r="E23" t="s">
        <v>82</v>
      </c>
      <c r="F23">
        <v>905</v>
      </c>
      <c r="G23">
        <v>55</v>
      </c>
      <c r="H23" s="9">
        <v>442.64</v>
      </c>
      <c r="I23" s="9">
        <v>274.44</v>
      </c>
      <c r="J23" s="9">
        <v>168.2</v>
      </c>
      <c r="K23">
        <v>26</v>
      </c>
      <c r="L23" s="9">
        <v>43.73</v>
      </c>
      <c r="M23" t="s">
        <v>243</v>
      </c>
      <c r="N23" s="9">
        <v>0</v>
      </c>
      <c r="O23" s="9">
        <v>211.93</v>
      </c>
    </row>
    <row r="24" spans="1:15" x14ac:dyDescent="0.2">
      <c r="A24" t="s">
        <v>267</v>
      </c>
      <c r="B24" t="s">
        <v>174</v>
      </c>
      <c r="C24" t="s">
        <v>187</v>
      </c>
      <c r="D24" t="s">
        <v>150</v>
      </c>
      <c r="E24" t="s">
        <v>86</v>
      </c>
      <c r="F24">
        <v>1450</v>
      </c>
      <c r="G24">
        <v>55</v>
      </c>
      <c r="H24" s="9">
        <v>410.23</v>
      </c>
      <c r="I24" s="9">
        <v>254.34</v>
      </c>
      <c r="J24" s="9">
        <v>155.89</v>
      </c>
      <c r="K24">
        <v>26</v>
      </c>
      <c r="L24" s="9">
        <v>40.53</v>
      </c>
      <c r="M24" t="s">
        <v>268</v>
      </c>
      <c r="N24" s="9">
        <v>230</v>
      </c>
      <c r="O24" s="9">
        <v>426.42</v>
      </c>
    </row>
    <row r="25" spans="1:15" x14ac:dyDescent="0.2">
      <c r="A25" t="s">
        <v>269</v>
      </c>
      <c r="B25" t="s">
        <v>181</v>
      </c>
      <c r="C25" t="s">
        <v>187</v>
      </c>
      <c r="D25" t="s">
        <v>150</v>
      </c>
      <c r="E25" t="s">
        <v>82</v>
      </c>
      <c r="F25">
        <v>1010</v>
      </c>
      <c r="G25">
        <v>100</v>
      </c>
      <c r="H25" s="9">
        <v>736.64</v>
      </c>
      <c r="I25" s="9">
        <v>456.72</v>
      </c>
      <c r="J25" s="9">
        <v>279.92</v>
      </c>
      <c r="K25">
        <v>26</v>
      </c>
      <c r="L25" s="9">
        <v>72.78</v>
      </c>
      <c r="M25" t="s">
        <v>261</v>
      </c>
      <c r="N25" s="9">
        <v>95</v>
      </c>
      <c r="O25" s="9">
        <v>447.7</v>
      </c>
    </row>
    <row r="26" spans="1:15" x14ac:dyDescent="0.2">
      <c r="A26" t="s">
        <v>270</v>
      </c>
      <c r="B26" t="s">
        <v>191</v>
      </c>
      <c r="C26" t="s">
        <v>184</v>
      </c>
      <c r="D26" t="s">
        <v>176</v>
      </c>
      <c r="E26" t="s">
        <v>79</v>
      </c>
      <c r="F26">
        <v>3560</v>
      </c>
      <c r="G26">
        <v>92.5</v>
      </c>
      <c r="H26" s="9">
        <v>1809.55</v>
      </c>
      <c r="I26" s="9">
        <v>1121.92</v>
      </c>
      <c r="J26" s="9">
        <v>687.63</v>
      </c>
      <c r="K26">
        <v>27.5</v>
      </c>
      <c r="L26" s="9">
        <v>189.1</v>
      </c>
      <c r="M26" t="s">
        <v>271</v>
      </c>
      <c r="N26" s="9">
        <v>60</v>
      </c>
      <c r="O26" s="9">
        <v>936.73</v>
      </c>
    </row>
    <row r="27" spans="1:15" x14ac:dyDescent="0.2">
      <c r="A27" t="s">
        <v>272</v>
      </c>
      <c r="B27" t="s">
        <v>189</v>
      </c>
      <c r="C27" t="s">
        <v>273</v>
      </c>
      <c r="D27" t="s">
        <v>176</v>
      </c>
      <c r="E27" t="s">
        <v>82</v>
      </c>
      <c r="F27">
        <v>830</v>
      </c>
      <c r="G27">
        <v>100</v>
      </c>
      <c r="H27" s="9">
        <v>710.67</v>
      </c>
      <c r="I27" s="9">
        <v>440.62</v>
      </c>
      <c r="J27" s="9">
        <v>270.05</v>
      </c>
      <c r="K27">
        <v>27.5</v>
      </c>
      <c r="L27" s="9">
        <v>74.26</v>
      </c>
      <c r="M27" t="s">
        <v>243</v>
      </c>
      <c r="N27" s="9">
        <v>0</v>
      </c>
      <c r="O27" s="9">
        <v>344.31</v>
      </c>
    </row>
    <row r="28" spans="1:15" x14ac:dyDescent="0.2">
      <c r="A28" t="s">
        <v>274</v>
      </c>
      <c r="B28" t="s">
        <v>183</v>
      </c>
      <c r="C28" t="s">
        <v>275</v>
      </c>
      <c r="D28" t="s">
        <v>98</v>
      </c>
      <c r="E28" t="s">
        <v>70</v>
      </c>
      <c r="F28">
        <v>4470</v>
      </c>
      <c r="G28">
        <v>85</v>
      </c>
      <c r="H28" s="9">
        <v>1601.38</v>
      </c>
      <c r="I28" s="9">
        <v>992.86</v>
      </c>
      <c r="J28" s="9">
        <v>608.52</v>
      </c>
      <c r="K28">
        <v>27.5</v>
      </c>
      <c r="L28" s="9">
        <v>167.34</v>
      </c>
      <c r="M28" t="s">
        <v>243</v>
      </c>
      <c r="N28" s="9">
        <v>0</v>
      </c>
      <c r="O28" s="9">
        <v>775.86</v>
      </c>
    </row>
    <row r="29" spans="1:15" x14ac:dyDescent="0.2">
      <c r="A29" t="s">
        <v>276</v>
      </c>
      <c r="B29" t="s">
        <v>195</v>
      </c>
      <c r="C29" t="s">
        <v>201</v>
      </c>
      <c r="D29" t="s">
        <v>187</v>
      </c>
      <c r="E29" t="s">
        <v>84</v>
      </c>
      <c r="F29">
        <v>1040</v>
      </c>
      <c r="G29">
        <v>92.5</v>
      </c>
      <c r="H29" s="9">
        <v>673.3</v>
      </c>
      <c r="I29" s="9">
        <v>417.45</v>
      </c>
      <c r="J29" s="9">
        <v>255.85</v>
      </c>
      <c r="K29">
        <v>27.5</v>
      </c>
      <c r="L29" s="9">
        <v>70.36</v>
      </c>
      <c r="M29" t="s">
        <v>243</v>
      </c>
      <c r="N29" s="9">
        <v>0</v>
      </c>
      <c r="O29" s="9">
        <v>326.21</v>
      </c>
    </row>
    <row r="30" spans="1:15" x14ac:dyDescent="0.2">
      <c r="A30" t="s">
        <v>277</v>
      </c>
      <c r="B30" t="s">
        <v>186</v>
      </c>
      <c r="C30" t="s">
        <v>218</v>
      </c>
      <c r="D30" t="s">
        <v>98</v>
      </c>
      <c r="E30" t="s">
        <v>76</v>
      </c>
      <c r="F30">
        <v>1220</v>
      </c>
      <c r="G30">
        <v>70</v>
      </c>
      <c r="H30" s="9">
        <v>742.37</v>
      </c>
      <c r="I30" s="9">
        <v>460.27</v>
      </c>
      <c r="J30" s="9">
        <v>282.1</v>
      </c>
      <c r="K30">
        <v>27</v>
      </c>
      <c r="L30" s="9">
        <v>76.17</v>
      </c>
      <c r="M30" t="s">
        <v>243</v>
      </c>
      <c r="N30" s="9">
        <v>0</v>
      </c>
      <c r="O30" s="9">
        <v>358.27</v>
      </c>
    </row>
    <row r="31" spans="1:15" x14ac:dyDescent="0.2">
      <c r="A31" t="s">
        <v>278</v>
      </c>
      <c r="B31" t="s">
        <v>198</v>
      </c>
      <c r="C31" t="s">
        <v>218</v>
      </c>
      <c r="D31" t="s">
        <v>193</v>
      </c>
      <c r="E31" t="s">
        <v>76</v>
      </c>
      <c r="F31">
        <v>2060</v>
      </c>
      <c r="G31">
        <v>60</v>
      </c>
      <c r="H31" s="9">
        <v>967.23</v>
      </c>
      <c r="I31" s="9">
        <v>599.68</v>
      </c>
      <c r="J31" s="9">
        <v>367.55</v>
      </c>
      <c r="K31">
        <v>27.5</v>
      </c>
      <c r="L31" s="9">
        <v>101.08</v>
      </c>
      <c r="M31" t="s">
        <v>263</v>
      </c>
      <c r="N31" s="9">
        <v>135</v>
      </c>
      <c r="O31" s="9">
        <v>603.63</v>
      </c>
    </row>
    <row r="32" spans="1:15" x14ac:dyDescent="0.2">
      <c r="A32" t="s">
        <v>279</v>
      </c>
      <c r="B32" t="s">
        <v>200</v>
      </c>
      <c r="C32" t="s">
        <v>218</v>
      </c>
      <c r="D32" t="s">
        <v>184</v>
      </c>
      <c r="E32" t="s">
        <v>76</v>
      </c>
      <c r="F32">
        <v>2980</v>
      </c>
      <c r="G32">
        <v>55</v>
      </c>
      <c r="H32" s="9">
        <v>1309.89</v>
      </c>
      <c r="I32" s="9">
        <v>812.13</v>
      </c>
      <c r="J32" s="9">
        <v>497.76</v>
      </c>
      <c r="K32">
        <v>27.5</v>
      </c>
      <c r="L32" s="9">
        <v>136.88</v>
      </c>
      <c r="M32" t="s">
        <v>239</v>
      </c>
      <c r="N32" s="9">
        <v>75</v>
      </c>
      <c r="O32" s="9">
        <v>709.64</v>
      </c>
    </row>
    <row r="33" spans="1:15" x14ac:dyDescent="0.2">
      <c r="A33" t="s">
        <v>280</v>
      </c>
      <c r="B33" t="s">
        <v>181</v>
      </c>
      <c r="C33" t="s">
        <v>208</v>
      </c>
      <c r="D33" t="s">
        <v>150</v>
      </c>
      <c r="E33" t="s">
        <v>82</v>
      </c>
      <c r="F33">
        <v>1010</v>
      </c>
      <c r="G33">
        <v>100</v>
      </c>
      <c r="H33" s="9">
        <v>736.64</v>
      </c>
      <c r="I33" s="9">
        <v>456.72</v>
      </c>
      <c r="J33" s="9">
        <v>279.92</v>
      </c>
      <c r="K33">
        <v>26</v>
      </c>
      <c r="L33" s="9">
        <v>72.78</v>
      </c>
      <c r="M33" t="s">
        <v>261</v>
      </c>
      <c r="N33" s="9">
        <v>95</v>
      </c>
      <c r="O33" s="9">
        <v>447.7</v>
      </c>
    </row>
    <row r="34" spans="1:15" x14ac:dyDescent="0.2">
      <c r="A34" t="s">
        <v>281</v>
      </c>
      <c r="B34" t="s">
        <v>203</v>
      </c>
      <c r="C34" t="s">
        <v>205</v>
      </c>
      <c r="D34" t="s">
        <v>99</v>
      </c>
      <c r="E34" t="s">
        <v>86</v>
      </c>
      <c r="F34">
        <v>460</v>
      </c>
      <c r="G34">
        <v>55</v>
      </c>
      <c r="H34" s="9">
        <v>166.32</v>
      </c>
      <c r="I34" s="9">
        <v>47.92</v>
      </c>
      <c r="J34" s="9">
        <v>118.4</v>
      </c>
      <c r="K34">
        <v>27</v>
      </c>
      <c r="L34" s="9">
        <v>31.97</v>
      </c>
      <c r="M34" t="s">
        <v>243</v>
      </c>
      <c r="N34" s="9">
        <v>0</v>
      </c>
      <c r="O34" s="9">
        <v>150.37</v>
      </c>
    </row>
    <row r="35" spans="1:15" x14ac:dyDescent="0.2">
      <c r="A35" t="s">
        <v>282</v>
      </c>
      <c r="B35" t="s">
        <v>207</v>
      </c>
      <c r="C35" t="s">
        <v>205</v>
      </c>
      <c r="D35" t="s">
        <v>99</v>
      </c>
      <c r="E35" t="s">
        <v>79</v>
      </c>
      <c r="F35">
        <v>1620</v>
      </c>
      <c r="G35">
        <v>70</v>
      </c>
      <c r="H35" s="9">
        <v>771.12</v>
      </c>
      <c r="I35" s="9">
        <v>478.09</v>
      </c>
      <c r="J35" s="9">
        <v>293.03</v>
      </c>
      <c r="K35">
        <v>27</v>
      </c>
      <c r="L35" s="9">
        <v>79.12</v>
      </c>
      <c r="M35" t="s">
        <v>243</v>
      </c>
      <c r="N35" s="9">
        <v>0</v>
      </c>
      <c r="O35" s="9">
        <v>372.15</v>
      </c>
    </row>
    <row r="36" spans="1:15" x14ac:dyDescent="0.2">
      <c r="A36" t="s">
        <v>283</v>
      </c>
      <c r="B36" t="s">
        <v>210</v>
      </c>
      <c r="C36" t="s">
        <v>205</v>
      </c>
      <c r="D36" t="s">
        <v>201</v>
      </c>
      <c r="E36" t="s">
        <v>79</v>
      </c>
      <c r="F36">
        <v>2650</v>
      </c>
      <c r="G36">
        <v>100</v>
      </c>
      <c r="H36" s="9">
        <v>1502.42</v>
      </c>
      <c r="I36" s="9">
        <v>931.5</v>
      </c>
      <c r="J36" s="9">
        <v>570.92</v>
      </c>
      <c r="K36">
        <v>27</v>
      </c>
      <c r="L36" s="9">
        <v>154.15</v>
      </c>
      <c r="M36" t="s">
        <v>243</v>
      </c>
      <c r="N36" s="9">
        <v>0</v>
      </c>
      <c r="O36" s="9">
        <v>725.07</v>
      </c>
    </row>
    <row r="37" spans="1:15" x14ac:dyDescent="0.2">
      <c r="A37" t="s">
        <v>284</v>
      </c>
      <c r="B37" t="s">
        <v>212</v>
      </c>
      <c r="C37" t="s">
        <v>205</v>
      </c>
      <c r="D37" t="s">
        <v>201</v>
      </c>
      <c r="E37" t="s">
        <v>76</v>
      </c>
      <c r="F37">
        <v>2210</v>
      </c>
      <c r="G37">
        <v>92.5</v>
      </c>
      <c r="H37" s="9">
        <v>1435.06</v>
      </c>
      <c r="I37" s="9">
        <v>889.74</v>
      </c>
      <c r="J37" s="9">
        <v>545.32</v>
      </c>
      <c r="K37">
        <v>27</v>
      </c>
      <c r="L37" s="9">
        <v>147.24</v>
      </c>
      <c r="M37" t="s">
        <v>243</v>
      </c>
      <c r="N37" s="9">
        <v>0</v>
      </c>
      <c r="O37" s="9">
        <v>692.56</v>
      </c>
    </row>
    <row r="38" spans="1:15" x14ac:dyDescent="0.2">
      <c r="A38" t="s">
        <v>285</v>
      </c>
      <c r="B38" t="s">
        <v>214</v>
      </c>
      <c r="C38" t="s">
        <v>205</v>
      </c>
      <c r="D38" t="s">
        <v>201</v>
      </c>
      <c r="E38" t="s">
        <v>73</v>
      </c>
      <c r="F38">
        <v>3380</v>
      </c>
      <c r="G38">
        <v>92.5</v>
      </c>
      <c r="H38" s="9">
        <v>1584.04</v>
      </c>
      <c r="I38" s="9">
        <v>982.1</v>
      </c>
      <c r="J38" s="9">
        <v>601.94</v>
      </c>
      <c r="K38">
        <v>27.5</v>
      </c>
      <c r="L38" s="9">
        <v>165.53</v>
      </c>
      <c r="M38" t="s">
        <v>261</v>
      </c>
      <c r="N38" s="9">
        <v>95</v>
      </c>
      <c r="O38" s="9">
        <v>862.47</v>
      </c>
    </row>
    <row r="39" spans="1:15" x14ac:dyDescent="0.2">
      <c r="A39" t="s">
        <v>286</v>
      </c>
      <c r="B39" t="s">
        <v>217</v>
      </c>
      <c r="C39" t="s">
        <v>205</v>
      </c>
      <c r="D39" t="s">
        <v>218</v>
      </c>
      <c r="E39" t="s">
        <v>82</v>
      </c>
      <c r="F39">
        <v>4890</v>
      </c>
      <c r="G39">
        <v>70</v>
      </c>
      <c r="H39" s="9">
        <v>1682.5</v>
      </c>
      <c r="I39" s="9">
        <v>1043.15</v>
      </c>
      <c r="J39" s="9">
        <v>639.35</v>
      </c>
      <c r="K39">
        <v>27</v>
      </c>
      <c r="L39" s="9">
        <v>172.62</v>
      </c>
      <c r="M39" t="s">
        <v>243</v>
      </c>
      <c r="N39" s="9">
        <v>0</v>
      </c>
      <c r="O39" s="9">
        <v>811.97</v>
      </c>
    </row>
    <row r="40" spans="1:15" x14ac:dyDescent="0.2">
      <c r="A40" t="s">
        <v>287</v>
      </c>
      <c r="B40" t="s">
        <v>220</v>
      </c>
      <c r="C40" t="s">
        <v>205</v>
      </c>
      <c r="D40" t="s">
        <v>218</v>
      </c>
      <c r="E40" t="s">
        <v>76</v>
      </c>
      <c r="F40">
        <v>510</v>
      </c>
      <c r="G40">
        <v>60</v>
      </c>
      <c r="H40" s="9">
        <v>341.81</v>
      </c>
      <c r="I40" s="9">
        <v>211.92</v>
      </c>
      <c r="J40" s="9">
        <v>129.89</v>
      </c>
      <c r="K40">
        <v>27</v>
      </c>
      <c r="L40" s="9">
        <v>35.07</v>
      </c>
      <c r="M40" t="s">
        <v>265</v>
      </c>
      <c r="N40" s="9">
        <v>170</v>
      </c>
      <c r="O40" s="9">
        <v>334.96</v>
      </c>
    </row>
    <row r="41" spans="1:15" x14ac:dyDescent="0.2">
      <c r="A41" t="s">
        <v>288</v>
      </c>
      <c r="B41" t="s">
        <v>198</v>
      </c>
      <c r="C41" t="s">
        <v>205</v>
      </c>
      <c r="D41" t="s">
        <v>193</v>
      </c>
      <c r="E41" t="s">
        <v>76</v>
      </c>
      <c r="F41">
        <v>2060</v>
      </c>
      <c r="G41">
        <v>60</v>
      </c>
      <c r="H41" s="9">
        <v>967.23</v>
      </c>
      <c r="I41" s="9">
        <v>599.68</v>
      </c>
      <c r="J41" s="9">
        <v>367.55</v>
      </c>
      <c r="K41">
        <v>27.5</v>
      </c>
      <c r="L41" s="9">
        <v>101.08</v>
      </c>
      <c r="M41" t="s">
        <v>263</v>
      </c>
      <c r="N41" s="9">
        <v>135</v>
      </c>
      <c r="O41" s="9">
        <v>603.63</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E27"/>
  <sheetViews>
    <sheetView workbookViewId="0"/>
  </sheetViews>
  <sheetFormatPr baseColWidth="10" defaultColWidth="8.83203125" defaultRowHeight="15" x14ac:dyDescent="0.2"/>
  <cols>
    <col min="1" max="1" width="12" customWidth="1"/>
    <col min="2" max="2" width="10" customWidth="1"/>
    <col min="3" max="3" width="12" customWidth="1"/>
    <col min="4" max="4" width="8" customWidth="1"/>
    <col min="5" max="5" width="24" customWidth="1"/>
    <col min="6" max="9" width="10" customWidth="1"/>
    <col min="10" max="10" width="9" customWidth="1"/>
    <col min="11" max="11" width="7" customWidth="1"/>
    <col min="12" max="12" width="9" customWidth="1"/>
    <col min="13" max="17" width="12" customWidth="1"/>
    <col min="18" max="18" width="8" customWidth="1"/>
    <col min="19" max="19" width="10" customWidth="1"/>
    <col min="20" max="20" width="12" customWidth="1"/>
    <col min="21" max="21" width="9" customWidth="1"/>
    <col min="22" max="23" width="12" customWidth="1"/>
    <col min="24" max="24" width="10" customWidth="1"/>
    <col min="25" max="25" width="11" customWidth="1"/>
    <col min="26" max="26" width="10" customWidth="1"/>
    <col min="27" max="27" width="12" customWidth="1"/>
    <col min="28" max="28" width="30" customWidth="1"/>
    <col min="30" max="30" width="12" customWidth="1"/>
    <col min="31" max="31" width="10" customWidth="1"/>
    <col min="32" max="32" width="12" customWidth="1"/>
    <col min="33" max="33" width="8" customWidth="1"/>
    <col min="34" max="34" width="24" customWidth="1"/>
    <col min="35" max="38" width="10" customWidth="1"/>
    <col min="39" max="39" width="9" customWidth="1"/>
    <col min="40" max="40" width="7" customWidth="1"/>
    <col min="41" max="41" width="9" customWidth="1"/>
    <col min="42" max="46" width="12" customWidth="1"/>
    <col min="47" max="47" width="8" customWidth="1"/>
    <col min="48" max="48" width="10" customWidth="1"/>
    <col min="49" max="49" width="12" customWidth="1"/>
    <col min="50" max="50" width="9" customWidth="1"/>
    <col min="51" max="52" width="12" customWidth="1"/>
    <col min="53" max="53" width="10" customWidth="1"/>
    <col min="54" max="54" width="11" customWidth="1"/>
    <col min="55" max="55" width="10" customWidth="1"/>
    <col min="56" max="56" width="12" customWidth="1"/>
    <col min="57" max="57" width="30" customWidth="1"/>
  </cols>
  <sheetData>
    <row r="1" spans="1:57" ht="17" x14ac:dyDescent="0.2">
      <c r="A1" s="1" t="s">
        <v>289</v>
      </c>
    </row>
    <row r="3" spans="1:57" x14ac:dyDescent="0.2">
      <c r="A3" s="2" t="s">
        <v>223</v>
      </c>
      <c r="B3" s="2" t="s">
        <v>102</v>
      </c>
      <c r="C3" s="2" t="s">
        <v>103</v>
      </c>
      <c r="D3" s="2" t="s">
        <v>57</v>
      </c>
      <c r="E3" s="2" t="s">
        <v>65</v>
      </c>
      <c r="F3" s="2" t="s">
        <v>290</v>
      </c>
      <c r="G3" s="2" t="s">
        <v>226</v>
      </c>
      <c r="H3" s="2" t="s">
        <v>291</v>
      </c>
      <c r="I3" s="2" t="s">
        <v>227</v>
      </c>
      <c r="J3" s="2" t="s">
        <v>292</v>
      </c>
      <c r="K3" s="2" t="s">
        <v>293</v>
      </c>
      <c r="L3" s="2" t="s">
        <v>294</v>
      </c>
      <c r="M3" s="2" t="s">
        <v>295</v>
      </c>
      <c r="N3" s="2" t="s">
        <v>296</v>
      </c>
      <c r="O3" s="2" t="s">
        <v>297</v>
      </c>
      <c r="P3" s="2" t="s">
        <v>230</v>
      </c>
      <c r="Q3" s="2" t="s">
        <v>298</v>
      </c>
      <c r="R3" s="2" t="s">
        <v>69</v>
      </c>
      <c r="S3" s="2" t="s">
        <v>299</v>
      </c>
      <c r="T3" s="2" t="s">
        <v>300</v>
      </c>
      <c r="U3" s="2" t="s">
        <v>301</v>
      </c>
      <c r="V3" s="2" t="s">
        <v>302</v>
      </c>
      <c r="W3" s="2" t="s">
        <v>303</v>
      </c>
      <c r="X3" s="2" t="s">
        <v>304</v>
      </c>
      <c r="Y3" s="2" t="s">
        <v>305</v>
      </c>
      <c r="Z3" s="2" t="s">
        <v>306</v>
      </c>
      <c r="AA3" s="2" t="s">
        <v>307</v>
      </c>
      <c r="AB3" s="2" t="s">
        <v>308</v>
      </c>
      <c r="AD3" s="2" t="s">
        <v>309</v>
      </c>
      <c r="AE3" s="2" t="s">
        <v>310</v>
      </c>
      <c r="AF3" s="2" t="s">
        <v>311</v>
      </c>
      <c r="AG3" s="2" t="s">
        <v>312</v>
      </c>
      <c r="AH3" s="2" t="s">
        <v>313</v>
      </c>
      <c r="AI3" s="2" t="s">
        <v>314</v>
      </c>
      <c r="AJ3" s="2" t="s">
        <v>315</v>
      </c>
      <c r="AK3" s="2" t="s">
        <v>316</v>
      </c>
      <c r="AL3" s="2" t="s">
        <v>317</v>
      </c>
      <c r="AM3" s="2" t="s">
        <v>318</v>
      </c>
      <c r="AN3" s="2" t="s">
        <v>319</v>
      </c>
      <c r="AO3" s="2" t="s">
        <v>320</v>
      </c>
      <c r="AP3" s="2" t="s">
        <v>321</v>
      </c>
      <c r="AQ3" s="2" t="s">
        <v>322</v>
      </c>
      <c r="AR3" s="2" t="s">
        <v>323</v>
      </c>
      <c r="AS3" s="2" t="s">
        <v>324</v>
      </c>
      <c r="AT3" s="2" t="s">
        <v>325</v>
      </c>
      <c r="AU3" s="2" t="s">
        <v>326</v>
      </c>
      <c r="AV3" s="2" t="s">
        <v>327</v>
      </c>
      <c r="AW3" s="2" t="s">
        <v>328</v>
      </c>
      <c r="AX3" s="2" t="s">
        <v>329</v>
      </c>
      <c r="AY3" s="2" t="s">
        <v>330</v>
      </c>
      <c r="AZ3" s="2" t="s">
        <v>331</v>
      </c>
      <c r="BA3" s="2" t="s">
        <v>332</v>
      </c>
      <c r="BB3" s="2" t="s">
        <v>333</v>
      </c>
      <c r="BC3" s="2" t="s">
        <v>334</v>
      </c>
      <c r="BD3" s="2" t="s">
        <v>335</v>
      </c>
      <c r="BE3" s="2" t="s">
        <v>336</v>
      </c>
    </row>
    <row r="4" spans="1:57" x14ac:dyDescent="0.2">
      <c r="A4" t="str">
        <f>Invoices!A4</f>
        <v>NFL-90311</v>
      </c>
      <c r="B4" t="str">
        <f>Invoices!B4</f>
        <v>217645</v>
      </c>
      <c r="C4" t="str">
        <f>INDEX(BOL!$C$4:$C$39,MATCH(B4,BOL!$B$4:$B$39,0))</f>
        <v>09/01/2026</v>
      </c>
      <c r="D4" t="str">
        <f>INDEX(BOL!$E$4:$E$39,MATCH(B4,BOL!$B$4:$B$39,0))</f>
        <v>WI</v>
      </c>
      <c r="E4" t="str">
        <f>INDEX(BOL!$F$4:$F$39,MATCH(B4,BOL!$B$4:$B$39,0))</f>
        <v>Metal roofing panels</v>
      </c>
      <c r="F4">
        <f>INDEX(BOL!$H$4:$H$39,MATCH(B4,BOL!$B$4:$B$39,0))</f>
        <v>1240</v>
      </c>
      <c r="G4">
        <f>Invoices!F4</f>
        <v>1240</v>
      </c>
      <c r="H4">
        <f>INDEX(Tariff!$L$4:$L$9,MATCH(E4,Tariff!$K$4:$K$9,0))</f>
        <v>70</v>
      </c>
      <c r="I4">
        <f>Invoices!G4</f>
        <v>70</v>
      </c>
      <c r="J4" s="11">
        <f>INDEX(Tariff!$I$4:$I$10,MATCH(H4,Tariff!$H$4:$H$10,0))</f>
        <v>1</v>
      </c>
      <c r="K4">
        <f>MATCH(F4,Tariff!$B$12:$F$12,1)</f>
        <v>3</v>
      </c>
      <c r="L4" s="11">
        <f>INDEX(Tariff!$B$4:$F$10,MATCH(D4,Tariff!$A$4:$A$10,0),K4)</f>
        <v>50.3</v>
      </c>
      <c r="M4" s="9">
        <f t="shared" ref="M4:M22" si="0">ROUND(F4/100*L4*J4,2)</f>
        <v>623.72</v>
      </c>
      <c r="N4" s="9">
        <f>IF(K4&lt;5,ROUND(INDEX(Tariff!$B$12:$F$12,K4+1)/100*INDEX(Tariff!$B$4:$F$10,MATCH(D4,Tariff!$A$4:$A$10,0),K4+1)*J4,2),M4)</f>
        <v>826</v>
      </c>
      <c r="O4" s="9">
        <f t="shared" ref="O4:O22" si="1">MIN(M4,N4)</f>
        <v>623.72</v>
      </c>
      <c r="P4" s="9">
        <f>MAX(ROUND(O4*(1-Terms!$B$4),2),Terms!$B$5)</f>
        <v>237.01</v>
      </c>
      <c r="Q4" t="str">
        <f t="shared" ref="Q4:Q22" si="2">TEXT(DATEVALUE(C4)-WEEKDAY(DATEVALUE(C4),2)+1,"mm/dd/yyyy")</f>
        <v>08/31/2026</v>
      </c>
      <c r="R4" s="13">
        <f>INDEX('Fuel Index'!$C$4:$C$12,MATCH(Q4,'Fuel Index'!$A$4:$A$12,0))</f>
        <v>0.265</v>
      </c>
      <c r="S4" s="9">
        <f t="shared" ref="S4:S22" si="3">ROUND(P4*R4,2)</f>
        <v>62.81</v>
      </c>
      <c r="T4" s="9">
        <f>(INDEX(BOL!$I$4:$I$39,MATCH(B4,BOL!$B$4:$B$39,0))="Y")*Tariff!$O$4+(INDEX(BOL!$J$4:$J$39,MATCH(B4,BOL!$B$4:$B$39,0))="Y")*Tariff!$O$5+(INDEX(BOL!$K$4:$K$39,MATCH(B4,BOL!$B$4:$B$39,0))="Y")*Tariff!$O$6+(INDEX(BOL!$L$4:$L$39,MATCH(B4,BOL!$B$4:$B$39,0))="Y")*Tariff!$O$7</f>
        <v>85</v>
      </c>
      <c r="U4" t="str">
        <f>IF(COUNTIFS(Invoices!$B$4:$B$41,B4,Invoices!$A$4:$A$41,"&lt;"&amp;A4)&gt;0,"Yes","No")</f>
        <v>No</v>
      </c>
      <c r="V4" s="9">
        <f t="shared" ref="V4:V22" si="4">IF(U4="Yes",0,ROUND(P4+S4+T4,2))</f>
        <v>384.82</v>
      </c>
      <c r="W4" s="9">
        <f>Invoices!O4</f>
        <v>384.82</v>
      </c>
      <c r="X4" s="9">
        <f t="shared" ref="X4:X22" si="5">ROUND(W4-V4,2)</f>
        <v>0</v>
      </c>
      <c r="Y4" s="9">
        <f>Invoices!H4</f>
        <v>623.72</v>
      </c>
      <c r="Z4" s="13">
        <f>ROUND(Invoices!K4/Terms!$B$9,4)</f>
        <v>0.265</v>
      </c>
      <c r="AA4" s="9">
        <f>Invoices!N4</f>
        <v>85</v>
      </c>
      <c r="AB4" t="str">
        <f t="shared" ref="AB4:AB22" si="6">IF(U4="Yes","7.1 duplicate bill",IF(I4&lt;&gt;H4,"4.3 class",IF(G4&lt;&gt;F4,"4.5 reweigh",IF(Y4&lt;&gt;O4,"4.2 deficit weight",IF(Z4&lt;&gt;ROUND(R4,4),"5.2 fuel week",IF(AA4&gt;T4,"6.1 accessorial not requested",IF(AA4&lt;T4,"6.1 accessorial omitted","")))))))</f>
        <v/>
      </c>
      <c r="AD4" t="str">
        <f>Invoices!A23</f>
        <v>NFL-90338</v>
      </c>
      <c r="AE4" t="str">
        <f>Invoices!B23</f>
        <v>217666</v>
      </c>
      <c r="AF4" t="str">
        <f>INDEX(BOL!$C$4:$C$39,MATCH(AE4,BOL!$B$4:$B$39,0))</f>
        <v>09/18/2026</v>
      </c>
      <c r="AG4" t="str">
        <f>INDEX(BOL!$E$4:$E$39,MATCH(AE4,BOL!$B$4:$B$39,0))</f>
        <v>WI</v>
      </c>
      <c r="AH4" t="str">
        <f>INDEX(BOL!$F$4:$F$39,MATCH(AE4,BOL!$B$4:$B$39,0))</f>
        <v>Gypsum and cement board</v>
      </c>
      <c r="AI4">
        <f>INDEX(BOL!$H$4:$H$39,MATCH(AE4,BOL!$B$4:$B$39,0))</f>
        <v>905</v>
      </c>
      <c r="AJ4">
        <f>Invoices!F23</f>
        <v>905</v>
      </c>
      <c r="AK4">
        <f>INDEX(Tariff!$L$4:$L$9,MATCH(AH4,Tariff!$K$4:$K$9,0))</f>
        <v>55</v>
      </c>
      <c r="AL4">
        <f>Invoices!G23</f>
        <v>55</v>
      </c>
      <c r="AM4" s="11">
        <f>INDEX(Tariff!$I$4:$I$10,MATCH(AK4,Tariff!$H$4:$H$10,0))</f>
        <v>0.88</v>
      </c>
      <c r="AN4">
        <f>MATCH(AI4,Tariff!$B$12:$F$12,1)</f>
        <v>2</v>
      </c>
      <c r="AO4" s="11">
        <f>INDEX(Tariff!$B$4:$F$10,MATCH(AG4,Tariff!$A$4:$A$10,0),AN4)</f>
        <v>59.05</v>
      </c>
      <c r="AP4" s="9">
        <f t="shared" ref="AP4:AP22" si="7">ROUND(AI4/100*AO4*AM4,2)</f>
        <v>470.27</v>
      </c>
      <c r="AQ4" s="9">
        <f>IF(AN4&lt;5,ROUND(INDEX(Tariff!$B$12:$F$12,AN4+1)/100*INDEX(Tariff!$B$4:$F$10,MATCH(AG4,Tariff!$A$4:$A$10,0),AN4+1)*AM4,2),AP4)</f>
        <v>442.64</v>
      </c>
      <c r="AR4" s="9">
        <f t="shared" ref="AR4:AR22" si="8">MIN(AP4,AQ4)</f>
        <v>442.64</v>
      </c>
      <c r="AS4" s="9">
        <f>MAX(ROUND(AR4*(1-Terms!$B$4),2),Terms!$B$5)</f>
        <v>168.2</v>
      </c>
      <c r="AT4" t="str">
        <f t="shared" ref="AT4:AT22" si="9">TEXT(DATEVALUE(AF4)-WEEKDAY(DATEVALUE(AF4),2)+1,"mm/dd/yyyy")</f>
        <v>09/14/2026</v>
      </c>
      <c r="AU4" s="13">
        <f>INDEX('Fuel Index'!$C$4:$C$12,MATCH(AT4,'Fuel Index'!$A$4:$A$12,0))</f>
        <v>0.26</v>
      </c>
      <c r="AV4" s="9">
        <f t="shared" ref="AV4:AV22" si="10">ROUND(AS4*AU4,2)</f>
        <v>43.73</v>
      </c>
      <c r="AW4" s="9">
        <f>(INDEX(BOL!$I$4:$I$39,MATCH(AE4,BOL!$B$4:$B$39,0))="Y")*Tariff!$O$4+(INDEX(BOL!$J$4:$J$39,MATCH(AE4,BOL!$B$4:$B$39,0))="Y")*Tariff!$O$5+(INDEX(BOL!$K$4:$K$39,MATCH(AE4,BOL!$B$4:$B$39,0))="Y")*Tariff!$O$6+(INDEX(BOL!$L$4:$L$39,MATCH(AE4,BOL!$B$4:$B$39,0))="Y")*Tariff!$O$7</f>
        <v>0</v>
      </c>
      <c r="AX4" t="str">
        <f>IF(COUNTIFS(Invoices!$B$4:$B$41,AE4,Invoices!$A$4:$A$41,"&lt;"&amp;AD4)&gt;0,"Yes","No")</f>
        <v>No</v>
      </c>
      <c r="AY4" s="9">
        <f t="shared" ref="AY4:AY22" si="11">IF(AX4="Yes",0,ROUND(AS4+AV4+AW4,2))</f>
        <v>211.93</v>
      </c>
      <c r="AZ4" s="9">
        <f>Invoices!O23</f>
        <v>211.93</v>
      </c>
      <c r="BA4" s="9">
        <f t="shared" ref="BA4:BA22" si="12">ROUND(AZ4-AY4,2)</f>
        <v>0</v>
      </c>
      <c r="BB4" s="9">
        <f>Invoices!H23</f>
        <v>442.64</v>
      </c>
      <c r="BC4" s="13">
        <f>ROUND(Invoices!K23/Terms!$B$9,4)</f>
        <v>0.26</v>
      </c>
      <c r="BD4" s="9">
        <f>Invoices!N23</f>
        <v>0</v>
      </c>
      <c r="BE4" t="str">
        <f t="shared" ref="BE4:BE22" si="13">IF(AX4="Yes","7.1 duplicate bill",IF(AL4&lt;&gt;AK4,"4.3 class",IF(AJ4&lt;&gt;AI4,"4.5 reweigh",IF(BB4&lt;&gt;AR4,"4.2 deficit weight",IF(BC4&lt;&gt;ROUND(AU4,4),"5.2 fuel week",IF(BD4&gt;AW4,"6.1 accessorial not requested",IF(BD4&lt;AW4,"6.1 accessorial omitted","")))))))</f>
        <v/>
      </c>
    </row>
    <row r="5" spans="1:57" x14ac:dyDescent="0.2">
      <c r="A5" t="str">
        <f>Invoices!A5</f>
        <v>NFL-90313</v>
      </c>
      <c r="B5" t="str">
        <f>Invoices!B5</f>
        <v>217763</v>
      </c>
      <c r="C5" t="str">
        <f>INDEX(BOL!$C$4:$C$39,MATCH(B5,BOL!$B$4:$B$39,0))</f>
        <v>09/01/2026</v>
      </c>
      <c r="D5" t="str">
        <f>INDEX(BOL!$E$4:$E$39,MATCH(B5,BOL!$B$4:$B$39,0))</f>
        <v>IA</v>
      </c>
      <c r="E5" t="str">
        <f>INDEX(BOL!$F$4:$F$39,MATCH(B5,BOL!$B$4:$B$39,0))</f>
        <v>Fasteners and hardware</v>
      </c>
      <c r="F5">
        <f>INDEX(BOL!$H$4:$H$39,MATCH(B5,BOL!$B$4:$B$39,0))</f>
        <v>1620</v>
      </c>
      <c r="G5">
        <f>Invoices!F5</f>
        <v>1620</v>
      </c>
      <c r="H5">
        <f>INDEX(Tariff!$L$4:$L$9,MATCH(E5,Tariff!$K$4:$K$9,0))</f>
        <v>60</v>
      </c>
      <c r="I5">
        <f>Invoices!G5</f>
        <v>60</v>
      </c>
      <c r="J5" s="11">
        <f>INDEX(Tariff!$I$4:$I$10,MATCH(H5,Tariff!$H$4:$H$10,0))</f>
        <v>0.94</v>
      </c>
      <c r="K5">
        <f>MATCH(F5,Tariff!$B$12:$F$12,1)</f>
        <v>3</v>
      </c>
      <c r="L5" s="11">
        <f>INDEX(Tariff!$B$4:$F$10,MATCH(D5,Tariff!$A$4:$A$10,0),K5)</f>
        <v>47.6</v>
      </c>
      <c r="M5" s="9">
        <f t="shared" si="0"/>
        <v>724.85</v>
      </c>
      <c r="N5" s="9">
        <f>IF(K5&lt;5,ROUND(INDEX(Tariff!$B$12:$F$12,K5+1)/100*INDEX(Tariff!$B$4:$F$10,MATCH(D5,Tariff!$A$4:$A$10,0),K5+1)*J5,2),M5)</f>
        <v>735.08</v>
      </c>
      <c r="O5" s="9">
        <f t="shared" si="1"/>
        <v>724.85</v>
      </c>
      <c r="P5" s="9">
        <f>MAX(ROUND(O5*(1-Terms!$B$4),2),Terms!$B$5)</f>
        <v>275.44</v>
      </c>
      <c r="Q5" t="str">
        <f t="shared" si="2"/>
        <v>08/31/2026</v>
      </c>
      <c r="R5" s="13">
        <f>INDEX('Fuel Index'!$C$4:$C$12,MATCH(Q5,'Fuel Index'!$A$4:$A$12,0))</f>
        <v>0.265</v>
      </c>
      <c r="S5" s="9">
        <f t="shared" si="3"/>
        <v>72.99</v>
      </c>
      <c r="T5" s="9">
        <f>(INDEX(BOL!$I$4:$I$39,MATCH(B5,BOL!$B$4:$B$39,0))="Y")*Tariff!$O$4+(INDEX(BOL!$J$4:$J$39,MATCH(B5,BOL!$B$4:$B$39,0))="Y")*Tariff!$O$5+(INDEX(BOL!$K$4:$K$39,MATCH(B5,BOL!$B$4:$B$39,0))="Y")*Tariff!$O$6+(INDEX(BOL!$L$4:$L$39,MATCH(B5,BOL!$B$4:$B$39,0))="Y")*Tariff!$O$7</f>
        <v>75</v>
      </c>
      <c r="U5" t="str">
        <f>IF(COUNTIFS(Invoices!$B$4:$B$41,B5,Invoices!$A$4:$A$41,"&lt;"&amp;A5)&gt;0,"Yes","No")</f>
        <v>No</v>
      </c>
      <c r="V5" s="9">
        <f t="shared" si="4"/>
        <v>423.43</v>
      </c>
      <c r="W5" s="9">
        <f>Invoices!O5</f>
        <v>423.43</v>
      </c>
      <c r="X5" s="9">
        <f t="shared" si="5"/>
        <v>0</v>
      </c>
      <c r="Y5" s="9">
        <f>Invoices!H5</f>
        <v>724.85</v>
      </c>
      <c r="Z5" s="13">
        <f>ROUND(Invoices!K5/Terms!$B$9,4)</f>
        <v>0.265</v>
      </c>
      <c r="AA5" s="9">
        <f>Invoices!N5</f>
        <v>75</v>
      </c>
      <c r="AB5" t="str">
        <f t="shared" si="6"/>
        <v/>
      </c>
      <c r="AD5" t="str">
        <f>Invoices!A24</f>
        <v>NFL-90339</v>
      </c>
      <c r="AE5" t="str">
        <f>Invoices!B24</f>
        <v>217724</v>
      </c>
      <c r="AF5" t="str">
        <f>INDEX(BOL!$C$4:$C$39,MATCH(AE5,BOL!$B$4:$B$39,0))</f>
        <v>09/18/2026</v>
      </c>
      <c r="AG5" t="str">
        <f>INDEX(BOL!$E$4:$E$39,MATCH(AE5,BOL!$B$4:$B$39,0))</f>
        <v>ND</v>
      </c>
      <c r="AH5" t="str">
        <f>INDEX(BOL!$F$4:$F$39,MATCH(AE5,BOL!$B$4:$B$39,0))</f>
        <v>Gypsum and cement board</v>
      </c>
      <c r="AI5">
        <f>INDEX(BOL!$H$4:$H$39,MATCH(AE5,BOL!$B$4:$B$39,0))</f>
        <v>1450</v>
      </c>
      <c r="AJ5">
        <f>Invoices!F24</f>
        <v>1450</v>
      </c>
      <c r="AK5">
        <f>INDEX(Tariff!$L$4:$L$9,MATCH(AH5,Tariff!$K$4:$K$9,0))</f>
        <v>55</v>
      </c>
      <c r="AL5">
        <f>Invoices!G24</f>
        <v>55</v>
      </c>
      <c r="AM5" s="11">
        <f>INDEX(Tariff!$I$4:$I$10,MATCH(AK5,Tariff!$H$4:$H$10,0))</f>
        <v>0.88</v>
      </c>
      <c r="AN5">
        <f>MATCH(AI5,Tariff!$B$12:$F$12,1)</f>
        <v>3</v>
      </c>
      <c r="AO5" s="11">
        <f>INDEX(Tariff!$B$4:$F$10,MATCH(AG5,Tariff!$A$4:$A$10,0),AN5)</f>
        <v>32.15</v>
      </c>
      <c r="AP5" s="9">
        <f t="shared" si="7"/>
        <v>410.23</v>
      </c>
      <c r="AQ5" s="9">
        <f>IF(AN5&lt;5,ROUND(INDEX(Tariff!$B$12:$F$12,AN5+1)/100*INDEX(Tariff!$B$4:$F$10,MATCH(AG5,Tariff!$A$4:$A$10,0),AN5+1)*AM5,2),AP5)</f>
        <v>464.64</v>
      </c>
      <c r="AR5" s="9">
        <f t="shared" si="8"/>
        <v>410.23</v>
      </c>
      <c r="AS5" s="9">
        <f>MAX(ROUND(AR5*(1-Terms!$B$4),2),Terms!$B$5)</f>
        <v>155.89</v>
      </c>
      <c r="AT5" t="str">
        <f t="shared" si="9"/>
        <v>09/14/2026</v>
      </c>
      <c r="AU5" s="13">
        <f>INDEX('Fuel Index'!$C$4:$C$12,MATCH(AT5,'Fuel Index'!$A$4:$A$12,0))</f>
        <v>0.26</v>
      </c>
      <c r="AV5" s="9">
        <f t="shared" si="10"/>
        <v>40.53</v>
      </c>
      <c r="AW5" s="9">
        <f>(INDEX(BOL!$I$4:$I$39,MATCH(AE5,BOL!$B$4:$B$39,0))="Y")*Tariff!$O$4+(INDEX(BOL!$J$4:$J$39,MATCH(AE5,BOL!$B$4:$B$39,0))="Y")*Tariff!$O$5+(INDEX(BOL!$K$4:$K$39,MATCH(AE5,BOL!$B$4:$B$39,0))="Y")*Tariff!$O$6+(INDEX(BOL!$L$4:$L$39,MATCH(AE5,BOL!$B$4:$B$39,0))="Y")*Tariff!$O$7</f>
        <v>155</v>
      </c>
      <c r="AX5" t="str">
        <f>IF(COUNTIFS(Invoices!$B$4:$B$41,AE5,Invoices!$A$4:$A$41,"&lt;"&amp;AD5)&gt;0,"Yes","No")</f>
        <v>No</v>
      </c>
      <c r="AY5" s="9">
        <f t="shared" si="11"/>
        <v>351.42</v>
      </c>
      <c r="AZ5" s="9">
        <f>Invoices!O24</f>
        <v>426.42</v>
      </c>
      <c r="BA5" s="9">
        <f t="shared" si="12"/>
        <v>75</v>
      </c>
      <c r="BB5" s="9">
        <f>Invoices!H24</f>
        <v>410.23</v>
      </c>
      <c r="BC5" s="13">
        <f>ROUND(Invoices!K24/Terms!$B$9,4)</f>
        <v>0.26</v>
      </c>
      <c r="BD5" s="9">
        <f>Invoices!N24</f>
        <v>230</v>
      </c>
      <c r="BE5" t="str">
        <f t="shared" si="13"/>
        <v>6.1 accessorial not requested</v>
      </c>
    </row>
    <row r="6" spans="1:57" x14ac:dyDescent="0.2">
      <c r="A6" t="str">
        <f>Invoices!A6</f>
        <v>NFL-90314</v>
      </c>
      <c r="B6" t="str">
        <f>Invoices!B6</f>
        <v>217822</v>
      </c>
      <c r="C6" t="str">
        <f>INDEX(BOL!$C$4:$C$39,MATCH(B6,BOL!$B$4:$B$39,0))</f>
        <v>09/07/2026</v>
      </c>
      <c r="D6" t="str">
        <f>INDEX(BOL!$E$4:$E$39,MATCH(B6,BOL!$B$4:$B$39,0))</f>
        <v>WI</v>
      </c>
      <c r="E6" t="str">
        <f>INDEX(BOL!$F$4:$F$39,MATCH(B6,BOL!$B$4:$B$39,0))</f>
        <v>Metal roofing panels</v>
      </c>
      <c r="F6">
        <f>INDEX(BOL!$H$4:$H$39,MATCH(B6,BOL!$B$4:$B$39,0))</f>
        <v>4210</v>
      </c>
      <c r="G6">
        <f>Invoices!F6</f>
        <v>4210</v>
      </c>
      <c r="H6">
        <f>INDEX(Tariff!$L$4:$L$9,MATCH(E6,Tariff!$K$4:$K$9,0))</f>
        <v>70</v>
      </c>
      <c r="I6">
        <f>Invoices!G6</f>
        <v>70</v>
      </c>
      <c r="J6" s="11">
        <f>INDEX(Tariff!$I$4:$I$10,MATCH(H6,Tariff!$H$4:$H$10,0))</f>
        <v>1</v>
      </c>
      <c r="K6">
        <f>MATCH(F6,Tariff!$B$12:$F$12,1)</f>
        <v>4</v>
      </c>
      <c r="L6" s="11">
        <f>INDEX(Tariff!$B$4:$F$10,MATCH(D6,Tariff!$A$4:$A$10,0),K6)</f>
        <v>41.3</v>
      </c>
      <c r="M6" s="9">
        <f t="shared" si="0"/>
        <v>1738.73</v>
      </c>
      <c r="N6" s="9">
        <f>IF(K6&lt;5,ROUND(INDEX(Tariff!$B$12:$F$12,K6+1)/100*INDEX(Tariff!$B$4:$F$10,MATCH(D6,Tariff!$A$4:$A$10,0),K6+1)*J6,2),M6)</f>
        <v>1682.5</v>
      </c>
      <c r="O6" s="9">
        <f t="shared" si="1"/>
        <v>1682.5</v>
      </c>
      <c r="P6" s="9">
        <f>MAX(ROUND(O6*(1-Terms!$B$4),2),Terms!$B$5)</f>
        <v>639.35</v>
      </c>
      <c r="Q6" t="str">
        <f t="shared" si="2"/>
        <v>09/07/2026</v>
      </c>
      <c r="R6" s="13">
        <f>INDEX('Fuel Index'!$C$4:$C$12,MATCH(Q6,'Fuel Index'!$A$4:$A$12,0))</f>
        <v>0.265</v>
      </c>
      <c r="S6" s="9">
        <f t="shared" si="3"/>
        <v>169.43</v>
      </c>
      <c r="T6" s="9">
        <f>(INDEX(BOL!$I$4:$I$39,MATCH(B6,BOL!$B$4:$B$39,0))="Y")*Tariff!$O$4+(INDEX(BOL!$J$4:$J$39,MATCH(B6,BOL!$B$4:$B$39,0))="Y")*Tariff!$O$5+(INDEX(BOL!$K$4:$K$39,MATCH(B6,BOL!$B$4:$B$39,0))="Y")*Tariff!$O$6+(INDEX(BOL!$L$4:$L$39,MATCH(B6,BOL!$B$4:$B$39,0))="Y")*Tariff!$O$7</f>
        <v>75</v>
      </c>
      <c r="U6" t="str">
        <f>IF(COUNTIFS(Invoices!$B$4:$B$41,B6,Invoices!$A$4:$A$41,"&lt;"&amp;A6)&gt;0,"Yes","No")</f>
        <v>No</v>
      </c>
      <c r="V6" s="9">
        <f t="shared" si="4"/>
        <v>883.78</v>
      </c>
      <c r="W6" s="9">
        <f>Invoices!O6</f>
        <v>883.78</v>
      </c>
      <c r="X6" s="9">
        <f t="shared" si="5"/>
        <v>0</v>
      </c>
      <c r="Y6" s="9">
        <f>Invoices!H6</f>
        <v>1682.5</v>
      </c>
      <c r="Z6" s="13">
        <f>ROUND(Invoices!K6/Terms!$B$9,4)</f>
        <v>0.265</v>
      </c>
      <c r="AA6" s="9">
        <f>Invoices!N6</f>
        <v>75</v>
      </c>
      <c r="AB6" t="str">
        <f t="shared" si="6"/>
        <v/>
      </c>
      <c r="AD6" t="str">
        <f>Invoices!A25</f>
        <v>NFL-90340</v>
      </c>
      <c r="AE6" t="str">
        <f>Invoices!B25</f>
        <v>217883</v>
      </c>
      <c r="AF6" t="str">
        <f>INDEX(BOL!$C$4:$C$39,MATCH(AE6,BOL!$B$4:$B$39,0))</f>
        <v>09/18/2026</v>
      </c>
      <c r="AG6" t="str">
        <f>INDEX(BOL!$E$4:$E$39,MATCH(AE6,BOL!$B$4:$B$39,0))</f>
        <v>WI</v>
      </c>
      <c r="AH6" t="str">
        <f>INDEX(BOL!$F$4:$F$39,MATCH(AE6,BOL!$B$4:$B$39,0))</f>
        <v>Windows and doors</v>
      </c>
      <c r="AI6">
        <f>INDEX(BOL!$H$4:$H$39,MATCH(AE6,BOL!$B$4:$B$39,0))</f>
        <v>1010</v>
      </c>
      <c r="AJ6">
        <f>Invoices!F25</f>
        <v>1010</v>
      </c>
      <c r="AK6">
        <f>INDEX(Tariff!$L$4:$L$9,MATCH(AH6,Tariff!$K$4:$K$9,0))</f>
        <v>100</v>
      </c>
      <c r="AL6">
        <f>Invoices!G25</f>
        <v>100</v>
      </c>
      <c r="AM6" s="11">
        <f>INDEX(Tariff!$I$4:$I$10,MATCH(AK6,Tariff!$H$4:$H$10,0))</f>
        <v>1.45</v>
      </c>
      <c r="AN6">
        <f>MATCH(AI6,Tariff!$B$12:$F$12,1)</f>
        <v>3</v>
      </c>
      <c r="AO6" s="11">
        <f>INDEX(Tariff!$B$4:$F$10,MATCH(AG6,Tariff!$A$4:$A$10,0),AN6)</f>
        <v>50.3</v>
      </c>
      <c r="AP6" s="9">
        <f t="shared" si="7"/>
        <v>736.64</v>
      </c>
      <c r="AQ6" s="9">
        <f>IF(AN6&lt;5,ROUND(INDEX(Tariff!$B$12:$F$12,AN6+1)/100*INDEX(Tariff!$B$4:$F$10,MATCH(AG6,Tariff!$A$4:$A$10,0),AN6+1)*AM6,2),AP6)</f>
        <v>1197.7</v>
      </c>
      <c r="AR6" s="9">
        <f t="shared" si="8"/>
        <v>736.64</v>
      </c>
      <c r="AS6" s="9">
        <f>MAX(ROUND(AR6*(1-Terms!$B$4),2),Terms!$B$5)</f>
        <v>279.92</v>
      </c>
      <c r="AT6" t="str">
        <f t="shared" si="9"/>
        <v>09/14/2026</v>
      </c>
      <c r="AU6" s="13">
        <f>INDEX('Fuel Index'!$C$4:$C$12,MATCH(AT6,'Fuel Index'!$A$4:$A$12,0))</f>
        <v>0.26</v>
      </c>
      <c r="AV6" s="9">
        <f t="shared" si="10"/>
        <v>72.78</v>
      </c>
      <c r="AW6" s="9">
        <f>(INDEX(BOL!$I$4:$I$39,MATCH(AE6,BOL!$B$4:$B$39,0))="Y")*Tariff!$O$4+(INDEX(BOL!$J$4:$J$39,MATCH(AE6,BOL!$B$4:$B$39,0))="Y")*Tariff!$O$5+(INDEX(BOL!$K$4:$K$39,MATCH(AE6,BOL!$B$4:$B$39,0))="Y")*Tariff!$O$6+(INDEX(BOL!$L$4:$L$39,MATCH(AE6,BOL!$B$4:$B$39,0))="Y")*Tariff!$O$7</f>
        <v>95</v>
      </c>
      <c r="AX6" t="str">
        <f>IF(COUNTIFS(Invoices!$B$4:$B$41,AE6,Invoices!$A$4:$A$41,"&lt;"&amp;AD6)&gt;0,"Yes","No")</f>
        <v>No</v>
      </c>
      <c r="AY6" s="9">
        <f t="shared" si="11"/>
        <v>447.7</v>
      </c>
      <c r="AZ6" s="9">
        <f>Invoices!O25</f>
        <v>447.7</v>
      </c>
      <c r="BA6" s="9">
        <f t="shared" si="12"/>
        <v>0</v>
      </c>
      <c r="BB6" s="9">
        <f>Invoices!H25</f>
        <v>736.64</v>
      </c>
      <c r="BC6" s="13">
        <f>ROUND(Invoices!K25/Terms!$B$9,4)</f>
        <v>0.26</v>
      </c>
      <c r="BD6" s="9">
        <f>Invoices!N25</f>
        <v>95</v>
      </c>
      <c r="BE6" t="str">
        <f t="shared" si="13"/>
        <v/>
      </c>
    </row>
    <row r="7" spans="1:57" x14ac:dyDescent="0.2">
      <c r="A7" t="str">
        <f>Invoices!A7</f>
        <v>NFL-90316</v>
      </c>
      <c r="B7" t="str">
        <f>Invoices!B7</f>
        <v>217675</v>
      </c>
      <c r="C7" t="str">
        <f>INDEX(BOL!$C$4:$C$39,MATCH(B7,BOL!$B$4:$B$39,0))</f>
        <v>09/08/2026</v>
      </c>
      <c r="D7" t="str">
        <f>INDEX(BOL!$E$4:$E$39,MATCH(B7,BOL!$B$4:$B$39,0))</f>
        <v>MT</v>
      </c>
      <c r="E7" t="str">
        <f>INDEX(BOL!$F$4:$F$39,MATCH(B7,BOL!$B$4:$B$39,0))</f>
        <v>Fasteners and hardware</v>
      </c>
      <c r="F7">
        <f>INDEX(BOL!$H$4:$H$39,MATCH(B7,BOL!$B$4:$B$39,0))</f>
        <v>1760</v>
      </c>
      <c r="G7">
        <f>Invoices!F7</f>
        <v>1760</v>
      </c>
      <c r="H7">
        <f>INDEX(Tariff!$L$4:$L$9,MATCH(E7,Tariff!$K$4:$K$9,0))</f>
        <v>60</v>
      </c>
      <c r="I7">
        <f>Invoices!G7</f>
        <v>60</v>
      </c>
      <c r="J7" s="11">
        <f>INDEX(Tariff!$I$4:$I$10,MATCH(H7,Tariff!$H$4:$H$10,0))</f>
        <v>0.94</v>
      </c>
      <c r="K7">
        <f>MATCH(F7,Tariff!$B$12:$F$12,1)</f>
        <v>3</v>
      </c>
      <c r="L7" s="11">
        <f>INDEX(Tariff!$B$4:$F$10,MATCH(D7,Tariff!$A$4:$A$10,0),K7)</f>
        <v>60.85</v>
      </c>
      <c r="M7" s="9">
        <f t="shared" si="0"/>
        <v>1006.7</v>
      </c>
      <c r="N7" s="9">
        <f>IF(K7&lt;5,ROUND(INDEX(Tariff!$B$12:$F$12,K7+1)/100*INDEX(Tariff!$B$4:$F$10,MATCH(D7,Tariff!$A$4:$A$10,0),K7+1)*J7,2),M7)</f>
        <v>939.06</v>
      </c>
      <c r="O7" s="9">
        <f t="shared" si="1"/>
        <v>939.06</v>
      </c>
      <c r="P7" s="9">
        <f>MAX(ROUND(O7*(1-Terms!$B$4),2),Terms!$B$5)</f>
        <v>356.84</v>
      </c>
      <c r="Q7" t="str">
        <f t="shared" si="2"/>
        <v>09/07/2026</v>
      </c>
      <c r="R7" s="13">
        <f>INDEX('Fuel Index'!$C$4:$C$12,MATCH(Q7,'Fuel Index'!$A$4:$A$12,0))</f>
        <v>0.265</v>
      </c>
      <c r="S7" s="9">
        <f t="shared" si="3"/>
        <v>94.56</v>
      </c>
      <c r="T7" s="9">
        <f>(INDEX(BOL!$I$4:$I$39,MATCH(B7,BOL!$B$4:$B$39,0))="Y")*Tariff!$O$4+(INDEX(BOL!$J$4:$J$39,MATCH(B7,BOL!$B$4:$B$39,0))="Y")*Tariff!$O$5+(INDEX(BOL!$K$4:$K$39,MATCH(B7,BOL!$B$4:$B$39,0))="Y")*Tariff!$O$6+(INDEX(BOL!$L$4:$L$39,MATCH(B7,BOL!$B$4:$B$39,0))="Y")*Tariff!$O$7</f>
        <v>0</v>
      </c>
      <c r="U7" t="str">
        <f>IF(COUNTIFS(Invoices!$B$4:$B$41,B7,Invoices!$A$4:$A$41,"&lt;"&amp;A7)&gt;0,"Yes","No")</f>
        <v>No</v>
      </c>
      <c r="V7" s="9">
        <f t="shared" si="4"/>
        <v>451.4</v>
      </c>
      <c r="W7" s="9">
        <f>Invoices!O7</f>
        <v>451.4</v>
      </c>
      <c r="X7" s="9">
        <f t="shared" si="5"/>
        <v>0</v>
      </c>
      <c r="Y7" s="9">
        <f>Invoices!H7</f>
        <v>939.06</v>
      </c>
      <c r="Z7" s="13">
        <f>ROUND(Invoices!K7/Terms!$B$9,4)</f>
        <v>0.265</v>
      </c>
      <c r="AA7" s="9">
        <f>Invoices!N7</f>
        <v>0</v>
      </c>
      <c r="AB7" t="str">
        <f t="shared" si="6"/>
        <v/>
      </c>
      <c r="AD7" t="str">
        <f>Invoices!A26</f>
        <v>NFL-90341</v>
      </c>
      <c r="AE7" t="str">
        <f>Invoices!B26</f>
        <v>217803</v>
      </c>
      <c r="AF7" t="str">
        <f>INDEX(BOL!$C$4:$C$39,MATCH(AE7,BOL!$B$4:$B$39,0))</f>
        <v>09/22/2026</v>
      </c>
      <c r="AG7" t="str">
        <f>INDEX(BOL!$E$4:$E$39,MATCH(AE7,BOL!$B$4:$B$39,0))</f>
        <v>IA</v>
      </c>
      <c r="AH7" t="str">
        <f>INDEX(BOL!$F$4:$F$39,MATCH(AE7,BOL!$B$4:$B$39,0))</f>
        <v>Vinyl siding</v>
      </c>
      <c r="AI7">
        <f>INDEX(BOL!$H$4:$H$39,MATCH(AE7,BOL!$B$4:$B$39,0))</f>
        <v>3560</v>
      </c>
      <c r="AJ7">
        <f>Invoices!F26</f>
        <v>3560</v>
      </c>
      <c r="AK7">
        <f>INDEX(Tariff!$L$4:$L$9,MATCH(AH7,Tariff!$K$4:$K$9,0))</f>
        <v>92.5</v>
      </c>
      <c r="AL7">
        <f>Invoices!G26</f>
        <v>92.5</v>
      </c>
      <c r="AM7" s="11">
        <f>INDEX(Tariff!$I$4:$I$10,MATCH(AK7,Tariff!$H$4:$H$10,0))</f>
        <v>1.3</v>
      </c>
      <c r="AN7">
        <f>MATCH(AI7,Tariff!$B$12:$F$12,1)</f>
        <v>4</v>
      </c>
      <c r="AO7" s="11">
        <f>INDEX(Tariff!$B$4:$F$10,MATCH(AG7,Tariff!$A$4:$A$10,0),AN7)</f>
        <v>39.1</v>
      </c>
      <c r="AP7" s="9">
        <f t="shared" si="7"/>
        <v>1809.55</v>
      </c>
      <c r="AQ7" s="9">
        <f>IF(AN7&lt;5,ROUND(INDEX(Tariff!$B$12:$F$12,AN7+1)/100*INDEX(Tariff!$B$4:$F$10,MATCH(AG7,Tariff!$A$4:$A$10,0),AN7+1)*AM7,2),AP7)</f>
        <v>2070.25</v>
      </c>
      <c r="AR7" s="9">
        <f t="shared" si="8"/>
        <v>1809.55</v>
      </c>
      <c r="AS7" s="9">
        <f>MAX(ROUND(AR7*(1-Terms!$B$4),2),Terms!$B$5)</f>
        <v>687.63</v>
      </c>
      <c r="AT7" t="str">
        <f t="shared" si="9"/>
        <v>09/21/2026</v>
      </c>
      <c r="AU7" s="13">
        <f>INDEX('Fuel Index'!$C$4:$C$12,MATCH(AT7,'Fuel Index'!$A$4:$A$12,0))</f>
        <v>0.275</v>
      </c>
      <c r="AV7" s="9">
        <f t="shared" si="10"/>
        <v>189.1</v>
      </c>
      <c r="AW7" s="9">
        <f>(INDEX(BOL!$I$4:$I$39,MATCH(AE7,BOL!$B$4:$B$39,0))="Y")*Tariff!$O$4+(INDEX(BOL!$J$4:$J$39,MATCH(AE7,BOL!$B$4:$B$39,0))="Y")*Tariff!$O$5+(INDEX(BOL!$K$4:$K$39,MATCH(AE7,BOL!$B$4:$B$39,0))="Y")*Tariff!$O$6+(INDEX(BOL!$L$4:$L$39,MATCH(AE7,BOL!$B$4:$B$39,0))="Y")*Tariff!$O$7</f>
        <v>60</v>
      </c>
      <c r="AX7" t="str">
        <f>IF(COUNTIFS(Invoices!$B$4:$B$41,AE7,Invoices!$A$4:$A$41,"&lt;"&amp;AD7)&gt;0,"Yes","No")</f>
        <v>No</v>
      </c>
      <c r="AY7" s="9">
        <f t="shared" si="11"/>
        <v>936.73</v>
      </c>
      <c r="AZ7" s="9">
        <f>Invoices!O26</f>
        <v>936.73</v>
      </c>
      <c r="BA7" s="9">
        <f t="shared" si="12"/>
        <v>0</v>
      </c>
      <c r="BB7" s="9">
        <f>Invoices!H26</f>
        <v>1809.55</v>
      </c>
      <c r="BC7" s="13">
        <f>ROUND(Invoices!K26/Terms!$B$9,4)</f>
        <v>0.275</v>
      </c>
      <c r="BD7" s="9">
        <f>Invoices!N26</f>
        <v>60</v>
      </c>
      <c r="BE7" t="str">
        <f t="shared" si="13"/>
        <v/>
      </c>
    </row>
    <row r="8" spans="1:57" x14ac:dyDescent="0.2">
      <c r="A8" t="str">
        <f>Invoices!A8</f>
        <v>NFL-90317</v>
      </c>
      <c r="B8" t="str">
        <f>Invoices!B8</f>
        <v>217738</v>
      </c>
      <c r="C8" t="str">
        <f>INDEX(BOL!$C$4:$C$39,MATCH(B8,BOL!$B$4:$B$39,0))</f>
        <v>09/10/2026</v>
      </c>
      <c r="D8" t="str">
        <f>INDEX(BOL!$E$4:$E$39,MATCH(B8,BOL!$B$4:$B$39,0))</f>
        <v>MN</v>
      </c>
      <c r="E8" t="str">
        <f>INDEX(BOL!$F$4:$F$39,MATCH(B8,BOL!$B$4:$B$39,0))</f>
        <v>Fasteners and hardware</v>
      </c>
      <c r="F8">
        <f>INDEX(BOL!$H$4:$H$39,MATCH(B8,BOL!$B$4:$B$39,0))</f>
        <v>1130</v>
      </c>
      <c r="G8">
        <f>Invoices!F8</f>
        <v>1130</v>
      </c>
      <c r="H8">
        <f>INDEX(Tariff!$L$4:$L$9,MATCH(E8,Tariff!$K$4:$K$9,0))</f>
        <v>60</v>
      </c>
      <c r="I8">
        <f>Invoices!G8</f>
        <v>60</v>
      </c>
      <c r="J8" s="11">
        <f>INDEX(Tariff!$I$4:$I$10,MATCH(H8,Tariff!$H$4:$H$10,0))</f>
        <v>0.94</v>
      </c>
      <c r="K8">
        <f>MATCH(F8,Tariff!$B$12:$F$12,1)</f>
        <v>3</v>
      </c>
      <c r="L8" s="11">
        <f>INDEX(Tariff!$B$4:$F$10,MATCH(D8,Tariff!$A$4:$A$10,0),K8)</f>
        <v>41.75</v>
      </c>
      <c r="M8" s="9">
        <f t="shared" si="0"/>
        <v>443.47</v>
      </c>
      <c r="N8" s="9">
        <f>IF(K8&lt;5,ROUND(INDEX(Tariff!$B$12:$F$12,K8+1)/100*INDEX(Tariff!$B$4:$F$10,MATCH(D8,Tariff!$A$4:$A$10,0),K8+1)*J8,2),M8)</f>
        <v>642.96</v>
      </c>
      <c r="O8" s="9">
        <f t="shared" si="1"/>
        <v>443.47</v>
      </c>
      <c r="P8" s="9">
        <f>MAX(ROUND(O8*(1-Terms!$B$4),2),Terms!$B$5)</f>
        <v>168.52</v>
      </c>
      <c r="Q8" t="str">
        <f t="shared" si="2"/>
        <v>09/07/2026</v>
      </c>
      <c r="R8" s="13">
        <f>INDEX('Fuel Index'!$C$4:$C$12,MATCH(Q8,'Fuel Index'!$A$4:$A$12,0))</f>
        <v>0.265</v>
      </c>
      <c r="S8" s="9">
        <f t="shared" si="3"/>
        <v>44.66</v>
      </c>
      <c r="T8" s="9">
        <f>(INDEX(BOL!$I$4:$I$39,MATCH(B8,BOL!$B$4:$B$39,0))="Y")*Tariff!$O$4+(INDEX(BOL!$J$4:$J$39,MATCH(B8,BOL!$B$4:$B$39,0))="Y")*Tariff!$O$5+(INDEX(BOL!$K$4:$K$39,MATCH(B8,BOL!$B$4:$B$39,0))="Y")*Tariff!$O$6+(INDEX(BOL!$L$4:$L$39,MATCH(B8,BOL!$B$4:$B$39,0))="Y")*Tariff!$O$7</f>
        <v>75</v>
      </c>
      <c r="U8" t="str">
        <f>IF(COUNTIFS(Invoices!$B$4:$B$41,B8,Invoices!$A$4:$A$41,"&lt;"&amp;A8)&gt;0,"Yes","No")</f>
        <v>No</v>
      </c>
      <c r="V8" s="9">
        <f t="shared" si="4"/>
        <v>288.18</v>
      </c>
      <c r="W8" s="9">
        <f>Invoices!O8</f>
        <v>213.18</v>
      </c>
      <c r="X8" s="9">
        <f t="shared" si="5"/>
        <v>-75</v>
      </c>
      <c r="Y8" s="9">
        <f>Invoices!H8</f>
        <v>443.47</v>
      </c>
      <c r="Z8" s="13">
        <f>ROUND(Invoices!K8/Terms!$B$9,4)</f>
        <v>0.265</v>
      </c>
      <c r="AA8" s="9">
        <f>Invoices!N8</f>
        <v>0</v>
      </c>
      <c r="AB8" t="str">
        <f t="shared" si="6"/>
        <v>6.1 accessorial omitted</v>
      </c>
      <c r="AD8" t="str">
        <f>Invoices!A27</f>
        <v>NFL-90343</v>
      </c>
      <c r="AE8" t="str">
        <f>Invoices!B27</f>
        <v>217757</v>
      </c>
      <c r="AF8" t="str">
        <f>INDEX(BOL!$C$4:$C$39,MATCH(AE8,BOL!$B$4:$B$39,0))</f>
        <v>09/22/2026</v>
      </c>
      <c r="AG8" t="str">
        <f>INDEX(BOL!$E$4:$E$39,MATCH(AE8,BOL!$B$4:$B$39,0))</f>
        <v>WI</v>
      </c>
      <c r="AH8" t="str">
        <f>INDEX(BOL!$F$4:$F$39,MATCH(AE8,BOL!$B$4:$B$39,0))</f>
        <v>Windows and doors</v>
      </c>
      <c r="AI8">
        <f>INDEX(BOL!$H$4:$H$39,MATCH(AE8,BOL!$B$4:$B$39,0))</f>
        <v>830</v>
      </c>
      <c r="AJ8">
        <f>Invoices!F27</f>
        <v>830</v>
      </c>
      <c r="AK8">
        <f>INDEX(Tariff!$L$4:$L$9,MATCH(AH8,Tariff!$K$4:$K$9,0))</f>
        <v>100</v>
      </c>
      <c r="AL8">
        <f>Invoices!G27</f>
        <v>100</v>
      </c>
      <c r="AM8" s="11">
        <f>INDEX(Tariff!$I$4:$I$10,MATCH(AK8,Tariff!$H$4:$H$10,0))</f>
        <v>1.45</v>
      </c>
      <c r="AN8">
        <f>MATCH(AI8,Tariff!$B$12:$F$12,1)</f>
        <v>2</v>
      </c>
      <c r="AO8" s="11">
        <f>INDEX(Tariff!$B$4:$F$10,MATCH(AG8,Tariff!$A$4:$A$10,0),AN8)</f>
        <v>59.05</v>
      </c>
      <c r="AP8" s="9">
        <f t="shared" si="7"/>
        <v>710.67</v>
      </c>
      <c r="AQ8" s="9">
        <f>IF(AN8&lt;5,ROUND(INDEX(Tariff!$B$12:$F$12,AN8+1)/100*INDEX(Tariff!$B$4:$F$10,MATCH(AG8,Tariff!$A$4:$A$10,0),AN8+1)*AM8,2),AP8)</f>
        <v>729.35</v>
      </c>
      <c r="AR8" s="9">
        <f t="shared" si="8"/>
        <v>710.67</v>
      </c>
      <c r="AS8" s="9">
        <f>MAX(ROUND(AR8*(1-Terms!$B$4),2),Terms!$B$5)</f>
        <v>270.05</v>
      </c>
      <c r="AT8" t="str">
        <f t="shared" si="9"/>
        <v>09/21/2026</v>
      </c>
      <c r="AU8" s="13">
        <f>INDEX('Fuel Index'!$C$4:$C$12,MATCH(AT8,'Fuel Index'!$A$4:$A$12,0))</f>
        <v>0.275</v>
      </c>
      <c r="AV8" s="9">
        <f t="shared" si="10"/>
        <v>74.26</v>
      </c>
      <c r="AW8" s="9">
        <f>(INDEX(BOL!$I$4:$I$39,MATCH(AE8,BOL!$B$4:$B$39,0))="Y")*Tariff!$O$4+(INDEX(BOL!$J$4:$J$39,MATCH(AE8,BOL!$B$4:$B$39,0))="Y")*Tariff!$O$5+(INDEX(BOL!$K$4:$K$39,MATCH(AE8,BOL!$B$4:$B$39,0))="Y")*Tariff!$O$6+(INDEX(BOL!$L$4:$L$39,MATCH(AE8,BOL!$B$4:$B$39,0))="Y")*Tariff!$O$7</f>
        <v>0</v>
      </c>
      <c r="AX8" t="str">
        <f>IF(COUNTIFS(Invoices!$B$4:$B$41,AE8,Invoices!$A$4:$A$41,"&lt;"&amp;AD8)&gt;0,"Yes","No")</f>
        <v>No</v>
      </c>
      <c r="AY8" s="9">
        <f t="shared" si="11"/>
        <v>344.31</v>
      </c>
      <c r="AZ8" s="9">
        <f>Invoices!O27</f>
        <v>344.31</v>
      </c>
      <c r="BA8" s="9">
        <f t="shared" si="12"/>
        <v>0</v>
      </c>
      <c r="BB8" s="9">
        <f>Invoices!H27</f>
        <v>710.67</v>
      </c>
      <c r="BC8" s="13">
        <f>ROUND(Invoices!K27/Terms!$B$9,4)</f>
        <v>0.275</v>
      </c>
      <c r="BD8" s="9">
        <f>Invoices!N27</f>
        <v>0</v>
      </c>
      <c r="BE8" t="str">
        <f t="shared" si="13"/>
        <v/>
      </c>
    </row>
    <row r="9" spans="1:57" x14ac:dyDescent="0.2">
      <c r="A9" t="str">
        <f>Invoices!A9</f>
        <v>NFL-90318</v>
      </c>
      <c r="B9" t="str">
        <f>Invoices!B9</f>
        <v>217846</v>
      </c>
      <c r="C9" t="str">
        <f>INDEX(BOL!$C$4:$C$39,MATCH(B9,BOL!$B$4:$B$39,0))</f>
        <v>09/09/2026</v>
      </c>
      <c r="D9" t="str">
        <f>INDEX(BOL!$E$4:$E$39,MATCH(B9,BOL!$B$4:$B$39,0))</f>
        <v>WI</v>
      </c>
      <c r="E9" t="str">
        <f>INDEX(BOL!$F$4:$F$39,MATCH(B9,BOL!$B$4:$B$39,0))</f>
        <v>Windows and doors</v>
      </c>
      <c r="F9">
        <f>INDEX(BOL!$H$4:$H$39,MATCH(B9,BOL!$B$4:$B$39,0))</f>
        <v>1590</v>
      </c>
      <c r="G9">
        <f>Invoices!F9</f>
        <v>1590</v>
      </c>
      <c r="H9">
        <f>INDEX(Tariff!$L$4:$L$9,MATCH(E9,Tariff!$K$4:$K$9,0))</f>
        <v>100</v>
      </c>
      <c r="I9">
        <f>Invoices!G9</f>
        <v>100</v>
      </c>
      <c r="J9" s="11">
        <f>INDEX(Tariff!$I$4:$I$10,MATCH(H9,Tariff!$H$4:$H$10,0))</f>
        <v>1.45</v>
      </c>
      <c r="K9">
        <f>MATCH(F9,Tariff!$B$12:$F$12,1)</f>
        <v>3</v>
      </c>
      <c r="L9" s="11">
        <f>INDEX(Tariff!$B$4:$F$10,MATCH(D9,Tariff!$A$4:$A$10,0),K9)</f>
        <v>50.3</v>
      </c>
      <c r="M9" s="9">
        <f t="shared" si="0"/>
        <v>1159.67</v>
      </c>
      <c r="N9" s="9">
        <f>IF(K9&lt;5,ROUND(INDEX(Tariff!$B$12:$F$12,K9+1)/100*INDEX(Tariff!$B$4:$F$10,MATCH(D9,Tariff!$A$4:$A$10,0),K9+1)*J9,2),M9)</f>
        <v>1197.7</v>
      </c>
      <c r="O9" s="9">
        <f t="shared" si="1"/>
        <v>1159.67</v>
      </c>
      <c r="P9" s="9">
        <f>MAX(ROUND(O9*(1-Terms!$B$4),2),Terms!$B$5)</f>
        <v>440.67</v>
      </c>
      <c r="Q9" t="str">
        <f t="shared" si="2"/>
        <v>09/07/2026</v>
      </c>
      <c r="R9" s="13">
        <f>INDEX('Fuel Index'!$C$4:$C$12,MATCH(Q9,'Fuel Index'!$A$4:$A$12,0))</f>
        <v>0.265</v>
      </c>
      <c r="S9" s="9">
        <f t="shared" si="3"/>
        <v>116.78</v>
      </c>
      <c r="T9" s="9">
        <f>(INDEX(BOL!$I$4:$I$39,MATCH(B9,BOL!$B$4:$B$39,0))="Y")*Tariff!$O$4+(INDEX(BOL!$J$4:$J$39,MATCH(B9,BOL!$B$4:$B$39,0))="Y")*Tariff!$O$5+(INDEX(BOL!$K$4:$K$39,MATCH(B9,BOL!$B$4:$B$39,0))="Y")*Tariff!$O$6+(INDEX(BOL!$L$4:$L$39,MATCH(B9,BOL!$B$4:$B$39,0))="Y")*Tariff!$O$7</f>
        <v>75</v>
      </c>
      <c r="U9" t="str">
        <f>IF(COUNTIFS(Invoices!$B$4:$B$41,B9,Invoices!$A$4:$A$41,"&lt;"&amp;A9)&gt;0,"Yes","No")</f>
        <v>No</v>
      </c>
      <c r="V9" s="9">
        <f t="shared" si="4"/>
        <v>632.45</v>
      </c>
      <c r="W9" s="9">
        <f>Invoices!O9</f>
        <v>632.45</v>
      </c>
      <c r="X9" s="9">
        <f t="shared" si="5"/>
        <v>0</v>
      </c>
      <c r="Y9" s="9">
        <f>Invoices!H9</f>
        <v>1159.67</v>
      </c>
      <c r="Z9" s="13">
        <f>ROUND(Invoices!K9/Terms!$B$9,4)</f>
        <v>0.265</v>
      </c>
      <c r="AA9" s="9">
        <f>Invoices!N9</f>
        <v>75</v>
      </c>
      <c r="AB9" t="str">
        <f t="shared" si="6"/>
        <v/>
      </c>
      <c r="AD9" t="str">
        <f>Invoices!A28</f>
        <v>NFL-90344</v>
      </c>
      <c r="AE9" t="str">
        <f>Invoices!B28</f>
        <v>217851</v>
      </c>
      <c r="AF9" t="str">
        <f>INDEX(BOL!$C$4:$C$39,MATCH(AE9,BOL!$B$4:$B$39,0))</f>
        <v>09/21/2026</v>
      </c>
      <c r="AG9" t="str">
        <f>INDEX(BOL!$E$4:$E$39,MATCH(AE9,BOL!$B$4:$B$39,0))</f>
        <v>MN</v>
      </c>
      <c r="AH9" t="str">
        <f>INDEX(BOL!$F$4:$F$39,MATCH(AE9,BOL!$B$4:$B$39,0))</f>
        <v>Sealants and coatings</v>
      </c>
      <c r="AI9">
        <f>INDEX(BOL!$H$4:$H$39,MATCH(AE9,BOL!$B$4:$B$39,0))</f>
        <v>4470</v>
      </c>
      <c r="AJ9">
        <f>Invoices!F28</f>
        <v>4470</v>
      </c>
      <c r="AK9">
        <f>INDEX(Tariff!$L$4:$L$9,MATCH(AH9,Tariff!$K$4:$K$9,0))</f>
        <v>85</v>
      </c>
      <c r="AL9">
        <f>Invoices!G28</f>
        <v>85</v>
      </c>
      <c r="AM9" s="11">
        <f>INDEX(Tariff!$I$4:$I$10,MATCH(AK9,Tariff!$H$4:$H$10,0))</f>
        <v>1.15</v>
      </c>
      <c r="AN9">
        <f>MATCH(AI9,Tariff!$B$12:$F$12,1)</f>
        <v>4</v>
      </c>
      <c r="AO9" s="11">
        <f>INDEX(Tariff!$B$4:$F$10,MATCH(AG9,Tariff!$A$4:$A$10,0),AN9)</f>
        <v>34.2</v>
      </c>
      <c r="AP9" s="9">
        <f t="shared" si="7"/>
        <v>1758.05</v>
      </c>
      <c r="AQ9" s="9">
        <f>IF(AN9&lt;5,ROUND(INDEX(Tariff!$B$12:$F$12,AN9+1)/100*INDEX(Tariff!$B$4:$F$10,MATCH(AG9,Tariff!$A$4:$A$10,0),AN9+1)*AM9,2),AP9)</f>
        <v>1601.38</v>
      </c>
      <c r="AR9" s="9">
        <f t="shared" si="8"/>
        <v>1601.38</v>
      </c>
      <c r="AS9" s="9">
        <f>MAX(ROUND(AR9*(1-Terms!$B$4),2),Terms!$B$5)</f>
        <v>608.52</v>
      </c>
      <c r="AT9" t="str">
        <f t="shared" si="9"/>
        <v>09/21/2026</v>
      </c>
      <c r="AU9" s="13">
        <f>INDEX('Fuel Index'!$C$4:$C$12,MATCH(AT9,'Fuel Index'!$A$4:$A$12,0))</f>
        <v>0.275</v>
      </c>
      <c r="AV9" s="9">
        <f t="shared" si="10"/>
        <v>167.34</v>
      </c>
      <c r="AW9" s="9">
        <f>(INDEX(BOL!$I$4:$I$39,MATCH(AE9,BOL!$B$4:$B$39,0))="Y")*Tariff!$O$4+(INDEX(BOL!$J$4:$J$39,MATCH(AE9,BOL!$B$4:$B$39,0))="Y")*Tariff!$O$5+(INDEX(BOL!$K$4:$K$39,MATCH(AE9,BOL!$B$4:$B$39,0))="Y")*Tariff!$O$6+(INDEX(BOL!$L$4:$L$39,MATCH(AE9,BOL!$B$4:$B$39,0))="Y")*Tariff!$O$7</f>
        <v>0</v>
      </c>
      <c r="AX9" t="str">
        <f>IF(COUNTIFS(Invoices!$B$4:$B$41,AE9,Invoices!$A$4:$A$41,"&lt;"&amp;AD9)&gt;0,"Yes","No")</f>
        <v>No</v>
      </c>
      <c r="AY9" s="9">
        <f t="shared" si="11"/>
        <v>775.86</v>
      </c>
      <c r="AZ9" s="9">
        <f>Invoices!O28</f>
        <v>775.86</v>
      </c>
      <c r="BA9" s="9">
        <f t="shared" si="12"/>
        <v>0</v>
      </c>
      <c r="BB9" s="9">
        <f>Invoices!H28</f>
        <v>1601.38</v>
      </c>
      <c r="BC9" s="13">
        <f>ROUND(Invoices!K28/Terms!$B$9,4)</f>
        <v>0.275</v>
      </c>
      <c r="BD9" s="9">
        <f>Invoices!N28</f>
        <v>0</v>
      </c>
      <c r="BE9" t="str">
        <f t="shared" si="13"/>
        <v/>
      </c>
    </row>
    <row r="10" spans="1:57" x14ac:dyDescent="0.2">
      <c r="A10" t="str">
        <f>Invoices!A10</f>
        <v>NFL-90319</v>
      </c>
      <c r="B10" t="str">
        <f>Invoices!B10</f>
        <v>217703</v>
      </c>
      <c r="C10" t="str">
        <f>INDEX(BOL!$C$4:$C$39,MATCH(B10,BOL!$B$4:$B$39,0))</f>
        <v>09/03/2026</v>
      </c>
      <c r="D10" t="str">
        <f>INDEX(BOL!$E$4:$E$39,MATCH(B10,BOL!$B$4:$B$39,0))</f>
        <v>MN</v>
      </c>
      <c r="E10" t="str">
        <f>INDEX(BOL!$F$4:$F$39,MATCH(B10,BOL!$B$4:$B$39,0))</f>
        <v>Sealants and coatings</v>
      </c>
      <c r="F10">
        <f>INDEX(BOL!$H$4:$H$39,MATCH(B10,BOL!$B$4:$B$39,0))</f>
        <v>720</v>
      </c>
      <c r="G10">
        <f>Invoices!F10</f>
        <v>720</v>
      </c>
      <c r="H10">
        <f>INDEX(Tariff!$L$4:$L$9,MATCH(E10,Tariff!$K$4:$K$9,0))</f>
        <v>85</v>
      </c>
      <c r="I10">
        <f>Invoices!G10</f>
        <v>85</v>
      </c>
      <c r="J10" s="11">
        <f>INDEX(Tariff!$I$4:$I$10,MATCH(H10,Tariff!$H$4:$H$10,0))</f>
        <v>1.15</v>
      </c>
      <c r="K10">
        <f>MATCH(F10,Tariff!$B$12:$F$12,1)</f>
        <v>2</v>
      </c>
      <c r="L10" s="11">
        <f>INDEX(Tariff!$B$4:$F$10,MATCH(D10,Tariff!$A$4:$A$10,0),K10)</f>
        <v>49.1</v>
      </c>
      <c r="M10" s="9">
        <f t="shared" si="0"/>
        <v>406.55</v>
      </c>
      <c r="N10" s="9">
        <f>IF(K10&lt;5,ROUND(INDEX(Tariff!$B$12:$F$12,K10+1)/100*INDEX(Tariff!$B$4:$F$10,MATCH(D10,Tariff!$A$4:$A$10,0),K10+1)*J10,2),M10)</f>
        <v>480.13</v>
      </c>
      <c r="O10" s="9">
        <f t="shared" si="1"/>
        <v>406.55</v>
      </c>
      <c r="P10" s="9">
        <f>MAX(ROUND(O10*(1-Terms!$B$4),2),Terms!$B$5)</f>
        <v>154.49</v>
      </c>
      <c r="Q10" t="str">
        <f t="shared" si="2"/>
        <v>08/31/2026</v>
      </c>
      <c r="R10" s="13">
        <f>INDEX('Fuel Index'!$C$4:$C$12,MATCH(Q10,'Fuel Index'!$A$4:$A$12,0))</f>
        <v>0.265</v>
      </c>
      <c r="S10" s="9">
        <f t="shared" si="3"/>
        <v>40.94</v>
      </c>
      <c r="T10" s="9">
        <f>(INDEX(BOL!$I$4:$I$39,MATCH(B10,BOL!$B$4:$B$39,0))="Y")*Tariff!$O$4+(INDEX(BOL!$J$4:$J$39,MATCH(B10,BOL!$B$4:$B$39,0))="Y")*Tariff!$O$5+(INDEX(BOL!$K$4:$K$39,MATCH(B10,BOL!$B$4:$B$39,0))="Y")*Tariff!$O$6+(INDEX(BOL!$L$4:$L$39,MATCH(B10,BOL!$B$4:$B$39,0))="Y")*Tariff!$O$7</f>
        <v>160</v>
      </c>
      <c r="U10" t="str">
        <f>IF(COUNTIFS(Invoices!$B$4:$B$41,B10,Invoices!$A$4:$A$41,"&lt;"&amp;A10)&gt;0,"Yes","No")</f>
        <v>No</v>
      </c>
      <c r="V10" s="9">
        <f t="shared" si="4"/>
        <v>355.43</v>
      </c>
      <c r="W10" s="9">
        <f>Invoices!O10</f>
        <v>354.66</v>
      </c>
      <c r="X10" s="9">
        <f t="shared" si="5"/>
        <v>-0.77</v>
      </c>
      <c r="Y10" s="9">
        <f>Invoices!H10</f>
        <v>406.55</v>
      </c>
      <c r="Z10" s="13">
        <f>ROUND(Invoices!K10/Terms!$B$9,4)</f>
        <v>0.26</v>
      </c>
      <c r="AA10" s="9">
        <f>Invoices!N10</f>
        <v>160</v>
      </c>
      <c r="AB10" t="str">
        <f t="shared" si="6"/>
        <v>5.2 fuel week</v>
      </c>
      <c r="AD10" t="str">
        <f>Invoices!A29</f>
        <v>NFL-90345</v>
      </c>
      <c r="AE10" t="str">
        <f>Invoices!B29</f>
        <v>217775</v>
      </c>
      <c r="AF10" t="str">
        <f>INDEX(BOL!$C$4:$C$39,MATCH(AE10,BOL!$B$4:$B$39,0))</f>
        <v>09/23/2026</v>
      </c>
      <c r="AG10" t="str">
        <f>INDEX(BOL!$E$4:$E$39,MATCH(AE10,BOL!$B$4:$B$39,0))</f>
        <v>NE</v>
      </c>
      <c r="AH10" t="str">
        <f>INDEX(BOL!$F$4:$F$39,MATCH(AE10,BOL!$B$4:$B$39,0))</f>
        <v>Vinyl siding</v>
      </c>
      <c r="AI10">
        <f>INDEX(BOL!$H$4:$H$39,MATCH(AE10,BOL!$B$4:$B$39,0))</f>
        <v>1040</v>
      </c>
      <c r="AJ10">
        <f>Invoices!F29</f>
        <v>1040</v>
      </c>
      <c r="AK10">
        <f>INDEX(Tariff!$L$4:$L$9,MATCH(AH10,Tariff!$K$4:$K$9,0))</f>
        <v>92.5</v>
      </c>
      <c r="AL10">
        <f>Invoices!G29</f>
        <v>92.5</v>
      </c>
      <c r="AM10" s="11">
        <f>INDEX(Tariff!$I$4:$I$10,MATCH(AK10,Tariff!$H$4:$H$10,0))</f>
        <v>1.3</v>
      </c>
      <c r="AN10">
        <f>MATCH(AI10,Tariff!$B$12:$F$12,1)</f>
        <v>3</v>
      </c>
      <c r="AO10" s="11">
        <f>INDEX(Tariff!$B$4:$F$10,MATCH(AG10,Tariff!$A$4:$A$10,0),AN10)</f>
        <v>49.8</v>
      </c>
      <c r="AP10" s="9">
        <f t="shared" si="7"/>
        <v>673.3</v>
      </c>
      <c r="AQ10" s="9">
        <f>IF(AN10&lt;5,ROUND(INDEX(Tariff!$B$12:$F$12,AN10+1)/100*INDEX(Tariff!$B$4:$F$10,MATCH(AG10,Tariff!$A$4:$A$10,0),AN10+1)*AM10,2),AP10)</f>
        <v>1063.4</v>
      </c>
      <c r="AR10" s="9">
        <f t="shared" si="8"/>
        <v>673.3</v>
      </c>
      <c r="AS10" s="9">
        <f>MAX(ROUND(AR10*(1-Terms!$B$4),2),Terms!$B$5)</f>
        <v>255.85</v>
      </c>
      <c r="AT10" t="str">
        <f t="shared" si="9"/>
        <v>09/21/2026</v>
      </c>
      <c r="AU10" s="13">
        <f>INDEX('Fuel Index'!$C$4:$C$12,MATCH(AT10,'Fuel Index'!$A$4:$A$12,0))</f>
        <v>0.275</v>
      </c>
      <c r="AV10" s="9">
        <f t="shared" si="10"/>
        <v>70.36</v>
      </c>
      <c r="AW10" s="9">
        <f>(INDEX(BOL!$I$4:$I$39,MATCH(AE10,BOL!$B$4:$B$39,0))="Y")*Tariff!$O$4+(INDEX(BOL!$J$4:$J$39,MATCH(AE10,BOL!$B$4:$B$39,0))="Y")*Tariff!$O$5+(INDEX(BOL!$K$4:$K$39,MATCH(AE10,BOL!$B$4:$B$39,0))="Y")*Tariff!$O$6+(INDEX(BOL!$L$4:$L$39,MATCH(AE10,BOL!$B$4:$B$39,0))="Y")*Tariff!$O$7</f>
        <v>0</v>
      </c>
      <c r="AX10" t="str">
        <f>IF(COUNTIFS(Invoices!$B$4:$B$41,AE10,Invoices!$A$4:$A$41,"&lt;"&amp;AD10)&gt;0,"Yes","No")</f>
        <v>No</v>
      </c>
      <c r="AY10" s="9">
        <f t="shared" si="11"/>
        <v>326.21</v>
      </c>
      <c r="AZ10" s="9">
        <f>Invoices!O29</f>
        <v>326.21</v>
      </c>
      <c r="BA10" s="9">
        <f t="shared" si="12"/>
        <v>0</v>
      </c>
      <c r="BB10" s="9">
        <f>Invoices!H29</f>
        <v>673.3</v>
      </c>
      <c r="BC10" s="13">
        <f>ROUND(Invoices!K29/Terms!$B$9,4)</f>
        <v>0.275</v>
      </c>
      <c r="BD10" s="9">
        <f>Invoices!N29</f>
        <v>0</v>
      </c>
      <c r="BE10" t="str">
        <f t="shared" si="13"/>
        <v/>
      </c>
    </row>
    <row r="11" spans="1:57" x14ac:dyDescent="0.2">
      <c r="A11" t="str">
        <f>Invoices!A11</f>
        <v>NFL-90321</v>
      </c>
      <c r="B11" t="str">
        <f>Invoices!B11</f>
        <v>217700</v>
      </c>
      <c r="C11" t="str">
        <f>INDEX(BOL!$C$4:$C$39,MATCH(B11,BOL!$B$4:$B$39,0))</f>
        <v>09/09/2026</v>
      </c>
      <c r="D11" t="str">
        <f>INDEX(BOL!$E$4:$E$39,MATCH(B11,BOL!$B$4:$B$39,0))</f>
        <v>SD</v>
      </c>
      <c r="E11" t="str">
        <f>INDEX(BOL!$F$4:$F$39,MATCH(B11,BOL!$B$4:$B$39,0))</f>
        <v>Metal roofing panels</v>
      </c>
      <c r="F11">
        <f>INDEX(BOL!$H$4:$H$39,MATCH(B11,BOL!$B$4:$B$39,0))</f>
        <v>1980</v>
      </c>
      <c r="G11">
        <f>Invoices!F11</f>
        <v>1980</v>
      </c>
      <c r="H11">
        <f>INDEX(Tariff!$L$4:$L$9,MATCH(E11,Tariff!$K$4:$K$9,0))</f>
        <v>70</v>
      </c>
      <c r="I11">
        <f>Invoices!G11</f>
        <v>70</v>
      </c>
      <c r="J11" s="11">
        <f>INDEX(Tariff!$I$4:$I$10,MATCH(H11,Tariff!$H$4:$H$10,0))</f>
        <v>1</v>
      </c>
      <c r="K11">
        <f>MATCH(F11,Tariff!$B$12:$F$12,1)</f>
        <v>3</v>
      </c>
      <c r="L11" s="11">
        <f>INDEX(Tariff!$B$4:$F$10,MATCH(D11,Tariff!$A$4:$A$10,0),K11)</f>
        <v>43.9</v>
      </c>
      <c r="M11" s="9">
        <f t="shared" si="0"/>
        <v>869.22</v>
      </c>
      <c r="N11" s="9">
        <f>IF(K11&lt;5,ROUND(INDEX(Tariff!$B$12:$F$12,K11+1)/100*INDEX(Tariff!$B$4:$F$10,MATCH(D11,Tariff!$A$4:$A$10,0),K11+1)*J11,2),M11)</f>
        <v>721</v>
      </c>
      <c r="O11" s="9">
        <f t="shared" si="1"/>
        <v>721</v>
      </c>
      <c r="P11" s="9">
        <f>MAX(ROUND(O11*(1-Terms!$B$4),2),Terms!$B$5)</f>
        <v>273.98</v>
      </c>
      <c r="Q11" t="str">
        <f t="shared" si="2"/>
        <v>09/07/2026</v>
      </c>
      <c r="R11" s="13">
        <f>INDEX('Fuel Index'!$C$4:$C$12,MATCH(Q11,'Fuel Index'!$A$4:$A$12,0))</f>
        <v>0.265</v>
      </c>
      <c r="S11" s="9">
        <f t="shared" si="3"/>
        <v>72.6</v>
      </c>
      <c r="T11" s="9">
        <f>(INDEX(BOL!$I$4:$I$39,MATCH(B11,BOL!$B$4:$B$39,0))="Y")*Tariff!$O$4+(INDEX(BOL!$J$4:$J$39,MATCH(B11,BOL!$B$4:$B$39,0))="Y")*Tariff!$O$5+(INDEX(BOL!$K$4:$K$39,MATCH(B11,BOL!$B$4:$B$39,0))="Y")*Tariff!$O$6+(INDEX(BOL!$L$4:$L$39,MATCH(B11,BOL!$B$4:$B$39,0))="Y")*Tariff!$O$7</f>
        <v>0</v>
      </c>
      <c r="U11" t="str">
        <f>IF(COUNTIFS(Invoices!$B$4:$B$41,B11,Invoices!$A$4:$A$41,"&lt;"&amp;A11)&gt;0,"Yes","No")</f>
        <v>No</v>
      </c>
      <c r="V11" s="9">
        <f t="shared" si="4"/>
        <v>346.58</v>
      </c>
      <c r="W11" s="9">
        <f>Invoices!O11</f>
        <v>346.58</v>
      </c>
      <c r="X11" s="9">
        <f t="shared" si="5"/>
        <v>0</v>
      </c>
      <c r="Y11" s="9">
        <f>Invoices!H11</f>
        <v>721</v>
      </c>
      <c r="Z11" s="13">
        <f>ROUND(Invoices!K11/Terms!$B$9,4)</f>
        <v>0.265</v>
      </c>
      <c r="AA11" s="9">
        <f>Invoices!N11</f>
        <v>0</v>
      </c>
      <c r="AB11" t="str">
        <f t="shared" si="6"/>
        <v/>
      </c>
      <c r="AD11" t="str">
        <f>Invoices!A30</f>
        <v>NFL-90346</v>
      </c>
      <c r="AE11" t="str">
        <f>Invoices!B30</f>
        <v>217864</v>
      </c>
      <c r="AF11" t="str">
        <f>INDEX(BOL!$C$4:$C$39,MATCH(AE11,BOL!$B$4:$B$39,0))</f>
        <v>09/21/2026</v>
      </c>
      <c r="AG11" t="str">
        <f>INDEX(BOL!$E$4:$E$39,MATCH(AE11,BOL!$B$4:$B$39,0))</f>
        <v>MT</v>
      </c>
      <c r="AH11" t="str">
        <f>INDEX(BOL!$F$4:$F$39,MATCH(AE11,BOL!$B$4:$B$39,0))</f>
        <v>Metal roofing panels</v>
      </c>
      <c r="AI11">
        <f>INDEX(BOL!$H$4:$H$39,MATCH(AE11,BOL!$B$4:$B$39,0))</f>
        <v>1220</v>
      </c>
      <c r="AJ11">
        <f>Invoices!F30</f>
        <v>1220</v>
      </c>
      <c r="AK11">
        <f>INDEX(Tariff!$L$4:$L$9,MATCH(AH11,Tariff!$K$4:$K$9,0))</f>
        <v>70</v>
      </c>
      <c r="AL11">
        <f>Invoices!G30</f>
        <v>70</v>
      </c>
      <c r="AM11" s="11">
        <f>INDEX(Tariff!$I$4:$I$10,MATCH(AK11,Tariff!$H$4:$H$10,0))</f>
        <v>1</v>
      </c>
      <c r="AN11">
        <f>MATCH(AI11,Tariff!$B$12:$F$12,1)</f>
        <v>3</v>
      </c>
      <c r="AO11" s="11">
        <f>INDEX(Tariff!$B$4:$F$10,MATCH(AG11,Tariff!$A$4:$A$10,0),AN11)</f>
        <v>60.85</v>
      </c>
      <c r="AP11" s="9">
        <f t="shared" si="7"/>
        <v>742.37</v>
      </c>
      <c r="AQ11" s="9">
        <f>IF(AN11&lt;5,ROUND(INDEX(Tariff!$B$12:$F$12,AN11+1)/100*INDEX(Tariff!$B$4:$F$10,MATCH(AG11,Tariff!$A$4:$A$10,0),AN11+1)*AM11,2),AP11)</f>
        <v>999</v>
      </c>
      <c r="AR11" s="9">
        <f t="shared" si="8"/>
        <v>742.37</v>
      </c>
      <c r="AS11" s="9">
        <f>MAX(ROUND(AR11*(1-Terms!$B$4),2),Terms!$B$5)</f>
        <v>282.1</v>
      </c>
      <c r="AT11" t="str">
        <f t="shared" si="9"/>
        <v>09/21/2026</v>
      </c>
      <c r="AU11" s="13">
        <f>INDEX('Fuel Index'!$C$4:$C$12,MATCH(AT11,'Fuel Index'!$A$4:$A$12,0))</f>
        <v>0.275</v>
      </c>
      <c r="AV11" s="9">
        <f t="shared" si="10"/>
        <v>77.58</v>
      </c>
      <c r="AW11" s="9">
        <f>(INDEX(BOL!$I$4:$I$39,MATCH(AE11,BOL!$B$4:$B$39,0))="Y")*Tariff!$O$4+(INDEX(BOL!$J$4:$J$39,MATCH(AE11,BOL!$B$4:$B$39,0))="Y")*Tariff!$O$5+(INDEX(BOL!$K$4:$K$39,MATCH(AE11,BOL!$B$4:$B$39,0))="Y")*Tariff!$O$6+(INDEX(BOL!$L$4:$L$39,MATCH(AE11,BOL!$B$4:$B$39,0))="Y")*Tariff!$O$7</f>
        <v>0</v>
      </c>
      <c r="AX11" t="str">
        <f>IF(COUNTIFS(Invoices!$B$4:$B$41,AE11,Invoices!$A$4:$A$41,"&lt;"&amp;AD11)&gt;0,"Yes","No")</f>
        <v>No</v>
      </c>
      <c r="AY11" s="9">
        <f t="shared" si="11"/>
        <v>359.68</v>
      </c>
      <c r="AZ11" s="9">
        <f>Invoices!O30</f>
        <v>358.27</v>
      </c>
      <c r="BA11" s="9">
        <f t="shared" si="12"/>
        <v>-1.41</v>
      </c>
      <c r="BB11" s="9">
        <f>Invoices!H30</f>
        <v>742.37</v>
      </c>
      <c r="BC11" s="13">
        <f>ROUND(Invoices!K30/Terms!$B$9,4)</f>
        <v>0.27</v>
      </c>
      <c r="BD11" s="9">
        <f>Invoices!N30</f>
        <v>0</v>
      </c>
      <c r="BE11" t="str">
        <f t="shared" si="13"/>
        <v>5.2 fuel week</v>
      </c>
    </row>
    <row r="12" spans="1:57" x14ac:dyDescent="0.2">
      <c r="A12" t="str">
        <f>Invoices!A12</f>
        <v>NFL-90322</v>
      </c>
      <c r="B12" t="str">
        <f>Invoices!B12</f>
        <v>217784</v>
      </c>
      <c r="C12" t="str">
        <f>INDEX(BOL!$C$4:$C$39,MATCH(B12,BOL!$B$4:$B$39,0))</f>
        <v>09/09/2026</v>
      </c>
      <c r="D12" t="str">
        <f>INDEX(BOL!$E$4:$E$39,MATCH(B12,BOL!$B$4:$B$39,0))</f>
        <v>ND</v>
      </c>
      <c r="E12" t="str">
        <f>INDEX(BOL!$F$4:$F$39,MATCH(B12,BOL!$B$4:$B$39,0))</f>
        <v>Sealants and coatings</v>
      </c>
      <c r="F12">
        <f>INDEX(BOL!$H$4:$H$39,MATCH(B12,BOL!$B$4:$B$39,0))</f>
        <v>2430</v>
      </c>
      <c r="G12">
        <f>Invoices!F12</f>
        <v>2430</v>
      </c>
      <c r="H12">
        <f>INDEX(Tariff!$L$4:$L$9,MATCH(E12,Tariff!$K$4:$K$9,0))</f>
        <v>85</v>
      </c>
      <c r="I12">
        <f>Invoices!G12</f>
        <v>92.5</v>
      </c>
      <c r="J12" s="11">
        <f>INDEX(Tariff!$I$4:$I$10,MATCH(H12,Tariff!$H$4:$H$10,0))</f>
        <v>1.15</v>
      </c>
      <c r="K12">
        <f>MATCH(F12,Tariff!$B$12:$F$12,1)</f>
        <v>4</v>
      </c>
      <c r="L12" s="11">
        <f>INDEX(Tariff!$B$4:$F$10,MATCH(D12,Tariff!$A$4:$A$10,0),K12)</f>
        <v>26.4</v>
      </c>
      <c r="M12" s="9">
        <f t="shared" si="0"/>
        <v>737.75</v>
      </c>
      <c r="N12" s="9">
        <f>IF(K12&lt;5,ROUND(INDEX(Tariff!$B$12:$F$12,K12+1)/100*INDEX(Tariff!$B$4:$F$10,MATCH(D12,Tariff!$A$4:$A$10,0),K12+1)*J12,2),M12)</f>
        <v>1236.25</v>
      </c>
      <c r="O12" s="9">
        <f t="shared" si="1"/>
        <v>737.75</v>
      </c>
      <c r="P12" s="9">
        <f>MAX(ROUND(O12*(1-Terms!$B$4),2),Terms!$B$5)</f>
        <v>280.35</v>
      </c>
      <c r="Q12" t="str">
        <f t="shared" si="2"/>
        <v>09/07/2026</v>
      </c>
      <c r="R12" s="13">
        <f>INDEX('Fuel Index'!$C$4:$C$12,MATCH(Q12,'Fuel Index'!$A$4:$A$12,0))</f>
        <v>0.265</v>
      </c>
      <c r="S12" s="9">
        <f t="shared" si="3"/>
        <v>74.29</v>
      </c>
      <c r="T12" s="9">
        <f>(INDEX(BOL!$I$4:$I$39,MATCH(B12,BOL!$B$4:$B$39,0))="Y")*Tariff!$O$4+(INDEX(BOL!$J$4:$J$39,MATCH(B12,BOL!$B$4:$B$39,0))="Y")*Tariff!$O$5+(INDEX(BOL!$K$4:$K$39,MATCH(B12,BOL!$B$4:$B$39,0))="Y")*Tariff!$O$6+(INDEX(BOL!$L$4:$L$39,MATCH(B12,BOL!$B$4:$B$39,0))="Y")*Tariff!$O$7</f>
        <v>85</v>
      </c>
      <c r="U12" t="str">
        <f>IF(COUNTIFS(Invoices!$B$4:$B$41,B12,Invoices!$A$4:$A$41,"&lt;"&amp;A12)&gt;0,"Yes","No")</f>
        <v>No</v>
      </c>
      <c r="V12" s="9">
        <f t="shared" si="4"/>
        <v>439.64</v>
      </c>
      <c r="W12" s="9">
        <f>Invoices!O12</f>
        <v>485.89</v>
      </c>
      <c r="X12" s="9">
        <f t="shared" si="5"/>
        <v>46.25</v>
      </c>
      <c r="Y12" s="9">
        <f>Invoices!H12</f>
        <v>833.98</v>
      </c>
      <c r="Z12" s="13">
        <f>ROUND(Invoices!K12/Terms!$B$9,4)</f>
        <v>0.265</v>
      </c>
      <c r="AA12" s="9">
        <f>Invoices!N12</f>
        <v>85</v>
      </c>
      <c r="AB12" t="str">
        <f t="shared" si="6"/>
        <v>4.3 class</v>
      </c>
      <c r="AD12" t="str">
        <f>Invoices!A31</f>
        <v>NFL-90347</v>
      </c>
      <c r="AE12" t="str">
        <f>Invoices!B31</f>
        <v>217841</v>
      </c>
      <c r="AF12" t="str">
        <f>INDEX(BOL!$C$4:$C$39,MATCH(AE12,BOL!$B$4:$B$39,0))</f>
        <v>09/24/2026</v>
      </c>
      <c r="AG12" t="str">
        <f>INDEX(BOL!$E$4:$E$39,MATCH(AE12,BOL!$B$4:$B$39,0))</f>
        <v>MT</v>
      </c>
      <c r="AH12" t="str">
        <f>INDEX(BOL!$F$4:$F$39,MATCH(AE12,BOL!$B$4:$B$39,0))</f>
        <v>Fasteners and hardware</v>
      </c>
      <c r="AI12">
        <f>INDEX(BOL!$H$4:$H$39,MATCH(AE12,BOL!$B$4:$B$39,0))</f>
        <v>2060</v>
      </c>
      <c r="AJ12">
        <f>Invoices!F31</f>
        <v>2060</v>
      </c>
      <c r="AK12">
        <f>INDEX(Tariff!$L$4:$L$9,MATCH(AH12,Tariff!$K$4:$K$9,0))</f>
        <v>60</v>
      </c>
      <c r="AL12">
        <f>Invoices!G31</f>
        <v>60</v>
      </c>
      <c r="AM12" s="11">
        <f>INDEX(Tariff!$I$4:$I$10,MATCH(AK12,Tariff!$H$4:$H$10,0))</f>
        <v>0.94</v>
      </c>
      <c r="AN12">
        <f>MATCH(AI12,Tariff!$B$12:$F$12,1)</f>
        <v>4</v>
      </c>
      <c r="AO12" s="11">
        <f>INDEX(Tariff!$B$4:$F$10,MATCH(AG12,Tariff!$A$4:$A$10,0),AN12)</f>
        <v>49.95</v>
      </c>
      <c r="AP12" s="9">
        <f t="shared" si="7"/>
        <v>967.23</v>
      </c>
      <c r="AQ12" s="9">
        <f>IF(AN12&lt;5,ROUND(INDEX(Tariff!$B$12:$F$12,AN12+1)/100*INDEX(Tariff!$B$4:$F$10,MATCH(AG12,Tariff!$A$4:$A$10,0),AN12+1)*AM12,2),AP12)</f>
        <v>1908.2</v>
      </c>
      <c r="AR12" s="9">
        <f t="shared" si="8"/>
        <v>967.23</v>
      </c>
      <c r="AS12" s="9">
        <f>MAX(ROUND(AR12*(1-Terms!$B$4),2),Terms!$B$5)</f>
        <v>367.55</v>
      </c>
      <c r="AT12" t="str">
        <f t="shared" si="9"/>
        <v>09/21/2026</v>
      </c>
      <c r="AU12" s="13">
        <f>INDEX('Fuel Index'!$C$4:$C$12,MATCH(AT12,'Fuel Index'!$A$4:$A$12,0))</f>
        <v>0.275</v>
      </c>
      <c r="AV12" s="9">
        <f t="shared" si="10"/>
        <v>101.08</v>
      </c>
      <c r="AW12" s="9">
        <f>(INDEX(BOL!$I$4:$I$39,MATCH(AE12,BOL!$B$4:$B$39,0))="Y")*Tariff!$O$4+(INDEX(BOL!$J$4:$J$39,MATCH(AE12,BOL!$B$4:$B$39,0))="Y")*Tariff!$O$5+(INDEX(BOL!$K$4:$K$39,MATCH(AE12,BOL!$B$4:$B$39,0))="Y")*Tariff!$O$6+(INDEX(BOL!$L$4:$L$39,MATCH(AE12,BOL!$B$4:$B$39,0))="Y")*Tariff!$O$7</f>
        <v>135</v>
      </c>
      <c r="AX12" t="str">
        <f>IF(COUNTIFS(Invoices!$B$4:$B$41,AE12,Invoices!$A$4:$A$41,"&lt;"&amp;AD12)&gt;0,"Yes","No")</f>
        <v>No</v>
      </c>
      <c r="AY12" s="9">
        <f t="shared" si="11"/>
        <v>603.63</v>
      </c>
      <c r="AZ12" s="9">
        <f>Invoices!O31</f>
        <v>603.63</v>
      </c>
      <c r="BA12" s="9">
        <f t="shared" si="12"/>
        <v>0</v>
      </c>
      <c r="BB12" s="9">
        <f>Invoices!H31</f>
        <v>967.23</v>
      </c>
      <c r="BC12" s="13">
        <f>ROUND(Invoices!K31/Terms!$B$9,4)</f>
        <v>0.275</v>
      </c>
      <c r="BD12" s="9">
        <f>Invoices!N31</f>
        <v>135</v>
      </c>
      <c r="BE12" t="str">
        <f t="shared" si="13"/>
        <v/>
      </c>
    </row>
    <row r="13" spans="1:57" x14ac:dyDescent="0.2">
      <c r="A13" t="str">
        <f>Invoices!A13</f>
        <v>NFL-90324</v>
      </c>
      <c r="B13" t="str">
        <f>Invoices!B13</f>
        <v>217733</v>
      </c>
      <c r="C13" t="str">
        <f>INDEX(BOL!$C$4:$C$39,MATCH(B13,BOL!$B$4:$B$39,0))</f>
        <v>09/14/2026</v>
      </c>
      <c r="D13" t="str">
        <f>INDEX(BOL!$E$4:$E$39,MATCH(B13,BOL!$B$4:$B$39,0))</f>
        <v>NE</v>
      </c>
      <c r="E13" t="str">
        <f>INDEX(BOL!$F$4:$F$39,MATCH(B13,BOL!$B$4:$B$39,0))</f>
        <v>Sealants and coatings</v>
      </c>
      <c r="F13">
        <f>INDEX(BOL!$H$4:$H$39,MATCH(B13,BOL!$B$4:$B$39,0))</f>
        <v>640</v>
      </c>
      <c r="G13">
        <f>Invoices!F13</f>
        <v>640</v>
      </c>
      <c r="H13">
        <f>INDEX(Tariff!$L$4:$L$9,MATCH(E13,Tariff!$K$4:$K$9,0))</f>
        <v>85</v>
      </c>
      <c r="I13">
        <f>Invoices!G13</f>
        <v>85</v>
      </c>
      <c r="J13" s="11">
        <f>INDEX(Tariff!$I$4:$I$10,MATCH(H13,Tariff!$H$4:$H$10,0))</f>
        <v>1.15</v>
      </c>
      <c r="K13">
        <f>MATCH(F13,Tariff!$B$12:$F$12,1)</f>
        <v>2</v>
      </c>
      <c r="L13" s="11">
        <f>INDEX(Tariff!$B$4:$F$10,MATCH(D13,Tariff!$A$4:$A$10,0),K13)</f>
        <v>58.45</v>
      </c>
      <c r="M13" s="9">
        <f t="shared" si="0"/>
        <v>430.19</v>
      </c>
      <c r="N13" s="9">
        <f>IF(K13&lt;5,ROUND(INDEX(Tariff!$B$12:$F$12,K13+1)/100*INDEX(Tariff!$B$4:$F$10,MATCH(D13,Tariff!$A$4:$A$10,0),K13+1)*J13,2),M13)</f>
        <v>572.7</v>
      </c>
      <c r="O13" s="9">
        <f t="shared" si="1"/>
        <v>430.19</v>
      </c>
      <c r="P13" s="9">
        <f>MAX(ROUND(O13*(1-Terms!$B$4),2),Terms!$B$5)</f>
        <v>163.47</v>
      </c>
      <c r="Q13" t="str">
        <f t="shared" si="2"/>
        <v>09/14/2026</v>
      </c>
      <c r="R13" s="13">
        <f>INDEX('Fuel Index'!$C$4:$C$12,MATCH(Q13,'Fuel Index'!$A$4:$A$12,0))</f>
        <v>0.26</v>
      </c>
      <c r="S13" s="9">
        <f t="shared" si="3"/>
        <v>42.5</v>
      </c>
      <c r="T13" s="9">
        <f>(INDEX(BOL!$I$4:$I$39,MATCH(B13,BOL!$B$4:$B$39,0))="Y")*Tariff!$O$4+(INDEX(BOL!$J$4:$J$39,MATCH(B13,BOL!$B$4:$B$39,0))="Y")*Tariff!$O$5+(INDEX(BOL!$K$4:$K$39,MATCH(B13,BOL!$B$4:$B$39,0))="Y")*Tariff!$O$6+(INDEX(BOL!$L$4:$L$39,MATCH(B13,BOL!$B$4:$B$39,0))="Y")*Tariff!$O$7</f>
        <v>0</v>
      </c>
      <c r="U13" t="str">
        <f>IF(COUNTIFS(Invoices!$B$4:$B$41,B13,Invoices!$A$4:$A$41,"&lt;"&amp;A13)&gt;0,"Yes","No")</f>
        <v>No</v>
      </c>
      <c r="V13" s="9">
        <f t="shared" si="4"/>
        <v>205.97</v>
      </c>
      <c r="W13" s="9">
        <f>Invoices!O13</f>
        <v>205.97</v>
      </c>
      <c r="X13" s="9">
        <f t="shared" si="5"/>
        <v>0</v>
      </c>
      <c r="Y13" s="9">
        <f>Invoices!H13</f>
        <v>430.19</v>
      </c>
      <c r="Z13" s="13">
        <f>ROUND(Invoices!K13/Terms!$B$9,4)</f>
        <v>0.26</v>
      </c>
      <c r="AA13" s="9">
        <f>Invoices!N13</f>
        <v>0</v>
      </c>
      <c r="AB13" t="str">
        <f t="shared" si="6"/>
        <v/>
      </c>
      <c r="AD13" t="str">
        <f>Invoices!A32</f>
        <v>NFL-90348</v>
      </c>
      <c r="AE13" t="str">
        <f>Invoices!B32</f>
        <v>217750</v>
      </c>
      <c r="AF13" t="str">
        <f>INDEX(BOL!$C$4:$C$39,MATCH(AE13,BOL!$B$4:$B$39,0))</f>
        <v>09/25/2026</v>
      </c>
      <c r="AG13" t="str">
        <f>INDEX(BOL!$E$4:$E$39,MATCH(AE13,BOL!$B$4:$B$39,0))</f>
        <v>MT</v>
      </c>
      <c r="AH13" t="str">
        <f>INDEX(BOL!$F$4:$F$39,MATCH(AE13,BOL!$B$4:$B$39,0))</f>
        <v>Gypsum and cement board</v>
      </c>
      <c r="AI13">
        <f>INDEX(BOL!$H$4:$H$39,MATCH(AE13,BOL!$B$4:$B$39,0))</f>
        <v>2980</v>
      </c>
      <c r="AJ13">
        <f>Invoices!F32</f>
        <v>2980</v>
      </c>
      <c r="AK13">
        <f>INDEX(Tariff!$L$4:$L$9,MATCH(AH13,Tariff!$K$4:$K$9,0))</f>
        <v>55</v>
      </c>
      <c r="AL13">
        <f>Invoices!G32</f>
        <v>55</v>
      </c>
      <c r="AM13" s="11">
        <f>INDEX(Tariff!$I$4:$I$10,MATCH(AK13,Tariff!$H$4:$H$10,0))</f>
        <v>0.88</v>
      </c>
      <c r="AN13">
        <f>MATCH(AI13,Tariff!$B$12:$F$12,1)</f>
        <v>4</v>
      </c>
      <c r="AO13" s="11">
        <f>INDEX(Tariff!$B$4:$F$10,MATCH(AG13,Tariff!$A$4:$A$10,0),AN13)</f>
        <v>49.95</v>
      </c>
      <c r="AP13" s="9">
        <f t="shared" si="7"/>
        <v>1309.89</v>
      </c>
      <c r="AQ13" s="9">
        <f>IF(AN13&lt;5,ROUND(INDEX(Tariff!$B$12:$F$12,AN13+1)/100*INDEX(Tariff!$B$4:$F$10,MATCH(AG13,Tariff!$A$4:$A$10,0),AN13+1)*AM13,2),AP13)</f>
        <v>1786.4</v>
      </c>
      <c r="AR13" s="9">
        <f t="shared" si="8"/>
        <v>1309.89</v>
      </c>
      <c r="AS13" s="9">
        <f>MAX(ROUND(AR13*(1-Terms!$B$4),2),Terms!$B$5)</f>
        <v>497.76</v>
      </c>
      <c r="AT13" t="str">
        <f t="shared" si="9"/>
        <v>09/21/2026</v>
      </c>
      <c r="AU13" s="13">
        <f>INDEX('Fuel Index'!$C$4:$C$12,MATCH(AT13,'Fuel Index'!$A$4:$A$12,0))</f>
        <v>0.275</v>
      </c>
      <c r="AV13" s="9">
        <f t="shared" si="10"/>
        <v>136.88</v>
      </c>
      <c r="AW13" s="9">
        <f>(INDEX(BOL!$I$4:$I$39,MATCH(AE13,BOL!$B$4:$B$39,0))="Y")*Tariff!$O$4+(INDEX(BOL!$J$4:$J$39,MATCH(AE13,BOL!$B$4:$B$39,0))="Y")*Tariff!$O$5+(INDEX(BOL!$K$4:$K$39,MATCH(AE13,BOL!$B$4:$B$39,0))="Y")*Tariff!$O$6+(INDEX(BOL!$L$4:$L$39,MATCH(AE13,BOL!$B$4:$B$39,0))="Y")*Tariff!$O$7</f>
        <v>75</v>
      </c>
      <c r="AX13" t="str">
        <f>IF(COUNTIFS(Invoices!$B$4:$B$41,AE13,Invoices!$A$4:$A$41,"&lt;"&amp;AD13)&gt;0,"Yes","No")</f>
        <v>No</v>
      </c>
      <c r="AY13" s="9">
        <f t="shared" si="11"/>
        <v>709.64</v>
      </c>
      <c r="AZ13" s="9">
        <f>Invoices!O32</f>
        <v>709.64</v>
      </c>
      <c r="BA13" s="9">
        <f t="shared" si="12"/>
        <v>0</v>
      </c>
      <c r="BB13" s="9">
        <f>Invoices!H32</f>
        <v>1309.89</v>
      </c>
      <c r="BC13" s="13">
        <f>ROUND(Invoices!K32/Terms!$B$9,4)</f>
        <v>0.275</v>
      </c>
      <c r="BD13" s="9">
        <f>Invoices!N32</f>
        <v>75</v>
      </c>
      <c r="BE13" t="str">
        <f t="shared" si="13"/>
        <v/>
      </c>
    </row>
    <row r="14" spans="1:57" x14ac:dyDescent="0.2">
      <c r="A14" t="str">
        <f>Invoices!A14</f>
        <v>NFL-90326</v>
      </c>
      <c r="B14" t="str">
        <f>Invoices!B14</f>
        <v>217669</v>
      </c>
      <c r="C14" t="str">
        <f>INDEX(BOL!$C$4:$C$39,MATCH(B14,BOL!$B$4:$B$39,0))</f>
        <v>09/15/2026</v>
      </c>
      <c r="D14" t="str">
        <f>INDEX(BOL!$E$4:$E$39,MATCH(B14,BOL!$B$4:$B$39,0))</f>
        <v>MT</v>
      </c>
      <c r="E14" t="str">
        <f>INDEX(BOL!$F$4:$F$39,MATCH(B14,BOL!$B$4:$B$39,0))</f>
        <v>Metal roofing panels</v>
      </c>
      <c r="F14">
        <f>INDEX(BOL!$H$4:$H$39,MATCH(B14,BOL!$B$4:$B$39,0))</f>
        <v>5380</v>
      </c>
      <c r="G14">
        <f>Invoices!F14</f>
        <v>5380</v>
      </c>
      <c r="H14">
        <f>INDEX(Tariff!$L$4:$L$9,MATCH(E14,Tariff!$K$4:$K$9,0))</f>
        <v>70</v>
      </c>
      <c r="I14">
        <f>Invoices!G14</f>
        <v>70</v>
      </c>
      <c r="J14" s="11">
        <f>INDEX(Tariff!$I$4:$I$10,MATCH(H14,Tariff!$H$4:$H$10,0))</f>
        <v>1</v>
      </c>
      <c r="K14">
        <f>MATCH(F14,Tariff!$B$12:$F$12,1)</f>
        <v>5</v>
      </c>
      <c r="L14" s="11">
        <f>INDEX(Tariff!$B$4:$F$10,MATCH(D14,Tariff!$A$4:$A$10,0),K14)</f>
        <v>40.6</v>
      </c>
      <c r="M14" s="9">
        <f t="shared" si="0"/>
        <v>2184.28</v>
      </c>
      <c r="N14" s="9">
        <f>IF(K14&lt;5,ROUND(INDEX(Tariff!$B$12:$F$12,K14+1)/100*INDEX(Tariff!$B$4:$F$10,MATCH(D14,Tariff!$A$4:$A$10,0),K14+1)*J14,2),M14)</f>
        <v>2184.28</v>
      </c>
      <c r="O14" s="9">
        <f t="shared" si="1"/>
        <v>2184.28</v>
      </c>
      <c r="P14" s="9">
        <f>MAX(ROUND(O14*(1-Terms!$B$4),2),Terms!$B$5)</f>
        <v>830.03</v>
      </c>
      <c r="Q14" t="str">
        <f t="shared" si="2"/>
        <v>09/14/2026</v>
      </c>
      <c r="R14" s="13">
        <f>INDEX('Fuel Index'!$C$4:$C$12,MATCH(Q14,'Fuel Index'!$A$4:$A$12,0))</f>
        <v>0.26</v>
      </c>
      <c r="S14" s="9">
        <f t="shared" si="3"/>
        <v>215.81</v>
      </c>
      <c r="T14" s="9">
        <f>(INDEX(BOL!$I$4:$I$39,MATCH(B14,BOL!$B$4:$B$39,0))="Y")*Tariff!$O$4+(INDEX(BOL!$J$4:$J$39,MATCH(B14,BOL!$B$4:$B$39,0))="Y")*Tariff!$O$5+(INDEX(BOL!$K$4:$K$39,MATCH(B14,BOL!$B$4:$B$39,0))="Y")*Tariff!$O$6+(INDEX(BOL!$L$4:$L$39,MATCH(B14,BOL!$B$4:$B$39,0))="Y")*Tariff!$O$7</f>
        <v>0</v>
      </c>
      <c r="U14" t="str">
        <f>IF(COUNTIFS(Invoices!$B$4:$B$41,B14,Invoices!$A$4:$A$41,"&lt;"&amp;A14)&gt;0,"Yes","No")</f>
        <v>No</v>
      </c>
      <c r="V14" s="9">
        <f t="shared" si="4"/>
        <v>1045.84</v>
      </c>
      <c r="W14" s="9">
        <f>Invoices!O14</f>
        <v>1045.84</v>
      </c>
      <c r="X14" s="9">
        <f t="shared" si="5"/>
        <v>0</v>
      </c>
      <c r="Y14" s="9">
        <f>Invoices!H14</f>
        <v>2184.28</v>
      </c>
      <c r="Z14" s="13">
        <f>ROUND(Invoices!K14/Terms!$B$9,4)</f>
        <v>0.26</v>
      </c>
      <c r="AA14" s="9">
        <f>Invoices!N14</f>
        <v>0</v>
      </c>
      <c r="AB14" t="str">
        <f t="shared" si="6"/>
        <v/>
      </c>
      <c r="AD14" t="str">
        <f>Invoices!A33</f>
        <v>NFL-90349</v>
      </c>
      <c r="AE14" t="str">
        <f>Invoices!B33</f>
        <v>217883</v>
      </c>
      <c r="AF14" t="str">
        <f>INDEX(BOL!$C$4:$C$39,MATCH(AE14,BOL!$B$4:$B$39,0))</f>
        <v>09/18/2026</v>
      </c>
      <c r="AG14" t="str">
        <f>INDEX(BOL!$E$4:$E$39,MATCH(AE14,BOL!$B$4:$B$39,0))</f>
        <v>WI</v>
      </c>
      <c r="AH14" t="str">
        <f>INDEX(BOL!$F$4:$F$39,MATCH(AE14,BOL!$B$4:$B$39,0))</f>
        <v>Windows and doors</v>
      </c>
      <c r="AI14">
        <f>INDEX(BOL!$H$4:$H$39,MATCH(AE14,BOL!$B$4:$B$39,0))</f>
        <v>1010</v>
      </c>
      <c r="AJ14">
        <f>Invoices!F33</f>
        <v>1010</v>
      </c>
      <c r="AK14">
        <f>INDEX(Tariff!$L$4:$L$9,MATCH(AH14,Tariff!$K$4:$K$9,0))</f>
        <v>100</v>
      </c>
      <c r="AL14">
        <f>Invoices!G33</f>
        <v>100</v>
      </c>
      <c r="AM14" s="11">
        <f>INDEX(Tariff!$I$4:$I$10,MATCH(AK14,Tariff!$H$4:$H$10,0))</f>
        <v>1.45</v>
      </c>
      <c r="AN14">
        <f>MATCH(AI14,Tariff!$B$12:$F$12,1)</f>
        <v>3</v>
      </c>
      <c r="AO14" s="11">
        <f>INDEX(Tariff!$B$4:$F$10,MATCH(AG14,Tariff!$A$4:$A$10,0),AN14)</f>
        <v>50.3</v>
      </c>
      <c r="AP14" s="9">
        <f t="shared" si="7"/>
        <v>736.64</v>
      </c>
      <c r="AQ14" s="9">
        <f>IF(AN14&lt;5,ROUND(INDEX(Tariff!$B$12:$F$12,AN14+1)/100*INDEX(Tariff!$B$4:$F$10,MATCH(AG14,Tariff!$A$4:$A$10,0),AN14+1)*AM14,2),AP14)</f>
        <v>1197.7</v>
      </c>
      <c r="AR14" s="9">
        <f t="shared" si="8"/>
        <v>736.64</v>
      </c>
      <c r="AS14" s="9">
        <f>MAX(ROUND(AR14*(1-Terms!$B$4),2),Terms!$B$5)</f>
        <v>279.92</v>
      </c>
      <c r="AT14" t="str">
        <f t="shared" si="9"/>
        <v>09/14/2026</v>
      </c>
      <c r="AU14" s="13">
        <f>INDEX('Fuel Index'!$C$4:$C$12,MATCH(AT14,'Fuel Index'!$A$4:$A$12,0))</f>
        <v>0.26</v>
      </c>
      <c r="AV14" s="9">
        <f t="shared" si="10"/>
        <v>72.78</v>
      </c>
      <c r="AW14" s="9">
        <f>(INDEX(BOL!$I$4:$I$39,MATCH(AE14,BOL!$B$4:$B$39,0))="Y")*Tariff!$O$4+(INDEX(BOL!$J$4:$J$39,MATCH(AE14,BOL!$B$4:$B$39,0))="Y")*Tariff!$O$5+(INDEX(BOL!$K$4:$K$39,MATCH(AE14,BOL!$B$4:$B$39,0))="Y")*Tariff!$O$6+(INDEX(BOL!$L$4:$L$39,MATCH(AE14,BOL!$B$4:$B$39,0))="Y")*Tariff!$O$7</f>
        <v>95</v>
      </c>
      <c r="AX14" t="str">
        <f>IF(COUNTIFS(Invoices!$B$4:$B$41,AE14,Invoices!$A$4:$A$41,"&lt;"&amp;AD14)&gt;0,"Yes","No")</f>
        <v>Yes</v>
      </c>
      <c r="AY14" s="9">
        <f t="shared" si="11"/>
        <v>0</v>
      </c>
      <c r="AZ14" s="9">
        <f>Invoices!O33</f>
        <v>447.7</v>
      </c>
      <c r="BA14" s="9">
        <f t="shared" si="12"/>
        <v>447.7</v>
      </c>
      <c r="BB14" s="9">
        <f>Invoices!H33</f>
        <v>736.64</v>
      </c>
      <c r="BC14" s="13">
        <f>ROUND(Invoices!K33/Terms!$B$9,4)</f>
        <v>0.26</v>
      </c>
      <c r="BD14" s="9">
        <f>Invoices!N33</f>
        <v>95</v>
      </c>
      <c r="BE14" t="str">
        <f t="shared" si="13"/>
        <v>7.1 duplicate bill</v>
      </c>
    </row>
    <row r="15" spans="1:57" x14ac:dyDescent="0.2">
      <c r="A15" t="str">
        <f>Invoices!A15</f>
        <v>NFL-90327</v>
      </c>
      <c r="B15" t="str">
        <f>Invoices!B15</f>
        <v>217649</v>
      </c>
      <c r="C15" t="str">
        <f>INDEX(BOL!$C$4:$C$39,MATCH(B15,BOL!$B$4:$B$39,0))</f>
        <v>09/14/2026</v>
      </c>
      <c r="D15" t="str">
        <f>INDEX(BOL!$E$4:$E$39,MATCH(B15,BOL!$B$4:$B$39,0))</f>
        <v>MN</v>
      </c>
      <c r="E15" t="str">
        <f>INDEX(BOL!$F$4:$F$39,MATCH(B15,BOL!$B$4:$B$39,0))</f>
        <v>Sealants and coatings</v>
      </c>
      <c r="F15">
        <f>INDEX(BOL!$H$4:$H$39,MATCH(B15,BOL!$B$4:$B$39,0))</f>
        <v>380</v>
      </c>
      <c r="G15">
        <f>Invoices!F15</f>
        <v>380</v>
      </c>
      <c r="H15">
        <f>INDEX(Tariff!$L$4:$L$9,MATCH(E15,Tariff!$K$4:$K$9,0))</f>
        <v>85</v>
      </c>
      <c r="I15">
        <f>Invoices!G15</f>
        <v>85</v>
      </c>
      <c r="J15" s="11">
        <f>INDEX(Tariff!$I$4:$I$10,MATCH(H15,Tariff!$H$4:$H$10,0))</f>
        <v>1.15</v>
      </c>
      <c r="K15">
        <f>MATCH(F15,Tariff!$B$12:$F$12,1)</f>
        <v>1</v>
      </c>
      <c r="L15" s="11">
        <f>INDEX(Tariff!$B$4:$F$10,MATCH(D15,Tariff!$A$4:$A$10,0),K15)</f>
        <v>58.4</v>
      </c>
      <c r="M15" s="9">
        <f t="shared" si="0"/>
        <v>255.21</v>
      </c>
      <c r="N15" s="9">
        <f>IF(K15&lt;5,ROUND(INDEX(Tariff!$B$12:$F$12,K15+1)/100*INDEX(Tariff!$B$4:$F$10,MATCH(D15,Tariff!$A$4:$A$10,0),K15+1)*J15,2),M15)</f>
        <v>282.33</v>
      </c>
      <c r="O15" s="9">
        <f t="shared" si="1"/>
        <v>255.21</v>
      </c>
      <c r="P15" s="9">
        <f>MAX(ROUND(O15*(1-Terms!$B$4),2),Terms!$B$5)</f>
        <v>118.4</v>
      </c>
      <c r="Q15" t="str">
        <f t="shared" si="2"/>
        <v>09/14/2026</v>
      </c>
      <c r="R15" s="13">
        <f>INDEX('Fuel Index'!$C$4:$C$12,MATCH(Q15,'Fuel Index'!$A$4:$A$12,0))</f>
        <v>0.26</v>
      </c>
      <c r="S15" s="9">
        <f t="shared" si="3"/>
        <v>30.78</v>
      </c>
      <c r="T15" s="9">
        <f>(INDEX(BOL!$I$4:$I$39,MATCH(B15,BOL!$B$4:$B$39,0))="Y")*Tariff!$O$4+(INDEX(BOL!$J$4:$J$39,MATCH(B15,BOL!$B$4:$B$39,0))="Y")*Tariff!$O$5+(INDEX(BOL!$K$4:$K$39,MATCH(B15,BOL!$B$4:$B$39,0))="Y")*Tariff!$O$6+(INDEX(BOL!$L$4:$L$39,MATCH(B15,BOL!$B$4:$B$39,0))="Y")*Tariff!$O$7</f>
        <v>0</v>
      </c>
      <c r="U15" t="str">
        <f>IF(COUNTIFS(Invoices!$B$4:$B$41,B15,Invoices!$A$4:$A$41,"&lt;"&amp;A15)&gt;0,"Yes","No")</f>
        <v>No</v>
      </c>
      <c r="V15" s="9">
        <f t="shared" si="4"/>
        <v>149.18</v>
      </c>
      <c r="W15" s="9">
        <f>Invoices!O15</f>
        <v>149.18</v>
      </c>
      <c r="X15" s="9">
        <f t="shared" si="5"/>
        <v>0</v>
      </c>
      <c r="Y15" s="9">
        <f>Invoices!H15</f>
        <v>255.21</v>
      </c>
      <c r="Z15" s="13">
        <f>ROUND(Invoices!K15/Terms!$B$9,4)</f>
        <v>0.26</v>
      </c>
      <c r="AA15" s="9">
        <f>Invoices!N15</f>
        <v>0</v>
      </c>
      <c r="AB15" t="str">
        <f t="shared" si="6"/>
        <v/>
      </c>
      <c r="AD15" t="str">
        <f>Invoices!A34</f>
        <v>NFL-90350</v>
      </c>
      <c r="AE15" t="str">
        <f>Invoices!B34</f>
        <v>217687</v>
      </c>
      <c r="AF15" t="str">
        <f>INDEX(BOL!$C$4:$C$39,MATCH(AE15,BOL!$B$4:$B$39,0))</f>
        <v>09/28/2026</v>
      </c>
      <c r="AG15" t="str">
        <f>INDEX(BOL!$E$4:$E$39,MATCH(AE15,BOL!$B$4:$B$39,0))</f>
        <v>ND</v>
      </c>
      <c r="AH15" t="str">
        <f>INDEX(BOL!$F$4:$F$39,MATCH(AE15,BOL!$B$4:$B$39,0))</f>
        <v>Gypsum and cement board</v>
      </c>
      <c r="AI15">
        <f>INDEX(BOL!$H$4:$H$39,MATCH(AE15,BOL!$B$4:$B$39,0))</f>
        <v>460</v>
      </c>
      <c r="AJ15">
        <f>Invoices!F34</f>
        <v>460</v>
      </c>
      <c r="AK15">
        <f>INDEX(Tariff!$L$4:$L$9,MATCH(AH15,Tariff!$K$4:$K$9,0))</f>
        <v>55</v>
      </c>
      <c r="AL15">
        <f>Invoices!G34</f>
        <v>55</v>
      </c>
      <c r="AM15" s="11">
        <f>INDEX(Tariff!$I$4:$I$10,MATCH(AK15,Tariff!$H$4:$H$10,0))</f>
        <v>0.88</v>
      </c>
      <c r="AN15">
        <f>MATCH(AI15,Tariff!$B$12:$F$12,1)</f>
        <v>1</v>
      </c>
      <c r="AO15" s="11">
        <f>INDEX(Tariff!$B$4:$F$10,MATCH(AG15,Tariff!$A$4:$A$10,0),AN15)</f>
        <v>44.9</v>
      </c>
      <c r="AP15" s="9">
        <f t="shared" si="7"/>
        <v>181.76</v>
      </c>
      <c r="AQ15" s="9">
        <f>IF(AN15&lt;5,ROUND(INDEX(Tariff!$B$12:$F$12,AN15+1)/100*INDEX(Tariff!$B$4:$F$10,MATCH(AG15,Tariff!$A$4:$A$10,0),AN15+1)*AM15,2),AP15)</f>
        <v>166.32</v>
      </c>
      <c r="AR15" s="9">
        <f t="shared" si="8"/>
        <v>166.32</v>
      </c>
      <c r="AS15" s="9">
        <f>MAX(ROUND(AR15*(1-Terms!$B$4),2),Terms!$B$5)</f>
        <v>118.4</v>
      </c>
      <c r="AT15" t="str">
        <f t="shared" si="9"/>
        <v>09/28/2026</v>
      </c>
      <c r="AU15" s="13">
        <f>INDEX('Fuel Index'!$C$4:$C$12,MATCH(AT15,'Fuel Index'!$A$4:$A$12,0))</f>
        <v>0.27</v>
      </c>
      <c r="AV15" s="9">
        <f t="shared" si="10"/>
        <v>31.97</v>
      </c>
      <c r="AW15" s="9">
        <f>(INDEX(BOL!$I$4:$I$39,MATCH(AE15,BOL!$B$4:$B$39,0))="Y")*Tariff!$O$4+(INDEX(BOL!$J$4:$J$39,MATCH(AE15,BOL!$B$4:$B$39,0))="Y")*Tariff!$O$5+(INDEX(BOL!$K$4:$K$39,MATCH(AE15,BOL!$B$4:$B$39,0))="Y")*Tariff!$O$6+(INDEX(BOL!$L$4:$L$39,MATCH(AE15,BOL!$B$4:$B$39,0))="Y")*Tariff!$O$7</f>
        <v>0</v>
      </c>
      <c r="AX15" t="str">
        <f>IF(COUNTIFS(Invoices!$B$4:$B$41,AE15,Invoices!$A$4:$A$41,"&lt;"&amp;AD15)&gt;0,"Yes","No")</f>
        <v>No</v>
      </c>
      <c r="AY15" s="9">
        <f t="shared" si="11"/>
        <v>150.37</v>
      </c>
      <c r="AZ15" s="9">
        <f>Invoices!O34</f>
        <v>150.37</v>
      </c>
      <c r="BA15" s="9">
        <f t="shared" si="12"/>
        <v>0</v>
      </c>
      <c r="BB15" s="9">
        <f>Invoices!H34</f>
        <v>166.32</v>
      </c>
      <c r="BC15" s="13">
        <f>ROUND(Invoices!K34/Terms!$B$9,4)</f>
        <v>0.27</v>
      </c>
      <c r="BD15" s="9">
        <f>Invoices!N34</f>
        <v>0</v>
      </c>
      <c r="BE15" t="str">
        <f t="shared" si="13"/>
        <v/>
      </c>
    </row>
    <row r="16" spans="1:57" x14ac:dyDescent="0.2">
      <c r="A16" t="str">
        <f>Invoices!A16</f>
        <v>NFL-90328</v>
      </c>
      <c r="B16" t="str">
        <f>Invoices!B16</f>
        <v>217792</v>
      </c>
      <c r="C16" t="str">
        <f>INDEX(BOL!$C$4:$C$39,MATCH(B16,BOL!$B$4:$B$39,0))</f>
        <v>09/14/2026</v>
      </c>
      <c r="D16" t="str">
        <f>INDEX(BOL!$E$4:$E$39,MATCH(B16,BOL!$B$4:$B$39,0))</f>
        <v>NE</v>
      </c>
      <c r="E16" t="str">
        <f>INDEX(BOL!$F$4:$F$39,MATCH(B16,BOL!$B$4:$B$39,0))</f>
        <v>Gypsum and cement board</v>
      </c>
      <c r="F16">
        <f>INDEX(BOL!$H$4:$H$39,MATCH(B16,BOL!$B$4:$B$39,0))</f>
        <v>690</v>
      </c>
      <c r="G16">
        <f>Invoices!F16</f>
        <v>690</v>
      </c>
      <c r="H16">
        <f>INDEX(Tariff!$L$4:$L$9,MATCH(E16,Tariff!$K$4:$K$9,0))</f>
        <v>55</v>
      </c>
      <c r="I16">
        <f>Invoices!G16</f>
        <v>70</v>
      </c>
      <c r="J16" s="11">
        <f>INDEX(Tariff!$I$4:$I$10,MATCH(H16,Tariff!$H$4:$H$10,0))</f>
        <v>0.88</v>
      </c>
      <c r="K16">
        <f>MATCH(F16,Tariff!$B$12:$F$12,1)</f>
        <v>2</v>
      </c>
      <c r="L16" s="11">
        <f>INDEX(Tariff!$B$4:$F$10,MATCH(D16,Tariff!$A$4:$A$10,0),K16)</f>
        <v>58.45</v>
      </c>
      <c r="M16" s="9">
        <f t="shared" si="0"/>
        <v>354.91</v>
      </c>
      <c r="N16" s="9">
        <f>IF(K16&lt;5,ROUND(INDEX(Tariff!$B$12:$F$12,K16+1)/100*INDEX(Tariff!$B$4:$F$10,MATCH(D16,Tariff!$A$4:$A$10,0),K16+1)*J16,2),M16)</f>
        <v>438.24</v>
      </c>
      <c r="O16" s="9">
        <f t="shared" si="1"/>
        <v>354.91</v>
      </c>
      <c r="P16" s="9">
        <f>MAX(ROUND(O16*(1-Terms!$B$4),2),Terms!$B$5)</f>
        <v>134.87</v>
      </c>
      <c r="Q16" t="str">
        <f t="shared" si="2"/>
        <v>09/14/2026</v>
      </c>
      <c r="R16" s="13">
        <f>INDEX('Fuel Index'!$C$4:$C$12,MATCH(Q16,'Fuel Index'!$A$4:$A$12,0))</f>
        <v>0.26</v>
      </c>
      <c r="S16" s="9">
        <f t="shared" si="3"/>
        <v>35.07</v>
      </c>
      <c r="T16" s="9">
        <f>(INDEX(BOL!$I$4:$I$39,MATCH(B16,BOL!$B$4:$B$39,0))="Y")*Tariff!$O$4+(INDEX(BOL!$J$4:$J$39,MATCH(B16,BOL!$B$4:$B$39,0))="Y")*Tariff!$O$5+(INDEX(BOL!$K$4:$K$39,MATCH(B16,BOL!$B$4:$B$39,0))="Y")*Tariff!$O$6+(INDEX(BOL!$L$4:$L$39,MATCH(B16,BOL!$B$4:$B$39,0))="Y")*Tariff!$O$7</f>
        <v>0</v>
      </c>
      <c r="U16" t="str">
        <f>IF(COUNTIFS(Invoices!$B$4:$B$41,B16,Invoices!$A$4:$A$41,"&lt;"&amp;A16)&gt;0,"Yes","No")</f>
        <v>No</v>
      </c>
      <c r="V16" s="9">
        <f t="shared" si="4"/>
        <v>169.94</v>
      </c>
      <c r="W16" s="9">
        <f>Invoices!O16</f>
        <v>193.11</v>
      </c>
      <c r="X16" s="9">
        <f t="shared" si="5"/>
        <v>23.17</v>
      </c>
      <c r="Y16" s="9">
        <f>Invoices!H16</f>
        <v>403.31</v>
      </c>
      <c r="Z16" s="13">
        <f>ROUND(Invoices!K16/Terms!$B$9,4)</f>
        <v>0.26</v>
      </c>
      <c r="AA16" s="9">
        <f>Invoices!N16</f>
        <v>0</v>
      </c>
      <c r="AB16" t="str">
        <f t="shared" si="6"/>
        <v>4.3 class</v>
      </c>
      <c r="AD16" t="str">
        <f>Invoices!A35</f>
        <v>NFL-90351</v>
      </c>
      <c r="AE16" t="str">
        <f>Invoices!B35</f>
        <v>217820</v>
      </c>
      <c r="AF16" t="str">
        <f>INDEX(BOL!$C$4:$C$39,MATCH(AE16,BOL!$B$4:$B$39,0))</f>
        <v>09/28/2026</v>
      </c>
      <c r="AG16" t="str">
        <f>INDEX(BOL!$E$4:$E$39,MATCH(AE16,BOL!$B$4:$B$39,0))</f>
        <v>IA</v>
      </c>
      <c r="AH16" t="str">
        <f>INDEX(BOL!$F$4:$F$39,MATCH(AE16,BOL!$B$4:$B$39,0))</f>
        <v>Metal roofing panels</v>
      </c>
      <c r="AI16">
        <f>INDEX(BOL!$H$4:$H$39,MATCH(AE16,BOL!$B$4:$B$39,0))</f>
        <v>1310</v>
      </c>
      <c r="AJ16">
        <f>Invoices!F35</f>
        <v>1620</v>
      </c>
      <c r="AK16">
        <f>INDEX(Tariff!$L$4:$L$9,MATCH(AH16,Tariff!$K$4:$K$9,0))</f>
        <v>70</v>
      </c>
      <c r="AL16">
        <f>Invoices!G35</f>
        <v>70</v>
      </c>
      <c r="AM16" s="11">
        <f>INDEX(Tariff!$I$4:$I$10,MATCH(AK16,Tariff!$H$4:$H$10,0))</f>
        <v>1</v>
      </c>
      <c r="AN16">
        <f>MATCH(AI16,Tariff!$B$12:$F$12,1)</f>
        <v>3</v>
      </c>
      <c r="AO16" s="11">
        <f>INDEX(Tariff!$B$4:$F$10,MATCH(AG16,Tariff!$A$4:$A$10,0),AN16)</f>
        <v>47.6</v>
      </c>
      <c r="AP16" s="9">
        <f t="shared" si="7"/>
        <v>623.56</v>
      </c>
      <c r="AQ16" s="9">
        <f>IF(AN16&lt;5,ROUND(INDEX(Tariff!$B$12:$F$12,AN16+1)/100*INDEX(Tariff!$B$4:$F$10,MATCH(AG16,Tariff!$A$4:$A$10,0),AN16+1)*AM16,2),AP16)</f>
        <v>782</v>
      </c>
      <c r="AR16" s="9">
        <f t="shared" si="8"/>
        <v>623.56</v>
      </c>
      <c r="AS16" s="9">
        <f>MAX(ROUND(AR16*(1-Terms!$B$4),2),Terms!$B$5)</f>
        <v>236.95</v>
      </c>
      <c r="AT16" t="str">
        <f t="shared" si="9"/>
        <v>09/28/2026</v>
      </c>
      <c r="AU16" s="13">
        <f>INDEX('Fuel Index'!$C$4:$C$12,MATCH(AT16,'Fuel Index'!$A$4:$A$12,0))</f>
        <v>0.27</v>
      </c>
      <c r="AV16" s="9">
        <f t="shared" si="10"/>
        <v>63.98</v>
      </c>
      <c r="AW16" s="9">
        <f>(INDEX(BOL!$I$4:$I$39,MATCH(AE16,BOL!$B$4:$B$39,0))="Y")*Tariff!$O$4+(INDEX(BOL!$J$4:$J$39,MATCH(AE16,BOL!$B$4:$B$39,0))="Y")*Tariff!$O$5+(INDEX(BOL!$K$4:$K$39,MATCH(AE16,BOL!$B$4:$B$39,0))="Y")*Tariff!$O$6+(INDEX(BOL!$L$4:$L$39,MATCH(AE16,BOL!$B$4:$B$39,0))="Y")*Tariff!$O$7</f>
        <v>0</v>
      </c>
      <c r="AX16" t="str">
        <f>IF(COUNTIFS(Invoices!$B$4:$B$41,AE16,Invoices!$A$4:$A$41,"&lt;"&amp;AD16)&gt;0,"Yes","No")</f>
        <v>No</v>
      </c>
      <c r="AY16" s="9">
        <f t="shared" si="11"/>
        <v>300.93</v>
      </c>
      <c r="AZ16" s="9">
        <f>Invoices!O35</f>
        <v>372.15</v>
      </c>
      <c r="BA16" s="9">
        <f t="shared" si="12"/>
        <v>71.22</v>
      </c>
      <c r="BB16" s="9">
        <f>Invoices!H35</f>
        <v>771.12</v>
      </c>
      <c r="BC16" s="13">
        <f>ROUND(Invoices!K35/Terms!$B$9,4)</f>
        <v>0.27</v>
      </c>
      <c r="BD16" s="9">
        <f>Invoices!N35</f>
        <v>0</v>
      </c>
      <c r="BE16" t="str">
        <f t="shared" si="13"/>
        <v>4.5 reweigh</v>
      </c>
    </row>
    <row r="17" spans="1:57" x14ac:dyDescent="0.2">
      <c r="A17" t="str">
        <f>Invoices!A17</f>
        <v>NFL-90330</v>
      </c>
      <c r="B17" t="str">
        <f>Invoices!B17</f>
        <v>217861</v>
      </c>
      <c r="C17" t="str">
        <f>INDEX(BOL!$C$4:$C$39,MATCH(B17,BOL!$B$4:$B$39,0))</f>
        <v>09/14/2026</v>
      </c>
      <c r="D17" t="str">
        <f>INDEX(BOL!$E$4:$E$39,MATCH(B17,BOL!$B$4:$B$39,0))</f>
        <v>MN</v>
      </c>
      <c r="E17" t="str">
        <f>INDEX(BOL!$F$4:$F$39,MATCH(B17,BOL!$B$4:$B$39,0))</f>
        <v>Vinyl siding</v>
      </c>
      <c r="F17">
        <f>INDEX(BOL!$H$4:$H$39,MATCH(B17,BOL!$B$4:$B$39,0))</f>
        <v>770</v>
      </c>
      <c r="G17">
        <f>Invoices!F17</f>
        <v>770</v>
      </c>
      <c r="H17">
        <f>INDEX(Tariff!$L$4:$L$9,MATCH(E17,Tariff!$K$4:$K$9,0))</f>
        <v>92.5</v>
      </c>
      <c r="I17">
        <f>Invoices!G17</f>
        <v>92.5</v>
      </c>
      <c r="J17" s="11">
        <f>INDEX(Tariff!$I$4:$I$10,MATCH(H17,Tariff!$H$4:$H$10,0))</f>
        <v>1.3</v>
      </c>
      <c r="K17">
        <f>MATCH(F17,Tariff!$B$12:$F$12,1)</f>
        <v>2</v>
      </c>
      <c r="L17" s="11">
        <f>INDEX(Tariff!$B$4:$F$10,MATCH(D17,Tariff!$A$4:$A$10,0),K17)</f>
        <v>49.1</v>
      </c>
      <c r="M17" s="9">
        <f t="shared" si="0"/>
        <v>491.49</v>
      </c>
      <c r="N17" s="9">
        <f>IF(K17&lt;5,ROUND(INDEX(Tariff!$B$12:$F$12,K17+1)/100*INDEX(Tariff!$B$4:$F$10,MATCH(D17,Tariff!$A$4:$A$10,0),K17+1)*J17,2),M17)</f>
        <v>542.75</v>
      </c>
      <c r="O17" s="9">
        <f t="shared" si="1"/>
        <v>491.49</v>
      </c>
      <c r="P17" s="9">
        <f>MAX(ROUND(O17*(1-Terms!$B$4),2),Terms!$B$5)</f>
        <v>186.77</v>
      </c>
      <c r="Q17" t="str">
        <f t="shared" si="2"/>
        <v>09/14/2026</v>
      </c>
      <c r="R17" s="13">
        <f>INDEX('Fuel Index'!$C$4:$C$12,MATCH(Q17,'Fuel Index'!$A$4:$A$12,0))</f>
        <v>0.26</v>
      </c>
      <c r="S17" s="9">
        <f t="shared" si="3"/>
        <v>48.56</v>
      </c>
      <c r="T17" s="9">
        <f>(INDEX(BOL!$I$4:$I$39,MATCH(B17,BOL!$B$4:$B$39,0))="Y")*Tariff!$O$4+(INDEX(BOL!$J$4:$J$39,MATCH(B17,BOL!$B$4:$B$39,0))="Y")*Tariff!$O$5+(INDEX(BOL!$K$4:$K$39,MATCH(B17,BOL!$B$4:$B$39,0))="Y")*Tariff!$O$6+(INDEX(BOL!$L$4:$L$39,MATCH(B17,BOL!$B$4:$B$39,0))="Y")*Tariff!$O$7</f>
        <v>0</v>
      </c>
      <c r="U17" t="str">
        <f>IF(COUNTIFS(Invoices!$B$4:$B$41,B17,Invoices!$A$4:$A$41,"&lt;"&amp;A17)&gt;0,"Yes","No")</f>
        <v>No</v>
      </c>
      <c r="V17" s="9">
        <f t="shared" si="4"/>
        <v>235.33</v>
      </c>
      <c r="W17" s="9">
        <f>Invoices!O17</f>
        <v>310.33</v>
      </c>
      <c r="X17" s="9">
        <f t="shared" si="5"/>
        <v>75</v>
      </c>
      <c r="Y17" s="9">
        <f>Invoices!H17</f>
        <v>491.49</v>
      </c>
      <c r="Z17" s="13">
        <f>ROUND(Invoices!K17/Terms!$B$9,4)</f>
        <v>0.26</v>
      </c>
      <c r="AA17" s="9">
        <f>Invoices!N17</f>
        <v>75</v>
      </c>
      <c r="AB17" t="str">
        <f t="shared" si="6"/>
        <v>6.1 accessorial not requested</v>
      </c>
      <c r="AD17" t="str">
        <f>Invoices!A36</f>
        <v>NFL-90353</v>
      </c>
      <c r="AE17" t="str">
        <f>Invoices!B36</f>
        <v>217654</v>
      </c>
      <c r="AF17" t="str">
        <f>INDEX(BOL!$C$4:$C$39,MATCH(AE17,BOL!$B$4:$B$39,0))</f>
        <v>09/29/2026</v>
      </c>
      <c r="AG17" t="str">
        <f>INDEX(BOL!$E$4:$E$39,MATCH(AE17,BOL!$B$4:$B$39,0))</f>
        <v>IA</v>
      </c>
      <c r="AH17" t="str">
        <f>INDEX(BOL!$F$4:$F$39,MATCH(AE17,BOL!$B$4:$B$39,0))</f>
        <v>Windows and doors</v>
      </c>
      <c r="AI17">
        <f>INDEX(BOL!$H$4:$H$39,MATCH(AE17,BOL!$B$4:$B$39,0))</f>
        <v>2650</v>
      </c>
      <c r="AJ17">
        <f>Invoices!F36</f>
        <v>2650</v>
      </c>
      <c r="AK17">
        <f>INDEX(Tariff!$L$4:$L$9,MATCH(AH17,Tariff!$K$4:$K$9,0))</f>
        <v>100</v>
      </c>
      <c r="AL17">
        <f>Invoices!G36</f>
        <v>100</v>
      </c>
      <c r="AM17" s="11">
        <f>INDEX(Tariff!$I$4:$I$10,MATCH(AK17,Tariff!$H$4:$H$10,0))</f>
        <v>1.45</v>
      </c>
      <c r="AN17">
        <f>MATCH(AI17,Tariff!$B$12:$F$12,1)</f>
        <v>4</v>
      </c>
      <c r="AO17" s="11">
        <f>INDEX(Tariff!$B$4:$F$10,MATCH(AG17,Tariff!$A$4:$A$10,0),AN17)</f>
        <v>39.1</v>
      </c>
      <c r="AP17" s="9">
        <f t="shared" si="7"/>
        <v>1502.42</v>
      </c>
      <c r="AQ17" s="9">
        <f>IF(AN17&lt;5,ROUND(INDEX(Tariff!$B$12:$F$12,AN17+1)/100*INDEX(Tariff!$B$4:$F$10,MATCH(AG17,Tariff!$A$4:$A$10,0),AN17+1)*AM17,2),AP17)</f>
        <v>2309.13</v>
      </c>
      <c r="AR17" s="9">
        <f t="shared" si="8"/>
        <v>1502.42</v>
      </c>
      <c r="AS17" s="9">
        <f>MAX(ROUND(AR17*(1-Terms!$B$4),2),Terms!$B$5)</f>
        <v>570.92</v>
      </c>
      <c r="AT17" t="str">
        <f t="shared" si="9"/>
        <v>09/28/2026</v>
      </c>
      <c r="AU17" s="13">
        <f>INDEX('Fuel Index'!$C$4:$C$12,MATCH(AT17,'Fuel Index'!$A$4:$A$12,0))</f>
        <v>0.27</v>
      </c>
      <c r="AV17" s="9">
        <f t="shared" si="10"/>
        <v>154.15</v>
      </c>
      <c r="AW17" s="9">
        <f>(INDEX(BOL!$I$4:$I$39,MATCH(AE17,BOL!$B$4:$B$39,0))="Y")*Tariff!$O$4+(INDEX(BOL!$J$4:$J$39,MATCH(AE17,BOL!$B$4:$B$39,0))="Y")*Tariff!$O$5+(INDEX(BOL!$K$4:$K$39,MATCH(AE17,BOL!$B$4:$B$39,0))="Y")*Tariff!$O$6+(INDEX(BOL!$L$4:$L$39,MATCH(AE17,BOL!$B$4:$B$39,0))="Y")*Tariff!$O$7</f>
        <v>0</v>
      </c>
      <c r="AX17" t="str">
        <f>IF(COUNTIFS(Invoices!$B$4:$B$41,AE17,Invoices!$A$4:$A$41,"&lt;"&amp;AD17)&gt;0,"Yes","No")</f>
        <v>No</v>
      </c>
      <c r="AY17" s="9">
        <f t="shared" si="11"/>
        <v>725.07</v>
      </c>
      <c r="AZ17" s="9">
        <f>Invoices!O36</f>
        <v>725.07</v>
      </c>
      <c r="BA17" s="9">
        <f t="shared" si="12"/>
        <v>0</v>
      </c>
      <c r="BB17" s="9">
        <f>Invoices!H36</f>
        <v>1502.42</v>
      </c>
      <c r="BC17" s="13">
        <f>ROUND(Invoices!K36/Terms!$B$9,4)</f>
        <v>0.27</v>
      </c>
      <c r="BD17" s="9">
        <f>Invoices!N36</f>
        <v>0</v>
      </c>
      <c r="BE17" t="str">
        <f t="shared" si="13"/>
        <v/>
      </c>
    </row>
    <row r="18" spans="1:57" x14ac:dyDescent="0.2">
      <c r="A18" t="str">
        <f>Invoices!A18</f>
        <v>NFL-90332</v>
      </c>
      <c r="B18" t="str">
        <f>Invoices!B18</f>
        <v>217692</v>
      </c>
      <c r="C18" t="str">
        <f>INDEX(BOL!$C$4:$C$39,MATCH(B18,BOL!$B$4:$B$39,0))</f>
        <v>09/15/2026</v>
      </c>
      <c r="D18" t="str">
        <f>INDEX(BOL!$E$4:$E$39,MATCH(B18,BOL!$B$4:$B$39,0))</f>
        <v>WI</v>
      </c>
      <c r="E18" t="str">
        <f>INDEX(BOL!$F$4:$F$39,MATCH(B18,BOL!$B$4:$B$39,0))</f>
        <v>Metal roofing panels</v>
      </c>
      <c r="F18">
        <f>INDEX(BOL!$H$4:$H$39,MATCH(B18,BOL!$B$4:$B$39,0))</f>
        <v>4650</v>
      </c>
      <c r="G18">
        <f>Invoices!F18</f>
        <v>4650</v>
      </c>
      <c r="H18">
        <f>INDEX(Tariff!$L$4:$L$9,MATCH(E18,Tariff!$K$4:$K$9,0))</f>
        <v>70</v>
      </c>
      <c r="I18">
        <f>Invoices!G18</f>
        <v>70</v>
      </c>
      <c r="J18" s="11">
        <f>INDEX(Tariff!$I$4:$I$10,MATCH(H18,Tariff!$H$4:$H$10,0))</f>
        <v>1</v>
      </c>
      <c r="K18">
        <f>MATCH(F18,Tariff!$B$12:$F$12,1)</f>
        <v>4</v>
      </c>
      <c r="L18" s="11">
        <f>INDEX(Tariff!$B$4:$F$10,MATCH(D18,Tariff!$A$4:$A$10,0),K18)</f>
        <v>41.3</v>
      </c>
      <c r="M18" s="9">
        <f t="shared" si="0"/>
        <v>1920.45</v>
      </c>
      <c r="N18" s="9">
        <f>IF(K18&lt;5,ROUND(INDEX(Tariff!$B$12:$F$12,K18+1)/100*INDEX(Tariff!$B$4:$F$10,MATCH(D18,Tariff!$A$4:$A$10,0),K18+1)*J18,2),M18)</f>
        <v>1682.5</v>
      </c>
      <c r="O18" s="9">
        <f t="shared" si="1"/>
        <v>1682.5</v>
      </c>
      <c r="P18" s="9">
        <f>MAX(ROUND(O18*(1-Terms!$B$4),2),Terms!$B$5)</f>
        <v>639.35</v>
      </c>
      <c r="Q18" t="str">
        <f t="shared" si="2"/>
        <v>09/14/2026</v>
      </c>
      <c r="R18" s="13">
        <f>INDEX('Fuel Index'!$C$4:$C$12,MATCH(Q18,'Fuel Index'!$A$4:$A$12,0))</f>
        <v>0.26</v>
      </c>
      <c r="S18" s="9">
        <f t="shared" si="3"/>
        <v>166.23</v>
      </c>
      <c r="T18" s="9">
        <f>(INDEX(BOL!$I$4:$I$39,MATCH(B18,BOL!$B$4:$B$39,0))="Y")*Tariff!$O$4+(INDEX(BOL!$J$4:$J$39,MATCH(B18,BOL!$B$4:$B$39,0))="Y")*Tariff!$O$5+(INDEX(BOL!$K$4:$K$39,MATCH(B18,BOL!$B$4:$B$39,0))="Y")*Tariff!$O$6+(INDEX(BOL!$L$4:$L$39,MATCH(B18,BOL!$B$4:$B$39,0))="Y")*Tariff!$O$7</f>
        <v>75</v>
      </c>
      <c r="U18" t="str">
        <f>IF(COUNTIFS(Invoices!$B$4:$B$41,B18,Invoices!$A$4:$A$41,"&lt;"&amp;A18)&gt;0,"Yes","No")</f>
        <v>No</v>
      </c>
      <c r="V18" s="9">
        <f t="shared" si="4"/>
        <v>880.58</v>
      </c>
      <c r="W18" s="9">
        <f>Invoices!O18</f>
        <v>994.51</v>
      </c>
      <c r="X18" s="9">
        <f t="shared" si="5"/>
        <v>113.93</v>
      </c>
      <c r="Y18" s="9">
        <f>Invoices!H18</f>
        <v>1920.45</v>
      </c>
      <c r="Z18" s="13">
        <f>ROUND(Invoices!K18/Terms!$B$9,4)</f>
        <v>0.26</v>
      </c>
      <c r="AA18" s="9">
        <f>Invoices!N18</f>
        <v>75</v>
      </c>
      <c r="AB18" t="str">
        <f t="shared" si="6"/>
        <v>4.2 deficit weight</v>
      </c>
      <c r="AD18" t="str">
        <f>Invoices!A37</f>
        <v>NFL-90355</v>
      </c>
      <c r="AE18" t="str">
        <f>Invoices!B37</f>
        <v>217712</v>
      </c>
      <c r="AF18" t="str">
        <f>INDEX(BOL!$C$4:$C$39,MATCH(AE18,BOL!$B$4:$B$39,0))</f>
        <v>09/29/2026</v>
      </c>
      <c r="AG18" t="str">
        <f>INDEX(BOL!$E$4:$E$39,MATCH(AE18,BOL!$B$4:$B$39,0))</f>
        <v>MT</v>
      </c>
      <c r="AH18" t="str">
        <f>INDEX(BOL!$F$4:$F$39,MATCH(AE18,BOL!$B$4:$B$39,0))</f>
        <v>Vinyl siding</v>
      </c>
      <c r="AI18">
        <f>INDEX(BOL!$H$4:$H$39,MATCH(AE18,BOL!$B$4:$B$39,0))</f>
        <v>2210</v>
      </c>
      <c r="AJ18">
        <f>Invoices!F37</f>
        <v>2210</v>
      </c>
      <c r="AK18">
        <f>INDEX(Tariff!$L$4:$L$9,MATCH(AH18,Tariff!$K$4:$K$9,0))</f>
        <v>92.5</v>
      </c>
      <c r="AL18">
        <f>Invoices!G37</f>
        <v>92.5</v>
      </c>
      <c r="AM18" s="11">
        <f>INDEX(Tariff!$I$4:$I$10,MATCH(AK18,Tariff!$H$4:$H$10,0))</f>
        <v>1.3</v>
      </c>
      <c r="AN18">
        <f>MATCH(AI18,Tariff!$B$12:$F$12,1)</f>
        <v>4</v>
      </c>
      <c r="AO18" s="11">
        <f>INDEX(Tariff!$B$4:$F$10,MATCH(AG18,Tariff!$A$4:$A$10,0),AN18)</f>
        <v>49.95</v>
      </c>
      <c r="AP18" s="9">
        <f t="shared" si="7"/>
        <v>1435.06</v>
      </c>
      <c r="AQ18" s="9">
        <f>IF(AN18&lt;5,ROUND(INDEX(Tariff!$B$12:$F$12,AN18+1)/100*INDEX(Tariff!$B$4:$F$10,MATCH(AG18,Tariff!$A$4:$A$10,0),AN18+1)*AM18,2),AP18)</f>
        <v>2639</v>
      </c>
      <c r="AR18" s="9">
        <f t="shared" si="8"/>
        <v>1435.06</v>
      </c>
      <c r="AS18" s="9">
        <f>MAX(ROUND(AR18*(1-Terms!$B$4),2),Terms!$B$5)</f>
        <v>545.32</v>
      </c>
      <c r="AT18" t="str">
        <f t="shared" si="9"/>
        <v>09/28/2026</v>
      </c>
      <c r="AU18" s="13">
        <f>INDEX('Fuel Index'!$C$4:$C$12,MATCH(AT18,'Fuel Index'!$A$4:$A$12,0))</f>
        <v>0.27</v>
      </c>
      <c r="AV18" s="9">
        <f t="shared" si="10"/>
        <v>147.24</v>
      </c>
      <c r="AW18" s="9">
        <f>(INDEX(BOL!$I$4:$I$39,MATCH(AE18,BOL!$B$4:$B$39,0))="Y")*Tariff!$O$4+(INDEX(BOL!$J$4:$J$39,MATCH(AE18,BOL!$B$4:$B$39,0))="Y")*Tariff!$O$5+(INDEX(BOL!$K$4:$K$39,MATCH(AE18,BOL!$B$4:$B$39,0))="Y")*Tariff!$O$6+(INDEX(BOL!$L$4:$L$39,MATCH(AE18,BOL!$B$4:$B$39,0))="Y")*Tariff!$O$7</f>
        <v>0</v>
      </c>
      <c r="AX18" t="str">
        <f>IF(COUNTIFS(Invoices!$B$4:$B$41,AE18,Invoices!$A$4:$A$41,"&lt;"&amp;AD18)&gt;0,"Yes","No")</f>
        <v>No</v>
      </c>
      <c r="AY18" s="9">
        <f t="shared" si="11"/>
        <v>692.56</v>
      </c>
      <c r="AZ18" s="9">
        <f>Invoices!O37</f>
        <v>692.56</v>
      </c>
      <c r="BA18" s="9">
        <f t="shared" si="12"/>
        <v>0</v>
      </c>
      <c r="BB18" s="9">
        <f>Invoices!H37</f>
        <v>1435.06</v>
      </c>
      <c r="BC18" s="13">
        <f>ROUND(Invoices!K37/Terms!$B$9,4)</f>
        <v>0.27</v>
      </c>
      <c r="BD18" s="9">
        <f>Invoices!N37</f>
        <v>0</v>
      </c>
      <c r="BE18" t="str">
        <f t="shared" si="13"/>
        <v/>
      </c>
    </row>
    <row r="19" spans="1:57" x14ac:dyDescent="0.2">
      <c r="A19" t="str">
        <f>Invoices!A19</f>
        <v>NFL-90333</v>
      </c>
      <c r="B19" t="str">
        <f>Invoices!B19</f>
        <v>217766</v>
      </c>
      <c r="C19" t="str">
        <f>INDEX(BOL!$C$4:$C$39,MATCH(B19,BOL!$B$4:$B$39,0))</f>
        <v>09/16/2026</v>
      </c>
      <c r="D19" t="str">
        <f>INDEX(BOL!$E$4:$E$39,MATCH(B19,BOL!$B$4:$B$39,0))</f>
        <v>MT</v>
      </c>
      <c r="E19" t="str">
        <f>INDEX(BOL!$F$4:$F$39,MATCH(B19,BOL!$B$4:$B$39,0))</f>
        <v>Fasteners and hardware</v>
      </c>
      <c r="F19">
        <f>INDEX(BOL!$H$4:$H$39,MATCH(B19,BOL!$B$4:$B$39,0))</f>
        <v>5960</v>
      </c>
      <c r="G19">
        <f>Invoices!F19</f>
        <v>5960</v>
      </c>
      <c r="H19">
        <f>INDEX(Tariff!$L$4:$L$9,MATCH(E19,Tariff!$K$4:$K$9,0))</f>
        <v>60</v>
      </c>
      <c r="I19">
        <f>Invoices!G19</f>
        <v>60</v>
      </c>
      <c r="J19" s="11">
        <f>INDEX(Tariff!$I$4:$I$10,MATCH(H19,Tariff!$H$4:$H$10,0))</f>
        <v>0.94</v>
      </c>
      <c r="K19">
        <f>MATCH(F19,Tariff!$B$12:$F$12,1)</f>
        <v>5</v>
      </c>
      <c r="L19" s="11">
        <f>INDEX(Tariff!$B$4:$F$10,MATCH(D19,Tariff!$A$4:$A$10,0),K19)</f>
        <v>40.6</v>
      </c>
      <c r="M19" s="9">
        <f t="shared" si="0"/>
        <v>2274.57</v>
      </c>
      <c r="N19" s="9">
        <f>IF(K19&lt;5,ROUND(INDEX(Tariff!$B$12:$F$12,K19+1)/100*INDEX(Tariff!$B$4:$F$10,MATCH(D19,Tariff!$A$4:$A$10,0),K19+1)*J19,2),M19)</f>
        <v>2274.57</v>
      </c>
      <c r="O19" s="9">
        <f t="shared" si="1"/>
        <v>2274.57</v>
      </c>
      <c r="P19" s="9">
        <f>MAX(ROUND(O19*(1-Terms!$B$4),2),Terms!$B$5)</f>
        <v>864.34</v>
      </c>
      <c r="Q19" t="str">
        <f t="shared" si="2"/>
        <v>09/14/2026</v>
      </c>
      <c r="R19" s="13">
        <f>INDEX('Fuel Index'!$C$4:$C$12,MATCH(Q19,'Fuel Index'!$A$4:$A$12,0))</f>
        <v>0.26</v>
      </c>
      <c r="S19" s="9">
        <f t="shared" si="3"/>
        <v>224.73</v>
      </c>
      <c r="T19" s="9">
        <f>(INDEX(BOL!$I$4:$I$39,MATCH(B19,BOL!$B$4:$B$39,0))="Y")*Tariff!$O$4+(INDEX(BOL!$J$4:$J$39,MATCH(B19,BOL!$B$4:$B$39,0))="Y")*Tariff!$O$5+(INDEX(BOL!$K$4:$K$39,MATCH(B19,BOL!$B$4:$B$39,0))="Y")*Tariff!$O$6+(INDEX(BOL!$L$4:$L$39,MATCH(B19,BOL!$B$4:$B$39,0))="Y")*Tariff!$O$7</f>
        <v>0</v>
      </c>
      <c r="U19" t="str">
        <f>IF(COUNTIFS(Invoices!$B$4:$B$41,B19,Invoices!$A$4:$A$41,"&lt;"&amp;A19)&gt;0,"Yes","No")</f>
        <v>No</v>
      </c>
      <c r="V19" s="9">
        <f t="shared" si="4"/>
        <v>1089.07</v>
      </c>
      <c r="W19" s="9">
        <f>Invoices!O19</f>
        <v>1089.07</v>
      </c>
      <c r="X19" s="9">
        <f t="shared" si="5"/>
        <v>0</v>
      </c>
      <c r="Y19" s="9">
        <f>Invoices!H19</f>
        <v>2274.57</v>
      </c>
      <c r="Z19" s="13">
        <f>ROUND(Invoices!K19/Terms!$B$9,4)</f>
        <v>0.26</v>
      </c>
      <c r="AA19" s="9">
        <f>Invoices!N19</f>
        <v>0</v>
      </c>
      <c r="AB19" t="str">
        <f t="shared" si="6"/>
        <v/>
      </c>
      <c r="AD19" t="str">
        <f>Invoices!A38</f>
        <v>NFL-90356</v>
      </c>
      <c r="AE19" t="str">
        <f>Invoices!B38</f>
        <v>217888</v>
      </c>
      <c r="AF19" t="str">
        <f>INDEX(BOL!$C$4:$C$39,MATCH(AE19,BOL!$B$4:$B$39,0))</f>
        <v>09/29/2026</v>
      </c>
      <c r="AG19" t="str">
        <f>INDEX(BOL!$E$4:$E$39,MATCH(AE19,BOL!$B$4:$B$39,0))</f>
        <v>SD</v>
      </c>
      <c r="AH19" t="str">
        <f>INDEX(BOL!$F$4:$F$39,MATCH(AE19,BOL!$B$4:$B$39,0))</f>
        <v>Vinyl siding</v>
      </c>
      <c r="AI19">
        <f>INDEX(BOL!$H$4:$H$39,MATCH(AE19,BOL!$B$4:$B$39,0))</f>
        <v>3380</v>
      </c>
      <c r="AJ19">
        <f>Invoices!F38</f>
        <v>3380</v>
      </c>
      <c r="AK19">
        <f>INDEX(Tariff!$L$4:$L$9,MATCH(AH19,Tariff!$K$4:$K$9,0))</f>
        <v>92.5</v>
      </c>
      <c r="AL19">
        <f>Invoices!G38</f>
        <v>92.5</v>
      </c>
      <c r="AM19" s="11">
        <f>INDEX(Tariff!$I$4:$I$10,MATCH(AK19,Tariff!$H$4:$H$10,0))</f>
        <v>1.3</v>
      </c>
      <c r="AN19">
        <f>MATCH(AI19,Tariff!$B$12:$F$12,1)</f>
        <v>4</v>
      </c>
      <c r="AO19" s="11">
        <f>INDEX(Tariff!$B$4:$F$10,MATCH(AG19,Tariff!$A$4:$A$10,0),AN19)</f>
        <v>36.05</v>
      </c>
      <c r="AP19" s="9">
        <f t="shared" si="7"/>
        <v>1584.04</v>
      </c>
      <c r="AQ19" s="9">
        <f>IF(AN19&lt;5,ROUND(INDEX(Tariff!$B$12:$F$12,AN19+1)/100*INDEX(Tariff!$B$4:$F$10,MATCH(AG19,Tariff!$A$4:$A$10,0),AN19+1)*AM19,2),AP19)</f>
        <v>1911</v>
      </c>
      <c r="AR19" s="9">
        <f t="shared" si="8"/>
        <v>1584.04</v>
      </c>
      <c r="AS19" s="9">
        <f>MAX(ROUND(AR19*(1-Terms!$B$4),2),Terms!$B$5)</f>
        <v>601.94</v>
      </c>
      <c r="AT19" t="str">
        <f t="shared" si="9"/>
        <v>09/28/2026</v>
      </c>
      <c r="AU19" s="13">
        <f>INDEX('Fuel Index'!$C$4:$C$12,MATCH(AT19,'Fuel Index'!$A$4:$A$12,0))</f>
        <v>0.27</v>
      </c>
      <c r="AV19" s="9">
        <f t="shared" si="10"/>
        <v>162.52</v>
      </c>
      <c r="AW19" s="9">
        <f>(INDEX(BOL!$I$4:$I$39,MATCH(AE19,BOL!$B$4:$B$39,0))="Y")*Tariff!$O$4+(INDEX(BOL!$J$4:$J$39,MATCH(AE19,BOL!$B$4:$B$39,0))="Y")*Tariff!$O$5+(INDEX(BOL!$K$4:$K$39,MATCH(AE19,BOL!$B$4:$B$39,0))="Y")*Tariff!$O$6+(INDEX(BOL!$L$4:$L$39,MATCH(AE19,BOL!$B$4:$B$39,0))="Y")*Tariff!$O$7</f>
        <v>95</v>
      </c>
      <c r="AX19" t="str">
        <f>IF(COUNTIFS(Invoices!$B$4:$B$41,AE19,Invoices!$A$4:$A$41,"&lt;"&amp;AD19)&gt;0,"Yes","No")</f>
        <v>No</v>
      </c>
      <c r="AY19" s="9">
        <f t="shared" si="11"/>
        <v>859.46</v>
      </c>
      <c r="AZ19" s="9">
        <f>Invoices!O38</f>
        <v>862.47</v>
      </c>
      <c r="BA19" s="9">
        <f t="shared" si="12"/>
        <v>3.01</v>
      </c>
      <c r="BB19" s="9">
        <f>Invoices!H38</f>
        <v>1584.04</v>
      </c>
      <c r="BC19" s="13">
        <f>ROUND(Invoices!K38/Terms!$B$9,4)</f>
        <v>0.275</v>
      </c>
      <c r="BD19" s="9">
        <f>Invoices!N38</f>
        <v>95</v>
      </c>
      <c r="BE19" t="str">
        <f t="shared" si="13"/>
        <v>5.2 fuel week</v>
      </c>
    </row>
    <row r="20" spans="1:57" x14ac:dyDescent="0.2">
      <c r="A20" t="str">
        <f>Invoices!A20</f>
        <v>NFL-90335</v>
      </c>
      <c r="B20" t="str">
        <f>Invoices!B20</f>
        <v>217798</v>
      </c>
      <c r="C20" t="str">
        <f>INDEX(BOL!$C$4:$C$39,MATCH(B20,BOL!$B$4:$B$39,0))</f>
        <v>09/17/2026</v>
      </c>
      <c r="D20" t="str">
        <f>INDEX(BOL!$E$4:$E$39,MATCH(B20,BOL!$B$4:$B$39,0))</f>
        <v>ND</v>
      </c>
      <c r="E20" t="str">
        <f>INDEX(BOL!$F$4:$F$39,MATCH(B20,BOL!$B$4:$B$39,0))</f>
        <v>Windows and doors</v>
      </c>
      <c r="F20">
        <f>INDEX(BOL!$H$4:$H$39,MATCH(B20,BOL!$B$4:$B$39,0))</f>
        <v>1860</v>
      </c>
      <c r="G20">
        <f>Invoices!F20</f>
        <v>1860</v>
      </c>
      <c r="H20">
        <f>INDEX(Tariff!$L$4:$L$9,MATCH(E20,Tariff!$K$4:$K$9,0))</f>
        <v>100</v>
      </c>
      <c r="I20">
        <f>Invoices!G20</f>
        <v>100</v>
      </c>
      <c r="J20" s="11">
        <f>INDEX(Tariff!$I$4:$I$10,MATCH(H20,Tariff!$H$4:$H$10,0))</f>
        <v>1.45</v>
      </c>
      <c r="K20">
        <f>MATCH(F20,Tariff!$B$12:$F$12,1)</f>
        <v>3</v>
      </c>
      <c r="L20" s="11">
        <f>INDEX(Tariff!$B$4:$F$10,MATCH(D20,Tariff!$A$4:$A$10,0),K20)</f>
        <v>32.15</v>
      </c>
      <c r="M20" s="9">
        <f t="shared" si="0"/>
        <v>867.09</v>
      </c>
      <c r="N20" s="9">
        <f>IF(K20&lt;5,ROUND(INDEX(Tariff!$B$12:$F$12,K20+1)/100*INDEX(Tariff!$B$4:$F$10,MATCH(D20,Tariff!$A$4:$A$10,0),K20+1)*J20,2),M20)</f>
        <v>765.6</v>
      </c>
      <c r="O20" s="9">
        <f t="shared" si="1"/>
        <v>765.6</v>
      </c>
      <c r="P20" s="9">
        <f>MAX(ROUND(O20*(1-Terms!$B$4),2),Terms!$B$5)</f>
        <v>290.93</v>
      </c>
      <c r="Q20" t="str">
        <f t="shared" si="2"/>
        <v>09/14/2026</v>
      </c>
      <c r="R20" s="13">
        <f>INDEX('Fuel Index'!$C$4:$C$12,MATCH(Q20,'Fuel Index'!$A$4:$A$12,0))</f>
        <v>0.26</v>
      </c>
      <c r="S20" s="9">
        <f t="shared" si="3"/>
        <v>75.64</v>
      </c>
      <c r="T20" s="9">
        <f>(INDEX(BOL!$I$4:$I$39,MATCH(B20,BOL!$B$4:$B$39,0))="Y")*Tariff!$O$4+(INDEX(BOL!$J$4:$J$39,MATCH(B20,BOL!$B$4:$B$39,0))="Y")*Tariff!$O$5+(INDEX(BOL!$K$4:$K$39,MATCH(B20,BOL!$B$4:$B$39,0))="Y")*Tariff!$O$6+(INDEX(BOL!$L$4:$L$39,MATCH(B20,BOL!$B$4:$B$39,0))="Y")*Tariff!$O$7</f>
        <v>95</v>
      </c>
      <c r="U20" t="str">
        <f>IF(COUNTIFS(Invoices!$B$4:$B$41,B20,Invoices!$A$4:$A$41,"&lt;"&amp;A20)&gt;0,"Yes","No")</f>
        <v>No</v>
      </c>
      <c r="V20" s="9">
        <f t="shared" si="4"/>
        <v>461.57</v>
      </c>
      <c r="W20" s="9">
        <f>Invoices!O20</f>
        <v>510.16</v>
      </c>
      <c r="X20" s="9">
        <f t="shared" si="5"/>
        <v>48.59</v>
      </c>
      <c r="Y20" s="9">
        <f>Invoices!H20</f>
        <v>867.09</v>
      </c>
      <c r="Z20" s="13">
        <f>ROUND(Invoices!K20/Terms!$B$9,4)</f>
        <v>0.26</v>
      </c>
      <c r="AA20" s="9">
        <f>Invoices!N20</f>
        <v>95</v>
      </c>
      <c r="AB20" t="str">
        <f t="shared" si="6"/>
        <v>4.2 deficit weight</v>
      </c>
      <c r="AD20" t="str">
        <f>Invoices!A39</f>
        <v>NFL-90357</v>
      </c>
      <c r="AE20" t="str">
        <f>Invoices!B39</f>
        <v>217720</v>
      </c>
      <c r="AF20" t="str">
        <f>INDEX(BOL!$C$4:$C$39,MATCH(AE20,BOL!$B$4:$B$39,0))</f>
        <v>09/30/2026</v>
      </c>
      <c r="AG20" t="str">
        <f>INDEX(BOL!$E$4:$E$39,MATCH(AE20,BOL!$B$4:$B$39,0))</f>
        <v>WI</v>
      </c>
      <c r="AH20" t="str">
        <f>INDEX(BOL!$F$4:$F$39,MATCH(AE20,BOL!$B$4:$B$39,0))</f>
        <v>Metal roofing panels</v>
      </c>
      <c r="AI20">
        <f>INDEX(BOL!$H$4:$H$39,MATCH(AE20,BOL!$B$4:$B$39,0))</f>
        <v>4890</v>
      </c>
      <c r="AJ20">
        <f>Invoices!F39</f>
        <v>4890</v>
      </c>
      <c r="AK20">
        <f>INDEX(Tariff!$L$4:$L$9,MATCH(AH20,Tariff!$K$4:$K$9,0))</f>
        <v>70</v>
      </c>
      <c r="AL20">
        <f>Invoices!G39</f>
        <v>70</v>
      </c>
      <c r="AM20" s="11">
        <f>INDEX(Tariff!$I$4:$I$10,MATCH(AK20,Tariff!$H$4:$H$10,0))</f>
        <v>1</v>
      </c>
      <c r="AN20">
        <f>MATCH(AI20,Tariff!$B$12:$F$12,1)</f>
        <v>4</v>
      </c>
      <c r="AO20" s="11">
        <f>INDEX(Tariff!$B$4:$F$10,MATCH(AG20,Tariff!$A$4:$A$10,0),AN20)</f>
        <v>41.3</v>
      </c>
      <c r="AP20" s="9">
        <f t="shared" si="7"/>
        <v>2019.57</v>
      </c>
      <c r="AQ20" s="9">
        <f>IF(AN20&lt;5,ROUND(INDEX(Tariff!$B$12:$F$12,AN20+1)/100*INDEX(Tariff!$B$4:$F$10,MATCH(AG20,Tariff!$A$4:$A$10,0),AN20+1)*AM20,2),AP20)</f>
        <v>1682.5</v>
      </c>
      <c r="AR20" s="9">
        <f t="shared" si="8"/>
        <v>1682.5</v>
      </c>
      <c r="AS20" s="9">
        <f>MAX(ROUND(AR20*(1-Terms!$B$4),2),Terms!$B$5)</f>
        <v>639.35</v>
      </c>
      <c r="AT20" t="str">
        <f t="shared" si="9"/>
        <v>09/28/2026</v>
      </c>
      <c r="AU20" s="13">
        <f>INDEX('Fuel Index'!$C$4:$C$12,MATCH(AT20,'Fuel Index'!$A$4:$A$12,0))</f>
        <v>0.27</v>
      </c>
      <c r="AV20" s="9">
        <f t="shared" si="10"/>
        <v>172.62</v>
      </c>
      <c r="AW20" s="9">
        <f>(INDEX(BOL!$I$4:$I$39,MATCH(AE20,BOL!$B$4:$B$39,0))="Y")*Tariff!$O$4+(INDEX(BOL!$J$4:$J$39,MATCH(AE20,BOL!$B$4:$B$39,0))="Y")*Tariff!$O$5+(INDEX(BOL!$K$4:$K$39,MATCH(AE20,BOL!$B$4:$B$39,0))="Y")*Tariff!$O$6+(INDEX(BOL!$L$4:$L$39,MATCH(AE20,BOL!$B$4:$B$39,0))="Y")*Tariff!$O$7</f>
        <v>0</v>
      </c>
      <c r="AX20" t="str">
        <f>IF(COUNTIFS(Invoices!$B$4:$B$41,AE20,Invoices!$A$4:$A$41,"&lt;"&amp;AD20)&gt;0,"Yes","No")</f>
        <v>No</v>
      </c>
      <c r="AY20" s="9">
        <f t="shared" si="11"/>
        <v>811.97</v>
      </c>
      <c r="AZ20" s="9">
        <f>Invoices!O39</f>
        <v>811.97</v>
      </c>
      <c r="BA20" s="9">
        <f t="shared" si="12"/>
        <v>0</v>
      </c>
      <c r="BB20" s="9">
        <f>Invoices!H39</f>
        <v>1682.5</v>
      </c>
      <c r="BC20" s="13">
        <f>ROUND(Invoices!K39/Terms!$B$9,4)</f>
        <v>0.27</v>
      </c>
      <c r="BD20" s="9">
        <f>Invoices!N39</f>
        <v>0</v>
      </c>
      <c r="BE20" t="str">
        <f t="shared" si="13"/>
        <v/>
      </c>
    </row>
    <row r="21" spans="1:57" x14ac:dyDescent="0.2">
      <c r="A21" t="str">
        <f>Invoices!A21</f>
        <v>NFL-90336</v>
      </c>
      <c r="B21" t="str">
        <f>Invoices!B21</f>
        <v>217873</v>
      </c>
      <c r="C21" t="str">
        <f>INDEX(BOL!$C$4:$C$39,MATCH(B21,BOL!$B$4:$B$39,0))</f>
        <v>09/17/2026</v>
      </c>
      <c r="D21" t="str">
        <f>INDEX(BOL!$E$4:$E$39,MATCH(B21,BOL!$B$4:$B$39,0))</f>
        <v>MT</v>
      </c>
      <c r="E21" t="str">
        <f>INDEX(BOL!$F$4:$F$39,MATCH(B21,BOL!$B$4:$B$39,0))</f>
        <v>Windows and doors</v>
      </c>
      <c r="F21">
        <f>INDEX(BOL!$H$4:$H$39,MATCH(B21,BOL!$B$4:$B$39,0))</f>
        <v>2790</v>
      </c>
      <c r="G21">
        <f>Invoices!F21</f>
        <v>2790</v>
      </c>
      <c r="H21">
        <f>INDEX(Tariff!$L$4:$L$9,MATCH(E21,Tariff!$K$4:$K$9,0))</f>
        <v>100</v>
      </c>
      <c r="I21">
        <f>Invoices!G21</f>
        <v>100</v>
      </c>
      <c r="J21" s="11">
        <f>INDEX(Tariff!$I$4:$I$10,MATCH(H21,Tariff!$H$4:$H$10,0))</f>
        <v>1.45</v>
      </c>
      <c r="K21">
        <f>MATCH(F21,Tariff!$B$12:$F$12,1)</f>
        <v>4</v>
      </c>
      <c r="L21" s="11">
        <f>INDEX(Tariff!$B$4:$F$10,MATCH(D21,Tariff!$A$4:$A$10,0),K21)</f>
        <v>49.95</v>
      </c>
      <c r="M21" s="9">
        <f t="shared" si="0"/>
        <v>2020.73</v>
      </c>
      <c r="N21" s="9">
        <f>IF(K21&lt;5,ROUND(INDEX(Tariff!$B$12:$F$12,K21+1)/100*INDEX(Tariff!$B$4:$F$10,MATCH(D21,Tariff!$A$4:$A$10,0),K21+1)*J21,2),M21)</f>
        <v>2943.5</v>
      </c>
      <c r="O21" s="9">
        <f t="shared" si="1"/>
        <v>2020.73</v>
      </c>
      <c r="P21" s="9">
        <f>MAX(ROUND(O21*(1-Terms!$B$4),2),Terms!$B$5)</f>
        <v>767.88</v>
      </c>
      <c r="Q21" t="str">
        <f t="shared" si="2"/>
        <v>09/14/2026</v>
      </c>
      <c r="R21" s="13">
        <f>INDEX('Fuel Index'!$C$4:$C$12,MATCH(Q21,'Fuel Index'!$A$4:$A$12,0))</f>
        <v>0.26</v>
      </c>
      <c r="S21" s="9">
        <f t="shared" si="3"/>
        <v>199.65</v>
      </c>
      <c r="T21" s="9">
        <f>(INDEX(BOL!$I$4:$I$39,MATCH(B21,BOL!$B$4:$B$39,0))="Y")*Tariff!$O$4+(INDEX(BOL!$J$4:$J$39,MATCH(B21,BOL!$B$4:$B$39,0))="Y")*Tariff!$O$5+(INDEX(BOL!$K$4:$K$39,MATCH(B21,BOL!$B$4:$B$39,0))="Y")*Tariff!$O$6+(INDEX(BOL!$L$4:$L$39,MATCH(B21,BOL!$B$4:$B$39,0))="Y")*Tariff!$O$7</f>
        <v>135</v>
      </c>
      <c r="U21" t="str">
        <f>IF(COUNTIFS(Invoices!$B$4:$B$41,B21,Invoices!$A$4:$A$41,"&lt;"&amp;A21)&gt;0,"Yes","No")</f>
        <v>No</v>
      </c>
      <c r="V21" s="9">
        <f t="shared" si="4"/>
        <v>1102.53</v>
      </c>
      <c r="W21" s="9">
        <f>Invoices!O21</f>
        <v>1102.53</v>
      </c>
      <c r="X21" s="9">
        <f t="shared" si="5"/>
        <v>0</v>
      </c>
      <c r="Y21" s="9">
        <f>Invoices!H21</f>
        <v>2020.73</v>
      </c>
      <c r="Z21" s="13">
        <f>ROUND(Invoices!K21/Terms!$B$9,4)</f>
        <v>0.26</v>
      </c>
      <c r="AA21" s="9">
        <f>Invoices!N21</f>
        <v>135</v>
      </c>
      <c r="AB21" t="str">
        <f t="shared" si="6"/>
        <v/>
      </c>
      <c r="AD21" t="str">
        <f>Invoices!A40</f>
        <v>NFL-90358</v>
      </c>
      <c r="AE21" t="str">
        <f>Invoices!B40</f>
        <v>217810</v>
      </c>
      <c r="AF21" t="str">
        <f>INDEX(BOL!$C$4:$C$39,MATCH(AE21,BOL!$B$4:$B$39,0))</f>
        <v>09/30/2026</v>
      </c>
      <c r="AG21" t="str">
        <f>INDEX(BOL!$E$4:$E$39,MATCH(AE21,BOL!$B$4:$B$39,0))</f>
        <v>MT</v>
      </c>
      <c r="AH21" t="str">
        <f>INDEX(BOL!$F$4:$F$39,MATCH(AE21,BOL!$B$4:$B$39,0))</f>
        <v>Fasteners and hardware</v>
      </c>
      <c r="AI21">
        <f>INDEX(BOL!$H$4:$H$39,MATCH(AE21,BOL!$B$4:$B$39,0))</f>
        <v>510</v>
      </c>
      <c r="AJ21">
        <f>Invoices!F40</f>
        <v>510</v>
      </c>
      <c r="AK21">
        <f>INDEX(Tariff!$L$4:$L$9,MATCH(AH21,Tariff!$K$4:$K$9,0))</f>
        <v>60</v>
      </c>
      <c r="AL21">
        <f>Invoices!G40</f>
        <v>60</v>
      </c>
      <c r="AM21" s="11">
        <f>INDEX(Tariff!$I$4:$I$10,MATCH(AK21,Tariff!$H$4:$H$10,0))</f>
        <v>0.94</v>
      </c>
      <c r="AN21">
        <f>MATCH(AI21,Tariff!$B$12:$F$12,1)</f>
        <v>2</v>
      </c>
      <c r="AO21" s="11">
        <f>INDEX(Tariff!$B$4:$F$10,MATCH(AG21,Tariff!$A$4:$A$10,0),AN21)</f>
        <v>71.3</v>
      </c>
      <c r="AP21" s="9">
        <f t="shared" si="7"/>
        <v>341.81</v>
      </c>
      <c r="AQ21" s="9">
        <f>IF(AN21&lt;5,ROUND(INDEX(Tariff!$B$12:$F$12,AN21+1)/100*INDEX(Tariff!$B$4:$F$10,MATCH(AG21,Tariff!$A$4:$A$10,0),AN21+1)*AM21,2),AP21)</f>
        <v>571.99</v>
      </c>
      <c r="AR21" s="9">
        <f t="shared" si="8"/>
        <v>341.81</v>
      </c>
      <c r="AS21" s="9">
        <f>MAX(ROUND(AR21*(1-Terms!$B$4),2),Terms!$B$5)</f>
        <v>129.89</v>
      </c>
      <c r="AT21" t="str">
        <f t="shared" si="9"/>
        <v>09/28/2026</v>
      </c>
      <c r="AU21" s="13">
        <f>INDEX('Fuel Index'!$C$4:$C$12,MATCH(AT21,'Fuel Index'!$A$4:$A$12,0))</f>
        <v>0.27</v>
      </c>
      <c r="AV21" s="9">
        <f t="shared" si="10"/>
        <v>35.07</v>
      </c>
      <c r="AW21" s="9">
        <f>(INDEX(BOL!$I$4:$I$39,MATCH(AE21,BOL!$B$4:$B$39,0))="Y")*Tariff!$O$4+(INDEX(BOL!$J$4:$J$39,MATCH(AE21,BOL!$B$4:$B$39,0))="Y")*Tariff!$O$5+(INDEX(BOL!$K$4:$K$39,MATCH(AE21,BOL!$B$4:$B$39,0))="Y")*Tariff!$O$6+(INDEX(BOL!$L$4:$L$39,MATCH(AE21,BOL!$B$4:$B$39,0))="Y")*Tariff!$O$7</f>
        <v>170</v>
      </c>
      <c r="AX21" t="str">
        <f>IF(COUNTIFS(Invoices!$B$4:$B$41,AE21,Invoices!$A$4:$A$41,"&lt;"&amp;AD21)&gt;0,"Yes","No")</f>
        <v>No</v>
      </c>
      <c r="AY21" s="9">
        <f t="shared" si="11"/>
        <v>334.96</v>
      </c>
      <c r="AZ21" s="9">
        <f>Invoices!O40</f>
        <v>334.96</v>
      </c>
      <c r="BA21" s="9">
        <f t="shared" si="12"/>
        <v>0</v>
      </c>
      <c r="BB21" s="9">
        <f>Invoices!H40</f>
        <v>341.81</v>
      </c>
      <c r="BC21" s="13">
        <f>ROUND(Invoices!K40/Terms!$B$9,4)</f>
        <v>0.27</v>
      </c>
      <c r="BD21" s="9">
        <f>Invoices!N40</f>
        <v>170</v>
      </c>
      <c r="BE21" t="str">
        <f t="shared" si="13"/>
        <v/>
      </c>
    </row>
    <row r="22" spans="1:57" x14ac:dyDescent="0.2">
      <c r="A22" t="str">
        <f>Invoices!A22</f>
        <v>NFL-90337</v>
      </c>
      <c r="B22" t="str">
        <f>Invoices!B22</f>
        <v>217833</v>
      </c>
      <c r="C22" t="str">
        <f>INDEX(BOL!$C$4:$C$39,MATCH(B22,BOL!$B$4:$B$39,0))</f>
        <v>09/18/2026</v>
      </c>
      <c r="D22" t="str">
        <f>INDEX(BOL!$E$4:$E$39,MATCH(B22,BOL!$B$4:$B$39,0))</f>
        <v>MN</v>
      </c>
      <c r="E22" t="str">
        <f>INDEX(BOL!$F$4:$F$39,MATCH(B22,BOL!$B$4:$B$39,0))</f>
        <v>Vinyl siding</v>
      </c>
      <c r="F22">
        <f>INDEX(BOL!$H$4:$H$39,MATCH(B22,BOL!$B$4:$B$39,0))</f>
        <v>950</v>
      </c>
      <c r="G22">
        <f>Invoices!F22</f>
        <v>950</v>
      </c>
      <c r="H22">
        <f>INDEX(Tariff!$L$4:$L$9,MATCH(E22,Tariff!$K$4:$K$9,0))</f>
        <v>92.5</v>
      </c>
      <c r="I22">
        <f>Invoices!G22</f>
        <v>92.5</v>
      </c>
      <c r="J22" s="11">
        <f>INDEX(Tariff!$I$4:$I$10,MATCH(H22,Tariff!$H$4:$H$10,0))</f>
        <v>1.3</v>
      </c>
      <c r="K22">
        <f>MATCH(F22,Tariff!$B$12:$F$12,1)</f>
        <v>2</v>
      </c>
      <c r="L22" s="11">
        <f>INDEX(Tariff!$B$4:$F$10,MATCH(D22,Tariff!$A$4:$A$10,0),K22)</f>
        <v>49.1</v>
      </c>
      <c r="M22" s="9">
        <f t="shared" si="0"/>
        <v>606.39</v>
      </c>
      <c r="N22" s="9">
        <f>IF(K22&lt;5,ROUND(INDEX(Tariff!$B$12:$F$12,K22+1)/100*INDEX(Tariff!$B$4:$F$10,MATCH(D22,Tariff!$A$4:$A$10,0),K22+1)*J22,2),M22)</f>
        <v>542.75</v>
      </c>
      <c r="O22" s="9">
        <f t="shared" si="1"/>
        <v>542.75</v>
      </c>
      <c r="P22" s="9">
        <f>MAX(ROUND(O22*(1-Terms!$B$4),2),Terms!$B$5)</f>
        <v>206.25</v>
      </c>
      <c r="Q22" t="str">
        <f t="shared" si="2"/>
        <v>09/14/2026</v>
      </c>
      <c r="R22" s="13">
        <f>INDEX('Fuel Index'!$C$4:$C$12,MATCH(Q22,'Fuel Index'!$A$4:$A$12,0))</f>
        <v>0.26</v>
      </c>
      <c r="S22" s="9">
        <f t="shared" si="3"/>
        <v>53.63</v>
      </c>
      <c r="T22" s="9">
        <f>(INDEX(BOL!$I$4:$I$39,MATCH(B22,BOL!$B$4:$B$39,0))="Y")*Tariff!$O$4+(INDEX(BOL!$J$4:$J$39,MATCH(B22,BOL!$B$4:$B$39,0))="Y")*Tariff!$O$5+(INDEX(BOL!$K$4:$K$39,MATCH(B22,BOL!$B$4:$B$39,0))="Y")*Tariff!$O$6+(INDEX(BOL!$L$4:$L$39,MATCH(B22,BOL!$B$4:$B$39,0))="Y")*Tariff!$O$7</f>
        <v>170</v>
      </c>
      <c r="U22" t="str">
        <f>IF(COUNTIFS(Invoices!$B$4:$B$41,B22,Invoices!$A$4:$A$41,"&lt;"&amp;A22)&gt;0,"Yes","No")</f>
        <v>No</v>
      </c>
      <c r="V22" s="9">
        <f t="shared" si="4"/>
        <v>429.88</v>
      </c>
      <c r="W22" s="9">
        <f>Invoices!O22</f>
        <v>429.88</v>
      </c>
      <c r="X22" s="9">
        <f t="shared" si="5"/>
        <v>0</v>
      </c>
      <c r="Y22" s="9">
        <f>Invoices!H22</f>
        <v>542.75</v>
      </c>
      <c r="Z22" s="13">
        <f>ROUND(Invoices!K22/Terms!$B$9,4)</f>
        <v>0.26</v>
      </c>
      <c r="AA22" s="9">
        <f>Invoices!N22</f>
        <v>170</v>
      </c>
      <c r="AB22" t="str">
        <f t="shared" si="6"/>
        <v/>
      </c>
      <c r="AD22" t="str">
        <f>Invoices!A41</f>
        <v>NFL-90360</v>
      </c>
      <c r="AE22" t="str">
        <f>Invoices!B41</f>
        <v>217841</v>
      </c>
      <c r="AF22" t="str">
        <f>INDEX(BOL!$C$4:$C$39,MATCH(AE22,BOL!$B$4:$B$39,0))</f>
        <v>09/24/2026</v>
      </c>
      <c r="AG22" t="str">
        <f>INDEX(BOL!$E$4:$E$39,MATCH(AE22,BOL!$B$4:$B$39,0))</f>
        <v>MT</v>
      </c>
      <c r="AH22" t="str">
        <f>INDEX(BOL!$F$4:$F$39,MATCH(AE22,BOL!$B$4:$B$39,0))</f>
        <v>Fasteners and hardware</v>
      </c>
      <c r="AI22">
        <f>INDEX(BOL!$H$4:$H$39,MATCH(AE22,BOL!$B$4:$B$39,0))</f>
        <v>2060</v>
      </c>
      <c r="AJ22">
        <f>Invoices!F41</f>
        <v>2060</v>
      </c>
      <c r="AK22">
        <f>INDEX(Tariff!$L$4:$L$9,MATCH(AH22,Tariff!$K$4:$K$9,0))</f>
        <v>60</v>
      </c>
      <c r="AL22">
        <f>Invoices!G41</f>
        <v>60</v>
      </c>
      <c r="AM22" s="11">
        <f>INDEX(Tariff!$I$4:$I$10,MATCH(AK22,Tariff!$H$4:$H$10,0))</f>
        <v>0.94</v>
      </c>
      <c r="AN22">
        <f>MATCH(AI22,Tariff!$B$12:$F$12,1)</f>
        <v>4</v>
      </c>
      <c r="AO22" s="11">
        <f>INDEX(Tariff!$B$4:$F$10,MATCH(AG22,Tariff!$A$4:$A$10,0),AN22)</f>
        <v>49.95</v>
      </c>
      <c r="AP22" s="9">
        <f t="shared" si="7"/>
        <v>967.23</v>
      </c>
      <c r="AQ22" s="9">
        <f>IF(AN22&lt;5,ROUND(INDEX(Tariff!$B$12:$F$12,AN22+1)/100*INDEX(Tariff!$B$4:$F$10,MATCH(AG22,Tariff!$A$4:$A$10,0),AN22+1)*AM22,2),AP22)</f>
        <v>1908.2</v>
      </c>
      <c r="AR22" s="9">
        <f t="shared" si="8"/>
        <v>967.23</v>
      </c>
      <c r="AS22" s="9">
        <f>MAX(ROUND(AR22*(1-Terms!$B$4),2),Terms!$B$5)</f>
        <v>367.55</v>
      </c>
      <c r="AT22" t="str">
        <f t="shared" si="9"/>
        <v>09/21/2026</v>
      </c>
      <c r="AU22" s="13">
        <f>INDEX('Fuel Index'!$C$4:$C$12,MATCH(AT22,'Fuel Index'!$A$4:$A$12,0))</f>
        <v>0.275</v>
      </c>
      <c r="AV22" s="9">
        <f t="shared" si="10"/>
        <v>101.08</v>
      </c>
      <c r="AW22" s="9">
        <f>(INDEX(BOL!$I$4:$I$39,MATCH(AE22,BOL!$B$4:$B$39,0))="Y")*Tariff!$O$4+(INDEX(BOL!$J$4:$J$39,MATCH(AE22,BOL!$B$4:$B$39,0))="Y")*Tariff!$O$5+(INDEX(BOL!$K$4:$K$39,MATCH(AE22,BOL!$B$4:$B$39,0))="Y")*Tariff!$O$6+(INDEX(BOL!$L$4:$L$39,MATCH(AE22,BOL!$B$4:$B$39,0))="Y")*Tariff!$O$7</f>
        <v>135</v>
      </c>
      <c r="AX22" t="str">
        <f>IF(COUNTIFS(Invoices!$B$4:$B$41,AE22,Invoices!$A$4:$A$41,"&lt;"&amp;AD22)&gt;0,"Yes","No")</f>
        <v>Yes</v>
      </c>
      <c r="AY22" s="9">
        <f t="shared" si="11"/>
        <v>0</v>
      </c>
      <c r="AZ22" s="9">
        <f>Invoices!O41</f>
        <v>603.63</v>
      </c>
      <c r="BA22" s="9">
        <f t="shared" si="12"/>
        <v>603.63</v>
      </c>
      <c r="BB22" s="9">
        <f>Invoices!H41</f>
        <v>967.23</v>
      </c>
      <c r="BC22" s="13">
        <f>ROUND(Invoices!K41/Terms!$B$9,4)</f>
        <v>0.275</v>
      </c>
      <c r="BD22" s="9">
        <f>Invoices!N41</f>
        <v>135</v>
      </c>
      <c r="BE22" t="str">
        <f t="shared" si="13"/>
        <v>7.1 duplicate bill</v>
      </c>
    </row>
    <row r="23" spans="1:57" x14ac:dyDescent="0.2">
      <c r="A23" s="6" t="s">
        <v>337</v>
      </c>
      <c r="V23" s="14">
        <f>ROUND(SUM(V4:V22),2)</f>
        <v>9975.6</v>
      </c>
      <c r="W23" s="14">
        <f>ROUND(SUM(W4:W22),2)</f>
        <v>10206.77</v>
      </c>
      <c r="X23" s="14">
        <f>ROUND(SUM(X4:X22),2)</f>
        <v>231.17</v>
      </c>
      <c r="AD23" s="6" t="s">
        <v>338</v>
      </c>
      <c r="AY23" s="14">
        <f>ROUND(SUM(AY4:AY22),2)</f>
        <v>8942.43</v>
      </c>
      <c r="AZ23" s="14">
        <f>ROUND(SUM(AZ4:AZ22),2)</f>
        <v>10141.58</v>
      </c>
      <c r="BA23" s="14">
        <f>ROUND(SUM(BA4:BA22),2)</f>
        <v>1199.15</v>
      </c>
    </row>
    <row r="24" spans="1:57" x14ac:dyDescent="0.2">
      <c r="A24" s="6" t="s">
        <v>339</v>
      </c>
      <c r="B24" s="9">
        <f>ROUND(V23+AY23,2)</f>
        <v>18918.03</v>
      </c>
    </row>
    <row r="25" spans="1:57" x14ac:dyDescent="0.2">
      <c r="A25" s="6" t="s">
        <v>340</v>
      </c>
      <c r="B25" s="9">
        <f>ROUND(W23+AZ23,2)</f>
        <v>20348.35</v>
      </c>
    </row>
    <row r="27" spans="1:57" x14ac:dyDescent="0.2">
      <c r="A27" t="s">
        <v>341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9"/>
  <sheetViews>
    <sheetView workbookViewId="0"/>
  </sheetViews>
  <sheetFormatPr baseColWidth="10" defaultColWidth="8.83203125" defaultRowHeight="15" x14ac:dyDescent="0.2"/>
  <cols>
    <col min="1" max="1" width="13" customWidth="1"/>
    <col min="2" max="2" width="10" customWidth="1"/>
    <col min="3" max="3" width="30" customWidth="1"/>
    <col min="4" max="6" width="12" customWidth="1"/>
    <col min="7" max="7" width="14" customWidth="1"/>
  </cols>
  <sheetData>
    <row r="1" spans="1:7" ht="17" x14ac:dyDescent="0.2">
      <c r="A1" s="1" t="s">
        <v>342</v>
      </c>
    </row>
    <row r="3" spans="1:7" x14ac:dyDescent="0.2">
      <c r="A3" s="2" t="s">
        <v>343</v>
      </c>
      <c r="B3" s="2" t="s">
        <v>102</v>
      </c>
      <c r="C3" s="2" t="s">
        <v>308</v>
      </c>
      <c r="D3" s="2" t="s">
        <v>344</v>
      </c>
      <c r="E3" s="2" t="s">
        <v>345</v>
      </c>
      <c r="F3" s="2" t="s">
        <v>304</v>
      </c>
      <c r="G3" s="2" t="s">
        <v>346</v>
      </c>
    </row>
    <row r="4" spans="1:7" x14ac:dyDescent="0.2">
      <c r="A4" t="s">
        <v>244</v>
      </c>
      <c r="B4" t="str">
        <f>IFERROR(INDEX(Audit!$B$4:$B$22,MATCH(A4,Audit!$A$4:$A$22,0)),INDEX(Audit!$AE$4:$AE$22,MATCH(A4,Audit!$AD$4:$AD$22,0)))</f>
        <v>217738</v>
      </c>
      <c r="C4" t="str">
        <f>IFERROR(INDEX(Audit!$AB$4:$AB$22,MATCH(A4,Audit!$A$4:$A$22,0)),INDEX(Audit!$BE$4:$BE$22,MATCH(A4,Audit!$AD$4:$AD$22,0)))</f>
        <v>6.1 accessorial omitted</v>
      </c>
      <c r="D4" s="9">
        <f>IFERROR(INDEX(Audit!$W$4:$W$22,MATCH(A4,Audit!$A$4:$A$22,0)),INDEX(Audit!$AZ$4:$AZ$22,MATCH(A4,Audit!$AD$4:$AD$22,0)))</f>
        <v>213.18</v>
      </c>
      <c r="E4" s="9">
        <f>IFERROR(INDEX(Audit!$V$4:$V$22,MATCH(A4,Audit!$A$4:$A$22,0)),INDEX(Audit!$AY$4:$AY$22,MATCH(A4,Audit!$AD$4:$AD$22,0)))</f>
        <v>288.18</v>
      </c>
      <c r="F4" s="9">
        <f t="shared" ref="F4:F16" si="0">ROUND(D4-E4,2)</f>
        <v>-75</v>
      </c>
      <c r="G4" t="str">
        <f t="shared" ref="G4:G16" si="1">IF(F4&gt;0,"Claim",IF(F4&lt;0,"Report undercharge","None"))</f>
        <v>Report undercharge</v>
      </c>
    </row>
    <row r="5" spans="1:7" x14ac:dyDescent="0.2">
      <c r="A5" t="s">
        <v>247</v>
      </c>
      <c r="B5" t="str">
        <f>IFERROR(INDEX(Audit!$B$4:$B$22,MATCH(A5,Audit!$A$4:$A$22,0)),INDEX(Audit!$AE$4:$AE$22,MATCH(A5,Audit!$AD$4:$AD$22,0)))</f>
        <v>217703</v>
      </c>
      <c r="C5" t="str">
        <f>IFERROR(INDEX(Audit!$AB$4:$AB$22,MATCH(A5,Audit!$A$4:$A$22,0)),INDEX(Audit!$BE$4:$BE$22,MATCH(A5,Audit!$AD$4:$AD$22,0)))</f>
        <v>5.2 fuel week</v>
      </c>
      <c r="D5" s="9">
        <f>IFERROR(INDEX(Audit!$W$4:$W$22,MATCH(A5,Audit!$A$4:$A$22,0)),INDEX(Audit!$AZ$4:$AZ$22,MATCH(A5,Audit!$AD$4:$AD$22,0)))</f>
        <v>354.66</v>
      </c>
      <c r="E5" s="9">
        <f>IFERROR(INDEX(Audit!$V$4:$V$22,MATCH(A5,Audit!$A$4:$A$22,0)),INDEX(Audit!$AY$4:$AY$22,MATCH(A5,Audit!$AD$4:$AD$22,0)))</f>
        <v>355.43</v>
      </c>
      <c r="F5" s="9">
        <f t="shared" si="0"/>
        <v>-0.77</v>
      </c>
      <c r="G5" t="str">
        <f t="shared" si="1"/>
        <v>Report undercharge</v>
      </c>
    </row>
    <row r="6" spans="1:7" x14ac:dyDescent="0.2">
      <c r="A6" t="s">
        <v>250</v>
      </c>
      <c r="B6" t="str">
        <f>IFERROR(INDEX(Audit!$B$4:$B$22,MATCH(A6,Audit!$A$4:$A$22,0)),INDEX(Audit!$AE$4:$AE$22,MATCH(A6,Audit!$AD$4:$AD$22,0)))</f>
        <v>217784</v>
      </c>
      <c r="C6" t="str">
        <f>IFERROR(INDEX(Audit!$AB$4:$AB$22,MATCH(A6,Audit!$A$4:$A$22,0)),INDEX(Audit!$BE$4:$BE$22,MATCH(A6,Audit!$AD$4:$AD$22,0)))</f>
        <v>4.3 class</v>
      </c>
      <c r="D6" s="9">
        <f>IFERROR(INDEX(Audit!$W$4:$W$22,MATCH(A6,Audit!$A$4:$A$22,0)),INDEX(Audit!$AZ$4:$AZ$22,MATCH(A6,Audit!$AD$4:$AD$22,0)))</f>
        <v>485.89</v>
      </c>
      <c r="E6" s="9">
        <f>IFERROR(INDEX(Audit!$V$4:$V$22,MATCH(A6,Audit!$A$4:$A$22,0)),INDEX(Audit!$AY$4:$AY$22,MATCH(A6,Audit!$AD$4:$AD$22,0)))</f>
        <v>439.64</v>
      </c>
      <c r="F6" s="9">
        <f t="shared" si="0"/>
        <v>46.25</v>
      </c>
      <c r="G6" t="str">
        <f t="shared" si="1"/>
        <v>Claim</v>
      </c>
    </row>
    <row r="7" spans="1:7" x14ac:dyDescent="0.2">
      <c r="A7" t="s">
        <v>255</v>
      </c>
      <c r="B7" t="str">
        <f>IFERROR(INDEX(Audit!$B$4:$B$22,MATCH(A7,Audit!$A$4:$A$22,0)),INDEX(Audit!$AE$4:$AE$22,MATCH(A7,Audit!$AD$4:$AD$22,0)))</f>
        <v>217792</v>
      </c>
      <c r="C7" t="str">
        <f>IFERROR(INDEX(Audit!$AB$4:$AB$22,MATCH(A7,Audit!$A$4:$A$22,0)),INDEX(Audit!$BE$4:$BE$22,MATCH(A7,Audit!$AD$4:$AD$22,0)))</f>
        <v>4.3 class</v>
      </c>
      <c r="D7" s="9">
        <f>IFERROR(INDEX(Audit!$W$4:$W$22,MATCH(A7,Audit!$A$4:$A$22,0)),INDEX(Audit!$AZ$4:$AZ$22,MATCH(A7,Audit!$AD$4:$AD$22,0)))</f>
        <v>193.11</v>
      </c>
      <c r="E7" s="9">
        <f>IFERROR(INDEX(Audit!$V$4:$V$22,MATCH(A7,Audit!$A$4:$A$22,0)),INDEX(Audit!$AY$4:$AY$22,MATCH(A7,Audit!$AD$4:$AD$22,0)))</f>
        <v>169.94</v>
      </c>
      <c r="F7" s="9">
        <f t="shared" si="0"/>
        <v>23.17</v>
      </c>
      <c r="G7" t="str">
        <f t="shared" si="1"/>
        <v>Claim</v>
      </c>
    </row>
    <row r="8" spans="1:7" x14ac:dyDescent="0.2">
      <c r="A8" t="s">
        <v>256</v>
      </c>
      <c r="B8" t="str">
        <f>IFERROR(INDEX(Audit!$B$4:$B$22,MATCH(A8,Audit!$A$4:$A$22,0)),INDEX(Audit!$AE$4:$AE$22,MATCH(A8,Audit!$AD$4:$AD$22,0)))</f>
        <v>217861</v>
      </c>
      <c r="C8" t="str">
        <f>IFERROR(INDEX(Audit!$AB$4:$AB$22,MATCH(A8,Audit!$A$4:$A$22,0)),INDEX(Audit!$BE$4:$BE$22,MATCH(A8,Audit!$AD$4:$AD$22,0)))</f>
        <v>6.1 accessorial not requested</v>
      </c>
      <c r="D8" s="9">
        <f>IFERROR(INDEX(Audit!$W$4:$W$22,MATCH(A8,Audit!$A$4:$A$22,0)),INDEX(Audit!$AZ$4:$AZ$22,MATCH(A8,Audit!$AD$4:$AD$22,0)))</f>
        <v>310.33</v>
      </c>
      <c r="E8" s="9">
        <f>IFERROR(INDEX(Audit!$V$4:$V$22,MATCH(A8,Audit!$A$4:$A$22,0)),INDEX(Audit!$AY$4:$AY$22,MATCH(A8,Audit!$AD$4:$AD$22,0)))</f>
        <v>235.33</v>
      </c>
      <c r="F8" s="9">
        <f t="shared" si="0"/>
        <v>75</v>
      </c>
      <c r="G8" t="str">
        <f t="shared" si="1"/>
        <v>Claim</v>
      </c>
    </row>
    <row r="9" spans="1:7" x14ac:dyDescent="0.2">
      <c r="A9" t="s">
        <v>258</v>
      </c>
      <c r="B9" t="str">
        <f>IFERROR(INDEX(Audit!$B$4:$B$22,MATCH(A9,Audit!$A$4:$A$22,0)),INDEX(Audit!$AE$4:$AE$22,MATCH(A9,Audit!$AD$4:$AD$22,0)))</f>
        <v>217692</v>
      </c>
      <c r="C9" t="str">
        <f>IFERROR(INDEX(Audit!$AB$4:$AB$22,MATCH(A9,Audit!$A$4:$A$22,0)),INDEX(Audit!$BE$4:$BE$22,MATCH(A9,Audit!$AD$4:$AD$22,0)))</f>
        <v>4.2 deficit weight</v>
      </c>
      <c r="D9" s="9">
        <f>IFERROR(INDEX(Audit!$W$4:$W$22,MATCH(A9,Audit!$A$4:$A$22,0)),INDEX(Audit!$AZ$4:$AZ$22,MATCH(A9,Audit!$AD$4:$AD$22,0)))</f>
        <v>994.51</v>
      </c>
      <c r="E9" s="9">
        <f>IFERROR(INDEX(Audit!$V$4:$V$22,MATCH(A9,Audit!$A$4:$A$22,0)),INDEX(Audit!$AY$4:$AY$22,MATCH(A9,Audit!$AD$4:$AD$22,0)))</f>
        <v>880.58</v>
      </c>
      <c r="F9" s="9">
        <f t="shared" si="0"/>
        <v>113.93</v>
      </c>
      <c r="G9" t="str">
        <f t="shared" si="1"/>
        <v>Claim</v>
      </c>
    </row>
    <row r="10" spans="1:7" x14ac:dyDescent="0.2">
      <c r="A10" t="s">
        <v>260</v>
      </c>
      <c r="B10" t="str">
        <f>IFERROR(INDEX(Audit!$B$4:$B$22,MATCH(A10,Audit!$A$4:$A$22,0)),INDEX(Audit!$AE$4:$AE$22,MATCH(A10,Audit!$AD$4:$AD$22,0)))</f>
        <v>217798</v>
      </c>
      <c r="C10" t="str">
        <f>IFERROR(INDEX(Audit!$AB$4:$AB$22,MATCH(A10,Audit!$A$4:$A$22,0)),INDEX(Audit!$BE$4:$BE$22,MATCH(A10,Audit!$AD$4:$AD$22,0)))</f>
        <v>4.2 deficit weight</v>
      </c>
      <c r="D10" s="9">
        <f>IFERROR(INDEX(Audit!$W$4:$W$22,MATCH(A10,Audit!$A$4:$A$22,0)),INDEX(Audit!$AZ$4:$AZ$22,MATCH(A10,Audit!$AD$4:$AD$22,0)))</f>
        <v>510.16</v>
      </c>
      <c r="E10" s="9">
        <f>IFERROR(INDEX(Audit!$V$4:$V$22,MATCH(A10,Audit!$A$4:$A$22,0)),INDEX(Audit!$AY$4:$AY$22,MATCH(A10,Audit!$AD$4:$AD$22,0)))</f>
        <v>461.57</v>
      </c>
      <c r="F10" s="9">
        <f t="shared" si="0"/>
        <v>48.59</v>
      </c>
      <c r="G10" t="str">
        <f t="shared" si="1"/>
        <v>Claim</v>
      </c>
    </row>
    <row r="11" spans="1:7" x14ac:dyDescent="0.2">
      <c r="A11" t="s">
        <v>267</v>
      </c>
      <c r="B11" t="str">
        <f>IFERROR(INDEX(Audit!$B$4:$B$22,MATCH(A11,Audit!$A$4:$A$22,0)),INDEX(Audit!$AE$4:$AE$22,MATCH(A11,Audit!$AD$4:$AD$22,0)))</f>
        <v>217724</v>
      </c>
      <c r="C11" t="str">
        <f>IFERROR(INDEX(Audit!$AB$4:$AB$22,MATCH(A11,Audit!$A$4:$A$22,0)),INDEX(Audit!$BE$4:$BE$22,MATCH(A11,Audit!$AD$4:$AD$22,0)))</f>
        <v>6.1 accessorial not requested</v>
      </c>
      <c r="D11" s="9">
        <f>IFERROR(INDEX(Audit!$W$4:$W$22,MATCH(A11,Audit!$A$4:$A$22,0)),INDEX(Audit!$AZ$4:$AZ$22,MATCH(A11,Audit!$AD$4:$AD$22,0)))</f>
        <v>426.42</v>
      </c>
      <c r="E11" s="9">
        <f>IFERROR(INDEX(Audit!$V$4:$V$22,MATCH(A11,Audit!$A$4:$A$22,0)),INDEX(Audit!$AY$4:$AY$22,MATCH(A11,Audit!$AD$4:$AD$22,0)))</f>
        <v>351.42</v>
      </c>
      <c r="F11" s="9">
        <f t="shared" si="0"/>
        <v>75</v>
      </c>
      <c r="G11" t="str">
        <f t="shared" si="1"/>
        <v>Claim</v>
      </c>
    </row>
    <row r="12" spans="1:7" x14ac:dyDescent="0.2">
      <c r="A12" t="s">
        <v>277</v>
      </c>
      <c r="B12" t="str">
        <f>IFERROR(INDEX(Audit!$B$4:$B$22,MATCH(A12,Audit!$A$4:$A$22,0)),INDEX(Audit!$AE$4:$AE$22,MATCH(A12,Audit!$AD$4:$AD$22,0)))</f>
        <v>217864</v>
      </c>
      <c r="C12" t="str">
        <f>IFERROR(INDEX(Audit!$AB$4:$AB$22,MATCH(A12,Audit!$A$4:$A$22,0)),INDEX(Audit!$BE$4:$BE$22,MATCH(A12,Audit!$AD$4:$AD$22,0)))</f>
        <v>5.2 fuel week</v>
      </c>
      <c r="D12" s="9">
        <f>IFERROR(INDEX(Audit!$W$4:$W$22,MATCH(A12,Audit!$A$4:$A$22,0)),INDEX(Audit!$AZ$4:$AZ$22,MATCH(A12,Audit!$AD$4:$AD$22,0)))</f>
        <v>358.27</v>
      </c>
      <c r="E12" s="9">
        <f>IFERROR(INDEX(Audit!$V$4:$V$22,MATCH(A12,Audit!$A$4:$A$22,0)),INDEX(Audit!$AY$4:$AY$22,MATCH(A12,Audit!$AD$4:$AD$22,0)))</f>
        <v>359.68</v>
      </c>
      <c r="F12" s="9">
        <f t="shared" si="0"/>
        <v>-1.41</v>
      </c>
      <c r="G12" t="str">
        <f t="shared" si="1"/>
        <v>Report undercharge</v>
      </c>
    </row>
    <row r="13" spans="1:7" x14ac:dyDescent="0.2">
      <c r="A13" t="s">
        <v>280</v>
      </c>
      <c r="B13" t="str">
        <f>IFERROR(INDEX(Audit!$B$4:$B$22,MATCH(A13,Audit!$A$4:$A$22,0)),INDEX(Audit!$AE$4:$AE$22,MATCH(A13,Audit!$AD$4:$AD$22,0)))</f>
        <v>217883</v>
      </c>
      <c r="C13" t="str">
        <f>IFERROR(INDEX(Audit!$AB$4:$AB$22,MATCH(A13,Audit!$A$4:$A$22,0)),INDEX(Audit!$BE$4:$BE$22,MATCH(A13,Audit!$AD$4:$AD$22,0)))</f>
        <v>7.1 duplicate bill</v>
      </c>
      <c r="D13" s="9">
        <f>IFERROR(INDEX(Audit!$W$4:$W$22,MATCH(A13,Audit!$A$4:$A$22,0)),INDEX(Audit!$AZ$4:$AZ$22,MATCH(A13,Audit!$AD$4:$AD$22,0)))</f>
        <v>447.7</v>
      </c>
      <c r="E13" s="9">
        <f>IFERROR(INDEX(Audit!$V$4:$V$22,MATCH(A13,Audit!$A$4:$A$22,0)),INDEX(Audit!$AY$4:$AY$22,MATCH(A13,Audit!$AD$4:$AD$22,0)))</f>
        <v>0</v>
      </c>
      <c r="F13" s="9">
        <f t="shared" si="0"/>
        <v>447.7</v>
      </c>
      <c r="G13" t="str">
        <f t="shared" si="1"/>
        <v>Claim</v>
      </c>
    </row>
    <row r="14" spans="1:7" x14ac:dyDescent="0.2">
      <c r="A14" t="s">
        <v>282</v>
      </c>
      <c r="B14" t="str">
        <f>IFERROR(INDEX(Audit!$B$4:$B$22,MATCH(A14,Audit!$A$4:$A$22,0)),INDEX(Audit!$AE$4:$AE$22,MATCH(A14,Audit!$AD$4:$AD$22,0)))</f>
        <v>217820</v>
      </c>
      <c r="C14" t="str">
        <f>IFERROR(INDEX(Audit!$AB$4:$AB$22,MATCH(A14,Audit!$A$4:$A$22,0)),INDEX(Audit!$BE$4:$BE$22,MATCH(A14,Audit!$AD$4:$AD$22,0)))</f>
        <v>4.5 reweigh</v>
      </c>
      <c r="D14" s="9">
        <f>IFERROR(INDEX(Audit!$W$4:$W$22,MATCH(A14,Audit!$A$4:$A$22,0)),INDEX(Audit!$AZ$4:$AZ$22,MATCH(A14,Audit!$AD$4:$AD$22,0)))</f>
        <v>372.15</v>
      </c>
      <c r="E14" s="9">
        <f>IFERROR(INDEX(Audit!$V$4:$V$22,MATCH(A14,Audit!$A$4:$A$22,0)),INDEX(Audit!$AY$4:$AY$22,MATCH(A14,Audit!$AD$4:$AD$22,0)))</f>
        <v>300.93</v>
      </c>
      <c r="F14" s="9">
        <f t="shared" si="0"/>
        <v>71.22</v>
      </c>
      <c r="G14" t="str">
        <f t="shared" si="1"/>
        <v>Claim</v>
      </c>
    </row>
    <row r="15" spans="1:7" x14ac:dyDescent="0.2">
      <c r="A15" t="s">
        <v>285</v>
      </c>
      <c r="B15" t="str">
        <f>IFERROR(INDEX(Audit!$B$4:$B$22,MATCH(A15,Audit!$A$4:$A$22,0)),INDEX(Audit!$AE$4:$AE$22,MATCH(A15,Audit!$AD$4:$AD$22,0)))</f>
        <v>217888</v>
      </c>
      <c r="C15" t="str">
        <f>IFERROR(INDEX(Audit!$AB$4:$AB$22,MATCH(A15,Audit!$A$4:$A$22,0)),INDEX(Audit!$BE$4:$BE$22,MATCH(A15,Audit!$AD$4:$AD$22,0)))</f>
        <v>5.2 fuel week</v>
      </c>
      <c r="D15" s="9">
        <f>IFERROR(INDEX(Audit!$W$4:$W$22,MATCH(A15,Audit!$A$4:$A$22,0)),INDEX(Audit!$AZ$4:$AZ$22,MATCH(A15,Audit!$AD$4:$AD$22,0)))</f>
        <v>862.47</v>
      </c>
      <c r="E15" s="9">
        <f>IFERROR(INDEX(Audit!$V$4:$V$22,MATCH(A15,Audit!$A$4:$A$22,0)),INDEX(Audit!$AY$4:$AY$22,MATCH(A15,Audit!$AD$4:$AD$22,0)))</f>
        <v>859.46</v>
      </c>
      <c r="F15" s="9">
        <f t="shared" si="0"/>
        <v>3.01</v>
      </c>
      <c r="G15" t="str">
        <f t="shared" si="1"/>
        <v>Claim</v>
      </c>
    </row>
    <row r="16" spans="1:7" x14ac:dyDescent="0.2">
      <c r="A16" t="s">
        <v>288</v>
      </c>
      <c r="B16" t="str">
        <f>IFERROR(INDEX(Audit!$B$4:$B$22,MATCH(A16,Audit!$A$4:$A$22,0)),INDEX(Audit!$AE$4:$AE$22,MATCH(A16,Audit!$AD$4:$AD$22,0)))</f>
        <v>217841</v>
      </c>
      <c r="C16" t="str">
        <f>IFERROR(INDEX(Audit!$AB$4:$AB$22,MATCH(A16,Audit!$A$4:$A$22,0)),INDEX(Audit!$BE$4:$BE$22,MATCH(A16,Audit!$AD$4:$AD$22,0)))</f>
        <v>7.1 duplicate bill</v>
      </c>
      <c r="D16" s="9">
        <f>IFERROR(INDEX(Audit!$W$4:$W$22,MATCH(A16,Audit!$A$4:$A$22,0)),INDEX(Audit!$AZ$4:$AZ$22,MATCH(A16,Audit!$AD$4:$AD$22,0)))</f>
        <v>603.63</v>
      </c>
      <c r="E16" s="9">
        <f>IFERROR(INDEX(Audit!$V$4:$V$22,MATCH(A16,Audit!$A$4:$A$22,0)),INDEX(Audit!$AY$4:$AY$22,MATCH(A16,Audit!$AD$4:$AD$22,0)))</f>
        <v>0</v>
      </c>
      <c r="F16" s="9">
        <f t="shared" si="0"/>
        <v>603.63</v>
      </c>
      <c r="G16" t="str">
        <f t="shared" si="1"/>
        <v>Claim</v>
      </c>
    </row>
    <row r="17" spans="1:6" x14ac:dyDescent="0.2">
      <c r="A17" s="6" t="s">
        <v>337</v>
      </c>
      <c r="D17" s="14">
        <f>ROUND(SUM(D4:D16),2)</f>
        <v>6132.48</v>
      </c>
      <c r="E17" s="14">
        <f>ROUND(SUM(E4:E16),2)</f>
        <v>4702.16</v>
      </c>
      <c r="F17" s="14">
        <f>ROUND(SUM(F4:F16),2)</f>
        <v>1430.32</v>
      </c>
    </row>
    <row r="19" spans="1:6" x14ac:dyDescent="0.2">
      <c r="A19" t="s">
        <v>347</v>
      </c>
      <c r="B19">
        <f>COUNTA(A4:A16)</f>
        <v>13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6"/>
  <sheetViews>
    <sheetView workbookViewId="0"/>
  </sheetViews>
  <sheetFormatPr baseColWidth="10" defaultColWidth="8.83203125" defaultRowHeight="15" x14ac:dyDescent="0.2"/>
  <cols>
    <col min="1" max="1" width="10" customWidth="1"/>
    <col min="2" max="2" width="13" customWidth="1"/>
    <col min="3" max="3" width="14" customWidth="1"/>
    <col min="4" max="5" width="12" customWidth="1"/>
    <col min="6" max="6" width="9" customWidth="1"/>
    <col min="7" max="7" width="60" customWidth="1"/>
  </cols>
  <sheetData>
    <row r="1" spans="1:7" ht="17" x14ac:dyDescent="0.2">
      <c r="A1" s="1" t="s">
        <v>348</v>
      </c>
    </row>
    <row r="3" spans="1:7" x14ac:dyDescent="0.2">
      <c r="A3" s="2" t="s">
        <v>102</v>
      </c>
      <c r="B3" s="2" t="s">
        <v>343</v>
      </c>
      <c r="C3" s="2" t="s">
        <v>349</v>
      </c>
      <c r="D3" s="2" t="s">
        <v>350</v>
      </c>
      <c r="E3" s="2" t="s">
        <v>351</v>
      </c>
      <c r="F3" s="2" t="s">
        <v>352</v>
      </c>
      <c r="G3" s="2" t="s">
        <v>353</v>
      </c>
    </row>
    <row r="4" spans="1:7" x14ac:dyDescent="0.2">
      <c r="A4" t="str">
        <f>IFERROR(INDEX(Audit!$B$4:$B$22,MATCH(B4,Audit!$A$4:$A$22,0)),INDEX(Audit!$AE$4:$AE$22,MATCH(B4,Audit!$AD$4:$AD$22,0)))</f>
        <v>217784</v>
      </c>
      <c r="B4" t="s">
        <v>250</v>
      </c>
      <c r="C4" s="9">
        <f>IFERROR(INDEX(Audit!$W$4:$W$22,MATCH(B4,Audit!$A$4:$A$22,0)),INDEX(Audit!$AZ$4:$AZ$22,MATCH(B4,Audit!$AD$4:$AD$22,0)))</f>
        <v>485.89</v>
      </c>
      <c r="D4" s="9">
        <f>IFERROR(INDEX(Audit!$V$4:$V$22,MATCH(B4,Audit!$A$4:$A$22,0)),INDEX(Audit!$AY$4:$AY$22,MATCH(B4,Audit!$AD$4:$AD$22,0)))</f>
        <v>439.64</v>
      </c>
      <c r="E4" s="9">
        <f t="shared" ref="E4:E13" si="0">ROUND(C4-D4,2)</f>
        <v>46.25</v>
      </c>
      <c r="F4" t="str">
        <f>LEFT(IFERROR(INDEX(Audit!$AB$4:$AB$22,MATCH(B4,Audit!$A$4:$A$22,0)),INDEX(Audit!$BE$4:$BE$22,MATCH(B4,Audit!$AD$4:$AD$22,0))),3)</f>
        <v>4.3</v>
      </c>
      <c r="G4" t="str">
        <f t="shared" ref="G4:G13" si="1">INDEX($B$21:$B$26,MATCH(F4,$A$21:$A$26,0))</f>
        <v>Billed at a class other than the product group class in Exhibit B; no inspection certificate attached</v>
      </c>
    </row>
    <row r="5" spans="1:7" x14ac:dyDescent="0.2">
      <c r="A5" t="str">
        <f>IFERROR(INDEX(Audit!$B$4:$B$22,MATCH(B5,Audit!$A$4:$A$22,0)),INDEX(Audit!$AE$4:$AE$22,MATCH(B5,Audit!$AD$4:$AD$22,0)))</f>
        <v>217792</v>
      </c>
      <c r="B5" t="s">
        <v>255</v>
      </c>
      <c r="C5" s="9">
        <f>IFERROR(INDEX(Audit!$W$4:$W$22,MATCH(B5,Audit!$A$4:$A$22,0)),INDEX(Audit!$AZ$4:$AZ$22,MATCH(B5,Audit!$AD$4:$AD$22,0)))</f>
        <v>193.11</v>
      </c>
      <c r="D5" s="9">
        <f>IFERROR(INDEX(Audit!$V$4:$V$22,MATCH(B5,Audit!$A$4:$A$22,0)),INDEX(Audit!$AY$4:$AY$22,MATCH(B5,Audit!$AD$4:$AD$22,0)))</f>
        <v>169.94</v>
      </c>
      <c r="E5" s="9">
        <f t="shared" si="0"/>
        <v>23.17</v>
      </c>
      <c r="F5" t="str">
        <f>LEFT(IFERROR(INDEX(Audit!$AB$4:$AB$22,MATCH(B5,Audit!$A$4:$A$22,0)),INDEX(Audit!$BE$4:$BE$22,MATCH(B5,Audit!$AD$4:$AD$22,0))),3)</f>
        <v>4.3</v>
      </c>
      <c r="G5" t="str">
        <f t="shared" si="1"/>
        <v>Billed at a class other than the product group class in Exhibit B; no inspection certificate attached</v>
      </c>
    </row>
    <row r="6" spans="1:7" x14ac:dyDescent="0.2">
      <c r="A6" t="str">
        <f>IFERROR(INDEX(Audit!$B$4:$B$22,MATCH(B6,Audit!$A$4:$A$22,0)),INDEX(Audit!$AE$4:$AE$22,MATCH(B6,Audit!$AD$4:$AD$22,0)))</f>
        <v>217861</v>
      </c>
      <c r="B6" t="s">
        <v>256</v>
      </c>
      <c r="C6" s="9">
        <f>IFERROR(INDEX(Audit!$W$4:$W$22,MATCH(B6,Audit!$A$4:$A$22,0)),INDEX(Audit!$AZ$4:$AZ$22,MATCH(B6,Audit!$AD$4:$AD$22,0)))</f>
        <v>310.33</v>
      </c>
      <c r="D6" s="9">
        <f>IFERROR(INDEX(Audit!$V$4:$V$22,MATCH(B6,Audit!$A$4:$A$22,0)),INDEX(Audit!$AY$4:$AY$22,MATCH(B6,Audit!$AD$4:$AD$22,0)))</f>
        <v>235.33</v>
      </c>
      <c r="E6" s="9">
        <f t="shared" si="0"/>
        <v>75</v>
      </c>
      <c r="F6" t="str">
        <f>LEFT(IFERROR(INDEX(Audit!$AB$4:$AB$22,MATCH(B6,Audit!$A$4:$A$22,0)),INDEX(Audit!$BE$4:$BE$22,MATCH(B6,Audit!$AD$4:$AD$22,0))),3)</f>
        <v>6.1</v>
      </c>
      <c r="G6" t="str">
        <f t="shared" si="1"/>
        <v>Accessorial billed that the bill of lading did not request</v>
      </c>
    </row>
    <row r="7" spans="1:7" x14ac:dyDescent="0.2">
      <c r="A7" t="str">
        <f>IFERROR(INDEX(Audit!$B$4:$B$22,MATCH(B7,Audit!$A$4:$A$22,0)),INDEX(Audit!$AE$4:$AE$22,MATCH(B7,Audit!$AD$4:$AD$22,0)))</f>
        <v>217692</v>
      </c>
      <c r="B7" t="s">
        <v>258</v>
      </c>
      <c r="C7" s="9">
        <f>IFERROR(INDEX(Audit!$W$4:$W$22,MATCH(B7,Audit!$A$4:$A$22,0)),INDEX(Audit!$AZ$4:$AZ$22,MATCH(B7,Audit!$AD$4:$AD$22,0)))</f>
        <v>994.51</v>
      </c>
      <c r="D7" s="9">
        <f>IFERROR(INDEX(Audit!$V$4:$V$22,MATCH(B7,Audit!$A$4:$A$22,0)),INDEX(Audit!$AY$4:$AY$22,MATCH(B7,Audit!$AD$4:$AD$22,0)))</f>
        <v>880.58</v>
      </c>
      <c r="E7" s="9">
        <f t="shared" si="0"/>
        <v>113.93</v>
      </c>
      <c r="F7" t="str">
        <f>LEFT(IFERROR(INDEX(Audit!$AB$4:$AB$22,MATCH(B7,Audit!$A$4:$A$22,0)),INDEX(Audit!$BE$4:$BE$22,MATCH(B7,Audit!$AD$4:$AD$22,0))),3)</f>
        <v>4.2</v>
      </c>
      <c r="G7" t="str">
        <f t="shared" si="1"/>
        <v>Rated at the shipment's own break where the next break's minimum weight rates lower</v>
      </c>
    </row>
    <row r="8" spans="1:7" x14ac:dyDescent="0.2">
      <c r="A8" t="str">
        <f>IFERROR(INDEX(Audit!$B$4:$B$22,MATCH(B8,Audit!$A$4:$A$22,0)),INDEX(Audit!$AE$4:$AE$22,MATCH(B8,Audit!$AD$4:$AD$22,0)))</f>
        <v>217798</v>
      </c>
      <c r="B8" t="s">
        <v>260</v>
      </c>
      <c r="C8" s="9">
        <f>IFERROR(INDEX(Audit!$W$4:$W$22,MATCH(B8,Audit!$A$4:$A$22,0)),INDEX(Audit!$AZ$4:$AZ$22,MATCH(B8,Audit!$AD$4:$AD$22,0)))</f>
        <v>510.16</v>
      </c>
      <c r="D8" s="9">
        <f>IFERROR(INDEX(Audit!$V$4:$V$22,MATCH(B8,Audit!$A$4:$A$22,0)),INDEX(Audit!$AY$4:$AY$22,MATCH(B8,Audit!$AD$4:$AD$22,0)))</f>
        <v>461.57</v>
      </c>
      <c r="E8" s="9">
        <f t="shared" si="0"/>
        <v>48.59</v>
      </c>
      <c r="F8" t="str">
        <f>LEFT(IFERROR(INDEX(Audit!$AB$4:$AB$22,MATCH(B8,Audit!$A$4:$A$22,0)),INDEX(Audit!$BE$4:$BE$22,MATCH(B8,Audit!$AD$4:$AD$22,0))),3)</f>
        <v>4.2</v>
      </c>
      <c r="G8" t="str">
        <f t="shared" si="1"/>
        <v>Rated at the shipment's own break where the next break's minimum weight rates lower</v>
      </c>
    </row>
    <row r="9" spans="1:7" x14ac:dyDescent="0.2">
      <c r="A9" t="str">
        <f>IFERROR(INDEX(Audit!$B$4:$B$22,MATCH(B9,Audit!$A$4:$A$22,0)),INDEX(Audit!$AE$4:$AE$22,MATCH(B9,Audit!$AD$4:$AD$22,0)))</f>
        <v>217724</v>
      </c>
      <c r="B9" t="s">
        <v>267</v>
      </c>
      <c r="C9" s="9">
        <f>IFERROR(INDEX(Audit!$W$4:$W$22,MATCH(B9,Audit!$A$4:$A$22,0)),INDEX(Audit!$AZ$4:$AZ$22,MATCH(B9,Audit!$AD$4:$AD$22,0)))</f>
        <v>426.42</v>
      </c>
      <c r="D9" s="9">
        <f>IFERROR(INDEX(Audit!$V$4:$V$22,MATCH(B9,Audit!$A$4:$A$22,0)),INDEX(Audit!$AY$4:$AY$22,MATCH(B9,Audit!$AD$4:$AD$22,0)))</f>
        <v>351.42</v>
      </c>
      <c r="E9" s="9">
        <f t="shared" si="0"/>
        <v>75</v>
      </c>
      <c r="F9" t="str">
        <f>LEFT(IFERROR(INDEX(Audit!$AB$4:$AB$22,MATCH(B9,Audit!$A$4:$A$22,0)),INDEX(Audit!$BE$4:$BE$22,MATCH(B9,Audit!$AD$4:$AD$22,0))),3)</f>
        <v>6.1</v>
      </c>
      <c r="G9" t="str">
        <f t="shared" si="1"/>
        <v>Accessorial billed that the bill of lading did not request</v>
      </c>
    </row>
    <row r="10" spans="1:7" x14ac:dyDescent="0.2">
      <c r="A10" t="str">
        <f>IFERROR(INDEX(Audit!$B$4:$B$22,MATCH(B10,Audit!$A$4:$A$22,0)),INDEX(Audit!$AE$4:$AE$22,MATCH(B10,Audit!$AD$4:$AD$22,0)))</f>
        <v>217883</v>
      </c>
      <c r="B10" t="s">
        <v>280</v>
      </c>
      <c r="C10" s="9">
        <f>IFERROR(INDEX(Audit!$W$4:$W$22,MATCH(B10,Audit!$A$4:$A$22,0)),INDEX(Audit!$AZ$4:$AZ$22,MATCH(B10,Audit!$AD$4:$AD$22,0)))</f>
        <v>447.7</v>
      </c>
      <c r="D10" s="9">
        <f>IFERROR(INDEX(Audit!$V$4:$V$22,MATCH(B10,Audit!$A$4:$A$22,0)),INDEX(Audit!$AY$4:$AY$22,MATCH(B10,Audit!$AD$4:$AD$22,0)))</f>
        <v>0</v>
      </c>
      <c r="E10" s="9">
        <f t="shared" si="0"/>
        <v>447.7</v>
      </c>
      <c r="F10" t="str">
        <f>LEFT(IFERROR(INDEX(Audit!$AB$4:$AB$22,MATCH(B10,Audit!$A$4:$A$22,0)),INDEX(Audit!$BE$4:$BE$22,MATCH(B10,Audit!$AD$4:$AD$22,0))),3)</f>
        <v>7.1</v>
      </c>
      <c r="G10" t="str">
        <f t="shared" si="1"/>
        <v>Second freight bill on a pro number already billed; void under 7.1</v>
      </c>
    </row>
    <row r="11" spans="1:7" x14ac:dyDescent="0.2">
      <c r="A11" t="str">
        <f>IFERROR(INDEX(Audit!$B$4:$B$22,MATCH(B11,Audit!$A$4:$A$22,0)),INDEX(Audit!$AE$4:$AE$22,MATCH(B11,Audit!$AD$4:$AD$22,0)))</f>
        <v>217820</v>
      </c>
      <c r="B11" t="s">
        <v>282</v>
      </c>
      <c r="C11" s="9">
        <f>IFERROR(INDEX(Audit!$W$4:$W$22,MATCH(B11,Audit!$A$4:$A$22,0)),INDEX(Audit!$AZ$4:$AZ$22,MATCH(B11,Audit!$AD$4:$AD$22,0)))</f>
        <v>372.15</v>
      </c>
      <c r="D11" s="9">
        <f>IFERROR(INDEX(Audit!$V$4:$V$22,MATCH(B11,Audit!$A$4:$A$22,0)),INDEX(Audit!$AY$4:$AY$22,MATCH(B11,Audit!$AD$4:$AD$22,0)))</f>
        <v>300.93</v>
      </c>
      <c r="E11" s="9">
        <f t="shared" si="0"/>
        <v>71.22</v>
      </c>
      <c r="F11" t="str">
        <f>LEFT(IFERROR(INDEX(Audit!$AB$4:$AB$22,MATCH(B11,Audit!$A$4:$A$22,0)),INDEX(Audit!$BE$4:$BE$22,MATCH(B11,Audit!$AD$4:$AD$22,0))),3)</f>
        <v>4.5</v>
      </c>
      <c r="G11" t="str">
        <f t="shared" si="1"/>
        <v>Billed weight exceeds the bill of lading weight; no certified scale ticket attached</v>
      </c>
    </row>
    <row r="12" spans="1:7" x14ac:dyDescent="0.2">
      <c r="A12" t="str">
        <f>IFERROR(INDEX(Audit!$B$4:$B$22,MATCH(B12,Audit!$A$4:$A$22,0)),INDEX(Audit!$AE$4:$AE$22,MATCH(B12,Audit!$AD$4:$AD$22,0)))</f>
        <v>217888</v>
      </c>
      <c r="B12" t="s">
        <v>285</v>
      </c>
      <c r="C12" s="9">
        <f>IFERROR(INDEX(Audit!$W$4:$W$22,MATCH(B12,Audit!$A$4:$A$22,0)),INDEX(Audit!$AZ$4:$AZ$22,MATCH(B12,Audit!$AD$4:$AD$22,0)))</f>
        <v>862.47</v>
      </c>
      <c r="D12" s="9">
        <f>IFERROR(INDEX(Audit!$V$4:$V$22,MATCH(B12,Audit!$A$4:$A$22,0)),INDEX(Audit!$AY$4:$AY$22,MATCH(B12,Audit!$AD$4:$AD$22,0)))</f>
        <v>859.46</v>
      </c>
      <c r="E12" s="9">
        <f t="shared" si="0"/>
        <v>3.01</v>
      </c>
      <c r="F12" t="str">
        <f>LEFT(IFERROR(INDEX(Audit!$AB$4:$AB$22,MATCH(B12,Audit!$A$4:$A$22,0)),INDEX(Audit!$BE$4:$BE$22,MATCH(B12,Audit!$AD$4:$AD$22,0))),3)</f>
        <v>5.2</v>
      </c>
      <c r="G12" t="str">
        <f t="shared" si="1"/>
        <v>Fuel surcharge taken from a week other than the pickup week</v>
      </c>
    </row>
    <row r="13" spans="1:7" x14ac:dyDescent="0.2">
      <c r="A13" t="str">
        <f>IFERROR(INDEX(Audit!$B$4:$B$22,MATCH(B13,Audit!$A$4:$A$22,0)),INDEX(Audit!$AE$4:$AE$22,MATCH(B13,Audit!$AD$4:$AD$22,0)))</f>
        <v>217841</v>
      </c>
      <c r="B13" t="s">
        <v>288</v>
      </c>
      <c r="C13" s="9">
        <f>IFERROR(INDEX(Audit!$W$4:$W$22,MATCH(B13,Audit!$A$4:$A$22,0)),INDEX(Audit!$AZ$4:$AZ$22,MATCH(B13,Audit!$AD$4:$AD$22,0)))</f>
        <v>603.63</v>
      </c>
      <c r="D13" s="9">
        <f>IFERROR(INDEX(Audit!$V$4:$V$22,MATCH(B13,Audit!$A$4:$A$22,0)),INDEX(Audit!$AY$4:$AY$22,MATCH(B13,Audit!$AD$4:$AD$22,0)))</f>
        <v>0</v>
      </c>
      <c r="E13" s="9">
        <f t="shared" si="0"/>
        <v>603.63</v>
      </c>
      <c r="F13" t="str">
        <f>LEFT(IFERROR(INDEX(Audit!$AB$4:$AB$22,MATCH(B13,Audit!$A$4:$A$22,0)),INDEX(Audit!$BE$4:$BE$22,MATCH(B13,Audit!$AD$4:$AD$22,0))),3)</f>
        <v>7.1</v>
      </c>
      <c r="G13" t="str">
        <f t="shared" si="1"/>
        <v>Second freight bill on a pro number already billed; void under 7.1</v>
      </c>
    </row>
    <row r="14" spans="1:7" x14ac:dyDescent="0.2">
      <c r="A14" s="6" t="s">
        <v>354</v>
      </c>
      <c r="C14" s="14">
        <f>ROUND(SUM(C4:C13),2)</f>
        <v>5206.37</v>
      </c>
      <c r="D14" s="14">
        <f>ROUND(SUM(D4:D13),2)</f>
        <v>3698.87</v>
      </c>
      <c r="E14" s="14">
        <f>ROUND(SUM(E4:E13),2)</f>
        <v>1507.5</v>
      </c>
    </row>
    <row r="20" spans="1:2" x14ac:dyDescent="0.2">
      <c r="A20" s="6" t="s">
        <v>355</v>
      </c>
    </row>
    <row r="21" spans="1:2" x14ac:dyDescent="0.2">
      <c r="A21" t="s">
        <v>356</v>
      </c>
      <c r="B21" t="s">
        <v>357</v>
      </c>
    </row>
    <row r="22" spans="1:2" x14ac:dyDescent="0.2">
      <c r="A22" t="s">
        <v>358</v>
      </c>
      <c r="B22" t="s">
        <v>359</v>
      </c>
    </row>
    <row r="23" spans="1:2" x14ac:dyDescent="0.2">
      <c r="A23" t="s">
        <v>48</v>
      </c>
      <c r="B23" t="s">
        <v>360</v>
      </c>
    </row>
    <row r="24" spans="1:2" x14ac:dyDescent="0.2">
      <c r="A24" t="s">
        <v>361</v>
      </c>
      <c r="B24" t="s">
        <v>362</v>
      </c>
    </row>
    <row r="25" spans="1:2" x14ac:dyDescent="0.2">
      <c r="A25" t="s">
        <v>363</v>
      </c>
      <c r="B25" t="s">
        <v>364</v>
      </c>
    </row>
    <row r="26" spans="1:2" x14ac:dyDescent="0.2">
      <c r="A26" t="s">
        <v>365</v>
      </c>
      <c r="B26" t="s">
        <v>366</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3"/>
  <sheetViews>
    <sheetView workbookViewId="0"/>
  </sheetViews>
  <sheetFormatPr baseColWidth="10" defaultColWidth="8.83203125" defaultRowHeight="15" x14ac:dyDescent="0.2"/>
  <cols>
    <col min="1" max="1" width="10" customWidth="1"/>
    <col min="2" max="2" width="13" customWidth="1"/>
    <col min="3" max="3" width="14" customWidth="1"/>
    <col min="4" max="5" width="12" customWidth="1"/>
    <col min="6" max="6" width="9" customWidth="1"/>
    <col min="7" max="7" width="60" customWidth="1"/>
  </cols>
  <sheetData>
    <row r="1" spans="1:7" ht="17" x14ac:dyDescent="0.2">
      <c r="A1" s="1" t="s">
        <v>367</v>
      </c>
    </row>
    <row r="3" spans="1:7" x14ac:dyDescent="0.2">
      <c r="A3" s="2" t="s">
        <v>102</v>
      </c>
      <c r="B3" s="2" t="s">
        <v>343</v>
      </c>
      <c r="C3" s="2" t="s">
        <v>349</v>
      </c>
      <c r="D3" s="2" t="s">
        <v>350</v>
      </c>
      <c r="E3" s="2" t="s">
        <v>368</v>
      </c>
      <c r="F3" s="2" t="s">
        <v>352</v>
      </c>
      <c r="G3" s="2" t="s">
        <v>353</v>
      </c>
    </row>
    <row r="4" spans="1:7" x14ac:dyDescent="0.2">
      <c r="A4" t="str">
        <f>IFERROR(INDEX(Audit!$B$4:$B$22,MATCH(B4,Audit!$A$4:$A$22,0)),INDEX(Audit!$AE$4:$AE$22,MATCH(B4,Audit!$AD$4:$AD$22,0)))</f>
        <v>217738</v>
      </c>
      <c r="B4" t="s">
        <v>244</v>
      </c>
      <c r="C4" s="9">
        <f>IFERROR(INDEX(Audit!$W$4:$W$22,MATCH(B4,Audit!$A$4:$A$22,0)),INDEX(Audit!$AZ$4:$AZ$22,MATCH(B4,Audit!$AD$4:$AD$22,0)))</f>
        <v>213.18</v>
      </c>
      <c r="D4" s="9">
        <f>IFERROR(INDEX(Audit!$V$4:$V$22,MATCH(B4,Audit!$A$4:$A$22,0)),INDEX(Audit!$AY$4:$AY$22,MATCH(B4,Audit!$AD$4:$AD$22,0)))</f>
        <v>288.18</v>
      </c>
      <c r="E4" s="9">
        <f>ROUND(D4-C4,2)</f>
        <v>75</v>
      </c>
      <c r="F4" t="str">
        <f>LEFT(IFERROR(INDEX(Audit!$AB$4:$AB$22,MATCH(B4,Audit!$A$4:$A$22,0)),INDEX(Audit!$BE$4:$BE$22,MATCH(B4,Audit!$AD$4:$AD$22,0))),3)</f>
        <v>6.1</v>
      </c>
      <c r="G4" t="str">
        <f>INDEX($B$12:$B$13,MATCH(F4,$A$12:$A$13,0))</f>
        <v>Accessorial the bill of lading requested was not billed</v>
      </c>
    </row>
    <row r="5" spans="1:7" x14ac:dyDescent="0.2">
      <c r="A5" t="str">
        <f>IFERROR(INDEX(Audit!$B$4:$B$22,MATCH(B5,Audit!$A$4:$A$22,0)),INDEX(Audit!$AE$4:$AE$22,MATCH(B5,Audit!$AD$4:$AD$22,0)))</f>
        <v>217703</v>
      </c>
      <c r="B5" t="s">
        <v>247</v>
      </c>
      <c r="C5" s="9">
        <f>IFERROR(INDEX(Audit!$W$4:$W$22,MATCH(B5,Audit!$A$4:$A$22,0)),INDEX(Audit!$AZ$4:$AZ$22,MATCH(B5,Audit!$AD$4:$AD$22,0)))</f>
        <v>354.66</v>
      </c>
      <c r="D5" s="9">
        <f>IFERROR(INDEX(Audit!$V$4:$V$22,MATCH(B5,Audit!$A$4:$A$22,0)),INDEX(Audit!$AY$4:$AY$22,MATCH(B5,Audit!$AD$4:$AD$22,0)))</f>
        <v>355.43</v>
      </c>
      <c r="E5" s="9">
        <f>ROUND(D5-C5,2)</f>
        <v>0.77</v>
      </c>
      <c r="F5" t="str">
        <f>LEFT(IFERROR(INDEX(Audit!$AB$4:$AB$22,MATCH(B5,Audit!$A$4:$A$22,0)),INDEX(Audit!$BE$4:$BE$22,MATCH(B5,Audit!$AD$4:$AD$22,0))),3)</f>
        <v>5.2</v>
      </c>
      <c r="G5" t="str">
        <f>INDEX($B$12:$B$13,MATCH(F5,$A$12:$A$13,0))</f>
        <v>Fuel surcharge taken from a week other than the pickup week</v>
      </c>
    </row>
    <row r="6" spans="1:7" x14ac:dyDescent="0.2">
      <c r="A6" t="str">
        <f>IFERROR(INDEX(Audit!$B$4:$B$22,MATCH(B6,Audit!$A$4:$A$22,0)),INDEX(Audit!$AE$4:$AE$22,MATCH(B6,Audit!$AD$4:$AD$22,0)))</f>
        <v>217864</v>
      </c>
      <c r="B6" t="s">
        <v>277</v>
      </c>
      <c r="C6" s="9">
        <f>IFERROR(INDEX(Audit!$W$4:$W$22,MATCH(B6,Audit!$A$4:$A$22,0)),INDEX(Audit!$AZ$4:$AZ$22,MATCH(B6,Audit!$AD$4:$AD$22,0)))</f>
        <v>358.27</v>
      </c>
      <c r="D6" s="9">
        <f>IFERROR(INDEX(Audit!$V$4:$V$22,MATCH(B6,Audit!$A$4:$A$22,0)),INDEX(Audit!$AY$4:$AY$22,MATCH(B6,Audit!$AD$4:$AD$22,0)))</f>
        <v>359.68</v>
      </c>
      <c r="E6" s="9">
        <f>ROUND(D6-C6,2)</f>
        <v>1.41</v>
      </c>
      <c r="F6" t="str">
        <f>LEFT(IFERROR(INDEX(Audit!$AB$4:$AB$22,MATCH(B6,Audit!$A$4:$A$22,0)),INDEX(Audit!$BE$4:$BE$22,MATCH(B6,Audit!$AD$4:$AD$22,0))),3)</f>
        <v>5.2</v>
      </c>
      <c r="G6" t="str">
        <f>INDEX($B$12:$B$13,MATCH(F6,$A$12:$A$13,0))</f>
        <v>Fuel surcharge taken from a week other than the pickup week</v>
      </c>
    </row>
    <row r="7" spans="1:7" x14ac:dyDescent="0.2">
      <c r="A7" s="6" t="s">
        <v>369</v>
      </c>
      <c r="C7" s="14">
        <f>ROUND(SUM(C4:C6),2)</f>
        <v>926.11</v>
      </c>
      <c r="D7" s="14">
        <f>ROUND(SUM(D4:D6),2)</f>
        <v>1003.29</v>
      </c>
      <c r="E7" s="14">
        <f>ROUND(SUM(E4:E6),2)</f>
        <v>77.18</v>
      </c>
    </row>
    <row r="11" spans="1:7" x14ac:dyDescent="0.2">
      <c r="A11" s="6" t="s">
        <v>355</v>
      </c>
    </row>
    <row r="12" spans="1:7" x14ac:dyDescent="0.2">
      <c r="A12" t="s">
        <v>365</v>
      </c>
      <c r="B12" t="s">
        <v>370</v>
      </c>
    </row>
    <row r="13" spans="1:7" x14ac:dyDescent="0.2">
      <c r="A13" t="s">
        <v>363</v>
      </c>
      <c r="B13" t="s">
        <v>364</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10"/>
  <sheetViews>
    <sheetView workbookViewId="0"/>
  </sheetViews>
  <sheetFormatPr baseColWidth="10" defaultColWidth="8.83203125" defaultRowHeight="15" x14ac:dyDescent="0.2"/>
  <cols>
    <col min="1" max="1" width="120" customWidth="1"/>
  </cols>
  <sheetData>
    <row r="1" spans="1:1" ht="17" x14ac:dyDescent="0.2">
      <c r="A1" s="1" t="s">
        <v>371</v>
      </c>
    </row>
    <row r="3" spans="1:1" ht="48" x14ac:dyDescent="0.2">
      <c r="A3" s="10" t="s">
        <v>372</v>
      </c>
    </row>
    <row r="4" spans="1:1" ht="64" x14ac:dyDescent="0.2">
      <c r="A4" s="10" t="s">
        <v>373</v>
      </c>
    </row>
    <row r="5" spans="1:1" ht="64" x14ac:dyDescent="0.2">
      <c r="A5" s="10" t="s">
        <v>374</v>
      </c>
    </row>
    <row r="6" spans="1:1" ht="48" x14ac:dyDescent="0.2">
      <c r="A6" s="10" t="s">
        <v>375</v>
      </c>
    </row>
    <row r="7" spans="1:1" ht="48" x14ac:dyDescent="0.2">
      <c r="A7" s="10" t="s">
        <v>376</v>
      </c>
    </row>
    <row r="8" spans="1:1" ht="48" x14ac:dyDescent="0.2">
      <c r="A8" s="10" t="s">
        <v>377</v>
      </c>
    </row>
    <row r="9" spans="1:1" ht="80" x14ac:dyDescent="0.2">
      <c r="A9" s="10" t="s">
        <v>378</v>
      </c>
    </row>
    <row r="10" spans="1:1" ht="80" x14ac:dyDescent="0.2">
      <c r="A10" s="10" t="s">
        <v>379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Summary</vt:lpstr>
      <vt:lpstr>Terms</vt:lpstr>
      <vt:lpstr>Tariff</vt:lpstr>
      <vt:lpstr>Fuel Index</vt:lpstr>
      <vt:lpstr>BOL</vt:lpstr>
      <vt:lpstr>Invoices</vt:lpstr>
      <vt:lpstr>Audit</vt:lpstr>
      <vt:lpstr>Exceptions</vt:lpstr>
      <vt:lpstr>Claim Schedule</vt:lpstr>
      <vt:lpstr>Undercharges</vt:lpstr>
      <vt:lpstr>Note to Ingrid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dc:creator xmlns:dc="http://purl.org/dc/elements/1.1/">Halvorsen Building Products</dc:creator>
  <dc:title xmlns:dc="http://purl.org/dc/elements/1.1/">Northline freight bill audit, September 2026</dc:title>
  <dcterms:created xmlns:dcterms="http://purl.org/dc/terms/" xmlns:xsi="http://www.w3.org/2001/XMLSchema-instance" xsi:type="dcterms:W3CDTF">2026-10-12T07:48:15Z</dcterms:created>
  <dcterms:modified xmlns:dcterms="http://purl.org/dc/terms/" xmlns:xsi="http://www.w3.org/2001/XMLSchema-instance" xsi:type="dcterms:W3CDTF">2026-10-16T09:31:42Z</dcterms:modified>
  <cp:lastModifiedBy>Halvorsen Building Products</cp:lastModifiedBy>
</cp:coreProperties>
</file>