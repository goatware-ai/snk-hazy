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xr:revisionPtr revIDLastSave="0" documentId="13_ncr:1_{E4AEFC6E-E726-E24C-8638-9CEEE7563624}" xr6:coauthVersionLast="47" xr6:coauthVersionMax="47" xr10:uidLastSave="{00000000-0000-0000-0000-000000000000}"/>
  <bookViews>
    <workbookView xWindow="0" yWindow="0" windowWidth="21600" windowHeight="38400" xr2:uid="{00000000-000D-0000-FFFF-FFFF00000000}"/>
  </bookViews>
  <sheets>
    <sheet name="Summary" sheetId="1" r:id="rId1"/>
    <sheet name="Terms" sheetId="2" r:id="rId2"/>
    <sheet name="Tariff" sheetId="3" r:id="rId3"/>
    <sheet name="Fuel Index" sheetId="4" r:id="rId4"/>
    <sheet name="BOL" sheetId="5" r:id="rId5"/>
    <sheet name="Invoices" sheetId="6" r:id="rId6"/>
    <sheet name="Billing File" sheetId="7" r:id="rId7"/>
    <sheet name="Confirmations" sheetId="8" r:id="rId8"/>
    <sheet name="Corrections" sheetId="9" r:id="rId9"/>
    <sheet name="Pro Matches" sheetId="10" r:id="rId10"/>
    <sheet name="Audit" sheetId="11" r:id="rId11"/>
    <sheet name="Exceptions" sheetId="12" r:id="rId12"/>
    <sheet name="Claim Schedule" sheetId="13" r:id="rId13"/>
    <sheet name="Undercharges" sheetId="14" r:id="rId14"/>
    <sheet name="Note to Ingrid"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4" l="1"/>
  <c r="C7" i="14"/>
  <c r="I7" i="14" s="1"/>
  <c r="J7" i="14" s="1"/>
  <c r="D6" i="14"/>
  <c r="C6" i="14"/>
  <c r="I6" i="14" s="1"/>
  <c r="J6" i="14" s="1"/>
  <c r="D5" i="14"/>
  <c r="C5" i="14"/>
  <c r="I5" i="14" s="1"/>
  <c r="J5" i="14" s="1"/>
  <c r="D4" i="14"/>
  <c r="D8" i="14" s="1"/>
  <c r="C4" i="14"/>
  <c r="I4" i="14" s="1"/>
  <c r="J4" i="14" s="1"/>
  <c r="B15" i="1" s="1"/>
  <c r="C19" i="13"/>
  <c r="C18" i="13"/>
  <c r="C17" i="13"/>
  <c r="C16" i="13"/>
  <c r="C15" i="13"/>
  <c r="C14" i="13"/>
  <c r="C13" i="13"/>
  <c r="C12" i="13"/>
  <c r="C11" i="13"/>
  <c r="C10" i="13"/>
  <c r="C9" i="13"/>
  <c r="C8" i="13"/>
  <c r="C7" i="13"/>
  <c r="C6" i="13"/>
  <c r="C5" i="13"/>
  <c r="C4" i="13"/>
  <c r="B26" i="12"/>
  <c r="D23" i="12"/>
  <c r="D22" i="12"/>
  <c r="D21" i="12"/>
  <c r="D20" i="12"/>
  <c r="D19" i="12"/>
  <c r="D18" i="12"/>
  <c r="D17" i="12"/>
  <c r="D16" i="12"/>
  <c r="D15" i="12"/>
  <c r="D14" i="12"/>
  <c r="D13" i="12"/>
  <c r="D12" i="12"/>
  <c r="D11" i="12"/>
  <c r="D10" i="12"/>
  <c r="D9" i="12"/>
  <c r="D8" i="12"/>
  <c r="D7" i="12"/>
  <c r="D6" i="12"/>
  <c r="D5" i="12"/>
  <c r="D4" i="12"/>
  <c r="AK27" i="11"/>
  <c r="CI26" i="11"/>
  <c r="CH26" i="11"/>
  <c r="CG26" i="11"/>
  <c r="CF26" i="11"/>
  <c r="CD26" i="11"/>
  <c r="BG26" i="11"/>
  <c r="BC26" i="11"/>
  <c r="AU26" i="11"/>
  <c r="AV26" i="11" s="1"/>
  <c r="AT26" i="11"/>
  <c r="AP26" i="11"/>
  <c r="AO26" i="11"/>
  <c r="AN26" i="11"/>
  <c r="AM26" i="11"/>
  <c r="AK26" i="11"/>
  <c r="N26" i="11"/>
  <c r="J26" i="11"/>
  <c r="B26" i="11"/>
  <c r="C26" i="11" s="1"/>
  <c r="A26" i="11"/>
  <c r="CI25" i="11"/>
  <c r="CH25" i="11"/>
  <c r="CG25" i="11"/>
  <c r="CF25" i="11"/>
  <c r="CD25" i="11"/>
  <c r="BG25" i="11"/>
  <c r="BC25" i="11"/>
  <c r="AU25" i="11"/>
  <c r="AV25" i="11" s="1"/>
  <c r="AT25" i="11"/>
  <c r="AP25" i="11"/>
  <c r="AO25" i="11"/>
  <c r="AN25" i="11"/>
  <c r="AM25" i="11"/>
  <c r="AK25" i="11"/>
  <c r="N25" i="11"/>
  <c r="J25" i="11"/>
  <c r="B25" i="11"/>
  <c r="C25" i="11" s="1"/>
  <c r="A25" i="11"/>
  <c r="CI24" i="11"/>
  <c r="CH24" i="11"/>
  <c r="CG24" i="11"/>
  <c r="CF24" i="11"/>
  <c r="CD24" i="11"/>
  <c r="BG24" i="11"/>
  <c r="BC24" i="11"/>
  <c r="AU24" i="11"/>
  <c r="AV24" i="11" s="1"/>
  <c r="AT24" i="11"/>
  <c r="AP24" i="11"/>
  <c r="AO24" i="11"/>
  <c r="AN24" i="11"/>
  <c r="AM24" i="11"/>
  <c r="AK24" i="11"/>
  <c r="N24" i="11"/>
  <c r="J24" i="11"/>
  <c r="B24" i="11"/>
  <c r="C24" i="11" s="1"/>
  <c r="A24" i="11"/>
  <c r="CI23" i="11"/>
  <c r="CH23" i="11"/>
  <c r="CG23" i="11"/>
  <c r="CF23" i="11"/>
  <c r="CD23" i="11"/>
  <c r="BG23" i="11"/>
  <c r="BC23" i="11"/>
  <c r="AU23" i="11"/>
  <c r="AV23" i="11" s="1"/>
  <c r="AT23" i="11"/>
  <c r="AP23" i="11"/>
  <c r="AO23" i="11"/>
  <c r="AN23" i="11"/>
  <c r="AM23" i="11"/>
  <c r="AK23" i="11"/>
  <c r="N23" i="11"/>
  <c r="J23" i="11"/>
  <c r="B23" i="11"/>
  <c r="C23" i="11" s="1"/>
  <c r="A23" i="11"/>
  <c r="CI22" i="11"/>
  <c r="CH22" i="11"/>
  <c r="CG22" i="11"/>
  <c r="CF22" i="11"/>
  <c r="CD22" i="11"/>
  <c r="BG22" i="11"/>
  <c r="BC22" i="11"/>
  <c r="AU22" i="11"/>
  <c r="AV22" i="11" s="1"/>
  <c r="AT22" i="11"/>
  <c r="AP22" i="11"/>
  <c r="AO22" i="11"/>
  <c r="AN22" i="11"/>
  <c r="AM22" i="11"/>
  <c r="AK22" i="11"/>
  <c r="N22" i="11"/>
  <c r="J22" i="11"/>
  <c r="B22" i="11"/>
  <c r="C22" i="11" s="1"/>
  <c r="A22" i="11"/>
  <c r="CI21" i="11"/>
  <c r="CH21" i="11"/>
  <c r="CG21" i="11"/>
  <c r="CF21" i="11"/>
  <c r="CD21" i="11"/>
  <c r="BG21" i="11"/>
  <c r="BC21" i="11"/>
  <c r="AU21" i="11"/>
  <c r="AV21" i="11" s="1"/>
  <c r="AT21" i="11"/>
  <c r="AP21" i="11"/>
  <c r="AO21" i="11"/>
  <c r="AN21" i="11"/>
  <c r="AM21" i="11"/>
  <c r="AK21" i="11"/>
  <c r="N21" i="11"/>
  <c r="J21" i="11"/>
  <c r="B21" i="11"/>
  <c r="C21" i="11" s="1"/>
  <c r="A21" i="11"/>
  <c r="CI20" i="11"/>
  <c r="CH20" i="11"/>
  <c r="CG20" i="11"/>
  <c r="CF20" i="11"/>
  <c r="CD20" i="11"/>
  <c r="BG20" i="11"/>
  <c r="BC20" i="11"/>
  <c r="AU20" i="11"/>
  <c r="AV20" i="11" s="1"/>
  <c r="AT20" i="11"/>
  <c r="AP20" i="11"/>
  <c r="AO20" i="11"/>
  <c r="AN20" i="11"/>
  <c r="AM20" i="11"/>
  <c r="AK20" i="11"/>
  <c r="N20" i="11"/>
  <c r="J20" i="11"/>
  <c r="B20" i="11"/>
  <c r="C20" i="11" s="1"/>
  <c r="A20" i="11"/>
  <c r="CI19" i="11"/>
  <c r="CH19" i="11"/>
  <c r="CG19" i="11"/>
  <c r="CF19" i="11"/>
  <c r="CD19" i="11"/>
  <c r="BG19" i="11"/>
  <c r="BC19" i="11"/>
  <c r="AU19" i="11"/>
  <c r="AV19" i="11" s="1"/>
  <c r="AT19" i="11"/>
  <c r="AP19" i="11"/>
  <c r="AO19" i="11"/>
  <c r="AN19" i="11"/>
  <c r="AM19" i="11"/>
  <c r="AK19" i="11"/>
  <c r="N19" i="11"/>
  <c r="J19" i="11"/>
  <c r="B19" i="11"/>
  <c r="C19" i="11" s="1"/>
  <c r="A19" i="11"/>
  <c r="CI18" i="11"/>
  <c r="CH18" i="11"/>
  <c r="CG18" i="11"/>
  <c r="CF18" i="11"/>
  <c r="CD18" i="11"/>
  <c r="BG18" i="11"/>
  <c r="BC18" i="11"/>
  <c r="AU18" i="11"/>
  <c r="AV18" i="11" s="1"/>
  <c r="AT18" i="11"/>
  <c r="AP18" i="11"/>
  <c r="AO18" i="11"/>
  <c r="AN18" i="11"/>
  <c r="AM18" i="11"/>
  <c r="AK18" i="11"/>
  <c r="N18" i="11"/>
  <c r="J18" i="11"/>
  <c r="B18" i="11"/>
  <c r="C18" i="11" s="1"/>
  <c r="A18" i="11"/>
  <c r="CI17" i="11"/>
  <c r="CH17" i="11"/>
  <c r="CG17" i="11"/>
  <c r="CF17" i="11"/>
  <c r="CD17" i="11"/>
  <c r="BG17" i="11"/>
  <c r="BC17" i="11"/>
  <c r="AU17" i="11"/>
  <c r="AV17" i="11" s="1"/>
  <c r="AT17" i="11"/>
  <c r="AP17" i="11"/>
  <c r="AO17" i="11"/>
  <c r="AN17" i="11"/>
  <c r="AM17" i="11"/>
  <c r="AK17" i="11"/>
  <c r="N17" i="11"/>
  <c r="J17" i="11"/>
  <c r="B17" i="11"/>
  <c r="C17" i="11" s="1"/>
  <c r="A17" i="11"/>
  <c r="CI16" i="11"/>
  <c r="CH16" i="11"/>
  <c r="CG16" i="11"/>
  <c r="CF16" i="11"/>
  <c r="CD16" i="11"/>
  <c r="BG16" i="11"/>
  <c r="BC16" i="11"/>
  <c r="AU16" i="11"/>
  <c r="AV16" i="11" s="1"/>
  <c r="AT16" i="11"/>
  <c r="AP16" i="11"/>
  <c r="AO16" i="11"/>
  <c r="AN16" i="11"/>
  <c r="AM16" i="11"/>
  <c r="AK16" i="11"/>
  <c r="N16" i="11"/>
  <c r="J16" i="11"/>
  <c r="B16" i="11"/>
  <c r="C16" i="11" s="1"/>
  <c r="A16" i="11"/>
  <c r="CI15" i="11"/>
  <c r="CH15" i="11"/>
  <c r="CG15" i="11"/>
  <c r="CF15" i="11"/>
  <c r="CD15" i="11"/>
  <c r="BG15" i="11"/>
  <c r="BC15" i="11"/>
  <c r="AU15" i="11"/>
  <c r="AV15" i="11" s="1"/>
  <c r="AT15" i="11"/>
  <c r="AP15" i="11"/>
  <c r="AO15" i="11"/>
  <c r="AN15" i="11"/>
  <c r="AM15" i="11"/>
  <c r="AK15" i="11"/>
  <c r="N15" i="11"/>
  <c r="J15" i="11"/>
  <c r="B15" i="11"/>
  <c r="C15" i="11" s="1"/>
  <c r="A15" i="11"/>
  <c r="CI14" i="11"/>
  <c r="CH14" i="11"/>
  <c r="CG14" i="11"/>
  <c r="CF14" i="11"/>
  <c r="CD14" i="11"/>
  <c r="BG14" i="11"/>
  <c r="BC14" i="11"/>
  <c r="AU14" i="11"/>
  <c r="AV14" i="11" s="1"/>
  <c r="AT14" i="11"/>
  <c r="AP14" i="11"/>
  <c r="AO14" i="11"/>
  <c r="AN14" i="11"/>
  <c r="AM14" i="11"/>
  <c r="AK14" i="11"/>
  <c r="N14" i="11"/>
  <c r="J14" i="11"/>
  <c r="B14" i="11"/>
  <c r="C14" i="11" s="1"/>
  <c r="A14" i="11"/>
  <c r="CI13" i="11"/>
  <c r="CH13" i="11"/>
  <c r="CG13" i="11"/>
  <c r="CF13" i="11"/>
  <c r="CD13" i="11"/>
  <c r="BG13" i="11"/>
  <c r="BC13" i="11"/>
  <c r="AU13" i="11"/>
  <c r="AV13" i="11" s="1"/>
  <c r="AT13" i="11"/>
  <c r="AP13" i="11"/>
  <c r="AO13" i="11"/>
  <c r="AN13" i="11"/>
  <c r="AM13" i="11"/>
  <c r="AK13" i="11"/>
  <c r="N13" i="11"/>
  <c r="J13" i="11"/>
  <c r="B13" i="11"/>
  <c r="C13" i="11" s="1"/>
  <c r="A13" i="11"/>
  <c r="CI12" i="11"/>
  <c r="CH12" i="11"/>
  <c r="CG12" i="11"/>
  <c r="CF12" i="11"/>
  <c r="CD12" i="11"/>
  <c r="BG12" i="11"/>
  <c r="BC12" i="11"/>
  <c r="AU12" i="11"/>
  <c r="AV12" i="11" s="1"/>
  <c r="AT12" i="11"/>
  <c r="AP12" i="11"/>
  <c r="AO12" i="11"/>
  <c r="AN12" i="11"/>
  <c r="AM12" i="11"/>
  <c r="AK12" i="11"/>
  <c r="N12" i="11"/>
  <c r="J12" i="11"/>
  <c r="B12" i="11"/>
  <c r="C12" i="11" s="1"/>
  <c r="A12" i="11"/>
  <c r="CI11" i="11"/>
  <c r="CH11" i="11"/>
  <c r="CG11" i="11"/>
  <c r="CF11" i="11"/>
  <c r="CD11" i="11"/>
  <c r="BG11" i="11"/>
  <c r="BC11" i="11"/>
  <c r="AU11" i="11"/>
  <c r="AV11" i="11" s="1"/>
  <c r="AT11" i="11"/>
  <c r="AP11" i="11"/>
  <c r="AO11" i="11"/>
  <c r="AN11" i="11"/>
  <c r="AM11" i="11"/>
  <c r="AK11" i="11"/>
  <c r="N11" i="11"/>
  <c r="J11" i="11"/>
  <c r="B11" i="11"/>
  <c r="C11" i="11" s="1"/>
  <c r="A11" i="11"/>
  <c r="CI10" i="11"/>
  <c r="CH10" i="11"/>
  <c r="CG10" i="11"/>
  <c r="CF10" i="11"/>
  <c r="CD10" i="11"/>
  <c r="BG10" i="11"/>
  <c r="BC10" i="11"/>
  <c r="AU10" i="11"/>
  <c r="AV10" i="11" s="1"/>
  <c r="AT10" i="11"/>
  <c r="AP10" i="11"/>
  <c r="AO10" i="11"/>
  <c r="AN10" i="11"/>
  <c r="AM10" i="11"/>
  <c r="AK10" i="11"/>
  <c r="N10" i="11"/>
  <c r="J10" i="11"/>
  <c r="B10" i="11"/>
  <c r="C10" i="11" s="1"/>
  <c r="A10" i="11"/>
  <c r="CI9" i="11"/>
  <c r="CH9" i="11"/>
  <c r="CG9" i="11"/>
  <c r="CF9" i="11"/>
  <c r="CD9" i="11"/>
  <c r="BG9" i="11"/>
  <c r="BC9" i="11"/>
  <c r="AU9" i="11"/>
  <c r="AV9" i="11" s="1"/>
  <c r="AT9" i="11"/>
  <c r="AP9" i="11"/>
  <c r="AO9" i="11"/>
  <c r="AN9" i="11"/>
  <c r="AM9" i="11"/>
  <c r="AK9" i="11"/>
  <c r="N9" i="11"/>
  <c r="J9" i="11"/>
  <c r="B9" i="11"/>
  <c r="C9" i="11" s="1"/>
  <c r="A9" i="11"/>
  <c r="CI8" i="11"/>
  <c r="CH8" i="11"/>
  <c r="CG8" i="11"/>
  <c r="CF8" i="11"/>
  <c r="CD8" i="11"/>
  <c r="BG8" i="11"/>
  <c r="BC8" i="11"/>
  <c r="AU8" i="11"/>
  <c r="AV8" i="11" s="1"/>
  <c r="AT8" i="11"/>
  <c r="AP8" i="11"/>
  <c r="AO8" i="11"/>
  <c r="AN8" i="11"/>
  <c r="AM8" i="11"/>
  <c r="AK8" i="11"/>
  <c r="N8" i="11"/>
  <c r="J8" i="11"/>
  <c r="B8" i="11"/>
  <c r="C8" i="11" s="1"/>
  <c r="A8" i="11"/>
  <c r="CI7" i="11"/>
  <c r="CH7" i="11"/>
  <c r="CG7" i="11"/>
  <c r="CF7" i="11"/>
  <c r="CD7" i="11"/>
  <c r="BG7" i="11"/>
  <c r="BC7" i="11"/>
  <c r="AU7" i="11"/>
  <c r="AV7" i="11" s="1"/>
  <c r="AT7" i="11"/>
  <c r="AP7" i="11"/>
  <c r="AO7" i="11"/>
  <c r="AN7" i="11"/>
  <c r="AM7" i="11"/>
  <c r="AK7" i="11"/>
  <c r="N7" i="11"/>
  <c r="J7" i="11"/>
  <c r="B7" i="11"/>
  <c r="C7" i="11" s="1"/>
  <c r="A7" i="11"/>
  <c r="CI6" i="11"/>
  <c r="CH6" i="11"/>
  <c r="CG6" i="11"/>
  <c r="CF6" i="11"/>
  <c r="CD6" i="11"/>
  <c r="BG6" i="11"/>
  <c r="BC6" i="11"/>
  <c r="AU6" i="11"/>
  <c r="AV6" i="11" s="1"/>
  <c r="AT6" i="11"/>
  <c r="AP6" i="11"/>
  <c r="AO6" i="11"/>
  <c r="AN6" i="11"/>
  <c r="AM6" i="11"/>
  <c r="AK6" i="11"/>
  <c r="N6" i="11"/>
  <c r="J6" i="11"/>
  <c r="B6" i="11"/>
  <c r="C6" i="11" s="1"/>
  <c r="A6" i="11"/>
  <c r="CI5" i="11"/>
  <c r="CH5" i="11"/>
  <c r="CG5" i="11"/>
  <c r="CF5" i="11"/>
  <c r="CD5" i="11"/>
  <c r="BG5" i="11"/>
  <c r="BC5" i="11"/>
  <c r="AU5" i="11"/>
  <c r="AV5" i="11" s="1"/>
  <c r="AT5" i="11"/>
  <c r="AP5" i="11"/>
  <c r="AO5" i="11"/>
  <c r="AN5" i="11"/>
  <c r="AM5" i="11"/>
  <c r="AK5" i="11"/>
  <c r="N5" i="11"/>
  <c r="J5" i="11"/>
  <c r="B5" i="11"/>
  <c r="C5" i="11" s="1"/>
  <c r="A5" i="11"/>
  <c r="CI4" i="11"/>
  <c r="CH4" i="11"/>
  <c r="CG4" i="11"/>
  <c r="CF4" i="11"/>
  <c r="CD4" i="11"/>
  <c r="BG4" i="11"/>
  <c r="BC4" i="11"/>
  <c r="AU4" i="11"/>
  <c r="AV4" i="11" s="1"/>
  <c r="AT4" i="11"/>
  <c r="AP4" i="11"/>
  <c r="AO4" i="11"/>
  <c r="AN4" i="11"/>
  <c r="AM4" i="11"/>
  <c r="AK4" i="11"/>
  <c r="N4" i="11"/>
  <c r="J4" i="11"/>
  <c r="B4" i="11"/>
  <c r="C4" i="11" s="1"/>
  <c r="A4" i="11"/>
  <c r="G7" i="8"/>
  <c r="F7" i="8"/>
  <c r="H7" i="8" s="1"/>
  <c r="G6" i="8"/>
  <c r="F6" i="8"/>
  <c r="H6" i="8" s="1"/>
  <c r="G5" i="8"/>
  <c r="F5" i="8"/>
  <c r="H5" i="8" s="1"/>
  <c r="G4" i="8"/>
  <c r="F4" i="8"/>
  <c r="H4" i="8" s="1"/>
  <c r="C16" i="4"/>
  <c r="C15" i="4"/>
  <c r="C14" i="4"/>
  <c r="C13" i="4"/>
  <c r="C12" i="4"/>
  <c r="C11" i="4"/>
  <c r="C10" i="4"/>
  <c r="C9" i="4"/>
  <c r="C8" i="4"/>
  <c r="C7" i="4"/>
  <c r="C6" i="4"/>
  <c r="C5" i="4"/>
  <c r="C4" i="4"/>
  <c r="B19" i="1"/>
  <c r="B16" i="1"/>
  <c r="B14" i="1"/>
  <c r="B13" i="1"/>
  <c r="B7" i="1"/>
  <c r="B6" i="1"/>
  <c r="B17" i="1" s="1"/>
  <c r="C20" i="13" l="1"/>
  <c r="D24" i="12"/>
  <c r="CD27" i="11"/>
  <c r="B29" i="11" s="1"/>
  <c r="AY26" i="11"/>
  <c r="BR26" i="11" s="1"/>
  <c r="BS26" i="11" s="1"/>
  <c r="AZ26" i="11"/>
  <c r="BA26" i="11"/>
  <c r="BF26" i="11" s="1"/>
  <c r="BB26" i="11"/>
  <c r="BD26" i="11"/>
  <c r="BE26" i="11" s="1"/>
  <c r="BH26" i="11"/>
  <c r="BI26" i="11" s="1"/>
  <c r="BJ26" i="11" s="1"/>
  <c r="BW26" i="11"/>
  <c r="BU26" i="11"/>
  <c r="BX26" i="11"/>
  <c r="BV26" i="11"/>
  <c r="BZ26" i="11"/>
  <c r="AX26" i="11"/>
  <c r="AW26" i="11"/>
  <c r="F26" i="11"/>
  <c r="Y26" i="11" s="1"/>
  <c r="Z26" i="11" s="1"/>
  <c r="G26" i="11"/>
  <c r="H26" i="11"/>
  <c r="M26" i="11" s="1"/>
  <c r="I26" i="11"/>
  <c r="K26" i="11"/>
  <c r="L26" i="11" s="1"/>
  <c r="O26" i="11"/>
  <c r="P26" i="11" s="1"/>
  <c r="Q26" i="11" s="1"/>
  <c r="AB26" i="11"/>
  <c r="AC26" i="11"/>
  <c r="AD26" i="11"/>
  <c r="AE26" i="11"/>
  <c r="AG26" i="11"/>
  <c r="E26" i="11"/>
  <c r="D26" i="11"/>
  <c r="AY25" i="11"/>
  <c r="BR25" i="11" s="1"/>
  <c r="BS25" i="11" s="1"/>
  <c r="AZ25" i="11"/>
  <c r="BA25" i="11"/>
  <c r="BF25" i="11" s="1"/>
  <c r="BB25" i="11"/>
  <c r="BD25" i="11"/>
  <c r="BE25" i="11" s="1"/>
  <c r="BH25" i="11"/>
  <c r="BI25" i="11" s="1"/>
  <c r="BJ25" i="11" s="1"/>
  <c r="BU25" i="11"/>
  <c r="BV25" i="11"/>
  <c r="BW25" i="11"/>
  <c r="BX25" i="11"/>
  <c r="BZ25" i="11"/>
  <c r="A19" i="13"/>
  <c r="B23" i="12"/>
  <c r="AX25" i="11"/>
  <c r="AW25" i="11"/>
  <c r="F25" i="11"/>
  <c r="Y25" i="11" s="1"/>
  <c r="Z25" i="11" s="1"/>
  <c r="G25" i="11"/>
  <c r="H25" i="11"/>
  <c r="M25" i="11" s="1"/>
  <c r="I25" i="11"/>
  <c r="K25" i="11"/>
  <c r="L25" i="11" s="1"/>
  <c r="O25" i="11"/>
  <c r="P25" i="11" s="1"/>
  <c r="Q25" i="11" s="1"/>
  <c r="AB25" i="11"/>
  <c r="AC25" i="11"/>
  <c r="AD25" i="11"/>
  <c r="AE25" i="11"/>
  <c r="AG25" i="11"/>
  <c r="E25" i="11"/>
  <c r="D25" i="11"/>
  <c r="AY24" i="11"/>
  <c r="BR24" i="11" s="1"/>
  <c r="BS24" i="11" s="1"/>
  <c r="AZ24" i="11"/>
  <c r="BA24" i="11"/>
  <c r="BF24" i="11" s="1"/>
  <c r="BB24" i="11"/>
  <c r="BD24" i="11"/>
  <c r="BE24" i="11" s="1"/>
  <c r="BH24" i="11"/>
  <c r="BI24" i="11" s="1"/>
  <c r="BJ24" i="11" s="1"/>
  <c r="BU24" i="11"/>
  <c r="BV24" i="11"/>
  <c r="BW24" i="11"/>
  <c r="BX24" i="11"/>
  <c r="BZ24" i="11"/>
  <c r="AW24" i="11"/>
  <c r="AX24" i="11"/>
  <c r="F24" i="11"/>
  <c r="Y24" i="11" s="1"/>
  <c r="Z24" i="11" s="1"/>
  <c r="G24" i="11"/>
  <c r="H24" i="11"/>
  <c r="M24" i="11" s="1"/>
  <c r="I24" i="11"/>
  <c r="K24" i="11"/>
  <c r="L24" i="11" s="1"/>
  <c r="O24" i="11"/>
  <c r="P24" i="11" s="1"/>
  <c r="Q24" i="11" s="1"/>
  <c r="AB24" i="11"/>
  <c r="AC24" i="11"/>
  <c r="AD24" i="11"/>
  <c r="AE24" i="11"/>
  <c r="AG24" i="11"/>
  <c r="A10" i="13"/>
  <c r="B13" i="12"/>
  <c r="E24" i="11"/>
  <c r="D24" i="11"/>
  <c r="AY23" i="11"/>
  <c r="BR23" i="11" s="1"/>
  <c r="BS23" i="11" s="1"/>
  <c r="AZ23" i="11"/>
  <c r="BA23" i="11"/>
  <c r="BF23" i="11" s="1"/>
  <c r="BB23" i="11"/>
  <c r="BD23" i="11"/>
  <c r="BE23" i="11" s="1"/>
  <c r="BH23" i="11"/>
  <c r="BI23" i="11" s="1"/>
  <c r="BJ23" i="11" s="1"/>
  <c r="BU23" i="11"/>
  <c r="BV23" i="11"/>
  <c r="BW23" i="11"/>
  <c r="BX23" i="11"/>
  <c r="BZ23" i="11"/>
  <c r="AW23" i="11"/>
  <c r="AX23" i="11"/>
  <c r="F23" i="11"/>
  <c r="Y23" i="11" s="1"/>
  <c r="Z23" i="11" s="1"/>
  <c r="G23" i="11"/>
  <c r="H23" i="11"/>
  <c r="M23" i="11" s="1"/>
  <c r="I23" i="11"/>
  <c r="K23" i="11"/>
  <c r="L23" i="11" s="1"/>
  <c r="O23" i="11"/>
  <c r="P23" i="11" s="1"/>
  <c r="Q23" i="11" s="1"/>
  <c r="AB23" i="11"/>
  <c r="AC23" i="11"/>
  <c r="AD23" i="11"/>
  <c r="AE23" i="11"/>
  <c r="AG23" i="11"/>
  <c r="E23" i="11"/>
  <c r="D23" i="11"/>
  <c r="AY22" i="11"/>
  <c r="BR22" i="11" s="1"/>
  <c r="BS22" i="11" s="1"/>
  <c r="AZ22" i="11"/>
  <c r="BA22" i="11"/>
  <c r="BF22" i="11" s="1"/>
  <c r="BB22" i="11"/>
  <c r="BD22" i="11"/>
  <c r="BE22" i="11" s="1"/>
  <c r="BH22" i="11"/>
  <c r="BI22" i="11" s="1"/>
  <c r="BJ22" i="11" s="1"/>
  <c r="BU22" i="11"/>
  <c r="BV22" i="11"/>
  <c r="BW22" i="11"/>
  <c r="BX22" i="11"/>
  <c r="BZ22" i="11"/>
  <c r="AX22" i="11"/>
  <c r="AW22" i="11"/>
  <c r="F22" i="11"/>
  <c r="Y22" i="11" s="1"/>
  <c r="Z22" i="11" s="1"/>
  <c r="G22" i="11"/>
  <c r="H22" i="11"/>
  <c r="M22" i="11" s="1"/>
  <c r="I22" i="11"/>
  <c r="K22" i="11"/>
  <c r="L22" i="11" s="1"/>
  <c r="O22" i="11"/>
  <c r="P22" i="11" s="1"/>
  <c r="Q22" i="11" s="1"/>
  <c r="AB22" i="11"/>
  <c r="AC22" i="11"/>
  <c r="AD22" i="11"/>
  <c r="AE22" i="11"/>
  <c r="AG22" i="11"/>
  <c r="D22" i="11"/>
  <c r="E22" i="11"/>
  <c r="AY21" i="11"/>
  <c r="BR21" i="11" s="1"/>
  <c r="BS21" i="11" s="1"/>
  <c r="AZ21" i="11"/>
  <c r="BA21" i="11"/>
  <c r="BF21" i="11" s="1"/>
  <c r="BB21" i="11"/>
  <c r="BD21" i="11"/>
  <c r="BE21" i="11" s="1"/>
  <c r="BH21" i="11"/>
  <c r="BI21" i="11" s="1"/>
  <c r="BJ21" i="11" s="1"/>
  <c r="BU21" i="11"/>
  <c r="BV21" i="11"/>
  <c r="BW21" i="11"/>
  <c r="BX21" i="11"/>
  <c r="BZ21" i="11"/>
  <c r="A18" i="13"/>
  <c r="B22" i="12"/>
  <c r="AW21" i="11"/>
  <c r="AX21" i="11"/>
  <c r="F21" i="11"/>
  <c r="Y21" i="11" s="1"/>
  <c r="Z21" i="11" s="1"/>
  <c r="G21" i="11"/>
  <c r="H21" i="11"/>
  <c r="M21" i="11" s="1"/>
  <c r="I21" i="11"/>
  <c r="K21" i="11"/>
  <c r="L21" i="11" s="1"/>
  <c r="O21" i="11"/>
  <c r="AB21" i="11"/>
  <c r="AC21" i="11"/>
  <c r="AD21" i="11"/>
  <c r="AE21" i="11"/>
  <c r="AG21" i="11"/>
  <c r="A9" i="13"/>
  <c r="B12" i="12"/>
  <c r="E21" i="11"/>
  <c r="D21" i="11"/>
  <c r="AY20" i="11"/>
  <c r="BR20" i="11" s="1"/>
  <c r="BS20" i="11" s="1"/>
  <c r="AZ20" i="11"/>
  <c r="BA20" i="11"/>
  <c r="BF20" i="11" s="1"/>
  <c r="BB20" i="11"/>
  <c r="BD20" i="11"/>
  <c r="BE20" i="11" s="1"/>
  <c r="BH20" i="11"/>
  <c r="BI20" i="11" s="1"/>
  <c r="BJ20" i="11" s="1"/>
  <c r="A17" i="13"/>
  <c r="B21" i="12"/>
  <c r="BU20" i="11"/>
  <c r="BV20" i="11"/>
  <c r="BW20" i="11"/>
  <c r="BX20" i="11"/>
  <c r="BZ20" i="11"/>
  <c r="AX20" i="11"/>
  <c r="AW20" i="11"/>
  <c r="F20" i="11"/>
  <c r="Y20" i="11" s="1"/>
  <c r="Z20" i="11" s="1"/>
  <c r="G20" i="11"/>
  <c r="H20" i="11"/>
  <c r="M20" i="11" s="1"/>
  <c r="I20" i="11"/>
  <c r="K20" i="11"/>
  <c r="L20" i="11" s="1"/>
  <c r="O20" i="11"/>
  <c r="P20" i="11" s="1"/>
  <c r="Q20" i="11" s="1"/>
  <c r="AB20" i="11"/>
  <c r="AC20" i="11"/>
  <c r="AD20" i="11"/>
  <c r="AE20" i="11"/>
  <c r="AG20" i="11"/>
  <c r="E20" i="11"/>
  <c r="D20" i="11"/>
  <c r="AY19" i="11"/>
  <c r="BR19" i="11" s="1"/>
  <c r="BS19" i="11" s="1"/>
  <c r="AZ19" i="11"/>
  <c r="BA19" i="11"/>
  <c r="BF19" i="11" s="1"/>
  <c r="BB19" i="11"/>
  <c r="BD19" i="11"/>
  <c r="BE19" i="11" s="1"/>
  <c r="BH19" i="11"/>
  <c r="BI19" i="11" s="1"/>
  <c r="BJ19" i="11" s="1"/>
  <c r="BU19" i="11"/>
  <c r="BV19" i="11"/>
  <c r="BW19" i="11"/>
  <c r="BX19" i="11"/>
  <c r="BZ19" i="11"/>
  <c r="B20" i="12"/>
  <c r="A16" i="13"/>
  <c r="AX19" i="11"/>
  <c r="AW19" i="11"/>
  <c r="F19" i="11"/>
  <c r="Y19" i="11" s="1"/>
  <c r="Z19" i="11" s="1"/>
  <c r="G19" i="11"/>
  <c r="H19" i="11"/>
  <c r="M19" i="11" s="1"/>
  <c r="I19" i="11"/>
  <c r="K19" i="11"/>
  <c r="L19" i="11" s="1"/>
  <c r="O19" i="11"/>
  <c r="P19" i="11" s="1"/>
  <c r="Q19" i="11" s="1"/>
  <c r="AB19" i="11"/>
  <c r="AC19" i="11"/>
  <c r="AD19" i="11"/>
  <c r="AE19" i="11"/>
  <c r="AG19" i="11"/>
  <c r="D19" i="11"/>
  <c r="E19" i="11"/>
  <c r="AY18" i="11"/>
  <c r="BR18" i="11" s="1"/>
  <c r="BS18" i="11" s="1"/>
  <c r="AZ18" i="11"/>
  <c r="BA18" i="11"/>
  <c r="BF18" i="11" s="1"/>
  <c r="BB18" i="11"/>
  <c r="BD18" i="11"/>
  <c r="BE18" i="11" s="1"/>
  <c r="BH18" i="11"/>
  <c r="BI18" i="11" s="1"/>
  <c r="BJ18" i="11" s="1"/>
  <c r="BU18" i="11"/>
  <c r="BV18" i="11"/>
  <c r="BW18" i="11"/>
  <c r="BX18" i="11"/>
  <c r="BZ18" i="11"/>
  <c r="AW18" i="11"/>
  <c r="AX18" i="11"/>
  <c r="F18" i="11"/>
  <c r="Y18" i="11" s="1"/>
  <c r="Z18" i="11" s="1"/>
  <c r="G18" i="11"/>
  <c r="H18" i="11"/>
  <c r="M18" i="11" s="1"/>
  <c r="I18" i="11"/>
  <c r="K18" i="11"/>
  <c r="L18" i="11" s="1"/>
  <c r="O18" i="11"/>
  <c r="P18" i="11" s="1"/>
  <c r="Q18" i="11" s="1"/>
  <c r="AB18" i="11"/>
  <c r="AC18" i="11"/>
  <c r="AD18" i="11"/>
  <c r="AE18" i="11"/>
  <c r="AG18" i="11"/>
  <c r="E18" i="11"/>
  <c r="D18" i="11"/>
  <c r="AY17" i="11"/>
  <c r="BR17" i="11" s="1"/>
  <c r="BS17" i="11" s="1"/>
  <c r="AZ17" i="11"/>
  <c r="BA17" i="11"/>
  <c r="BF17" i="11" s="1"/>
  <c r="BB17" i="11"/>
  <c r="BD17" i="11"/>
  <c r="BE17" i="11" s="1"/>
  <c r="BH17" i="11"/>
  <c r="BI17" i="11" s="1"/>
  <c r="BJ17" i="11" s="1"/>
  <c r="BU17" i="11"/>
  <c r="BV17" i="11"/>
  <c r="BW17" i="11"/>
  <c r="BX17" i="11"/>
  <c r="BZ17" i="11"/>
  <c r="AX17" i="11"/>
  <c r="AW17" i="11"/>
  <c r="F17" i="11"/>
  <c r="Y17" i="11" s="1"/>
  <c r="Z17" i="11" s="1"/>
  <c r="G17" i="11"/>
  <c r="H17" i="11"/>
  <c r="M17" i="11" s="1"/>
  <c r="I17" i="11"/>
  <c r="K17" i="11"/>
  <c r="L17" i="11" s="1"/>
  <c r="O17" i="11"/>
  <c r="P17" i="11" s="1"/>
  <c r="Q17" i="11" s="1"/>
  <c r="AB17" i="11"/>
  <c r="AC17" i="11"/>
  <c r="AD17" i="11"/>
  <c r="AE17" i="11"/>
  <c r="AG17" i="11"/>
  <c r="E17" i="11"/>
  <c r="D17" i="11"/>
  <c r="AY16" i="11"/>
  <c r="BR16" i="11" s="1"/>
  <c r="BS16" i="11" s="1"/>
  <c r="AZ16" i="11"/>
  <c r="BA16" i="11"/>
  <c r="BF16" i="11" s="1"/>
  <c r="BB16" i="11"/>
  <c r="BD16" i="11"/>
  <c r="BE16" i="11" s="1"/>
  <c r="BH16" i="11"/>
  <c r="BI16" i="11" s="1"/>
  <c r="BJ16" i="11" s="1"/>
  <c r="BU16" i="11"/>
  <c r="BV16" i="11"/>
  <c r="BW16" i="11"/>
  <c r="BX16" i="11"/>
  <c r="BZ16" i="11"/>
  <c r="B19" i="12"/>
  <c r="A15" i="13"/>
  <c r="AX16" i="11"/>
  <c r="AW16" i="11"/>
  <c r="F16" i="11"/>
  <c r="Y16" i="11" s="1"/>
  <c r="Z16" i="11" s="1"/>
  <c r="G16" i="11"/>
  <c r="H16" i="11"/>
  <c r="M16" i="11" s="1"/>
  <c r="I16" i="11"/>
  <c r="K16" i="11"/>
  <c r="L16" i="11" s="1"/>
  <c r="O16" i="11"/>
  <c r="P16" i="11" s="1"/>
  <c r="Q16" i="11" s="1"/>
  <c r="AB16" i="11"/>
  <c r="AC16" i="11"/>
  <c r="AD16" i="11"/>
  <c r="AE16" i="11"/>
  <c r="AG16" i="11"/>
  <c r="E16" i="11"/>
  <c r="D16" i="11"/>
  <c r="AZ15" i="11"/>
  <c r="BB15" i="11"/>
  <c r="BX15" i="11"/>
  <c r="BZ15" i="11"/>
  <c r="AY15" i="11"/>
  <c r="BR15" i="11" s="1"/>
  <c r="BS15" i="11" s="1"/>
  <c r="BA15" i="11"/>
  <c r="BF15" i="11" s="1"/>
  <c r="BD15" i="11"/>
  <c r="BE15" i="11" s="1"/>
  <c r="BH15" i="11"/>
  <c r="BI15" i="11" s="1"/>
  <c r="BJ15" i="11" s="1"/>
  <c r="BU15" i="11"/>
  <c r="BV15" i="11"/>
  <c r="BW15" i="11"/>
  <c r="AW15" i="11"/>
  <c r="AX15" i="11"/>
  <c r="G15" i="11"/>
  <c r="AB15" i="11"/>
  <c r="AE15" i="11"/>
  <c r="F15" i="11"/>
  <c r="Y15" i="11" s="1"/>
  <c r="Z15" i="11" s="1"/>
  <c r="H15" i="11"/>
  <c r="M15" i="11" s="1"/>
  <c r="I15" i="11"/>
  <c r="K15" i="11"/>
  <c r="L15" i="11" s="1"/>
  <c r="O15" i="11"/>
  <c r="P15" i="11" s="1"/>
  <c r="Q15" i="11" s="1"/>
  <c r="AC15" i="11"/>
  <c r="AD15" i="11"/>
  <c r="AG15" i="11"/>
  <c r="A8" i="13"/>
  <c r="B11" i="12"/>
  <c r="E15" i="11"/>
  <c r="D15" i="11"/>
  <c r="AZ14" i="11"/>
  <c r="BV14" i="11"/>
  <c r="BX14" i="11"/>
  <c r="AY14" i="11"/>
  <c r="BR14" i="11" s="1"/>
  <c r="BS14" i="11" s="1"/>
  <c r="BA14" i="11"/>
  <c r="BF14" i="11" s="1"/>
  <c r="BB14" i="11"/>
  <c r="BD14" i="11"/>
  <c r="BE14" i="11" s="1"/>
  <c r="BH14" i="11"/>
  <c r="BI14" i="11" s="1"/>
  <c r="BJ14" i="11" s="1"/>
  <c r="BU14" i="11"/>
  <c r="BW14" i="11"/>
  <c r="BZ14" i="11"/>
  <c r="B18" i="12"/>
  <c r="A14" i="13"/>
  <c r="AX14" i="11"/>
  <c r="AW14" i="11"/>
  <c r="H14" i="11"/>
  <c r="M14" i="11" s="1"/>
  <c r="I14" i="11"/>
  <c r="K14" i="11"/>
  <c r="L14" i="11" s="1"/>
  <c r="O14" i="11"/>
  <c r="P14" i="11" s="1"/>
  <c r="Q14" i="11" s="1"/>
  <c r="AB14" i="11"/>
  <c r="AD14" i="11"/>
  <c r="AG14" i="11"/>
  <c r="F14" i="11"/>
  <c r="Y14" i="11" s="1"/>
  <c r="Z14" i="11" s="1"/>
  <c r="G14" i="11"/>
  <c r="AC14" i="11"/>
  <c r="AE14" i="11"/>
  <c r="E14" i="11"/>
  <c r="D14" i="11"/>
  <c r="BA13" i="11"/>
  <c r="BF13" i="11" s="1"/>
  <c r="BH13" i="11"/>
  <c r="BI13" i="11" s="1"/>
  <c r="BJ13" i="11" s="1"/>
  <c r="BU13" i="11"/>
  <c r="BW13" i="11"/>
  <c r="BZ13" i="11"/>
  <c r="AY13" i="11"/>
  <c r="BR13" i="11" s="1"/>
  <c r="BS13" i="11" s="1"/>
  <c r="AZ13" i="11"/>
  <c r="BB13" i="11"/>
  <c r="BD13" i="11"/>
  <c r="BE13" i="11" s="1"/>
  <c r="BV13" i="11"/>
  <c r="BX13" i="11"/>
  <c r="AX13" i="11"/>
  <c r="AW13" i="11"/>
  <c r="F13" i="11"/>
  <c r="Y13" i="11" s="1"/>
  <c r="Z13" i="11" s="1"/>
  <c r="G13" i="11"/>
  <c r="H13" i="11"/>
  <c r="M13" i="11" s="1"/>
  <c r="I13" i="11"/>
  <c r="K13" i="11"/>
  <c r="L13" i="11" s="1"/>
  <c r="O13" i="11"/>
  <c r="P13" i="11" s="1"/>
  <c r="Q13" i="11" s="1"/>
  <c r="AB13" i="11"/>
  <c r="AC13" i="11"/>
  <c r="AD13" i="11"/>
  <c r="AE13" i="11"/>
  <c r="AG13" i="11"/>
  <c r="B10" i="12"/>
  <c r="A7" i="13"/>
  <c r="E13" i="11"/>
  <c r="D13" i="11"/>
  <c r="AY12" i="11"/>
  <c r="BR12" i="11" s="1"/>
  <c r="BS12" i="11" s="1"/>
  <c r="AZ12" i="11"/>
  <c r="BA12" i="11"/>
  <c r="BF12" i="11" s="1"/>
  <c r="BB12" i="11"/>
  <c r="BD12" i="11"/>
  <c r="BE12" i="11" s="1"/>
  <c r="BH12" i="11"/>
  <c r="BI12" i="11" s="1"/>
  <c r="BJ12" i="11" s="1"/>
  <c r="BU12" i="11"/>
  <c r="BV12" i="11"/>
  <c r="BW12" i="11"/>
  <c r="BX12" i="11"/>
  <c r="BZ12" i="11"/>
  <c r="AX12" i="11"/>
  <c r="AW12" i="11"/>
  <c r="F12" i="11"/>
  <c r="Y12" i="11" s="1"/>
  <c r="Z12" i="11" s="1"/>
  <c r="G12" i="11"/>
  <c r="H12" i="11"/>
  <c r="M12" i="11" s="1"/>
  <c r="I12" i="11"/>
  <c r="K12" i="11"/>
  <c r="L12" i="11" s="1"/>
  <c r="O12" i="11"/>
  <c r="P12" i="11" s="1"/>
  <c r="Q12" i="11" s="1"/>
  <c r="AB12" i="11"/>
  <c r="AC12" i="11"/>
  <c r="AD12" i="11"/>
  <c r="AE12" i="11"/>
  <c r="AG12" i="11"/>
  <c r="A6" i="14"/>
  <c r="B9" i="12"/>
  <c r="E12" i="11"/>
  <c r="D12" i="11"/>
  <c r="AY11" i="11"/>
  <c r="BR11" i="11" s="1"/>
  <c r="BS11" i="11" s="1"/>
  <c r="AZ11" i="11"/>
  <c r="BA11" i="11"/>
  <c r="BF11" i="11" s="1"/>
  <c r="BB11" i="11"/>
  <c r="BD11" i="11"/>
  <c r="BE11" i="11" s="1"/>
  <c r="BH11" i="11"/>
  <c r="BI11" i="11" s="1"/>
  <c r="BJ11" i="11" s="1"/>
  <c r="BU11" i="11"/>
  <c r="BV11" i="11"/>
  <c r="BW11" i="11"/>
  <c r="BX11" i="11"/>
  <c r="BZ11" i="11"/>
  <c r="B17" i="12"/>
  <c r="A7" i="14"/>
  <c r="AW11" i="11"/>
  <c r="AX11" i="11"/>
  <c r="F11" i="11"/>
  <c r="Y11" i="11" s="1"/>
  <c r="Z11" i="11" s="1"/>
  <c r="G11" i="11"/>
  <c r="H11" i="11"/>
  <c r="M11" i="11" s="1"/>
  <c r="I11" i="11"/>
  <c r="K11" i="11"/>
  <c r="L11" i="11" s="1"/>
  <c r="O11" i="11"/>
  <c r="P11" i="11" s="1"/>
  <c r="Q11" i="11" s="1"/>
  <c r="AB11" i="11"/>
  <c r="AC11" i="11"/>
  <c r="AD11" i="11"/>
  <c r="AE11" i="11"/>
  <c r="AG11" i="11"/>
  <c r="B8" i="12"/>
  <c r="A6" i="13"/>
  <c r="E11" i="11"/>
  <c r="D11" i="11"/>
  <c r="AY10" i="11"/>
  <c r="BR10" i="11" s="1"/>
  <c r="BS10" i="11" s="1"/>
  <c r="AZ10" i="11"/>
  <c r="BA10" i="11"/>
  <c r="BF10" i="11" s="1"/>
  <c r="BB10" i="11"/>
  <c r="BD10" i="11"/>
  <c r="BE10" i="11" s="1"/>
  <c r="BH10" i="11"/>
  <c r="BI10" i="11" s="1"/>
  <c r="BJ10" i="11" s="1"/>
  <c r="BU10" i="11"/>
  <c r="BV10" i="11"/>
  <c r="BW10" i="11"/>
  <c r="BX10" i="11"/>
  <c r="BZ10" i="11"/>
  <c r="AX10" i="11"/>
  <c r="AW10" i="11"/>
  <c r="F10" i="11"/>
  <c r="Y10" i="11" s="1"/>
  <c r="Z10" i="11" s="1"/>
  <c r="G10" i="11"/>
  <c r="H10" i="11"/>
  <c r="M10" i="11" s="1"/>
  <c r="I10" i="11"/>
  <c r="K10" i="11"/>
  <c r="L10" i="11" s="1"/>
  <c r="O10" i="11"/>
  <c r="P10" i="11" s="1"/>
  <c r="Q10" i="11" s="1"/>
  <c r="AB10" i="11"/>
  <c r="AC10" i="11"/>
  <c r="AD10" i="11"/>
  <c r="AE10" i="11"/>
  <c r="AG10" i="11"/>
  <c r="B7" i="12"/>
  <c r="A5" i="14"/>
  <c r="D10" i="11"/>
  <c r="E10" i="11"/>
  <c r="AY9" i="11"/>
  <c r="BR9" i="11" s="1"/>
  <c r="BS9" i="11" s="1"/>
  <c r="AZ9" i="11"/>
  <c r="BA9" i="11"/>
  <c r="BF9" i="11" s="1"/>
  <c r="BB9" i="11"/>
  <c r="BD9" i="11"/>
  <c r="BE9" i="11" s="1"/>
  <c r="BH9" i="11"/>
  <c r="BI9" i="11" s="1"/>
  <c r="BJ9" i="11" s="1"/>
  <c r="BU9" i="11"/>
  <c r="BV9" i="11"/>
  <c r="BW9" i="11"/>
  <c r="BX9" i="11"/>
  <c r="BZ9" i="11"/>
  <c r="B16" i="12"/>
  <c r="A13" i="13"/>
  <c r="AW9" i="11"/>
  <c r="AX9" i="11"/>
  <c r="F9" i="11"/>
  <c r="Y9" i="11" s="1"/>
  <c r="Z9" i="11" s="1"/>
  <c r="G9" i="11"/>
  <c r="H9" i="11"/>
  <c r="M9" i="11" s="1"/>
  <c r="I9" i="11"/>
  <c r="K9" i="11"/>
  <c r="L9" i="11" s="1"/>
  <c r="O9" i="11"/>
  <c r="P9" i="11" s="1"/>
  <c r="Q9" i="11" s="1"/>
  <c r="AB9" i="11"/>
  <c r="AC9" i="11"/>
  <c r="AD9" i="11"/>
  <c r="AE9" i="11"/>
  <c r="AG9" i="11"/>
  <c r="E9" i="11"/>
  <c r="D9" i="11"/>
  <c r="AY8" i="11"/>
  <c r="BR8" i="11" s="1"/>
  <c r="BS8" i="11" s="1"/>
  <c r="AZ8" i="11"/>
  <c r="BA8" i="11"/>
  <c r="BF8" i="11" s="1"/>
  <c r="BB8" i="11"/>
  <c r="BD8" i="11"/>
  <c r="BE8" i="11" s="1"/>
  <c r="BH8" i="11"/>
  <c r="BI8" i="11" s="1"/>
  <c r="BJ8" i="11" s="1"/>
  <c r="BU8" i="11"/>
  <c r="BV8" i="11"/>
  <c r="BW8" i="11"/>
  <c r="BX8" i="11"/>
  <c r="BZ8" i="11"/>
  <c r="B15" i="12"/>
  <c r="A12" i="13"/>
  <c r="AX8" i="11"/>
  <c r="AW8" i="11"/>
  <c r="F8" i="11"/>
  <c r="Y8" i="11" s="1"/>
  <c r="Z8" i="11" s="1"/>
  <c r="G8" i="11"/>
  <c r="H8" i="11"/>
  <c r="M8" i="11" s="1"/>
  <c r="I8" i="11"/>
  <c r="K8" i="11"/>
  <c r="L8" i="11" s="1"/>
  <c r="O8" i="11"/>
  <c r="P8" i="11" s="1"/>
  <c r="Q8" i="11" s="1"/>
  <c r="AB8" i="11"/>
  <c r="AC8" i="11"/>
  <c r="AD8" i="11"/>
  <c r="AE8" i="11"/>
  <c r="AG8" i="11"/>
  <c r="D8" i="11"/>
  <c r="E8" i="11"/>
  <c r="AY7" i="11"/>
  <c r="BR7" i="11" s="1"/>
  <c r="BS7" i="11" s="1"/>
  <c r="AZ7" i="11"/>
  <c r="BA7" i="11"/>
  <c r="BF7" i="11" s="1"/>
  <c r="BB7" i="11"/>
  <c r="BD7" i="11"/>
  <c r="BE7" i="11" s="1"/>
  <c r="BH7" i="11"/>
  <c r="BI7" i="11" s="1"/>
  <c r="BJ7" i="11" s="1"/>
  <c r="BU7" i="11"/>
  <c r="BV7" i="11"/>
  <c r="BW7" i="11"/>
  <c r="BX7" i="11"/>
  <c r="BZ7" i="11"/>
  <c r="AX7" i="11"/>
  <c r="AW7" i="11"/>
  <c r="F7" i="11"/>
  <c r="Y7" i="11" s="1"/>
  <c r="Z7" i="11" s="1"/>
  <c r="G7" i="11"/>
  <c r="H7" i="11"/>
  <c r="M7" i="11" s="1"/>
  <c r="I7" i="11"/>
  <c r="K7" i="11"/>
  <c r="L7" i="11" s="1"/>
  <c r="O7" i="11"/>
  <c r="P7" i="11" s="1"/>
  <c r="Q7" i="11" s="1"/>
  <c r="AB7" i="11"/>
  <c r="AC7" i="11"/>
  <c r="AD7" i="11"/>
  <c r="AE7" i="11"/>
  <c r="AG7" i="11"/>
  <c r="B6" i="12"/>
  <c r="A5" i="13"/>
  <c r="E7" i="11"/>
  <c r="D7" i="11"/>
  <c r="AY6" i="11"/>
  <c r="BR6" i="11" s="1"/>
  <c r="BS6" i="11" s="1"/>
  <c r="AZ6" i="11"/>
  <c r="BA6" i="11"/>
  <c r="BF6" i="11" s="1"/>
  <c r="BB6" i="11"/>
  <c r="BD6" i="11"/>
  <c r="BE6" i="11" s="1"/>
  <c r="BH6" i="11"/>
  <c r="BI6" i="11" s="1"/>
  <c r="BJ6" i="11" s="1"/>
  <c r="BU6" i="11"/>
  <c r="BV6" i="11"/>
  <c r="BW6" i="11"/>
  <c r="BX6" i="11"/>
  <c r="BZ6" i="11"/>
  <c r="AW6" i="11"/>
  <c r="AX6" i="11"/>
  <c r="F6" i="11"/>
  <c r="Y6" i="11" s="1"/>
  <c r="Z6" i="11" s="1"/>
  <c r="G6" i="11"/>
  <c r="H6" i="11"/>
  <c r="M6" i="11" s="1"/>
  <c r="I6" i="11"/>
  <c r="K6" i="11"/>
  <c r="L6" i="11" s="1"/>
  <c r="O6" i="11"/>
  <c r="P6" i="11" s="1"/>
  <c r="Q6" i="11" s="1"/>
  <c r="AB6" i="11"/>
  <c r="AC6" i="11"/>
  <c r="AD6" i="11"/>
  <c r="AE6" i="11"/>
  <c r="AG6" i="11"/>
  <c r="E6" i="11"/>
  <c r="D6" i="11"/>
  <c r="AY5" i="11"/>
  <c r="BR5" i="11" s="1"/>
  <c r="BS5" i="11" s="1"/>
  <c r="AZ5" i="11"/>
  <c r="BA5" i="11"/>
  <c r="BF5" i="11" s="1"/>
  <c r="BB5" i="11"/>
  <c r="BD5" i="11"/>
  <c r="BE5" i="11" s="1"/>
  <c r="BH5" i="11"/>
  <c r="BI5" i="11" s="1"/>
  <c r="BJ5" i="11" s="1"/>
  <c r="BU5" i="11"/>
  <c r="BV5" i="11"/>
  <c r="BW5" i="11"/>
  <c r="BX5" i="11"/>
  <c r="BZ5" i="11"/>
  <c r="B14" i="12"/>
  <c r="A11" i="13"/>
  <c r="AX5" i="11"/>
  <c r="AW5" i="11"/>
  <c r="F5" i="11"/>
  <c r="Y5" i="11" s="1"/>
  <c r="Z5" i="11" s="1"/>
  <c r="G5" i="11"/>
  <c r="H5" i="11"/>
  <c r="M5" i="11" s="1"/>
  <c r="I5" i="11"/>
  <c r="K5" i="11"/>
  <c r="L5" i="11" s="1"/>
  <c r="O5" i="11"/>
  <c r="P5" i="11" s="1"/>
  <c r="Q5" i="11" s="1"/>
  <c r="AB5" i="11"/>
  <c r="AC5" i="11"/>
  <c r="AD5" i="11"/>
  <c r="AE5" i="11"/>
  <c r="AG5" i="11"/>
  <c r="B5" i="12"/>
  <c r="A4" i="13"/>
  <c r="E5" i="11"/>
  <c r="D5" i="11"/>
  <c r="AY4" i="11"/>
  <c r="BR4" i="11" s="1"/>
  <c r="BS4" i="11" s="1"/>
  <c r="AZ4" i="11"/>
  <c r="BA4" i="11"/>
  <c r="BF4" i="11" s="1"/>
  <c r="BB4" i="11"/>
  <c r="BD4" i="11"/>
  <c r="BE4" i="11" s="1"/>
  <c r="BH4" i="11"/>
  <c r="BI4" i="11" s="1"/>
  <c r="BJ4" i="11" s="1"/>
  <c r="BU4" i="11"/>
  <c r="BV4" i="11"/>
  <c r="BW4" i="11"/>
  <c r="BX4" i="11"/>
  <c r="BZ4" i="11"/>
  <c r="AX4" i="11"/>
  <c r="AW4" i="11"/>
  <c r="G4" i="11"/>
  <c r="I4" i="11"/>
  <c r="K4" i="11"/>
  <c r="L4" i="11" s="1"/>
  <c r="O4" i="11"/>
  <c r="AB4" i="11"/>
  <c r="AD4" i="11"/>
  <c r="AG4" i="11"/>
  <c r="A4" i="14"/>
  <c r="F4" i="11"/>
  <c r="Y4" i="11" s="1"/>
  <c r="Z4" i="11" s="1"/>
  <c r="H4" i="11"/>
  <c r="M4" i="11" s="1"/>
  <c r="AC4" i="11"/>
  <c r="AE4" i="11"/>
  <c r="B4" i="12"/>
  <c r="D4" i="11"/>
  <c r="E4" i="11"/>
  <c r="BK26" i="11" l="1"/>
  <c r="CK26" i="11"/>
  <c r="CB26" i="11"/>
  <c r="R26" i="11"/>
  <c r="AI26" i="11"/>
  <c r="AR26" i="11"/>
  <c r="BK25" i="11"/>
  <c r="CB25" i="11"/>
  <c r="CK25" i="11"/>
  <c r="CC25" i="11"/>
  <c r="CJ25" i="11"/>
  <c r="R25" i="11"/>
  <c r="AI25" i="11"/>
  <c r="AR25" i="11"/>
  <c r="BK24" i="11"/>
  <c r="CB24" i="11"/>
  <c r="CK24" i="11"/>
  <c r="R24" i="11"/>
  <c r="AI24" i="11"/>
  <c r="AR24" i="11"/>
  <c r="BK23" i="11"/>
  <c r="CB23" i="11"/>
  <c r="CK23" i="11"/>
  <c r="R23" i="11"/>
  <c r="AI23" i="11"/>
  <c r="AR23" i="11"/>
  <c r="BK22" i="11"/>
  <c r="CB22" i="11"/>
  <c r="CK22" i="11"/>
  <c r="R22" i="11"/>
  <c r="AI22" i="11"/>
  <c r="AR22" i="11"/>
  <c r="BK21" i="11"/>
  <c r="CB21" i="11"/>
  <c r="CK21" i="11"/>
  <c r="R21" i="11"/>
  <c r="AI21" i="11"/>
  <c r="AR21" i="11"/>
  <c r="BK20" i="11"/>
  <c r="CB20" i="11"/>
  <c r="CK20" i="11"/>
  <c r="R20" i="11"/>
  <c r="AI20" i="11"/>
  <c r="AR20" i="11"/>
  <c r="BK19" i="11"/>
  <c r="CB19" i="11"/>
  <c r="CK19" i="11"/>
  <c r="R19" i="11"/>
  <c r="AI19" i="11"/>
  <c r="AR19" i="11"/>
  <c r="BK18" i="11"/>
  <c r="CB18" i="11"/>
  <c r="CK18" i="11"/>
  <c r="R18" i="11"/>
  <c r="AI18" i="11"/>
  <c r="AR18" i="11"/>
  <c r="BK17" i="11"/>
  <c r="CB17" i="11"/>
  <c r="CK17" i="11"/>
  <c r="R17" i="11"/>
  <c r="AI17" i="11"/>
  <c r="AR17" i="11"/>
  <c r="BK16" i="11"/>
  <c r="CB16" i="11"/>
  <c r="CK16" i="11"/>
  <c r="R16" i="11"/>
  <c r="AI16" i="11"/>
  <c r="AR16" i="11"/>
  <c r="BK15" i="11"/>
  <c r="CB15" i="11"/>
  <c r="CK15" i="11"/>
  <c r="R15" i="11"/>
  <c r="AI15" i="11"/>
  <c r="AR15" i="11"/>
  <c r="BK14" i="11"/>
  <c r="CB14" i="11"/>
  <c r="CK14" i="11"/>
  <c r="CJ14" i="11"/>
  <c r="CC14" i="11"/>
  <c r="R14" i="11"/>
  <c r="AI14" i="11"/>
  <c r="AR14" i="11"/>
  <c r="BK13" i="11"/>
  <c r="CK13" i="11"/>
  <c r="CB13" i="11"/>
  <c r="R13" i="11"/>
  <c r="AI13" i="11"/>
  <c r="AR13" i="11"/>
  <c r="BK12" i="11"/>
  <c r="CB12" i="11"/>
  <c r="CK12" i="11"/>
  <c r="R12" i="11"/>
  <c r="AI12" i="11"/>
  <c r="AR12" i="11"/>
  <c r="BK11" i="11"/>
  <c r="CB11" i="11"/>
  <c r="CK11" i="11"/>
  <c r="R11" i="11"/>
  <c r="AI11" i="11"/>
  <c r="AJ11" i="11" s="1"/>
  <c r="AR11" i="11"/>
  <c r="AQ11" i="11"/>
  <c r="BK10" i="11"/>
  <c r="CB10" i="11"/>
  <c r="CK10" i="11"/>
  <c r="R10" i="11"/>
  <c r="AI10" i="11"/>
  <c r="AR10" i="11"/>
  <c r="BK9" i="11"/>
  <c r="CB9" i="11"/>
  <c r="CK9" i="11"/>
  <c r="R9" i="11"/>
  <c r="AI9" i="11"/>
  <c r="AR9" i="11"/>
  <c r="BK8" i="11"/>
  <c r="CB8" i="11"/>
  <c r="CK8" i="11"/>
  <c r="R8" i="11"/>
  <c r="AI8" i="11"/>
  <c r="AR8" i="11"/>
  <c r="BK7" i="11"/>
  <c r="CB7" i="11"/>
  <c r="CK7" i="11"/>
  <c r="R7" i="11"/>
  <c r="AI7" i="11"/>
  <c r="AR7" i="11"/>
  <c r="BK6" i="11"/>
  <c r="CB6" i="11"/>
  <c r="CK6" i="11"/>
  <c r="R6" i="11"/>
  <c r="AI6" i="11"/>
  <c r="AR6" i="11"/>
  <c r="BK5" i="11"/>
  <c r="CB5" i="11"/>
  <c r="CK5" i="11"/>
  <c r="R5" i="11"/>
  <c r="AI5" i="11"/>
  <c r="AR5" i="11"/>
  <c r="BK4" i="11"/>
  <c r="CB4" i="11"/>
  <c r="CK4" i="11"/>
  <c r="R4" i="11"/>
  <c r="AI4" i="11"/>
  <c r="AR4" i="11"/>
  <c r="BY26" i="11"/>
  <c r="CA26" i="11" s="1"/>
  <c r="AF26" i="11"/>
  <c r="AH26" i="11" s="1"/>
  <c r="BY25" i="11"/>
  <c r="CA25" i="11" s="1"/>
  <c r="AF25" i="11"/>
  <c r="AH25" i="11" s="1"/>
  <c r="BY24" i="11"/>
  <c r="CA24" i="11" s="1"/>
  <c r="BY23" i="11"/>
  <c r="CA23" i="11" s="1"/>
  <c r="AF23" i="11"/>
  <c r="AH23" i="11" s="1"/>
  <c r="BY22" i="11"/>
  <c r="CA22" i="11" s="1"/>
  <c r="AF22" i="11"/>
  <c r="AH22" i="11" s="1"/>
  <c r="BY21" i="11"/>
  <c r="CA21" i="11" s="1"/>
  <c r="AF24" i="11"/>
  <c r="AH24" i="11" s="1"/>
  <c r="P21" i="11"/>
  <c r="Q21" i="11" s="1"/>
  <c r="AF21" i="11"/>
  <c r="AH21" i="11" s="1"/>
  <c r="BY20" i="11"/>
  <c r="CA20" i="11" s="1"/>
  <c r="AF20" i="11"/>
  <c r="AH20" i="11" s="1"/>
  <c r="BY19" i="11"/>
  <c r="CA19" i="11" s="1"/>
  <c r="AF19" i="11"/>
  <c r="AH19" i="11" s="1"/>
  <c r="BY18" i="11"/>
  <c r="CA18" i="11" s="1"/>
  <c r="BY17" i="11"/>
  <c r="CA17" i="11" s="1"/>
  <c r="AF17" i="11"/>
  <c r="AH17" i="11" s="1"/>
  <c r="BY16" i="11"/>
  <c r="CA16" i="11" s="1"/>
  <c r="AF16" i="11"/>
  <c r="AH16" i="11" s="1"/>
  <c r="BY15" i="11"/>
  <c r="CA15" i="11" s="1"/>
  <c r="AF8" i="11"/>
  <c r="AH8" i="11" s="1"/>
  <c r="BY7" i="11"/>
  <c r="CA7" i="11" s="1"/>
  <c r="AF7" i="11"/>
  <c r="AH7" i="11" s="1"/>
  <c r="AF6" i="11"/>
  <c r="AH6" i="11" s="1"/>
  <c r="BY5" i="11"/>
  <c r="CA5" i="11" s="1"/>
  <c r="AF5" i="11"/>
  <c r="AH5" i="11" s="1"/>
  <c r="BY4" i="11"/>
  <c r="CA4" i="11" s="1"/>
  <c r="P4" i="11"/>
  <c r="Q4" i="11" s="1"/>
  <c r="AF4" i="11"/>
  <c r="AH4" i="11" s="1"/>
  <c r="AF18" i="11"/>
  <c r="AH18" i="11" s="1"/>
  <c r="AF15" i="11"/>
  <c r="AH15" i="11" s="1"/>
  <c r="BY14" i="11"/>
  <c r="CA14" i="11" s="1"/>
  <c r="AF14" i="11"/>
  <c r="AH14" i="11" s="1"/>
  <c r="BY13" i="11"/>
  <c r="CA13" i="11" s="1"/>
  <c r="AF13" i="11"/>
  <c r="AH13" i="11" s="1"/>
  <c r="BY12" i="11"/>
  <c r="CA12" i="11" s="1"/>
  <c r="AF12" i="11"/>
  <c r="AH12" i="11" s="1"/>
  <c r="BY11" i="11"/>
  <c r="CA11" i="11" s="1"/>
  <c r="AF11" i="11"/>
  <c r="AH11" i="11" s="1"/>
  <c r="BY10" i="11"/>
  <c r="CA10" i="11" s="1"/>
  <c r="AF10" i="11"/>
  <c r="AH10" i="11" s="1"/>
  <c r="AF9" i="11"/>
  <c r="AH9" i="11" s="1"/>
  <c r="BY8" i="11"/>
  <c r="CA8" i="11" s="1"/>
  <c r="BY9" i="11"/>
  <c r="CA9" i="11" s="1"/>
  <c r="BY6" i="11"/>
  <c r="CA6" i="11" s="1"/>
  <c r="BL26" i="11" l="1"/>
  <c r="BM26" i="11" s="1"/>
  <c r="BO26" i="11" s="1"/>
  <c r="BN26" i="11"/>
  <c r="S26" i="11"/>
  <c r="T26" i="11" s="1"/>
  <c r="U26" i="11"/>
  <c r="BL25" i="11"/>
  <c r="BM25" i="11" s="1"/>
  <c r="BN25" i="11"/>
  <c r="CE25" i="11"/>
  <c r="D19" i="13"/>
  <c r="E19" i="13" s="1"/>
  <c r="E23" i="12"/>
  <c r="F23" i="12" s="1"/>
  <c r="G23" i="12" s="1"/>
  <c r="F19" i="13"/>
  <c r="G19" i="13" s="1"/>
  <c r="C23" i="12"/>
  <c r="S25" i="11"/>
  <c r="T25" i="11" s="1"/>
  <c r="U25" i="11"/>
  <c r="BL24" i="11"/>
  <c r="BM24" i="11" s="1"/>
  <c r="BN24" i="11"/>
  <c r="S24" i="11"/>
  <c r="T24" i="11" s="1"/>
  <c r="U24" i="11"/>
  <c r="BL23" i="11"/>
  <c r="BM23" i="11" s="1"/>
  <c r="BN23" i="11"/>
  <c r="S23" i="11"/>
  <c r="T23" i="11" s="1"/>
  <c r="U23" i="11"/>
  <c r="BL22" i="11"/>
  <c r="BM22" i="11" s="1"/>
  <c r="BN22" i="11"/>
  <c r="S22" i="11"/>
  <c r="T22" i="11" s="1"/>
  <c r="U22" i="11"/>
  <c r="BL21" i="11"/>
  <c r="BM21" i="11" s="1"/>
  <c r="BN21" i="11"/>
  <c r="S21" i="11"/>
  <c r="T21" i="11" s="1"/>
  <c r="U21" i="11"/>
  <c r="BL20" i="11"/>
  <c r="BM20" i="11" s="1"/>
  <c r="BN20" i="11"/>
  <c r="S20" i="11"/>
  <c r="T20" i="11" s="1"/>
  <c r="U20" i="11"/>
  <c r="BL19" i="11"/>
  <c r="BM19" i="11" s="1"/>
  <c r="BO19" i="11" s="1"/>
  <c r="BN19" i="11"/>
  <c r="S19" i="11"/>
  <c r="T19" i="11" s="1"/>
  <c r="U19" i="11"/>
  <c r="BL18" i="11"/>
  <c r="BM18" i="11" s="1"/>
  <c r="BO18" i="11" s="1"/>
  <c r="BN18" i="11"/>
  <c r="S18" i="11"/>
  <c r="T18" i="11" s="1"/>
  <c r="U18" i="11"/>
  <c r="BL17" i="11"/>
  <c r="BM17" i="11" s="1"/>
  <c r="BN17" i="11"/>
  <c r="S17" i="11"/>
  <c r="T17" i="11" s="1"/>
  <c r="U17" i="11"/>
  <c r="BL16" i="11"/>
  <c r="BM16" i="11" s="1"/>
  <c r="BN16" i="11"/>
  <c r="S16" i="11"/>
  <c r="T16" i="11" s="1"/>
  <c r="V16" i="11" s="1"/>
  <c r="U16" i="11"/>
  <c r="BL15" i="11"/>
  <c r="BM15" i="11" s="1"/>
  <c r="BN15" i="11"/>
  <c r="S15" i="11"/>
  <c r="T15" i="11" s="1"/>
  <c r="U15" i="11"/>
  <c r="BL14" i="11"/>
  <c r="BM14" i="11" s="1"/>
  <c r="BN14" i="11"/>
  <c r="C18" i="12"/>
  <c r="F14" i="13"/>
  <c r="G14" i="13" s="1"/>
  <c r="CE14" i="11"/>
  <c r="E18" i="12"/>
  <c r="F18" i="12" s="1"/>
  <c r="G18" i="12" s="1"/>
  <c r="D14" i="13"/>
  <c r="E14" i="13" s="1"/>
  <c r="S14" i="11"/>
  <c r="T14" i="11" s="1"/>
  <c r="U14" i="11"/>
  <c r="BL13" i="11"/>
  <c r="BM13" i="11" s="1"/>
  <c r="BN13" i="11"/>
  <c r="S13" i="11"/>
  <c r="T13" i="11" s="1"/>
  <c r="U13" i="11"/>
  <c r="BL12" i="11"/>
  <c r="BM12" i="11" s="1"/>
  <c r="BN12" i="11"/>
  <c r="S12" i="11"/>
  <c r="T12" i="11" s="1"/>
  <c r="V12" i="11" s="1"/>
  <c r="U12" i="11"/>
  <c r="BL11" i="11"/>
  <c r="BM11" i="11" s="1"/>
  <c r="BN11" i="11"/>
  <c r="S11" i="11"/>
  <c r="T11" i="11" s="1"/>
  <c r="U11" i="11"/>
  <c r="AL11" i="11"/>
  <c r="E8" i="12"/>
  <c r="F8" i="12" s="1"/>
  <c r="G8" i="12" s="1"/>
  <c r="D6" i="13"/>
  <c r="E6" i="13" s="1"/>
  <c r="F6" i="13"/>
  <c r="G6" i="13" s="1"/>
  <c r="C8" i="12"/>
  <c r="BL10" i="11"/>
  <c r="BM10" i="11" s="1"/>
  <c r="BN10" i="11"/>
  <c r="S10" i="11"/>
  <c r="T10" i="11" s="1"/>
  <c r="U10" i="11"/>
  <c r="BL9" i="11"/>
  <c r="BM9" i="11" s="1"/>
  <c r="BN9" i="11"/>
  <c r="S9" i="11"/>
  <c r="T9" i="11" s="1"/>
  <c r="U9" i="11"/>
  <c r="BL8" i="11"/>
  <c r="BM8" i="11" s="1"/>
  <c r="BN8" i="11"/>
  <c r="S8" i="11"/>
  <c r="T8" i="11" s="1"/>
  <c r="U8" i="11"/>
  <c r="BL7" i="11"/>
  <c r="BM7" i="11" s="1"/>
  <c r="BN7" i="11"/>
  <c r="S7" i="11"/>
  <c r="T7" i="11" s="1"/>
  <c r="U7" i="11"/>
  <c r="BL6" i="11"/>
  <c r="BM6" i="11" s="1"/>
  <c r="BN6" i="11"/>
  <c r="S6" i="11"/>
  <c r="T6" i="11" s="1"/>
  <c r="U6" i="11"/>
  <c r="BL5" i="11"/>
  <c r="BM5" i="11" s="1"/>
  <c r="BN5" i="11"/>
  <c r="S5" i="11"/>
  <c r="T5" i="11" s="1"/>
  <c r="V5" i="11" s="1"/>
  <c r="U5" i="11"/>
  <c r="BL4" i="11"/>
  <c r="BM4" i="11" s="1"/>
  <c r="BN4" i="11"/>
  <c r="S4" i="11"/>
  <c r="T4" i="11" s="1"/>
  <c r="U4" i="11"/>
  <c r="CK27" i="11"/>
  <c r="AR27" i="11"/>
  <c r="B30" i="11" s="1"/>
  <c r="B18" i="1" s="1"/>
  <c r="BO15" i="11" l="1"/>
  <c r="V15" i="11"/>
  <c r="BO14" i="11"/>
  <c r="V14" i="11"/>
  <c r="BO13" i="11"/>
  <c r="V13" i="11"/>
  <c r="BO12" i="11"/>
  <c r="BO11" i="11"/>
  <c r="V11" i="11"/>
  <c r="BO10" i="11"/>
  <c r="V10" i="11"/>
  <c r="BO9" i="11"/>
  <c r="BO17" i="11"/>
  <c r="V17" i="11"/>
  <c r="BO16" i="11"/>
  <c r="V9" i="11"/>
  <c r="BO8" i="11"/>
  <c r="V8" i="11"/>
  <c r="BO7" i="11"/>
  <c r="V7" i="11"/>
  <c r="BO6" i="11"/>
  <c r="V6" i="11"/>
  <c r="BO5" i="11"/>
  <c r="BO4" i="11"/>
  <c r="V4" i="11"/>
  <c r="V18" i="11"/>
  <c r="V26" i="11"/>
  <c r="BO25" i="11"/>
  <c r="V25" i="11"/>
  <c r="BO24" i="11"/>
  <c r="V24" i="11"/>
  <c r="BO23" i="11"/>
  <c r="V23" i="11"/>
  <c r="BO22" i="11"/>
  <c r="V22" i="11"/>
  <c r="BO21" i="11"/>
  <c r="V21" i="11"/>
  <c r="BO20" i="11"/>
  <c r="V20" i="11"/>
  <c r="V19" i="11"/>
  <c r="BP26" i="11"/>
  <c r="BQ26" i="11"/>
  <c r="BP19" i="11"/>
  <c r="BQ19" i="11"/>
  <c r="BP18" i="11"/>
  <c r="BQ18" i="11" s="1"/>
  <c r="W16" i="11"/>
  <c r="X16" i="11"/>
  <c r="W12" i="11"/>
  <c r="X12" i="11"/>
  <c r="W5" i="11"/>
  <c r="X5" i="11"/>
  <c r="BP15" i="11" l="1"/>
  <c r="BQ15" i="11" s="1"/>
  <c r="W15" i="11"/>
  <c r="X15" i="11"/>
  <c r="BP14" i="11"/>
  <c r="BQ14" i="11" s="1"/>
  <c r="BT14" i="11" s="1"/>
  <c r="W14" i="11"/>
  <c r="X14" i="11" s="1"/>
  <c r="BP13" i="11"/>
  <c r="BQ13" i="11" s="1"/>
  <c r="W13" i="11"/>
  <c r="X13" i="11" s="1"/>
  <c r="BP12" i="11"/>
  <c r="BQ12" i="11" s="1"/>
  <c r="BP11" i="11"/>
  <c r="BQ11" i="11" s="1"/>
  <c r="W11" i="11"/>
  <c r="X11" i="11" s="1"/>
  <c r="AA11" i="11" s="1"/>
  <c r="BP10" i="11"/>
  <c r="BQ10" i="11" s="1"/>
  <c r="W10" i="11"/>
  <c r="X10" i="11" s="1"/>
  <c r="BP9" i="11"/>
  <c r="BQ9" i="11" s="1"/>
  <c r="BP17" i="11"/>
  <c r="BQ17" i="11" s="1"/>
  <c r="W17" i="11"/>
  <c r="X17" i="11" s="1"/>
  <c r="BP16" i="11"/>
  <c r="BQ16" i="11" s="1"/>
  <c r="W9" i="11"/>
  <c r="X9" i="11" s="1"/>
  <c r="BP8" i="11"/>
  <c r="BQ8" i="11" s="1"/>
  <c r="W8" i="11"/>
  <c r="X8" i="11" s="1"/>
  <c r="BP7" i="11"/>
  <c r="BQ7" i="11" s="1"/>
  <c r="W7" i="11"/>
  <c r="X7" i="11" s="1"/>
  <c r="BP6" i="11"/>
  <c r="BQ6" i="11" s="1"/>
  <c r="W6" i="11"/>
  <c r="X6" i="11" s="1"/>
  <c r="BP5" i="11"/>
  <c r="BQ5" i="11" s="1"/>
  <c r="BP4" i="11"/>
  <c r="BQ4" i="11" s="1"/>
  <c r="W4" i="11"/>
  <c r="X4" i="11" s="1"/>
  <c r="W18" i="11"/>
  <c r="X18" i="11" s="1"/>
  <c r="W26" i="11"/>
  <c r="X26" i="11" s="1"/>
  <c r="BP25" i="11"/>
  <c r="BQ25" i="11" s="1"/>
  <c r="BT25" i="11" s="1"/>
  <c r="W25" i="11"/>
  <c r="X25" i="11" s="1"/>
  <c r="BP24" i="11"/>
  <c r="BQ24" i="11" s="1"/>
  <c r="W24" i="11"/>
  <c r="X24" i="11" s="1"/>
  <c r="BP23" i="11"/>
  <c r="BQ23" i="11" s="1"/>
  <c r="W23" i="11"/>
  <c r="X23" i="11" s="1"/>
  <c r="BP22" i="11"/>
  <c r="BQ22" i="11" s="1"/>
  <c r="W22" i="11"/>
  <c r="X22" i="11" s="1"/>
  <c r="BP21" i="11"/>
  <c r="BQ21" i="11" s="1"/>
  <c r="W21" i="11"/>
  <c r="X21" i="11" s="1"/>
  <c r="BP20" i="11"/>
  <c r="BQ20" i="11" s="1"/>
  <c r="W20" i="11"/>
  <c r="X20" i="11" s="1"/>
  <c r="W19" i="11"/>
  <c r="X19" i="11" s="1"/>
  <c r="BT26" i="11"/>
  <c r="CC26" i="11" s="1"/>
  <c r="CE26" i="11" s="1"/>
  <c r="CJ26" i="11" s="1"/>
  <c r="CC19" i="11"/>
  <c r="BT19" i="11"/>
  <c r="BT18" i="11"/>
  <c r="CC18" i="11" s="1"/>
  <c r="CE18" i="11" s="1"/>
  <c r="CJ18" i="11" s="1"/>
  <c r="AA16" i="11"/>
  <c r="AJ16" i="11" s="1"/>
  <c r="AL16" i="11" s="1"/>
  <c r="AQ16" i="11" s="1"/>
  <c r="AA12" i="11"/>
  <c r="AJ12" i="11"/>
  <c r="AA5" i="11"/>
  <c r="AJ5" i="11" s="1"/>
  <c r="BT15" i="11" l="1"/>
  <c r="CC15" i="11" s="1"/>
  <c r="CE15" i="11" s="1"/>
  <c r="CJ15" i="11" s="1"/>
  <c r="AA15" i="11"/>
  <c r="AJ15" i="11"/>
  <c r="AA14" i="11"/>
  <c r="AJ14" i="11"/>
  <c r="AL14" i="11" s="1"/>
  <c r="AQ14" i="11" s="1"/>
  <c r="BT13" i="11"/>
  <c r="CC13" i="11" s="1"/>
  <c r="CE13" i="11" s="1"/>
  <c r="CJ13" i="11" s="1"/>
  <c r="AA13" i="11"/>
  <c r="AJ13" i="11" s="1"/>
  <c r="BT12" i="11"/>
  <c r="CC12" i="11" s="1"/>
  <c r="CE12" i="11" s="1"/>
  <c r="CJ12" i="11" s="1"/>
  <c r="BT11" i="11"/>
  <c r="CC11" i="11" s="1"/>
  <c r="BT10" i="11"/>
  <c r="CC10" i="11" s="1"/>
  <c r="CE10" i="11" s="1"/>
  <c r="CJ10" i="11" s="1"/>
  <c r="AA10" i="11"/>
  <c r="AJ10" i="11" s="1"/>
  <c r="BT9" i="11"/>
  <c r="CC9" i="11" s="1"/>
  <c r="BT17" i="11"/>
  <c r="CC17" i="11" s="1"/>
  <c r="CE17" i="11" s="1"/>
  <c r="CJ17" i="11" s="1"/>
  <c r="AA17" i="11"/>
  <c r="AJ17" i="11" s="1"/>
  <c r="AL17" i="11" s="1"/>
  <c r="AQ17" i="11" s="1"/>
  <c r="BT16" i="11"/>
  <c r="CC16" i="11" s="1"/>
  <c r="AA9" i="11"/>
  <c r="AJ9" i="11" s="1"/>
  <c r="AL9" i="11" s="1"/>
  <c r="AQ9" i="11" s="1"/>
  <c r="BT8" i="11"/>
  <c r="CC8" i="11" s="1"/>
  <c r="AA8" i="11"/>
  <c r="AJ8" i="11" s="1"/>
  <c r="AL8" i="11" s="1"/>
  <c r="AQ8" i="11" s="1"/>
  <c r="BT7" i="11"/>
  <c r="CC7" i="11"/>
  <c r="CE7" i="11" s="1"/>
  <c r="CJ7" i="11" s="1"/>
  <c r="AA7" i="11"/>
  <c r="AJ7" i="11"/>
  <c r="BT6" i="11"/>
  <c r="CC6" i="11" s="1"/>
  <c r="CE6" i="11" s="1"/>
  <c r="CJ6" i="11" s="1"/>
  <c r="AA6" i="11"/>
  <c r="AJ6" i="11"/>
  <c r="AL6" i="11" s="1"/>
  <c r="AQ6" i="11" s="1"/>
  <c r="BT5" i="11"/>
  <c r="CC5" i="11" s="1"/>
  <c r="BT4" i="11"/>
  <c r="CC4" i="11"/>
  <c r="AA4" i="11"/>
  <c r="AJ4" i="11" s="1"/>
  <c r="AA18" i="11"/>
  <c r="AJ18" i="11"/>
  <c r="AL18" i="11" s="1"/>
  <c r="AQ18" i="11" s="1"/>
  <c r="AA26" i="11"/>
  <c r="AJ26" i="11"/>
  <c r="AL26" i="11" s="1"/>
  <c r="AQ26" i="11" s="1"/>
  <c r="AA25" i="11"/>
  <c r="AJ25" i="11"/>
  <c r="AL25" i="11" s="1"/>
  <c r="AQ25" i="11" s="1"/>
  <c r="BT24" i="11"/>
  <c r="CC24" i="11" s="1"/>
  <c r="CE24" i="11" s="1"/>
  <c r="CJ24" i="11" s="1"/>
  <c r="AA24" i="11"/>
  <c r="AJ24" i="11" s="1"/>
  <c r="BT23" i="11"/>
  <c r="CC23" i="11" s="1"/>
  <c r="CE23" i="11" s="1"/>
  <c r="CJ23" i="11" s="1"/>
  <c r="AA23" i="11"/>
  <c r="AJ23" i="11" s="1"/>
  <c r="AL23" i="11" s="1"/>
  <c r="AQ23" i="11" s="1"/>
  <c r="BT22" i="11"/>
  <c r="CC22" i="11" s="1"/>
  <c r="CE22" i="11" s="1"/>
  <c r="CJ22" i="11" s="1"/>
  <c r="AA22" i="11"/>
  <c r="AJ22" i="11" s="1"/>
  <c r="AL22" i="11" s="1"/>
  <c r="AQ22" i="11" s="1"/>
  <c r="BT21" i="11"/>
  <c r="CC21" i="11" s="1"/>
  <c r="AA21" i="11"/>
  <c r="AJ21" i="11" s="1"/>
  <c r="BT20" i="11"/>
  <c r="CC20" i="11"/>
  <c r="AA20" i="11"/>
  <c r="AJ20" i="11"/>
  <c r="AL20" i="11" s="1"/>
  <c r="AQ20" i="11" s="1"/>
  <c r="AA19" i="11"/>
  <c r="AJ19" i="11" s="1"/>
  <c r="AL19" i="11" s="1"/>
  <c r="AQ19" i="11" s="1"/>
  <c r="CE19" i="11"/>
  <c r="CJ19" i="11" s="1"/>
  <c r="E20" i="12"/>
  <c r="F20" i="12" s="1"/>
  <c r="G20" i="12" s="1"/>
  <c r="D16" i="13"/>
  <c r="E16" i="13" s="1"/>
  <c r="E9" i="12"/>
  <c r="F9" i="12" s="1"/>
  <c r="G9" i="12" s="1"/>
  <c r="E6" i="14"/>
  <c r="F6" i="14" s="1"/>
  <c r="AL12" i="11"/>
  <c r="AQ12" i="11" s="1"/>
  <c r="AL5" i="11"/>
  <c r="AQ5" i="11" s="1"/>
  <c r="E5" i="12"/>
  <c r="F5" i="12" s="1"/>
  <c r="G5" i="12" s="1"/>
  <c r="D4" i="13"/>
  <c r="E11" i="12" l="1"/>
  <c r="F11" i="12" s="1"/>
  <c r="G11" i="12" s="1"/>
  <c r="D8" i="13"/>
  <c r="E8" i="13" s="1"/>
  <c r="AL15" i="11"/>
  <c r="AQ15" i="11" s="1"/>
  <c r="AL13" i="11"/>
  <c r="AQ13" i="11" s="1"/>
  <c r="E10" i="12"/>
  <c r="F10" i="12" s="1"/>
  <c r="G10" i="12" s="1"/>
  <c r="D7" i="13"/>
  <c r="E7" i="13" s="1"/>
  <c r="CE11" i="11"/>
  <c r="CJ11" i="11" s="1"/>
  <c r="E17" i="12"/>
  <c r="F17" i="12" s="1"/>
  <c r="G17" i="12" s="1"/>
  <c r="E7" i="14"/>
  <c r="F7" i="14" s="1"/>
  <c r="AL10" i="11"/>
  <c r="AQ10" i="11" s="1"/>
  <c r="E7" i="12"/>
  <c r="F7" i="12" s="1"/>
  <c r="G7" i="12" s="1"/>
  <c r="E5" i="14"/>
  <c r="F5" i="14" s="1"/>
  <c r="CE9" i="11"/>
  <c r="CJ9" i="11" s="1"/>
  <c r="E16" i="12"/>
  <c r="F16" i="12" s="1"/>
  <c r="G16" i="12" s="1"/>
  <c r="D13" i="13"/>
  <c r="E13" i="13" s="1"/>
  <c r="CE16" i="11"/>
  <c r="CJ16" i="11" s="1"/>
  <c r="E19" i="12"/>
  <c r="F19" i="12" s="1"/>
  <c r="G19" i="12" s="1"/>
  <c r="D15" i="13"/>
  <c r="E15" i="13" s="1"/>
  <c r="CE8" i="11"/>
  <c r="CJ8" i="11" s="1"/>
  <c r="E15" i="12"/>
  <c r="F15" i="12" s="1"/>
  <c r="G15" i="12" s="1"/>
  <c r="D12" i="13"/>
  <c r="E12" i="13" s="1"/>
  <c r="D5" i="13"/>
  <c r="E6" i="12"/>
  <c r="F6" i="12" s="1"/>
  <c r="G6" i="12" s="1"/>
  <c r="AL7" i="11"/>
  <c r="AQ7" i="11" s="1"/>
  <c r="CE5" i="11"/>
  <c r="CJ5" i="11" s="1"/>
  <c r="E14" i="12"/>
  <c r="F14" i="12" s="1"/>
  <c r="G14" i="12" s="1"/>
  <c r="D11" i="13"/>
  <c r="E11" i="13" s="1"/>
  <c r="CC27" i="11"/>
  <c r="CE4" i="11"/>
  <c r="AL4" i="11"/>
  <c r="AJ27" i="11"/>
  <c r="B28" i="11" s="1"/>
  <c r="B8" i="1" s="1"/>
  <c r="B9" i="1" s="1"/>
  <c r="E4" i="12"/>
  <c r="E4" i="14"/>
  <c r="AL24" i="11"/>
  <c r="AQ24" i="11" s="1"/>
  <c r="D10" i="13"/>
  <c r="E10" i="13" s="1"/>
  <c r="E13" i="12"/>
  <c r="F13" i="12" s="1"/>
  <c r="G13" i="12" s="1"/>
  <c r="CE21" i="11"/>
  <c r="CJ21" i="11" s="1"/>
  <c r="D18" i="13"/>
  <c r="E18" i="13" s="1"/>
  <c r="E22" i="12"/>
  <c r="F22" i="12" s="1"/>
  <c r="G22" i="12" s="1"/>
  <c r="AL21" i="11"/>
  <c r="AQ21" i="11" s="1"/>
  <c r="D9" i="13"/>
  <c r="E9" i="13" s="1"/>
  <c r="E12" i="12"/>
  <c r="F12" i="12" s="1"/>
  <c r="G12" i="12" s="1"/>
  <c r="E21" i="12"/>
  <c r="F21" i="12" s="1"/>
  <c r="G21" i="12" s="1"/>
  <c r="D17" i="13"/>
  <c r="E17" i="13" s="1"/>
  <c r="CE20" i="11"/>
  <c r="CJ20" i="11" s="1"/>
  <c r="C20" i="12"/>
  <c r="F16" i="13"/>
  <c r="G16" i="13" s="1"/>
  <c r="G6" i="14"/>
  <c r="H6" i="14" s="1"/>
  <c r="C9" i="12"/>
  <c r="C5" i="12"/>
  <c r="F4" i="13"/>
  <c r="E4" i="13"/>
  <c r="C11" i="12" l="1"/>
  <c r="F8" i="13"/>
  <c r="G8" i="13" s="1"/>
  <c r="F7" i="13"/>
  <c r="G7" i="13" s="1"/>
  <c r="C10" i="12"/>
  <c r="C17" i="12"/>
  <c r="G7" i="14"/>
  <c r="H7" i="14" s="1"/>
  <c r="C7" i="12"/>
  <c r="G5" i="14"/>
  <c r="H5" i="14" s="1"/>
  <c r="C16" i="12"/>
  <c r="F13" i="13"/>
  <c r="G13" i="13" s="1"/>
  <c r="C19" i="12"/>
  <c r="F15" i="13"/>
  <c r="G15" i="13" s="1"/>
  <c r="C15" i="12"/>
  <c r="F12" i="13"/>
  <c r="G12" i="13" s="1"/>
  <c r="F5" i="13"/>
  <c r="C6" i="12"/>
  <c r="C14" i="12"/>
  <c r="F11" i="13"/>
  <c r="G11" i="13" s="1"/>
  <c r="CJ4" i="11"/>
  <c r="CE27" i="11"/>
  <c r="AQ4" i="11"/>
  <c r="AL27" i="11"/>
  <c r="F4" i="12"/>
  <c r="E24" i="12"/>
  <c r="F4" i="14"/>
  <c r="F8" i="14" s="1"/>
  <c r="B11" i="1" s="1"/>
  <c r="E8" i="14"/>
  <c r="F10" i="13"/>
  <c r="G10" i="13" s="1"/>
  <c r="C13" i="12"/>
  <c r="F18" i="13"/>
  <c r="G18" i="13" s="1"/>
  <c r="C22" i="12"/>
  <c r="F9" i="13"/>
  <c r="G9" i="13" s="1"/>
  <c r="C12" i="12"/>
  <c r="C21" i="12"/>
  <c r="F17" i="13"/>
  <c r="G17" i="13" s="1"/>
  <c r="G4" i="13"/>
  <c r="B37" i="1"/>
  <c r="B38" i="1" s="1"/>
  <c r="E20" i="13"/>
  <c r="B10" i="1" s="1"/>
  <c r="B12" i="1" s="1"/>
  <c r="E5" i="13"/>
  <c r="D20" i="13"/>
  <c r="C4" i="12" l="1"/>
  <c r="G4" i="14"/>
  <c r="H4" i="14" s="1"/>
  <c r="F24" i="12"/>
  <c r="G4" i="12"/>
  <c r="G5" i="13"/>
  <c r="B30" i="1"/>
  <c r="B29" i="1"/>
  <c r="B31" i="1"/>
  <c r="B35" i="1"/>
  <c r="B34" i="1"/>
  <c r="B32" i="1"/>
  <c r="B33" i="1"/>
  <c r="B24" i="1" l="1"/>
  <c r="B26" i="1"/>
  <c r="B25" i="1"/>
  <c r="B22" i="1"/>
  <c r="B21" i="1"/>
  <c r="B27" i="1"/>
  <c r="B23" i="1"/>
</calcChain>
</file>

<file path=xl/sharedStrings.xml><?xml version="1.0" encoding="utf-8"?>
<sst xmlns="http://schemas.openxmlformats.org/spreadsheetml/2006/main" count="1201" uniqueCount="497">
  <si>
    <t>Northline freight bill audit, the September 2026 file, Halvorsen Building Products</t>
  </si>
  <si>
    <t>Prepared for Ingrid Solheim, controller; report prepared October 16, 2026</t>
  </si>
  <si>
    <t>Agreement NFL-2026-HBP; the Northline freight bills in the September 2026 file</t>
  </si>
  <si>
    <t>Finding</t>
  </si>
  <si>
    <t>Value</t>
  </si>
  <si>
    <t>Read from</t>
  </si>
  <si>
    <t>Freight bills in the file</t>
  </si>
  <si>
    <t>Invoices</t>
  </si>
  <si>
    <t>Total billed by Northline</t>
  </si>
  <si>
    <t>Total due under the contract</t>
  </si>
  <si>
    <t>Audit</t>
  </si>
  <si>
    <t>Net difference, billed less due</t>
  </si>
  <si>
    <t>Summary</t>
  </si>
  <si>
    <t>Overcharges claimed</t>
  </si>
  <si>
    <t>Claim Schedule</t>
  </si>
  <si>
    <t>Undercharges reported, not netted</t>
  </si>
  <si>
    <t>Undercharges</t>
  </si>
  <si>
    <t>Overcharges as a share of billings</t>
  </si>
  <si>
    <t>Freight bills claimed</t>
  </si>
  <si>
    <t>Freight bills underbilled</t>
  </si>
  <si>
    <t>Undercharges whose balance-due window has closed</t>
  </si>
  <si>
    <t>Freight bills with an exception</t>
  </si>
  <si>
    <t>Exceptions</t>
  </si>
  <si>
    <t>Freight bills billed as the contract provides</t>
  </si>
  <si>
    <t>Billed items accepted on a document or a written confirmation</t>
  </si>
  <si>
    <t>Freight bills rated under a corrected pro number</t>
  </si>
  <si>
    <t>Pro Matches</t>
  </si>
  <si>
    <t>Exceptions by contract term</t>
  </si>
  <si>
    <t>Duplicate or withdrawn freight bills (7.1)</t>
  </si>
  <si>
    <t>Class not the product group class (4.3)</t>
  </si>
  <si>
    <t>Reweigh that does not hold (4.5)</t>
  </si>
  <si>
    <t>Deficit weight rule not applied (4.2)</t>
  </si>
  <si>
    <t>Discount rounded against section 4.6</t>
  </si>
  <si>
    <t>Fuel surcharge on the wrong week (5.2)</t>
  </si>
  <si>
    <t>Accessorial overbilled or omitted (6.1)</t>
  </si>
  <si>
    <t>Overcharges claimed by contract term</t>
  </si>
  <si>
    <t>Claimed under section 7.1, duplicate and withdrawn freight bills</t>
  </si>
  <si>
    <t>Claimed under section 4.2, deficit weight</t>
  </si>
  <si>
    <t>Claimed under section 4.3, class</t>
  </si>
  <si>
    <t>Claimed under section 4.5, reweigh</t>
  </si>
  <si>
    <t>Claimed under section 4.6, rounding</t>
  </si>
  <si>
    <t>Claimed under section 5.2, fuel week</t>
  </si>
  <si>
    <t>Claimed under section 6.1, accessorial overbilled</t>
  </si>
  <si>
    <t>Largest single exception</t>
  </si>
  <si>
    <t>Largest overcharge on one freight bill</t>
  </si>
  <si>
    <t>Freight bill carrying it</t>
  </si>
  <si>
    <t>Every value on this page reads from the tab named beside it; the Audit tab rates each freight bill from the BOL, Invoices, Tariff, Fuel Index, Billing File, Confirmations, Corrections and Pro Matches tabs, which copy the files in the folder or record the audit's reading of them.</t>
  </si>
  <si>
    <t>Contract terms the audit applies, agreement NFL-2026-HBP</t>
  </si>
  <si>
    <t>Term</t>
  </si>
  <si>
    <t>Section</t>
  </si>
  <si>
    <t>Discount off the class-rated linehaul</t>
  </si>
  <si>
    <t>4.4</t>
  </si>
  <si>
    <t>Minimum charge, net of discount ($)</t>
  </si>
  <si>
    <t>Reweigh tolerance over declared weight</t>
  </si>
  <si>
    <t>4.5</t>
  </si>
  <si>
    <t>Overcharge claim window (days from bill date)</t>
  </si>
  <si>
    <t>7.2</t>
  </si>
  <si>
    <t>Carrier balance-due window on undercharges (days)</t>
  </si>
  <si>
    <t>7.3</t>
  </si>
  <si>
    <t>Percent divisor for the billed surcharge column</t>
  </si>
  <si>
    <t>Invoice file, FSC_PCT in percent</t>
  </si>
  <si>
    <t>Fuel percentage where the bulletin and the table disagree</t>
  </si>
  <si>
    <t>table governs</t>
  </si>
  <si>
    <t>5.3</t>
  </si>
  <si>
    <t>Report date, the as-at date for every window</t>
  </si>
  <si>
    <t>10/16/2026</t>
  </si>
  <si>
    <t>Prompt</t>
  </si>
  <si>
    <t>Rounding of each line</t>
  </si>
  <si>
    <t>nearest cent, half a cent upward</t>
  </si>
  <si>
    <t>4.6</t>
  </si>
  <si>
    <t>Rating method. The linehaul is the class 70 lane rate for the destination state at the shipment's weight break, times the class factor for the contract class, at the contract weight, rounded to the cent. The contract weight is the bill of lading weight, and the billed weight stands only on a certified scale ticket more than five percent over the declared weight; a reweigh with no certified ticket, or inside the tolerance, reverts to the bill of lading weight, and a reweigh that holds is rated at the break the reweighed weight falls in. The contract class is the product group class, and a billed class stands only on a signed inspection certificate in the billing file. The gross charge is the lesser of the own-break figure and the next break's minimum weight at the next break's rate. The discount is sixty-two percent of the gross, rounded to the cent, half a cent upward under section 4.6, and the net linehaul is the gross less the rounded discount, with the minimum charge as a floor; where the floor governs, a base charge billed at the wrong break leaves the amount due as billed and is no exception. The fuel surcharge is the net linehaul times the percentage the tariff table gives for the DOE index in force on the pickup date, rounded to the cent; where the bulletin disagrees with the table, the table governs. Accessorials are added at the Exhibit B flat rate where the bill of lading requests the service or the shipper confirmed it in writing before delivery, a redelivery included; a consignee's request, or the shipper's word given after delivery, does not make a service billable. A freight bill whose pro number matches no bill of lading is rated against the bill of lading its ship date, state, weight and class identify, under a corrected pro number. A second bill on a pro already billed is void and due at zero under section 7.1; a corrected freight bill marked as replacing an earlier bill is the live bill for its pro, and the bill it replaces is withdrawn and due at zero. Undercharges are reported and not netted under section 7.3, and the carrier's ninety days to bill each one run from the freight bill date to the report date.</t>
  </si>
  <si>
    <t>Exhibit B tariff tables, copied from northline_contract_rates_2026.xlsx</t>
  </si>
  <si>
    <t>DEST_STATE</t>
  </si>
  <si>
    <t>L5C</t>
  </si>
  <si>
    <t>5C</t>
  </si>
  <si>
    <t>1M</t>
  </si>
  <si>
    <t>2M</t>
  </si>
  <si>
    <t>5M</t>
  </si>
  <si>
    <t>NMFC_CLASS</t>
  </si>
  <si>
    <t>FACTOR</t>
  </si>
  <si>
    <t>PRODUCT_GROUP</t>
  </si>
  <si>
    <t>SERVICE</t>
  </si>
  <si>
    <t>BOL_FLAG</t>
  </si>
  <si>
    <t>CHARGE</t>
  </si>
  <si>
    <t>PRICE_AT_LEAST</t>
  </si>
  <si>
    <t>FSC_PCT</t>
  </si>
  <si>
    <t>MN</t>
  </si>
  <si>
    <t>Gypsum and cement board</t>
  </si>
  <si>
    <t>Liftgate delivery</t>
  </si>
  <si>
    <t>LIFTGATE</t>
  </si>
  <si>
    <t>SD</t>
  </si>
  <si>
    <t>Fasteners and hardware</t>
  </si>
  <si>
    <t>Residential delivery</t>
  </si>
  <si>
    <t>RESIDENTIAL</t>
  </si>
  <si>
    <t>MT</t>
  </si>
  <si>
    <t>Metal roofing panels</t>
  </si>
  <si>
    <t>Limited access delivery</t>
  </si>
  <si>
    <t>LIMITED_ACCESS</t>
  </si>
  <si>
    <t>IA</t>
  </si>
  <si>
    <t>Sealants and coatings</t>
  </si>
  <si>
    <t>Inside delivery</t>
  </si>
  <si>
    <t>INSIDE_DELIVERY</t>
  </si>
  <si>
    <t>WI</t>
  </si>
  <si>
    <t>Vinyl siding</t>
  </si>
  <si>
    <t>Redelivery</t>
  </si>
  <si>
    <t>None</t>
  </si>
  <si>
    <t>NE</t>
  </si>
  <si>
    <t>Windows and doors</t>
  </si>
  <si>
    <t>Reconsignment</t>
  </si>
  <si>
    <t>ND</t>
  </si>
  <si>
    <t>Minimum weight (lb)</t>
  </si>
  <si>
    <t>DOE index by week from the bulletin's quarter history, the surcharge percentage the tariff table gives it, and the percentage the bulletin printed</t>
  </si>
  <si>
    <t>INDEX_MONDAY</t>
  </si>
  <si>
    <t>DOE_PRICE</t>
  </si>
  <si>
    <t>BULLETIN_PCT</t>
  </si>
  <si>
    <t>07/06/2026</t>
  </si>
  <si>
    <t>07/13/2026</t>
  </si>
  <si>
    <t>07/20/2026</t>
  </si>
  <si>
    <t>07/27/2026</t>
  </si>
  <si>
    <t>08/03/2026</t>
  </si>
  <si>
    <t>08/10/2026</t>
  </si>
  <si>
    <t>08/17/2026</t>
  </si>
  <si>
    <t>08/24/2026</t>
  </si>
  <si>
    <t>08/31/2026</t>
  </si>
  <si>
    <t>09/07/2026</t>
  </si>
  <si>
    <t>09/14/2026</t>
  </si>
  <si>
    <t>09/21/2026</t>
  </si>
  <si>
    <t>09/28/2026</t>
  </si>
  <si>
    <t>FSC_PCT reads the tariff table at each week's DOE price and is the percentage the audit applies; BULLETIN_PCT is the figure printed in the bulletin, which is informational under section 5.3. The July and August weeks govern the July freight bill re-sent in September and the two late-August pickups.</t>
  </si>
  <si>
    <t>Bills of lading, bills_of_lading_sept_2026.csv, copied line for line in the file's two side-by-side panels</t>
  </si>
  <si>
    <t>BOL_NO</t>
  </si>
  <si>
    <t>PRO_NO</t>
  </si>
  <si>
    <t>PICKUP_DATE</t>
  </si>
  <si>
    <t>CONSIGNEE_CITY</t>
  </si>
  <si>
    <t>PIECES</t>
  </si>
  <si>
    <t>WEIGHT_LB</t>
  </si>
  <si>
    <t>DELIVERED_DATE</t>
  </si>
  <si>
    <t>BOL_NO_2</t>
  </si>
  <si>
    <t>PRO_NO_2</t>
  </si>
  <si>
    <t>PICKUP_DATE_2</t>
  </si>
  <si>
    <t>CONSIGNEE_CITY_2</t>
  </si>
  <si>
    <t>DEST_STATE_2</t>
  </si>
  <si>
    <t>PRODUCT_GROUP_2</t>
  </si>
  <si>
    <t>PIECES_2</t>
  </si>
  <si>
    <t>WEIGHT_LB_2</t>
  </si>
  <si>
    <t>LIFTGATE_2</t>
  </si>
  <si>
    <t>RESIDENTIAL_2</t>
  </si>
  <si>
    <t>LIMITED_ACCESS_2</t>
  </si>
  <si>
    <t>INSIDE_DELIVERY_2</t>
  </si>
  <si>
    <t>DELIVERED_DATE_2</t>
  </si>
  <si>
    <t>HBP-44612</t>
  </si>
  <si>
    <t>07/09/2026</t>
  </si>
  <si>
    <t>Fergus Falls</t>
  </si>
  <si>
    <t>N</t>
  </si>
  <si>
    <t>Y</t>
  </si>
  <si>
    <t>HBP-44826</t>
  </si>
  <si>
    <t>09/18/2026</t>
  </si>
  <si>
    <t>Hudson</t>
  </si>
  <si>
    <t>HBP-44790</t>
  </si>
  <si>
    <t>08/27/2026</t>
  </si>
  <si>
    <t>HBP-44853</t>
  </si>
  <si>
    <t>Bismarck</t>
  </si>
  <si>
    <t>09/22/2026</t>
  </si>
  <si>
    <t>HBP-44802</t>
  </si>
  <si>
    <t>08/28/2026</t>
  </si>
  <si>
    <t>Aberdeen</t>
  </si>
  <si>
    <t>09/01/2026</t>
  </si>
  <si>
    <t>HBP-44896</t>
  </si>
  <si>
    <t>HBP-44817</t>
  </si>
  <si>
    <t>Superior</t>
  </si>
  <si>
    <t>09/04/2026</t>
  </si>
  <si>
    <t>HBP-44918</t>
  </si>
  <si>
    <t>Eau Claire</t>
  </si>
  <si>
    <t>HBP-44843</t>
  </si>
  <si>
    <t>09/03/2026</t>
  </si>
  <si>
    <t>Moorhead</t>
  </si>
  <si>
    <t>HBP-44906</t>
  </si>
  <si>
    <t>Alexandria</t>
  </si>
  <si>
    <t>09/25/2026</t>
  </si>
  <si>
    <t>HBP-44895</t>
  </si>
  <si>
    <t>09/09/2026</t>
  </si>
  <si>
    <t>HBP-44913</t>
  </si>
  <si>
    <t>Glendive</t>
  </si>
  <si>
    <t>09/23/2026</t>
  </si>
  <si>
    <t>HBP-44832</t>
  </si>
  <si>
    <t>09/08/2026</t>
  </si>
  <si>
    <t>Miles City</t>
  </si>
  <si>
    <t>HBP-44863</t>
  </si>
  <si>
    <t>HBP-44839</t>
  </si>
  <si>
    <t>09/10/2026</t>
  </si>
  <si>
    <t>HBP-44885</t>
  </si>
  <si>
    <t>Mason City</t>
  </si>
  <si>
    <t>09/24/2026</t>
  </si>
  <si>
    <t>HBP-44875</t>
  </si>
  <si>
    <t>Minot</t>
  </si>
  <si>
    <t>HBP-44910</t>
  </si>
  <si>
    <t>Sioux City</t>
  </si>
  <si>
    <t>HBP-44902</t>
  </si>
  <si>
    <t>HBP-44912</t>
  </si>
  <si>
    <t>Dickinson</t>
  </si>
  <si>
    <t>HBP-44858</t>
  </si>
  <si>
    <t>Brainerd</t>
  </si>
  <si>
    <t>09/11/2026</t>
  </si>
  <si>
    <t>HBP-44901</t>
  </si>
  <si>
    <t>HBP-44861</t>
  </si>
  <si>
    <t>Grand Island</t>
  </si>
  <si>
    <t>HBP-44923</t>
  </si>
  <si>
    <t>HBP-44820</t>
  </si>
  <si>
    <t>09/17/2026</t>
  </si>
  <si>
    <t>HBP-44862</t>
  </si>
  <si>
    <t>09/29/2026</t>
  </si>
  <si>
    <t>HBP-44856</t>
  </si>
  <si>
    <t>Norfolk</t>
  </si>
  <si>
    <t>HBP-44833</t>
  </si>
  <si>
    <t>Williston</t>
  </si>
  <si>
    <t>10/02/2026</t>
  </si>
  <si>
    <t>HBP-44879</t>
  </si>
  <si>
    <t>09/15/2026</t>
  </si>
  <si>
    <t>HBP-44891</t>
  </si>
  <si>
    <t>10/01/2026</t>
  </si>
  <si>
    <t>HBP-44908</t>
  </si>
  <si>
    <t>Detroit Lakes</t>
  </si>
  <si>
    <t>HBP-44822</t>
  </si>
  <si>
    <t>HBP-44828</t>
  </si>
  <si>
    <t>HBP-44847</t>
  </si>
  <si>
    <t>HBP-44838</t>
  </si>
  <si>
    <t>HBP-44921</t>
  </si>
  <si>
    <t>Watertown</t>
  </si>
  <si>
    <t>HBP-44870</t>
  </si>
  <si>
    <t>09/16/2026</t>
  </si>
  <si>
    <t>HBP-44849</t>
  </si>
  <si>
    <t>09/30/2026</t>
  </si>
  <si>
    <t>HBP-44899</t>
  </si>
  <si>
    <t>HBP-44887</t>
  </si>
  <si>
    <t>Billings</t>
  </si>
  <si>
    <t>HBP-44883</t>
  </si>
  <si>
    <t>Jamestown</t>
  </si>
  <si>
    <t>HBP-44927</t>
  </si>
  <si>
    <t>HBP-44915</t>
  </si>
  <si>
    <t>Northline freight bills, northline_invoices_sept_2026.csv, copied line for line in the file's two side-by-side panels</t>
  </si>
  <si>
    <t>INVOICE_NO</t>
  </si>
  <si>
    <t>INVOICE_DATE</t>
  </si>
  <si>
    <t>SHIP_DATE</t>
  </si>
  <si>
    <t>BILLED_WEIGHT</t>
  </si>
  <si>
    <t>BILLED_CLASS</t>
  </si>
  <si>
    <t>BASE_CHARGE</t>
  </si>
  <si>
    <t>DISCOUNT_AMT</t>
  </si>
  <si>
    <t>NET_LINEHAUL</t>
  </si>
  <si>
    <t>FSC_AMT</t>
  </si>
  <si>
    <t>ACCESSORIAL_DESC</t>
  </si>
  <si>
    <t>ACCESSORIAL_AMT</t>
  </si>
  <si>
    <t>INVOICE_TOTAL</t>
  </si>
  <si>
    <t>INVOICE_NO_2</t>
  </si>
  <si>
    <t>INVOICE_DATE_2</t>
  </si>
  <si>
    <t>SHIP_DATE_2</t>
  </si>
  <si>
    <t>BILLED_WEIGHT_2</t>
  </si>
  <si>
    <t>BILLED_CLASS_2</t>
  </si>
  <si>
    <t>BASE_CHARGE_2</t>
  </si>
  <si>
    <t>DISCOUNT_AMT_2</t>
  </si>
  <si>
    <t>NET_LINEHAUL_2</t>
  </si>
  <si>
    <t>FSC_PCT_2</t>
  </si>
  <si>
    <t>FSC_AMT_2</t>
  </si>
  <si>
    <t>ACCESSORIAL_DESC_2</t>
  </si>
  <si>
    <t>ACCESSORIAL_AMT_2</t>
  </si>
  <si>
    <t>INVOICE_TOTAL_2</t>
  </si>
  <si>
    <t>NFL-89740</t>
  </si>
  <si>
    <t>07/14/2026</t>
  </si>
  <si>
    <t>NFL-90338</t>
  </si>
  <si>
    <t>NFL-90302</t>
  </si>
  <si>
    <t>09/02/2026</t>
  </si>
  <si>
    <t>NFL-90339</t>
  </si>
  <si>
    <t>Residential delivery/Inside delivery/Liftgate delivery</t>
  </si>
  <si>
    <t>NFL-90304</t>
  </si>
  <si>
    <t>NFL-90340</t>
  </si>
  <si>
    <t>NFL-90311</t>
  </si>
  <si>
    <t>09/05/2026</t>
  </si>
  <si>
    <t>NFL-90341</t>
  </si>
  <si>
    <t>NFL-90314</t>
  </si>
  <si>
    <t>09/12/2026</t>
  </si>
  <si>
    <t>NFL-90342</t>
  </si>
  <si>
    <t>NFL-90316</t>
  </si>
  <si>
    <t>NFL-90343</t>
  </si>
  <si>
    <t>09/26/2026</t>
  </si>
  <si>
    <t>NFL-90317</t>
  </si>
  <si>
    <t>09/13/2026</t>
  </si>
  <si>
    <t>NFL-90344</t>
  </si>
  <si>
    <t>09/27/2026</t>
  </si>
  <si>
    <t>NFL-90318</t>
  </si>
  <si>
    <t>NFL-90346</t>
  </si>
  <si>
    <t>NFL-90319</t>
  </si>
  <si>
    <t>Liftgate delivery/Limited access delivery</t>
  </si>
  <si>
    <t>NFL-90347</t>
  </si>
  <si>
    <t>Liftgate delivery/Inside delivery</t>
  </si>
  <si>
    <t>NFL-90320</t>
  </si>
  <si>
    <t>NFL-90348</t>
  </si>
  <si>
    <t>NFL-90321</t>
  </si>
  <si>
    <t>NFL-90349</t>
  </si>
  <si>
    <t>NFL-90322</t>
  </si>
  <si>
    <t>NFL-90350</t>
  </si>
  <si>
    <t>NFL-90324</t>
  </si>
  <si>
    <t>NFL-90351</t>
  </si>
  <si>
    <t>NFL-90326</t>
  </si>
  <si>
    <t>NFL-90352</t>
  </si>
  <si>
    <t>NFL-90327</t>
  </si>
  <si>
    <t>09/19/2026</t>
  </si>
  <si>
    <t>NFL-90353</t>
  </si>
  <si>
    <t>NFL-90328</t>
  </si>
  <si>
    <t>NFL-90354</t>
  </si>
  <si>
    <t>Limited access delivery/Inside delivery</t>
  </si>
  <si>
    <t>NFL-90330</t>
  </si>
  <si>
    <t>09/20/2026</t>
  </si>
  <si>
    <t>NFL-90355</t>
  </si>
  <si>
    <t>NFL-90332</t>
  </si>
  <si>
    <t>NFL-90356</t>
  </si>
  <si>
    <t>NFL-90333</t>
  </si>
  <si>
    <t>NFL-90357</t>
  </si>
  <si>
    <t>NFL-90334</t>
  </si>
  <si>
    <t>NFL-90358</t>
  </si>
  <si>
    <t>Liftgate delivery/Residential delivery</t>
  </si>
  <si>
    <t>NFL-90335</t>
  </si>
  <si>
    <t>NFL-90359</t>
  </si>
  <si>
    <t>NFL-90336</t>
  </si>
  <si>
    <t>NFL-90360</t>
  </si>
  <si>
    <t>NFL-90337</t>
  </si>
  <si>
    <t>NFL-90362</t>
  </si>
  <si>
    <t>Documents Northline lists in its billing file, northline_billing_file_sept_2026.docx, with the audit's reading of each one</t>
  </si>
  <si>
    <t>FREIGHT_BILL</t>
  </si>
  <si>
    <t>DOCUMENT</t>
  </si>
  <si>
    <t>PARTICULARS</t>
  </si>
  <si>
    <t>READ_AS</t>
  </si>
  <si>
    <t>QUALIFIES</t>
  </si>
  <si>
    <t>APPLIES_TO</t>
  </si>
  <si>
    <t>Delivery receipt notation</t>
  </si>
  <si>
    <t>Gated yard, 48 minutes on site</t>
  </si>
  <si>
    <t>Delivery receipt</t>
  </si>
  <si>
    <t>No</t>
  </si>
  <si>
    <t>none</t>
  </si>
  <si>
    <t>Scale ticket</t>
  </si>
  <si>
    <t>Miles City platform scale ticket 2218, net 2,040 lb, weighmaster signed</t>
  </si>
  <si>
    <t>Certified scale ticket</t>
  </si>
  <si>
    <t>Yes</t>
  </si>
  <si>
    <t>4.5 weight</t>
  </si>
  <si>
    <t>Liftgate at a gated site, both services on the bill of lading</t>
  </si>
  <si>
    <t>Glendive platform scale ticket 4471, net 2,312 lb, weighmaster signed</t>
  </si>
  <si>
    <t>Reclass notice</t>
  </si>
  <si>
    <t>Rating system entry from a density figure, a dock clerk's initials, no inspector</t>
  </si>
  <si>
    <t>Not an inspection certificate</t>
  </si>
  <si>
    <t>4.3 class</t>
  </si>
  <si>
    <t>Inspection certificate</t>
  </si>
  <si>
    <t>Certificate 0931 signed by the Northline freight inspector, class 70</t>
  </si>
  <si>
    <t>Signed inspection certificate</t>
  </si>
  <si>
    <t>Dock scale readout</t>
  </si>
  <si>
    <t>Forklift scale printout, 1,620 lb, the dock lead's initials, no weighmaster and no certification</t>
  </si>
  <si>
    <t>Not a certified scale ticket</t>
  </si>
  <si>
    <t>Liftgate and inside delivery, both services on the bill of lading</t>
  </si>
  <si>
    <t>Withdrawn freight bill</t>
  </si>
  <si>
    <t>Weight keyed from the manifest as 1,950 lb, marked WITHDRAWN September 30, replaced by NFL-90362</t>
  </si>
  <si>
    <t>Withdrawn bill, due at zero</t>
  </si>
  <si>
    <t>7.1 withdrawn</t>
  </si>
  <si>
    <t>Corrected freight bill</t>
  </si>
  <si>
    <t>Marked CORRECTED, replacing NFL-90318, at the bill of lading weight of 1,590 lb</t>
  </si>
  <si>
    <t>Corrected bill, the live bill for the pro</t>
  </si>
  <si>
    <t>7.1 corrected</t>
  </si>
  <si>
    <t>Fargo Public Scale ticket 88213, net 3,010 lb, weighmaster signed</t>
  </si>
  <si>
    <t>Residential address, service on the bill of lading</t>
  </si>
  <si>
    <t>QUALIFIES reads Yes where the document is a certified scale ticket under section 4.5, an inspection certificate signed by the carrier's inspector under section 4.3, or a withdrawn or corrected freight bill under section 7.1; a certified ticket inside the five percent tolerance still reverts to the bill of lading weight on the Audit tab, and a ticket that holds is rated at the break its weight falls in.</t>
  </si>
  <si>
    <t>Services the shipping desk put in writing to Northline, shipping_desk_correspondence_sept_2026.docx, read against section 6.1</t>
  </si>
  <si>
    <t>WRITTEN_BY</t>
  </si>
  <si>
    <t>WRITTEN_DATE</t>
  </si>
  <si>
    <t>DUE_UNDER_6_1</t>
  </si>
  <si>
    <t>Shipping lead's email to Northline customer service</t>
  </si>
  <si>
    <t>Shipping lead's email to Northline customer service, the day after delivery</t>
  </si>
  <si>
    <t>Section 6.1 makes a service billable where the bill of lading requests it or the shipper confirmed it in writing before delivery. The Bismarck liftgate was confirmed the day after delivery, so it is not due. The Sioux City redelivery was declined. The Superior inside delivery was requested by the consignee and never by the shipper, so it is not due either.</t>
  </si>
  <si>
    <t>Freight bills Northline withdrew and the corrected bills that replace them, from the billing file transmittal</t>
  </si>
  <si>
    <t>WITHDRAWN_BILL</t>
  </si>
  <si>
    <t>CORRECTED_BILL</t>
  </si>
  <si>
    <t>BASIS</t>
  </si>
  <si>
    <t>Transmittal: NFL-90318 marked WITHDRAWN September 30, 2026, replaced by NFL-90362 marked CORRECTED at 1,590 lb; Northline customer service, October 1: weight keyed from the terminal manifest, no reweigh</t>
  </si>
  <si>
    <t>Under section 7.1 a corrected freight bill marked as replacing an earlier bill is not a second bill: the corrected bill is rated as the live bill for its pro, and the withdrawn bill is due at zero, returned unpaid or claimed if paid, as a void duplicate is.</t>
  </si>
  <si>
    <t>Freight bills whose pro number matches no bill of lading, matched to the bill of lading the shipment identifies</t>
  </si>
  <si>
    <t>BILLED_PRO</t>
  </si>
  <si>
    <t>BOL_PRO</t>
  </si>
  <si>
    <t>No bill of lading carries 217876; HBP-44912 for pro 217867 matches the 09/23/2026 ship date, the state ND, the 1,720 lb weight and class 92.5, and no other freight bill bills pro 217867</t>
  </si>
  <si>
    <t>The Audit tab rates such a bill against the matched bill of lading under a corrected pro number and reports it to Northline for a corrected freight bill; it is rated, not set aside.</t>
  </si>
  <si>
    <t>Every freight bill rated under the contract beside what Northline billed; the left panel rates the invoice file's left panel, the right panel its right</t>
  </si>
  <si>
    <t>PRO_BILLED</t>
  </si>
  <si>
    <t>WITHDRAWN</t>
  </si>
  <si>
    <t>BOL_WEIGHT</t>
  </si>
  <si>
    <t>CERTIFIED_TICKET</t>
  </si>
  <si>
    <t>CONTRACT_WEIGHT</t>
  </si>
  <si>
    <t>GROUP_CLASS</t>
  </si>
  <si>
    <t>INSPECTION_CERT</t>
  </si>
  <si>
    <t>CONTRACT_CLASS</t>
  </si>
  <si>
    <t>CLASS_FACTOR</t>
  </si>
  <si>
    <t>BREAK</t>
  </si>
  <si>
    <t>RATE_CWT</t>
  </si>
  <si>
    <t>OWN_BREAK_CHARGE</t>
  </si>
  <si>
    <t>NEXT_BREAK_CHARGE</t>
  </si>
  <si>
    <t>GROSS_LINEHAUL</t>
  </si>
  <si>
    <t>DISCOUNT_DUE</t>
  </si>
  <si>
    <t>FSC_MONDAY</t>
  </si>
  <si>
    <t>FSC_DUE</t>
  </si>
  <si>
    <t>BOL_ACCESSORIALS</t>
  </si>
  <si>
    <t>CONFIRMED_ACCESSORIALS</t>
  </si>
  <si>
    <t>ACCESSORIALS_DUE</t>
  </si>
  <si>
    <t>DUPLICATE</t>
  </si>
  <si>
    <t>CONTRACT_TOTAL</t>
  </si>
  <si>
    <t>BILLED_TOTAL</t>
  </si>
  <si>
    <t>VARIANCE</t>
  </si>
  <si>
    <t>BILLED_BASE</t>
  </si>
  <si>
    <t>BILLED_NET</t>
  </si>
  <si>
    <t>BILLED_FSC_PCT</t>
  </si>
  <si>
    <t>BILLED_ACCESSORIALS</t>
  </si>
  <si>
    <t>EXCEPTION</t>
  </si>
  <si>
    <t>SETTLED_BY</t>
  </si>
  <si>
    <t>PRO_BILLED_2</t>
  </si>
  <si>
    <t>WITHDRAWN_2</t>
  </si>
  <si>
    <t>CORRECTED_BILL_2</t>
  </si>
  <si>
    <t>BOL_WEIGHT_2</t>
  </si>
  <si>
    <t>CERTIFIED_TICKET_2</t>
  </si>
  <si>
    <t>CONTRACT_WEIGHT_2</t>
  </si>
  <si>
    <t>GROUP_CLASS_2</t>
  </si>
  <si>
    <t>INSPECTION_CERT_2</t>
  </si>
  <si>
    <t>CONTRACT_CLASS_2</t>
  </si>
  <si>
    <t>CLASS_FACTOR_2</t>
  </si>
  <si>
    <t>BREAK_2</t>
  </si>
  <si>
    <t>RATE_CWT_2</t>
  </si>
  <si>
    <t>OWN_BREAK_CHARGE_2</t>
  </si>
  <si>
    <t>NEXT_BREAK_CHARGE_2</t>
  </si>
  <si>
    <t>GROSS_LINEHAUL_2</t>
  </si>
  <si>
    <t>DISCOUNT_DUE_2</t>
  </si>
  <si>
    <t>FSC_MONDAY_2</t>
  </si>
  <si>
    <t>FSC_DUE_2</t>
  </si>
  <si>
    <t>BOL_ACCESSORIALS_2</t>
  </si>
  <si>
    <t>CONFIRMED_ACCESSORIALS_2</t>
  </si>
  <si>
    <t>ACCESSORIALS_DUE_2</t>
  </si>
  <si>
    <t>DUPLICATE_2</t>
  </si>
  <si>
    <t>CONTRACT_TOTAL_2</t>
  </si>
  <si>
    <t>BILLED_TOTAL_2</t>
  </si>
  <si>
    <t>VARIANCE_2</t>
  </si>
  <si>
    <t>BILLED_BASE_2</t>
  </si>
  <si>
    <t>BILLED_NET_2</t>
  </si>
  <si>
    <t>BILLED_FSC_PCT_2</t>
  </si>
  <si>
    <t>BILLED_ACCESSORIALS_2</t>
  </si>
  <si>
    <t>EXCEPTION_2</t>
  </si>
  <si>
    <t>SETTLED_BY_2</t>
  </si>
  <si>
    <t>Totals</t>
  </si>
  <si>
    <t>Totals_2</t>
  </si>
  <si>
    <t>Total due under the contract, both panels</t>
  </si>
  <si>
    <t>Total billed, both panels</t>
  </si>
  <si>
    <t>Billed items accepted on a document or a written confirmation, both panels</t>
  </si>
  <si>
    <t>Each Audit panel reads the matching panel of the Invoices tab row for row, and the bill of lading fields are looked up in whichever BOL panel carries the pro. Terms B9 is the percent divisor for the invoice file's FSC_PCT column, which Northline states in whole percent. PRO_NO is the bill of lading pro the bill is rated against, which differs from PRO_BILLED only where the Pro Matches tab corrects it. EXCEPTION is blank where the amount due equals the amount billed, whatever the path to it, and names the section relied on otherwise. SETTLED_BY names the document or written confirmation on which a billed item that disagrees with the bill of lading, or a second bill on a billed pro, is accepted as billed, or the corrected pro number a bill is rated under.</t>
  </si>
  <si>
    <t>Freight bills that do not match the contract, with the section each exception rests on</t>
  </si>
  <si>
    <t>BILLED</t>
  </si>
  <si>
    <t>DUE</t>
  </si>
  <si>
    <t>DISPOSITION</t>
  </si>
  <si>
    <t>Exceptions listed</t>
  </si>
  <si>
    <t>Overcharge claim schedule under section 7.2, Halvorsen Building Products to Northline Freight Lines, freight bills dated September 2026</t>
  </si>
  <si>
    <t>AMOUNT_BILLED</t>
  </si>
  <si>
    <t>AMOUNT_DUE</t>
  </si>
  <si>
    <t>DIFFERENCE</t>
  </si>
  <si>
    <t>SECTION</t>
  </si>
  <si>
    <t>Total claimed</t>
  </si>
  <si>
    <t>Basis text by section</t>
  </si>
  <si>
    <t>7.1</t>
  </si>
  <si>
    <t>Second freight bill on a pro number already billed, void under section 7.1, or a bill withdrawn by a corrected bill; return unpaid or claim if paid</t>
  </si>
  <si>
    <t>4.3</t>
  </si>
  <si>
    <t>Billed at a class other than the product group class with no signed inspection certificate in the billing file</t>
  </si>
  <si>
    <t>Billed weight above the bill of lading weight with no certified scale ticket, or with a ticket inside the five percent tolerance</t>
  </si>
  <si>
    <t>4.2</t>
  </si>
  <si>
    <t>Rated at the shipment's own break where the next break's minimum weight rates lower</t>
  </si>
  <si>
    <t>Discount rounded down on a half cent where section 4.6 rounds half a cent upward</t>
  </si>
  <si>
    <t>5.2</t>
  </si>
  <si>
    <t>Fuel surcharge taken from a week other than the pickup week</t>
  </si>
  <si>
    <t>6.1</t>
  </si>
  <si>
    <t>Accessorial billed above the Exhibit B schedule: a service with no request on the bill of lading and no confirmation in writing by the shipper before delivery, or a charge above the flat rate</t>
  </si>
  <si>
    <t>Freight bills where Northline billed less than the contract, reported under section 7.3 and not netted against the claim, with the carrier's ninety-day window read at the report date</t>
  </si>
  <si>
    <t>BILL_DATE</t>
  </si>
  <si>
    <t>SHORTFALL</t>
  </si>
  <si>
    <t>DAYS_LEFT_AT_REPORT</t>
  </si>
  <si>
    <t>WINDOW</t>
  </si>
  <si>
    <t>Total reported</t>
  </si>
  <si>
    <t>Accessorial the bill of lading requested was not billed</t>
  </si>
  <si>
    <t>DAYS_LEFT_AT_REPORT counts the days of the carrier's ninety from the freight bill date that remain at the report date in Terms B11, and WINDOW reads Open where any remain. A closed window is still reported, but Northline can no longer bill the balance.</t>
  </si>
  <si>
    <t>Note to Ingrid Solheim on the September Northline audit</t>
  </si>
  <si>
    <t>Ingrid, this is the audit of the Northline freight bills in the September file, which cover 43 shipments: a July bill that reached us in September, two pickups in the last week of August, and the September pickups. Every figure on the summary reads from the tabs behind it, and the tabs behind read from the BOL and Invoices tabs, which copy the two files line for line in their two side-by-side panels, so nothing on the summary is typed in. The contract terms the audit applies are on the Terms and Tariff tabs with the section of the agreement each one comes from. The Billing File tab is my reading of the documents Northline listed in its transmittal, the Confirmations tab holds what the shipping desk put in writing to Northline, the Corrections tab holds the bill Northline withdrew and the corrected bill that replaces it, and the Pro Matches tab holds the one freight bill whose pro number matches no bill of lading.</t>
  </si>
  <si>
    <t>Northline billed $24,704.54 on 46 freight bills. Rated under the agreement the same bills come to $22,591.56, so Northline billed $2,112.98 more than the contract allows on a net basis. That net figure is not the claim. The agreement does not let us net an undercharge against an overcharge, so the claim is the overcharges alone, $2,285.16 on 16 freight bills, and the undercharges go on their own list, $172.18 on 4 freight bills, reported to Northline and not deducted.</t>
  </si>
  <si>
    <t>Three bills are due at zero under section 7.1 and make up most of the claim, $1,702.07 between them. Northline billed pro 217883 twice, on NFL-90340 and again on NFL-90349, and pro 217841 twice, on NFL-90347 and again on NFL-90360; the second bill on each pro is void. Pro 217846, the Hudson windows, also carries two bills, but they are not a duplicate pair: NFL-90318 billed 1,950 pounds keyed from the terminal manifest against 1,590 on the bill of lading, Northline withdrew it on September 30, and NFL-90362 of October 2 is marked as the corrected bill replacing it. Section 7.1 treats a marked corrected bill as the live bill for its pro, so NFL-90362 is rated at the bill of lading weight and is billed as the contract provides at $632.45. NFL-90318 is the bill that is due at zero. A reading that voids every second bill on a pro would pay the wrong one. If accounts payable has already paid a void or withdrawn bill, it stays on the claim; if not, return it unpaid and take it off the claim schedule before you file, because the schedule assumes payment.</t>
  </si>
  <si>
    <t>Seven billed items disagree with the bill of lading, or sit second on a billed pro, and are accepted as billed because a document in the file supports each one, so they are on no schedule. Northline's billing file holds a signed inspection certificate for the Norfolk gypsum board on NFL-90328, so the class 70 on that bill stands under section 4.3, and the bill is rated at $190.30 as billed. The file holds a certified scale ticket for the Glendive windows on NFL-90336 at 3,010 pounds against 2,790 declared, 7.9 percent over and outside the five percent tolerance, so the reweigh holds under section 4.5, and the bill is rated at $1,178.82 as billed. It holds a certified ticket for the Miles City fasteners on NFL-90316 at 2,040 pounds against 1,760 declared, 15.9 percent over, so that reweigh holds too, and it carries the shipment from the 1M break into the 2M break, where the 2M rate on 2,040 pounds is $957.84 against $1,908.20 at the 5M minimum, so the deficit test at the reweighed weight leaves the bill at $460.43 as billed. The shipping desk confirmed the liftgate on the Detroit Lakes siding, NFL-90330, in writing on September 16, two days before delivery, asked in writing on September 15 for the reconsignment of the Norfolk sealants on NFL-90324, and told Northline in writing on September 17 to redeliver the Watertown fasteners on NFL-90334 and bill the redelivery, so all three charges are due under section 6.1 as confirmed in writing before delivery. The seventh is the corrected bill NFL-90362 above.</t>
  </si>
  <si>
    <t>Two reweighs do not hold. NFL-90351 bills the Mason City roofing at 1,620 pounds against 1,310 on the bill of lading, and the only document behind it is a dock scale readout with the dock lead's initials, which is not a certified scale ticket, so the audit reverts to the bill of lading weight, $71.22 over. NFL-90355 bills the Glendive vinyl siding at 2,312 pounds on a certified ticket, but 2,312 is 4.6 percent over the 2,210 declared and inside the five percent tolerance, so section 4.5 sends that one back to the bill of lading weight as well, $31.96 over. If Northline produces a certified scale ticket for the Mason City shipment, that item comes off the claim, because 1,620 is 23.7 percent over the declared weight.</t>
  </si>
  <si>
    <t>NFL-90322 bills the Minot sealants at class 92.5 where the tariff puts sealants and coatings at class 85, $46.45 over. The billing file shows only a reclass notice from the rating system with a dock clerk's initials and no inspector, and Northline customer service confirmed to accounts payable on September 30 that no inspection was made, so section 4.3 does not let the reclass stand. Three bills were rated without the deficit weight rule in section 4.2, $194.95 together: on NFL-90332 the 4,650-pound Eau Claire roofing rates cheaper as 5,000 pounds at the 5M rate, on NFL-90335 the 1,860-pound Jamestown windows rate cheaper as 2,000 pounds at the 2M rate, and on NFL-90343 the 930-pound Eau Claire windows rate cheaper as 1,000 pounds at the 1M rate, $729.35 against $796.29. The rule was tested on every bill, and four more sit near a break without an exception: Northline applied it correctly on the 4,900-pound Miles City roofing on NFL-90326 and the 4,120-pound Norfolk roofing on NFL-90359; the 1,630-pound Hudson gypsum board on NFL-90338 falls $5.38 short of beating the 2M minimum, so its own break is right; and the 460-pound Williston gypsum board on NFL-90350 was billed at its own break where the 5C minimum rates lower, but both figures fall under the $118.40 minimum charge after discount, so the floor leaves the amount due exactly as billed and it is no exception.</t>
  </si>
  <si>
    <t>One bill is over by rounding alone. NFL-90311 for the Superior roofing at 1,249 pounds carries a class-rated linehaul of $628.25, on which sixty-two percent is $389.515; section 4.6 rounds half a cent upward to $389.52 and a net linehaul of $238.73, but Northline took the discount as $389.51 and a net of $238.74, and the surcharge on the extra cent made it $0.02 over. It is on the claim schedule under section 4.6 because the agreement now states the convention, and it is the reason every line on the Audit tab is rounded in the order the section gives.</t>
  </si>
  <si>
    <t>Four accessorials are claimed, $233.00 together under section 6.1. The liftgate on NFL-90339 to Bismarck, $75.00, was not on the bill of lading, and the shipping desk's written word to bill it came on September 23, the day after delivery, which section 6.1 does not accept. The inside delivery on NFL-90354 to Superior, $60.00, was requested in writing by the consignee to Northline's terminal and never by us, and the agreement counts only the shipper's confirmation. The redelivery on NFL-90342 to Sioux City, $88.00, was declined in writing on September 25 before the second attempt, because the driver arrived inside the receiver's posted hours. The liftgate on NFL-90320 to Grand Island was requested on the bill of lading but billed at $85.00 against the $75.00 schedule rate, $10.00 over.</t>
  </si>
  <si>
    <t>Four bills carry a fuel surcharge from the wrong week. NFL-90302 for the Hudson roofing picked up August 27 was rated on the August 31 index instead of the August 24 index, $2.48 over, and NFL-90356 for the Watertown siding was rated on the September 21 index instead of the September 28 index for its September 29 pickup, $3.01 over. NFL-90319 and NFL-90346 were rated on the week of their invoice date instead of the week of pickup, which undercharged us $0.77 and $1.41. Section 5.2 keys the surcharge to the pickup week regardless of the invoice date. Two more bills omitted a service the bill of lading requested: NFL-90317 left off the Brainerd liftgate, $75.00 under, and NFL-89740, the July 14 bill for the Fergus Falls windows that Northline re-sent on September 8 after it came back from our former remit-to address, left off the residential delivery, $95.00 under.</t>
  </si>
  <si>
    <t>The undercharge list carries the date each one can still be billed. Section 7.3 gives Northline ninety days from the freight bill date, so the September bills stay open into December, but the July 14 bill's ninety days ran out on October 12, before this report, so the $95.00 on NFL-89740 is reported, and Northline can no longer bill it. Two things to know on fuel before Northline raises them. The bulletin prints 27.0 percent for the week of September 21, but the index of 3.803 falls in the 3.80 to 3.85 band of the tariff table at 27.5 percent, and the bills for that week carry 27.5 percent. Under section 5.3 the table governs, so those bills are correct. There is no fuel claim on that week. The bulletin's August reconciliation note explains the August 24 week, which is the week NFL-90302 should have carried.</t>
  </si>
  <si>
    <t>One freight bill, NFL-90352, bills pro 217876, which is on no bill of lading. It matches HBP-44912 for pro 217867, the Dickinson vinyl siding picked up September 23, on the ship date, the state, the 1,720 pounds and the class, and no other bill covers that shipment, so the audit rates it under the corrected pro number and finds it billed as the contract provides. Ask Northline for a corrected freight bill before it is paid, because the pro number on the bill is what their claims desk keys on.</t>
  </si>
  <si>
    <t>Three things the file does not settle. First, whether any void or withdrawn bill on the three pros with two bills was paid, which decides whether it is claimed or returned. Second, whether Northline holds a certified scale ticket for the Mason City reweigh; the claim letter should ask for it, because that document would take the item off the claim. Third, the agreement lets Northline issue a balance-due bill on the three open undercharges within ninety days of each original bill, so accounts payable should expect a small bill on the Brainerd liftgate rather than paying it unasked. The claim window under section 7.2 is 180 days from each freight bill date; the July bill's window runs to January 10, and every other item has longer. The duplicates and the withdrawn bill are the cleanest to claim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</si>
</sst>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DCE6F0"/>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2" borderId="0" xfId="0" applyFont="1" applyFill="1"/>
    <xf numFmtId="1" fontId="0" fillId="0" borderId="0" xfId="0" applyNumberFormat="1"/>
    <xf numFmtId="4" fontId="0" fillId="0" borderId="0" xfId="0" applyNumberFormat="1"/>
    <xf numFmtId="10" fontId="0" fillId="0" borderId="0" xfId="0" applyNumberFormat="1"/>
    <xf numFmtId="0" fontId="2" fillId="0" borderId="0" xfId="0" applyFont="1"/>
    <xf numFmtId="9" fontId="0" fillId="0" borderId="0" xfId="0" applyNumberFormat="1"/>
    <xf numFmtId="0" fontId="0" fillId="0" borderId="0" xfId="0" applyAlignment="1">
      <alignment vertical="top" wrapText="1"/>
    </xf>
    <xf numFmtId="2" fontId="0" fillId="0" borderId="0" xfId="0" applyNumberFormat="1"/>
    <xf numFmtId="164"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2"/>
  <sheetViews>
    <sheetView tabSelected="1" workbookViewId="0"/>
  </sheetViews>
  <sheetFormatPr baseColWidth="10" defaultColWidth="8.83203125" defaultRowHeight="15" x14ac:dyDescent="0.2"/>
  <cols>
    <col min="1" max="1" width="62" customWidth="1"/>
    <col min="2" max="2" width="16" customWidth="1"/>
    <col min="3" max="3" width="22" customWidth="1"/>
  </cols>
  <sheetData>
    <row r="1" spans="1:3" ht="17" x14ac:dyDescent="0.2">
      <c r="A1" s="1" t="s">
        <v>0</v>
      </c>
    </row>
    <row r="2" spans="1:3" x14ac:dyDescent="0.2">
      <c r="A2" t="s">
        <v>1</v>
      </c>
    </row>
    <row r="3" spans="1:3" x14ac:dyDescent="0.2">
      <c r="A3" t="s">
        <v>2</v>
      </c>
    </row>
    <row r="5" spans="1:3" x14ac:dyDescent="0.2">
      <c r="A5" s="2" t="s">
        <v>3</v>
      </c>
      <c r="B5" s="2" t="s">
        <v>4</v>
      </c>
      <c r="C5" s="2" t="s">
        <v>5</v>
      </c>
    </row>
    <row r="6" spans="1:3" x14ac:dyDescent="0.2">
      <c r="A6" t="s">
        <v>6</v>
      </c>
      <c r="B6" s="3">
        <f>COUNTA(Invoices!A4:A26,Invoices!P4:P26)</f>
        <v>46</v>
      </c>
      <c r="C6" t="s">
        <v>7</v>
      </c>
    </row>
    <row r="7" spans="1:3" x14ac:dyDescent="0.2">
      <c r="A7" t="s">
        <v>8</v>
      </c>
      <c r="B7" s="4">
        <f>ROUND(SUM(Invoices!O4:O26,Invoices!AD4:AD26),2)</f>
        <v>24704.54</v>
      </c>
      <c r="C7" t="s">
        <v>7</v>
      </c>
    </row>
    <row r="8" spans="1:3" x14ac:dyDescent="0.2">
      <c r="A8" t="s">
        <v>9</v>
      </c>
      <c r="B8" s="4">
        <f>Audit!B28</f>
        <v>22591.56</v>
      </c>
      <c r="C8" t="s">
        <v>10</v>
      </c>
    </row>
    <row r="9" spans="1:3" x14ac:dyDescent="0.2">
      <c r="A9" t="s">
        <v>11</v>
      </c>
      <c r="B9" s="4">
        <f>ROUND(B7-B8,2)</f>
        <v>2112.98</v>
      </c>
      <c r="C9" t="s">
        <v>12</v>
      </c>
    </row>
    <row r="10" spans="1:3" x14ac:dyDescent="0.2">
      <c r="A10" t="s">
        <v>13</v>
      </c>
      <c r="B10" s="4">
        <f>'Claim Schedule'!E20</f>
        <v>2285.16</v>
      </c>
      <c r="C10" t="s">
        <v>14</v>
      </c>
    </row>
    <row r="11" spans="1:3" x14ac:dyDescent="0.2">
      <c r="A11" t="s">
        <v>15</v>
      </c>
      <c r="B11" s="4">
        <f>Undercharges!F8</f>
        <v>172.18</v>
      </c>
      <c r="C11" t="s">
        <v>16</v>
      </c>
    </row>
    <row r="12" spans="1:3" x14ac:dyDescent="0.2">
      <c r="A12" t="s">
        <v>17</v>
      </c>
      <c r="B12" s="5">
        <f>ROUND(B10/B7,4)</f>
        <v>0.0925</v>
      </c>
      <c r="C12" t="s">
        <v>12</v>
      </c>
    </row>
    <row r="13" spans="1:3" x14ac:dyDescent="0.2">
      <c r="A13" t="s">
        <v>18</v>
      </c>
      <c r="B13" s="3">
        <f>COUNTA('Claim Schedule'!B4:B19)</f>
        <v>16</v>
      </c>
      <c r="C13" t="s">
        <v>14</v>
      </c>
    </row>
    <row r="14" spans="1:3" x14ac:dyDescent="0.2">
      <c r="A14" t="s">
        <v>19</v>
      </c>
      <c r="B14" s="3">
        <f>COUNTA(Undercharges!B4:B7)</f>
        <v>4</v>
      </c>
      <c r="C14" t="s">
        <v>16</v>
      </c>
    </row>
    <row r="15" spans="1:3" x14ac:dyDescent="0.2">
      <c r="A15" t="s">
        <v>20</v>
      </c>
      <c r="B15" s="3">
        <f>COUNTIF(Undercharges!J4:J7,"Closed")</f>
        <v>1</v>
      </c>
      <c r="C15" t="s">
        <v>16</v>
      </c>
    </row>
    <row r="16" spans="1:3" x14ac:dyDescent="0.2">
      <c r="A16" t="s">
        <v>21</v>
      </c>
      <c r="B16" s="3">
        <f>COUNTA(Exceptions!A4:A23)</f>
        <v>20</v>
      </c>
      <c r="C16" t="s">
        <v>22</v>
      </c>
    </row>
    <row r="17" spans="1:3" x14ac:dyDescent="0.2">
      <c r="A17" t="s">
        <v>23</v>
      </c>
      <c r="B17" s="3">
        <f>B6-B16</f>
        <v>26</v>
      </c>
      <c r="C17" t="s">
        <v>12</v>
      </c>
    </row>
    <row r="18" spans="1:3" x14ac:dyDescent="0.2">
      <c r="A18" t="s">
        <v>24</v>
      </c>
      <c r="B18" s="3">
        <f>Audit!B30</f>
        <v>7</v>
      </c>
      <c r="C18" t="s">
        <v>10</v>
      </c>
    </row>
    <row r="19" spans="1:3" x14ac:dyDescent="0.2">
      <c r="A19" t="s">
        <v>25</v>
      </c>
      <c r="B19" s="3">
        <f>COUNTA('Pro Matches'!A4:A4)</f>
        <v>1</v>
      </c>
      <c r="C19" t="s">
        <v>26</v>
      </c>
    </row>
    <row r="20" spans="1:3" x14ac:dyDescent="0.2">
      <c r="A20" s="6" t="s">
        <v>27</v>
      </c>
    </row>
    <row r="21" spans="1:3" x14ac:dyDescent="0.2">
      <c r="A21" t="s">
        <v>28</v>
      </c>
      <c r="B21" s="3">
        <f>COUNTIF(Exceptions!C4:C23,"7.1*")</f>
        <v>3</v>
      </c>
      <c r="C21" t="s">
        <v>22</v>
      </c>
    </row>
    <row r="22" spans="1:3" x14ac:dyDescent="0.2">
      <c r="A22" t="s">
        <v>29</v>
      </c>
      <c r="B22" s="3">
        <f>COUNTIF(Exceptions!C4:C23,"4.3*")</f>
        <v>1</v>
      </c>
      <c r="C22" t="s">
        <v>22</v>
      </c>
    </row>
    <row r="23" spans="1:3" x14ac:dyDescent="0.2">
      <c r="A23" t="s">
        <v>30</v>
      </c>
      <c r="B23" s="3">
        <f>COUNTIF(Exceptions!C4:C23,"4.5*")</f>
        <v>2</v>
      </c>
      <c r="C23" t="s">
        <v>22</v>
      </c>
    </row>
    <row r="24" spans="1:3" x14ac:dyDescent="0.2">
      <c r="A24" t="s">
        <v>31</v>
      </c>
      <c r="B24" s="3">
        <f>COUNTIF(Exceptions!C4:C23,"4.2*")</f>
        <v>3</v>
      </c>
      <c r="C24" t="s">
        <v>22</v>
      </c>
    </row>
    <row r="25" spans="1:3" x14ac:dyDescent="0.2">
      <c r="A25" t="s">
        <v>32</v>
      </c>
      <c r="B25" s="3">
        <f>COUNTIF(Exceptions!C4:C23,"4.6*")</f>
        <v>1</v>
      </c>
      <c r="C25" t="s">
        <v>22</v>
      </c>
    </row>
    <row r="26" spans="1:3" x14ac:dyDescent="0.2">
      <c r="A26" t="s">
        <v>33</v>
      </c>
      <c r="B26" s="3">
        <f>COUNTIF(Exceptions!C4:C23,"5.2*")</f>
        <v>4</v>
      </c>
      <c r="C26" t="s">
        <v>22</v>
      </c>
    </row>
    <row r="27" spans="1:3" x14ac:dyDescent="0.2">
      <c r="A27" t="s">
        <v>34</v>
      </c>
      <c r="B27" s="3">
        <f>COUNTIF(Exceptions!C4:C23,"6.1*")</f>
        <v>6</v>
      </c>
      <c r="C27" t="s">
        <v>22</v>
      </c>
    </row>
    <row r="28" spans="1:3" x14ac:dyDescent="0.2">
      <c r="A28" s="6" t="s">
        <v>35</v>
      </c>
    </row>
    <row r="29" spans="1:3" x14ac:dyDescent="0.2">
      <c r="A29" t="s">
        <v>36</v>
      </c>
      <c r="B29" s="4">
        <f>ROUND(SUMIF('Claim Schedule'!F4:F19,"7.1",'Claim Schedule'!E4:E19),2)</f>
        <v>1702.07</v>
      </c>
      <c r="C29" t="s">
        <v>14</v>
      </c>
    </row>
    <row r="30" spans="1:3" x14ac:dyDescent="0.2">
      <c r="A30" t="s">
        <v>37</v>
      </c>
      <c r="B30" s="4">
        <f>ROUND(SUMIF('Claim Schedule'!F4:F19,"4.2",'Claim Schedule'!E4:E19),2)</f>
        <v>194.95</v>
      </c>
      <c r="C30" t="s">
        <v>14</v>
      </c>
    </row>
    <row r="31" spans="1:3" x14ac:dyDescent="0.2">
      <c r="A31" t="s">
        <v>38</v>
      </c>
      <c r="B31" s="4">
        <f>ROUND(SUMIF('Claim Schedule'!F4:F19,"4.3",'Claim Schedule'!E4:E19),2)</f>
        <v>46.45</v>
      </c>
      <c r="C31" t="s">
        <v>14</v>
      </c>
    </row>
    <row r="32" spans="1:3" x14ac:dyDescent="0.2">
      <c r="A32" t="s">
        <v>39</v>
      </c>
      <c r="B32" s="4">
        <f>ROUND(SUMIF('Claim Schedule'!F4:F19,"4.5",'Claim Schedule'!E4:E19),2)</f>
        <v>103.18</v>
      </c>
      <c r="C32" t="s">
        <v>14</v>
      </c>
    </row>
    <row r="33" spans="1:3" x14ac:dyDescent="0.2">
      <c r="A33" t="s">
        <v>40</v>
      </c>
      <c r="B33" s="4">
        <f>ROUND(SUMIF('Claim Schedule'!F4:F19,"4.6",'Claim Schedule'!E4:E19),2)</f>
        <v>0.02</v>
      </c>
      <c r="C33" t="s">
        <v>14</v>
      </c>
    </row>
    <row r="34" spans="1:3" x14ac:dyDescent="0.2">
      <c r="A34" t="s">
        <v>41</v>
      </c>
      <c r="B34" s="4">
        <f>ROUND(SUMIF('Claim Schedule'!F4:F19,"5.2",'Claim Schedule'!E4:E19),2)</f>
        <v>5.49</v>
      </c>
      <c r="C34" t="s">
        <v>14</v>
      </c>
    </row>
    <row r="35" spans="1:3" x14ac:dyDescent="0.2">
      <c r="A35" t="s">
        <v>42</v>
      </c>
      <c r="B35" s="4">
        <f>ROUND(SUMIF('Claim Schedule'!F4:F19,"6.1",'Claim Schedule'!E4:E19),2)</f>
        <v>233</v>
      </c>
      <c r="C35" t="s">
        <v>14</v>
      </c>
    </row>
    <row r="36" spans="1:3" x14ac:dyDescent="0.2">
      <c r="A36" s="6" t="s">
        <v>43</v>
      </c>
    </row>
    <row r="37" spans="1:3" x14ac:dyDescent="0.2">
      <c r="A37" t="s">
        <v>44</v>
      </c>
      <c r="B37" s="4">
        <f>MAX('Claim Schedule'!E4:E19)</f>
        <v>650.74</v>
      </c>
      <c r="C37" t="s">
        <v>14</v>
      </c>
    </row>
    <row r="38" spans="1:3" x14ac:dyDescent="0.2">
      <c r="A38" t="s">
        <v>45</v>
      </c>
      <c r="B38" t="str">
        <f>INDEX('Claim Schedule'!B4:B19,MATCH(B37,'Claim Schedule'!E4:E19,0))</f>
        <v>NFL-90318</v>
      </c>
      <c r="C38" t="s">
        <v>14</v>
      </c>
    </row>
    <row r="42" spans="1:3" x14ac:dyDescent="0.2">
      <c r="A42" t="s">
        <v>46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4"/>
  <sheetViews>
    <sheetView workbookViewId="0"/>
  </sheetViews>
  <sheetFormatPr baseColWidth="10" defaultColWidth="8.83203125" defaultRowHeight="15" x14ac:dyDescent="0.2"/>
  <cols>
    <col min="1" max="1" width="52" customWidth="1"/>
    <col min="2" max="2" width="30" customWidth="1"/>
    <col min="3" max="3" width="44" customWidth="1"/>
  </cols>
  <sheetData>
    <row r="1" spans="1:3" ht="17" x14ac:dyDescent="0.2">
      <c r="A1" s="1" t="s">
        <v>47</v>
      </c>
    </row>
    <row r="3" spans="1:3" x14ac:dyDescent="0.2">
      <c r="A3" s="2" t="s">
        <v>48</v>
      </c>
      <c r="B3" s="2" t="s">
        <v>4</v>
      </c>
      <c r="C3" s="2" t="s">
        <v>49</v>
      </c>
    </row>
    <row r="4" spans="1:3" x14ac:dyDescent="0.2">
      <c r="A4" t="s">
        <v>50</v>
      </c>
      <c r="B4" s="7">
        <v>0.62</v>
      </c>
      <c r="C4" t="s">
        <v>51</v>
      </c>
    </row>
    <row r="5" spans="1:3" x14ac:dyDescent="0.2">
      <c r="A5" t="s">
        <v>52</v>
      </c>
      <c r="B5" s="4">
        <v>118.4</v>
      </c>
      <c r="C5" t="s">
        <v>51</v>
      </c>
    </row>
    <row r="6" spans="1:3" x14ac:dyDescent="0.2">
      <c r="A6" t="s">
        <v>53</v>
      </c>
      <c r="B6" s="7">
        <v>0.05</v>
      </c>
      <c r="C6" t="s">
        <v>54</v>
      </c>
    </row>
    <row r="7" spans="1:3" x14ac:dyDescent="0.2">
      <c r="A7" t="s">
        <v>55</v>
      </c>
      <c r="B7" s="3">
        <v>180</v>
      </c>
      <c r="C7" t="s">
        <v>56</v>
      </c>
    </row>
    <row r="8" spans="1:3" x14ac:dyDescent="0.2">
      <c r="A8" t="s">
        <v>57</v>
      </c>
      <c r="B8" s="3">
        <v>90</v>
      </c>
      <c r="C8" t="s">
        <v>58</v>
      </c>
    </row>
    <row r="9" spans="1:3" x14ac:dyDescent="0.2">
      <c r="A9" t="s">
        <v>59</v>
      </c>
      <c r="B9" s="3">
        <v>100</v>
      </c>
      <c r="C9" t="s">
        <v>60</v>
      </c>
    </row>
    <row r="10" spans="1:3" x14ac:dyDescent="0.2">
      <c r="A10" t="s">
        <v>61</v>
      </c>
      <c r="B10" t="s">
        <v>62</v>
      </c>
      <c r="C10" t="s">
        <v>63</v>
      </c>
    </row>
    <row r="11" spans="1:3" x14ac:dyDescent="0.2">
      <c r="A11" t="s">
        <v>64</v>
      </c>
      <c r="B11" t="s">
        <v>65</v>
      </c>
      <c r="C11" t="s">
        <v>66</v>
      </c>
    </row>
    <row r="12" spans="1:3" x14ac:dyDescent="0.2">
      <c r="A12" t="s">
        <v>67</v>
      </c>
      <c r="B12" t="s">
        <v>68</v>
      </c>
      <c r="C12" t="s">
        <v>69</v>
      </c>
    </row>
    <row r="14" spans="1:3" ht="240" customHeight="1" x14ac:dyDescent="0.2">
      <c r="A14" s="8" t="s">
        <v>70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1"/>
  <sheetViews>
    <sheetView workbookViewId="0"/>
  </sheetViews>
  <sheetFormatPr baseColWidth="10" defaultColWidth="8.83203125" defaultRowHeight="15" x14ac:dyDescent="0.2"/>
  <cols>
    <col min="1" max="1" width="12" customWidth="1"/>
    <col min="2" max="2" width="9" customWidth="1"/>
    <col min="8" max="8" width="12" customWidth="1"/>
    <col min="9" max="9" width="9" customWidth="1"/>
    <col min="11" max="11" width="26" customWidth="1"/>
    <col min="12" max="12" width="12" customWidth="1"/>
    <col min="13" max="13" width="24" customWidth="1"/>
    <col min="14" max="14" width="16" customWidth="1"/>
    <col min="15" max="15" width="9" customWidth="1"/>
    <col min="17" max="17" width="15" customWidth="1"/>
    <col min="18" max="18" width="9" customWidth="1"/>
  </cols>
  <sheetData>
    <row r="1" spans="1:18" ht="17" x14ac:dyDescent="0.2">
      <c r="A1" s="1" t="s">
        <v>71</v>
      </c>
    </row>
    <row r="3" spans="1:18" x14ac:dyDescent="0.2">
      <c r="A3" s="2" t="s">
        <v>72</v>
      </c>
      <c r="B3" s="2" t="s">
        <v>73</v>
      </c>
      <c r="C3" s="2" t="s">
        <v>74</v>
      </c>
      <c r="D3" s="2" t="s">
        <v>75</v>
      </c>
      <c r="E3" s="2" t="s">
        <v>76</v>
      </c>
      <c r="F3" s="2" t="s">
        <v>77</v>
      </c>
      <c r="H3" s="2" t="s">
        <v>78</v>
      </c>
      <c r="I3" s="2" t="s">
        <v>79</v>
      </c>
      <c r="K3" s="2" t="s">
        <v>80</v>
      </c>
      <c r="L3" s="2" t="s">
        <v>78</v>
      </c>
      <c r="M3" s="2" t="s">
        <v>81</v>
      </c>
      <c r="N3" s="2" t="s">
        <v>82</v>
      </c>
      <c r="O3" s="2" t="s">
        <v>83</v>
      </c>
      <c r="Q3" s="2" t="s">
        <v>84</v>
      </c>
      <c r="R3" s="2" t="s">
        <v>85</v>
      </c>
    </row>
    <row r="4" spans="1:18" x14ac:dyDescent="0.2">
      <c r="A4" t="s">
        <v>86</v>
      </c>
      <c r="B4" s="9">
        <v>58.4</v>
      </c>
      <c r="C4" s="9">
        <v>49.1</v>
      </c>
      <c r="D4" s="9">
        <v>41.75</v>
      </c>
      <c r="E4" s="9">
        <v>34.2</v>
      </c>
      <c r="F4" s="9">
        <v>27.85</v>
      </c>
      <c r="H4">
        <v>50</v>
      </c>
      <c r="I4" s="9">
        <v>0.8</v>
      </c>
      <c r="K4" t="s">
        <v>87</v>
      </c>
      <c r="L4">
        <v>55</v>
      </c>
      <c r="M4" t="s">
        <v>88</v>
      </c>
      <c r="N4" t="s">
        <v>89</v>
      </c>
      <c r="O4" s="4">
        <v>75</v>
      </c>
      <c r="Q4" s="10">
        <v>3</v>
      </c>
      <c r="R4" s="11">
        <v>0.195</v>
      </c>
    </row>
    <row r="5" spans="1:18" x14ac:dyDescent="0.2">
      <c r="A5" t="s">
        <v>90</v>
      </c>
      <c r="B5" s="9">
        <v>61.2</v>
      </c>
      <c r="C5" s="9">
        <v>51.65</v>
      </c>
      <c r="D5" s="9">
        <v>43.9</v>
      </c>
      <c r="E5" s="9">
        <v>36.05</v>
      </c>
      <c r="F5" s="9">
        <v>29.4</v>
      </c>
      <c r="H5">
        <v>55</v>
      </c>
      <c r="I5" s="9">
        <v>0.88</v>
      </c>
      <c r="K5" t="s">
        <v>91</v>
      </c>
      <c r="L5">
        <v>60</v>
      </c>
      <c r="M5" t="s">
        <v>92</v>
      </c>
      <c r="N5" t="s">
        <v>93</v>
      </c>
      <c r="O5" s="4">
        <v>95</v>
      </c>
      <c r="Q5" s="10">
        <v>3.1</v>
      </c>
      <c r="R5" s="11">
        <v>0.205</v>
      </c>
    </row>
    <row r="6" spans="1:18" x14ac:dyDescent="0.2">
      <c r="A6" t="s">
        <v>94</v>
      </c>
      <c r="B6" s="9">
        <v>84.7</v>
      </c>
      <c r="C6" s="9">
        <v>71.3</v>
      </c>
      <c r="D6" s="9">
        <v>60.85</v>
      </c>
      <c r="E6" s="9">
        <v>49.95</v>
      </c>
      <c r="F6" s="9">
        <v>40.6</v>
      </c>
      <c r="H6">
        <v>60</v>
      </c>
      <c r="I6" s="9">
        <v>0.94</v>
      </c>
      <c r="K6" t="s">
        <v>95</v>
      </c>
      <c r="L6">
        <v>70</v>
      </c>
      <c r="M6" t="s">
        <v>96</v>
      </c>
      <c r="N6" t="s">
        <v>97</v>
      </c>
      <c r="O6" s="4">
        <v>85</v>
      </c>
      <c r="Q6" s="10">
        <v>3.2</v>
      </c>
      <c r="R6" s="11">
        <v>0.215</v>
      </c>
    </row>
    <row r="7" spans="1:18" x14ac:dyDescent="0.2">
      <c r="A7" t="s">
        <v>98</v>
      </c>
      <c r="B7" s="9">
        <v>66.35</v>
      </c>
      <c r="C7" s="9">
        <v>55.9</v>
      </c>
      <c r="D7" s="9">
        <v>47.6</v>
      </c>
      <c r="E7" s="9">
        <v>39.1</v>
      </c>
      <c r="F7" s="9">
        <v>31.85</v>
      </c>
      <c r="H7">
        <v>70</v>
      </c>
      <c r="I7" s="9">
        <v>1</v>
      </c>
      <c r="K7" t="s">
        <v>99</v>
      </c>
      <c r="L7">
        <v>85</v>
      </c>
      <c r="M7" t="s">
        <v>100</v>
      </c>
      <c r="N7" t="s">
        <v>101</v>
      </c>
      <c r="O7" s="4">
        <v>60</v>
      </c>
      <c r="Q7" s="10">
        <v>3.3</v>
      </c>
      <c r="R7" s="11">
        <v>0.225</v>
      </c>
    </row>
    <row r="8" spans="1:18" x14ac:dyDescent="0.2">
      <c r="A8" t="s">
        <v>102</v>
      </c>
      <c r="B8" s="9">
        <v>70.15</v>
      </c>
      <c r="C8" s="9">
        <v>59.05</v>
      </c>
      <c r="D8" s="9">
        <v>50.3</v>
      </c>
      <c r="E8" s="9">
        <v>41.3</v>
      </c>
      <c r="F8" s="9">
        <v>33.65</v>
      </c>
      <c r="H8">
        <v>85</v>
      </c>
      <c r="I8" s="9">
        <v>1.15</v>
      </c>
      <c r="K8" t="s">
        <v>103</v>
      </c>
      <c r="L8">
        <v>92.5</v>
      </c>
      <c r="M8" t="s">
        <v>104</v>
      </c>
      <c r="N8" t="s">
        <v>105</v>
      </c>
      <c r="O8" s="4">
        <v>88</v>
      </c>
      <c r="Q8" s="10">
        <v>3.4</v>
      </c>
      <c r="R8" s="11">
        <v>0.235</v>
      </c>
    </row>
    <row r="9" spans="1:18" x14ac:dyDescent="0.2">
      <c r="A9" t="s">
        <v>106</v>
      </c>
      <c r="B9" s="9">
        <v>69.4</v>
      </c>
      <c r="C9" s="9">
        <v>58.45</v>
      </c>
      <c r="D9" s="9">
        <v>49.8</v>
      </c>
      <c r="E9" s="9">
        <v>40.9</v>
      </c>
      <c r="F9" s="9">
        <v>33.3</v>
      </c>
      <c r="H9">
        <v>92.5</v>
      </c>
      <c r="I9" s="9">
        <v>1.3</v>
      </c>
      <c r="K9" t="s">
        <v>107</v>
      </c>
      <c r="L9">
        <v>100</v>
      </c>
      <c r="M9" t="s">
        <v>108</v>
      </c>
      <c r="N9" t="s">
        <v>105</v>
      </c>
      <c r="O9" s="4">
        <v>110</v>
      </c>
      <c r="Q9" s="10">
        <v>3.5</v>
      </c>
      <c r="R9" s="11">
        <v>0.245</v>
      </c>
    </row>
    <row r="10" spans="1:18" x14ac:dyDescent="0.2">
      <c r="A10" t="s">
        <v>109</v>
      </c>
      <c r="B10" s="9">
        <v>44.9</v>
      </c>
      <c r="C10" s="9">
        <v>37.8</v>
      </c>
      <c r="D10" s="9">
        <v>32.15</v>
      </c>
      <c r="E10" s="9">
        <v>26.4</v>
      </c>
      <c r="F10" s="9">
        <v>21.5</v>
      </c>
      <c r="H10">
        <v>100</v>
      </c>
      <c r="I10" s="9">
        <v>1.45</v>
      </c>
      <c r="Q10" s="10">
        <v>3.55</v>
      </c>
      <c r="R10" s="11">
        <v>0.25</v>
      </c>
    </row>
    <row r="11" spans="1:18" x14ac:dyDescent="0.2">
      <c r="Q11" s="10">
        <v>3.6</v>
      </c>
      <c r="R11" s="11">
        <v>0.255</v>
      </c>
    </row>
    <row r="12" spans="1:18" x14ac:dyDescent="0.2">
      <c r="A12" t="s">
        <v>110</v>
      </c>
      <c r="B12">
        <v>1</v>
      </c>
      <c r="C12">
        <v>500</v>
      </c>
      <c r="D12">
        <v>1000</v>
      </c>
      <c r="E12">
        <v>2000</v>
      </c>
      <c r="F12">
        <v>5000</v>
      </c>
      <c r="Q12" s="10">
        <v>3.65</v>
      </c>
      <c r="R12" s="11">
        <v>0.26</v>
      </c>
    </row>
    <row r="13" spans="1:18" x14ac:dyDescent="0.2">
      <c r="Q13" s="10">
        <v>3.7</v>
      </c>
      <c r="R13" s="11">
        <v>0.265</v>
      </c>
    </row>
    <row r="14" spans="1:18" x14ac:dyDescent="0.2">
      <c r="Q14" s="10">
        <v>3.75</v>
      </c>
      <c r="R14" s="11">
        <v>0.27</v>
      </c>
    </row>
    <row r="15" spans="1:18" x14ac:dyDescent="0.2">
      <c r="Q15" s="10">
        <v>3.8</v>
      </c>
      <c r="R15" s="11">
        <v>0.275</v>
      </c>
    </row>
    <row r="16" spans="1:18" x14ac:dyDescent="0.2">
      <c r="Q16" s="10">
        <v>3.85</v>
      </c>
      <c r="R16" s="11">
        <v>0.28</v>
      </c>
    </row>
    <row r="17" spans="17:18" x14ac:dyDescent="0.2">
      <c r="Q17" s="10">
        <v>3.9</v>
      </c>
      <c r="R17" s="11">
        <v>0.285</v>
      </c>
    </row>
    <row r="18" spans="17:18" x14ac:dyDescent="0.2">
      <c r="Q18" s="10">
        <v>3.95</v>
      </c>
      <c r="R18" s="11">
        <v>0.29</v>
      </c>
    </row>
    <row r="19" spans="17:18" x14ac:dyDescent="0.2">
      <c r="Q19" s="10">
        <v>4</v>
      </c>
      <c r="R19" s="11">
        <v>0.295</v>
      </c>
    </row>
    <row r="20" spans="17:18" x14ac:dyDescent="0.2">
      <c r="Q20" s="10">
        <v>4.1</v>
      </c>
      <c r="R20" s="11">
        <v>0.305</v>
      </c>
    </row>
    <row r="21" spans="17:18" x14ac:dyDescent="0.2">
      <c r="Q21" s="10">
        <v>4.2</v>
      </c>
      <c r="R21" s="11">
        <v>0.315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8"/>
  <sheetViews>
    <sheetView workbookViewId="0"/>
  </sheetViews>
  <sheetFormatPr baseColWidth="10" defaultColWidth="8.83203125" defaultRowHeight="15" x14ac:dyDescent="0.2"/>
  <cols>
    <col min="1" max="1" width="16" customWidth="1"/>
    <col min="2" max="2" width="12" customWidth="1"/>
    <col min="3" max="3" width="10" customWidth="1"/>
    <col min="4" max="4" width="14" customWidth="1"/>
  </cols>
  <sheetData>
    <row r="1" spans="1:4" ht="17" x14ac:dyDescent="0.2">
      <c r="A1" s="1" t="s">
        <v>111</v>
      </c>
    </row>
    <row r="3" spans="1:4" x14ac:dyDescent="0.2">
      <c r="A3" s="2" t="s">
        <v>112</v>
      </c>
      <c r="B3" s="2" t="s">
        <v>113</v>
      </c>
      <c r="C3" s="2" t="s">
        <v>85</v>
      </c>
      <c r="D3" s="2" t="s">
        <v>114</v>
      </c>
    </row>
    <row r="4" spans="1:4" x14ac:dyDescent="0.2">
      <c r="A4" t="s">
        <v>115</v>
      </c>
      <c r="B4" s="10">
        <v>3.602</v>
      </c>
      <c r="C4" s="11">
        <f>VLOOKUP(B4,Tariff!$Q$4:$R$21,2,TRUE)</f>
        <v>0.255</v>
      </c>
      <c r="D4" s="11">
        <v>0.255</v>
      </c>
    </row>
    <row r="5" spans="1:4" x14ac:dyDescent="0.2">
      <c r="A5" t="s">
        <v>116</v>
      </c>
      <c r="B5" s="10">
        <v>3.611</v>
      </c>
      <c r="C5" s="11">
        <f>VLOOKUP(B5,Tariff!$Q$4:$R$21,2,TRUE)</f>
        <v>0.255</v>
      </c>
      <c r="D5" s="11">
        <v>0.255</v>
      </c>
    </row>
    <row r="6" spans="1:4" x14ac:dyDescent="0.2">
      <c r="A6" t="s">
        <v>117</v>
      </c>
      <c r="B6" s="10">
        <v>3.589</v>
      </c>
      <c r="C6" s="11">
        <f>VLOOKUP(B6,Tariff!$Q$4:$R$21,2,TRUE)</f>
        <v>0.25</v>
      </c>
      <c r="D6" s="11">
        <v>0.25</v>
      </c>
    </row>
    <row r="7" spans="1:4" x14ac:dyDescent="0.2">
      <c r="A7" t="s">
        <v>118</v>
      </c>
      <c r="B7" s="10">
        <v>3.624</v>
      </c>
      <c r="C7" s="11">
        <f>VLOOKUP(B7,Tariff!$Q$4:$R$21,2,TRUE)</f>
        <v>0.255</v>
      </c>
      <c r="D7" s="11">
        <v>0.255</v>
      </c>
    </row>
    <row r="8" spans="1:4" x14ac:dyDescent="0.2">
      <c r="A8" t="s">
        <v>119</v>
      </c>
      <c r="B8" s="10">
        <v>3.618</v>
      </c>
      <c r="C8" s="11">
        <f>VLOOKUP(B8,Tariff!$Q$4:$R$21,2,TRUE)</f>
        <v>0.255</v>
      </c>
      <c r="D8" s="11">
        <v>0.255</v>
      </c>
    </row>
    <row r="9" spans="1:4" x14ac:dyDescent="0.2">
      <c r="A9" t="s">
        <v>120</v>
      </c>
      <c r="B9" s="10">
        <v>3.641</v>
      </c>
      <c r="C9" s="11">
        <f>VLOOKUP(B9,Tariff!$Q$4:$R$21,2,TRUE)</f>
        <v>0.255</v>
      </c>
      <c r="D9" s="11">
        <v>0.255</v>
      </c>
    </row>
    <row r="10" spans="1:4" x14ac:dyDescent="0.2">
      <c r="A10" t="s">
        <v>121</v>
      </c>
      <c r="B10" s="10">
        <v>3.677</v>
      </c>
      <c r="C10" s="11">
        <f>VLOOKUP(B10,Tariff!$Q$4:$R$21,2,TRUE)</f>
        <v>0.26</v>
      </c>
      <c r="D10" s="11">
        <v>0.26</v>
      </c>
    </row>
    <row r="11" spans="1:4" x14ac:dyDescent="0.2">
      <c r="A11" t="s">
        <v>122</v>
      </c>
      <c r="B11" s="10">
        <v>3.664</v>
      </c>
      <c r="C11" s="11">
        <f>VLOOKUP(B11,Tariff!$Q$4:$R$21,2,TRUE)</f>
        <v>0.26</v>
      </c>
      <c r="D11" s="11">
        <v>0.26</v>
      </c>
    </row>
    <row r="12" spans="1:4" x14ac:dyDescent="0.2">
      <c r="A12" t="s">
        <v>123</v>
      </c>
      <c r="B12" s="10">
        <v>3.712</v>
      </c>
      <c r="C12" s="11">
        <f>VLOOKUP(B12,Tariff!$Q$4:$R$21,2,TRUE)</f>
        <v>0.265</v>
      </c>
      <c r="D12" s="11">
        <v>0.265</v>
      </c>
    </row>
    <row r="13" spans="1:4" x14ac:dyDescent="0.2">
      <c r="A13" t="s">
        <v>124</v>
      </c>
      <c r="B13" s="10">
        <v>3.748</v>
      </c>
      <c r="C13" s="11">
        <f>VLOOKUP(B13,Tariff!$Q$4:$R$21,2,TRUE)</f>
        <v>0.265</v>
      </c>
      <c r="D13" s="11">
        <v>0.265</v>
      </c>
    </row>
    <row r="14" spans="1:4" x14ac:dyDescent="0.2">
      <c r="A14" t="s">
        <v>125</v>
      </c>
      <c r="B14" s="10">
        <v>3.691</v>
      </c>
      <c r="C14" s="11">
        <f>VLOOKUP(B14,Tariff!$Q$4:$R$21,2,TRUE)</f>
        <v>0.26</v>
      </c>
      <c r="D14" s="11">
        <v>0.26</v>
      </c>
    </row>
    <row r="15" spans="1:4" x14ac:dyDescent="0.2">
      <c r="A15" t="s">
        <v>126</v>
      </c>
      <c r="B15" s="10">
        <v>3.803</v>
      </c>
      <c r="C15" s="11">
        <f>VLOOKUP(B15,Tariff!$Q$4:$R$21,2,TRUE)</f>
        <v>0.275</v>
      </c>
      <c r="D15" s="11">
        <v>0.27</v>
      </c>
    </row>
    <row r="16" spans="1:4" x14ac:dyDescent="0.2">
      <c r="A16" t="s">
        <v>127</v>
      </c>
      <c r="B16" s="10">
        <v>3.779</v>
      </c>
      <c r="C16" s="11">
        <f>VLOOKUP(B16,Tariff!$Q$4:$R$21,2,TRUE)</f>
        <v>0.27</v>
      </c>
      <c r="D16" s="11">
        <v>0.27</v>
      </c>
    </row>
    <row r="18" spans="1:1" x14ac:dyDescent="0.2">
      <c r="A18" t="s">
        <v>128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25"/>
  <sheetViews>
    <sheetView workbookViewId="0"/>
  </sheetViews>
  <sheetFormatPr baseColWidth="10" defaultColWidth="8.83203125" defaultRowHeight="15" x14ac:dyDescent="0.2"/>
  <cols>
    <col min="1" max="1" width="12" customWidth="1"/>
    <col min="2" max="2" width="10" customWidth="1"/>
    <col min="3" max="3" width="12" customWidth="1"/>
    <col min="4" max="4" width="16" customWidth="1"/>
    <col min="5" max="5" width="10" customWidth="1"/>
    <col min="6" max="6" width="24" customWidth="1"/>
    <col min="13" max="13" width="14" customWidth="1"/>
    <col min="14" max="14" width="12" customWidth="1"/>
    <col min="15" max="15" width="10" customWidth="1"/>
    <col min="16" max="16" width="12" customWidth="1"/>
    <col min="17" max="17" width="16" customWidth="1"/>
    <col min="18" max="18" width="10" customWidth="1"/>
    <col min="19" max="19" width="24" customWidth="1"/>
    <col min="26" max="26" width="14" customWidth="1"/>
  </cols>
  <sheetData>
    <row r="1" spans="1:26" ht="17" x14ac:dyDescent="0.2">
      <c r="A1" s="1" t="s">
        <v>129</v>
      </c>
    </row>
    <row r="3" spans="1:26" x14ac:dyDescent="0.2">
      <c r="A3" s="2" t="s">
        <v>130</v>
      </c>
      <c r="B3" s="2" t="s">
        <v>131</v>
      </c>
      <c r="C3" s="2" t="s">
        <v>132</v>
      </c>
      <c r="D3" s="2" t="s">
        <v>133</v>
      </c>
      <c r="E3" s="2" t="s">
        <v>72</v>
      </c>
      <c r="F3" s="2" t="s">
        <v>80</v>
      </c>
      <c r="G3" s="2" t="s">
        <v>134</v>
      </c>
      <c r="H3" s="2" t="s">
        <v>135</v>
      </c>
      <c r="I3" s="2" t="s">
        <v>89</v>
      </c>
      <c r="J3" s="2" t="s">
        <v>93</v>
      </c>
      <c r="K3" s="2" t="s">
        <v>97</v>
      </c>
      <c r="L3" s="2" t="s">
        <v>101</v>
      </c>
      <c r="M3" s="2" t="s">
        <v>136</v>
      </c>
      <c r="N3" s="2" t="s">
        <v>137</v>
      </c>
      <c r="O3" s="2" t="s">
        <v>138</v>
      </c>
      <c r="P3" s="2" t="s">
        <v>139</v>
      </c>
      <c r="Q3" s="2" t="s">
        <v>140</v>
      </c>
      <c r="R3" s="2" t="s">
        <v>141</v>
      </c>
      <c r="S3" s="2" t="s">
        <v>142</v>
      </c>
      <c r="T3" s="2" t="s">
        <v>143</v>
      </c>
      <c r="U3" s="2" t="s">
        <v>144</v>
      </c>
      <c r="V3" s="2" t="s">
        <v>145</v>
      </c>
      <c r="W3" s="2" t="s">
        <v>146</v>
      </c>
      <c r="X3" s="2" t="s">
        <v>147</v>
      </c>
      <c r="Y3" s="2" t="s">
        <v>148</v>
      </c>
      <c r="Z3" s="2" t="s">
        <v>149</v>
      </c>
    </row>
    <row r="4" spans="1:26" x14ac:dyDescent="0.2">
      <c r="A4" t="s">
        <v>150</v>
      </c>
      <c r="B4">
        <v>217402</v>
      </c>
      <c r="C4" t="s">
        <v>151</v>
      </c>
      <c r="D4" t="s">
        <v>152</v>
      </c>
      <c r="E4" t="s">
        <v>86</v>
      </c>
      <c r="F4" t="s">
        <v>107</v>
      </c>
      <c r="G4">
        <v>4</v>
      </c>
      <c r="H4">
        <v>1120</v>
      </c>
      <c r="I4" t="s">
        <v>153</v>
      </c>
      <c r="J4" t="s">
        <v>154</v>
      </c>
      <c r="K4" t="s">
        <v>153</v>
      </c>
      <c r="L4" t="s">
        <v>153</v>
      </c>
      <c r="M4" t="s">
        <v>116</v>
      </c>
      <c r="N4" t="s">
        <v>155</v>
      </c>
      <c r="O4">
        <v>217666</v>
      </c>
      <c r="P4" t="s">
        <v>156</v>
      </c>
      <c r="Q4" t="s">
        <v>157</v>
      </c>
      <c r="R4" t="s">
        <v>102</v>
      </c>
      <c r="S4" t="s">
        <v>87</v>
      </c>
      <c r="T4">
        <v>2</v>
      </c>
      <c r="U4">
        <v>1630</v>
      </c>
      <c r="V4" t="s">
        <v>153</v>
      </c>
      <c r="W4" t="s">
        <v>153</v>
      </c>
      <c r="X4" t="s">
        <v>153</v>
      </c>
      <c r="Y4" t="s">
        <v>153</v>
      </c>
      <c r="Z4" t="s">
        <v>126</v>
      </c>
    </row>
    <row r="5" spans="1:26" x14ac:dyDescent="0.2">
      <c r="A5" t="s">
        <v>158</v>
      </c>
      <c r="B5">
        <v>217598</v>
      </c>
      <c r="C5" t="s">
        <v>159</v>
      </c>
      <c r="D5" t="s">
        <v>157</v>
      </c>
      <c r="E5" t="s">
        <v>102</v>
      </c>
      <c r="F5" t="s">
        <v>95</v>
      </c>
      <c r="G5">
        <v>9</v>
      </c>
      <c r="H5">
        <v>3150</v>
      </c>
      <c r="I5" t="s">
        <v>153</v>
      </c>
      <c r="J5" t="s">
        <v>153</v>
      </c>
      <c r="K5" t="s">
        <v>153</v>
      </c>
      <c r="L5" t="s">
        <v>153</v>
      </c>
      <c r="M5" t="s">
        <v>123</v>
      </c>
      <c r="N5" t="s">
        <v>160</v>
      </c>
      <c r="O5">
        <v>217724</v>
      </c>
      <c r="P5" t="s">
        <v>156</v>
      </c>
      <c r="Q5" t="s">
        <v>161</v>
      </c>
      <c r="R5" t="s">
        <v>109</v>
      </c>
      <c r="S5" t="s">
        <v>87</v>
      </c>
      <c r="T5">
        <v>8</v>
      </c>
      <c r="U5">
        <v>1450</v>
      </c>
      <c r="V5" t="s">
        <v>153</v>
      </c>
      <c r="W5" t="s">
        <v>154</v>
      </c>
      <c r="X5" t="s">
        <v>153</v>
      </c>
      <c r="Y5" t="s">
        <v>154</v>
      </c>
      <c r="Z5" t="s">
        <v>162</v>
      </c>
    </row>
    <row r="6" spans="1:26" x14ac:dyDescent="0.2">
      <c r="A6" t="s">
        <v>163</v>
      </c>
      <c r="B6">
        <v>217611</v>
      </c>
      <c r="C6" t="s">
        <v>164</v>
      </c>
      <c r="D6" t="s">
        <v>165</v>
      </c>
      <c r="E6" t="s">
        <v>90</v>
      </c>
      <c r="F6" t="s">
        <v>87</v>
      </c>
      <c r="G6">
        <v>3</v>
      </c>
      <c r="H6">
        <v>1180</v>
      </c>
      <c r="I6" t="s">
        <v>153</v>
      </c>
      <c r="J6" t="s">
        <v>153</v>
      </c>
      <c r="K6" t="s">
        <v>153</v>
      </c>
      <c r="L6" t="s">
        <v>153</v>
      </c>
      <c r="M6" t="s">
        <v>166</v>
      </c>
      <c r="N6" t="s">
        <v>167</v>
      </c>
      <c r="O6">
        <v>217833</v>
      </c>
      <c r="P6" t="s">
        <v>156</v>
      </c>
      <c r="Q6" t="s">
        <v>152</v>
      </c>
      <c r="R6" t="s">
        <v>86</v>
      </c>
      <c r="S6" t="s">
        <v>103</v>
      </c>
      <c r="T6">
        <v>2</v>
      </c>
      <c r="U6">
        <v>1070</v>
      </c>
      <c r="V6" t="s">
        <v>154</v>
      </c>
      <c r="W6" t="s">
        <v>154</v>
      </c>
      <c r="X6" t="s">
        <v>153</v>
      </c>
      <c r="Y6" t="s">
        <v>153</v>
      </c>
      <c r="Z6" t="s">
        <v>126</v>
      </c>
    </row>
    <row r="7" spans="1:26" x14ac:dyDescent="0.2">
      <c r="A7" t="s">
        <v>168</v>
      </c>
      <c r="B7">
        <v>217645</v>
      </c>
      <c r="C7" t="s">
        <v>166</v>
      </c>
      <c r="D7" t="s">
        <v>169</v>
      </c>
      <c r="E7" t="s">
        <v>102</v>
      </c>
      <c r="F7" t="s">
        <v>95</v>
      </c>
      <c r="G7">
        <v>2</v>
      </c>
      <c r="H7">
        <v>1249</v>
      </c>
      <c r="I7" t="s">
        <v>153</v>
      </c>
      <c r="J7" t="s">
        <v>153</v>
      </c>
      <c r="K7" t="s">
        <v>154</v>
      </c>
      <c r="L7" t="s">
        <v>153</v>
      </c>
      <c r="M7" t="s">
        <v>170</v>
      </c>
      <c r="N7" t="s">
        <v>171</v>
      </c>
      <c r="O7">
        <v>217883</v>
      </c>
      <c r="P7" t="s">
        <v>156</v>
      </c>
      <c r="Q7" t="s">
        <v>172</v>
      </c>
      <c r="R7" t="s">
        <v>102</v>
      </c>
      <c r="S7" t="s">
        <v>107</v>
      </c>
      <c r="T7">
        <v>3</v>
      </c>
      <c r="U7">
        <v>1010</v>
      </c>
      <c r="V7" t="s">
        <v>153</v>
      </c>
      <c r="W7" t="s">
        <v>154</v>
      </c>
      <c r="X7" t="s">
        <v>153</v>
      </c>
      <c r="Y7" t="s">
        <v>153</v>
      </c>
      <c r="Z7" t="s">
        <v>126</v>
      </c>
    </row>
    <row r="8" spans="1:26" x14ac:dyDescent="0.2">
      <c r="A8" t="s">
        <v>173</v>
      </c>
      <c r="B8">
        <v>217703</v>
      </c>
      <c r="C8" t="s">
        <v>174</v>
      </c>
      <c r="D8" t="s">
        <v>175</v>
      </c>
      <c r="E8" t="s">
        <v>86</v>
      </c>
      <c r="F8" t="s">
        <v>99</v>
      </c>
      <c r="G8">
        <v>4</v>
      </c>
      <c r="H8">
        <v>720</v>
      </c>
      <c r="I8" t="s">
        <v>154</v>
      </c>
      <c r="J8" t="s">
        <v>153</v>
      </c>
      <c r="K8" t="s">
        <v>154</v>
      </c>
      <c r="L8" t="s">
        <v>153</v>
      </c>
      <c r="M8" t="s">
        <v>124</v>
      </c>
      <c r="N8" t="s">
        <v>176</v>
      </c>
      <c r="O8">
        <v>217851</v>
      </c>
      <c r="P8" t="s">
        <v>126</v>
      </c>
      <c r="Q8" t="s">
        <v>177</v>
      </c>
      <c r="R8" t="s">
        <v>86</v>
      </c>
      <c r="S8" t="s">
        <v>99</v>
      </c>
      <c r="T8">
        <v>11</v>
      </c>
      <c r="U8">
        <v>4470</v>
      </c>
      <c r="V8" t="s">
        <v>153</v>
      </c>
      <c r="W8" t="s">
        <v>153</v>
      </c>
      <c r="X8" t="s">
        <v>153</v>
      </c>
      <c r="Y8" t="s">
        <v>153</v>
      </c>
      <c r="Z8" t="s">
        <v>178</v>
      </c>
    </row>
    <row r="9" spans="1:26" x14ac:dyDescent="0.2">
      <c r="A9" t="s">
        <v>179</v>
      </c>
      <c r="B9">
        <v>217822</v>
      </c>
      <c r="C9" t="s">
        <v>124</v>
      </c>
      <c r="D9" t="s">
        <v>157</v>
      </c>
      <c r="E9" t="s">
        <v>102</v>
      </c>
      <c r="F9" t="s">
        <v>95</v>
      </c>
      <c r="G9">
        <v>8</v>
      </c>
      <c r="H9">
        <v>4210</v>
      </c>
      <c r="I9" t="s">
        <v>154</v>
      </c>
      <c r="J9" t="s">
        <v>153</v>
      </c>
      <c r="K9" t="s">
        <v>153</v>
      </c>
      <c r="L9" t="s">
        <v>153</v>
      </c>
      <c r="M9" t="s">
        <v>180</v>
      </c>
      <c r="N9" t="s">
        <v>181</v>
      </c>
      <c r="O9">
        <v>217864</v>
      </c>
      <c r="P9" t="s">
        <v>126</v>
      </c>
      <c r="Q9" t="s">
        <v>182</v>
      </c>
      <c r="R9" t="s">
        <v>94</v>
      </c>
      <c r="S9" t="s">
        <v>95</v>
      </c>
      <c r="T9">
        <v>2</v>
      </c>
      <c r="U9">
        <v>1220</v>
      </c>
      <c r="V9" t="s">
        <v>153</v>
      </c>
      <c r="W9" t="s">
        <v>153</v>
      </c>
      <c r="X9" t="s">
        <v>153</v>
      </c>
      <c r="Y9" t="s">
        <v>153</v>
      </c>
      <c r="Z9" t="s">
        <v>183</v>
      </c>
    </row>
    <row r="10" spans="1:26" x14ac:dyDescent="0.2">
      <c r="A10" t="s">
        <v>184</v>
      </c>
      <c r="B10">
        <v>217675</v>
      </c>
      <c r="C10" t="s">
        <v>185</v>
      </c>
      <c r="D10" t="s">
        <v>186</v>
      </c>
      <c r="E10" t="s">
        <v>94</v>
      </c>
      <c r="F10" t="s">
        <v>91</v>
      </c>
      <c r="G10">
        <v>3</v>
      </c>
      <c r="H10">
        <v>1760</v>
      </c>
      <c r="I10" t="s">
        <v>153</v>
      </c>
      <c r="J10" t="s">
        <v>153</v>
      </c>
      <c r="K10" t="s">
        <v>153</v>
      </c>
      <c r="L10" t="s">
        <v>153</v>
      </c>
      <c r="M10" t="s">
        <v>125</v>
      </c>
      <c r="N10" t="s">
        <v>187</v>
      </c>
      <c r="O10">
        <v>217757</v>
      </c>
      <c r="P10" t="s">
        <v>162</v>
      </c>
      <c r="Q10" t="s">
        <v>172</v>
      </c>
      <c r="R10" t="s">
        <v>102</v>
      </c>
      <c r="S10" t="s">
        <v>107</v>
      </c>
      <c r="T10">
        <v>1</v>
      </c>
      <c r="U10">
        <v>930</v>
      </c>
      <c r="V10" t="s">
        <v>153</v>
      </c>
      <c r="W10" t="s">
        <v>153</v>
      </c>
      <c r="X10" t="s">
        <v>153</v>
      </c>
      <c r="Y10" t="s">
        <v>153</v>
      </c>
      <c r="Z10" t="s">
        <v>178</v>
      </c>
    </row>
    <row r="11" spans="1:26" x14ac:dyDescent="0.2">
      <c r="A11" t="s">
        <v>188</v>
      </c>
      <c r="B11">
        <v>217700</v>
      </c>
      <c r="C11" t="s">
        <v>180</v>
      </c>
      <c r="D11" t="s">
        <v>165</v>
      </c>
      <c r="E11" t="s">
        <v>90</v>
      </c>
      <c r="F11" t="s">
        <v>95</v>
      </c>
      <c r="G11">
        <v>6</v>
      </c>
      <c r="H11">
        <v>1980</v>
      </c>
      <c r="I11" t="s">
        <v>153</v>
      </c>
      <c r="J11" t="s">
        <v>153</v>
      </c>
      <c r="K11" t="s">
        <v>153</v>
      </c>
      <c r="L11" t="s">
        <v>153</v>
      </c>
      <c r="M11" t="s">
        <v>189</v>
      </c>
      <c r="N11" t="s">
        <v>190</v>
      </c>
      <c r="O11">
        <v>217803</v>
      </c>
      <c r="P11" t="s">
        <v>162</v>
      </c>
      <c r="Q11" t="s">
        <v>191</v>
      </c>
      <c r="R11" t="s">
        <v>98</v>
      </c>
      <c r="S11" t="s">
        <v>103</v>
      </c>
      <c r="T11">
        <v>11</v>
      </c>
      <c r="U11">
        <v>3560</v>
      </c>
      <c r="V11" t="s">
        <v>153</v>
      </c>
      <c r="W11" t="s">
        <v>153</v>
      </c>
      <c r="X11" t="s">
        <v>153</v>
      </c>
      <c r="Y11" t="s">
        <v>154</v>
      </c>
      <c r="Z11" t="s">
        <v>192</v>
      </c>
    </row>
    <row r="12" spans="1:26" x14ac:dyDescent="0.2">
      <c r="A12" t="s">
        <v>193</v>
      </c>
      <c r="B12">
        <v>217784</v>
      </c>
      <c r="C12" t="s">
        <v>180</v>
      </c>
      <c r="D12" t="s">
        <v>194</v>
      </c>
      <c r="E12" t="s">
        <v>109</v>
      </c>
      <c r="F12" t="s">
        <v>99</v>
      </c>
      <c r="G12">
        <v>14</v>
      </c>
      <c r="H12">
        <v>2440</v>
      </c>
      <c r="I12" t="s">
        <v>153</v>
      </c>
      <c r="J12" t="s">
        <v>153</v>
      </c>
      <c r="K12" t="s">
        <v>154</v>
      </c>
      <c r="L12" t="s">
        <v>153</v>
      </c>
      <c r="M12" t="s">
        <v>125</v>
      </c>
      <c r="N12" t="s">
        <v>195</v>
      </c>
      <c r="O12">
        <v>217894</v>
      </c>
      <c r="P12" t="s">
        <v>162</v>
      </c>
      <c r="Q12" t="s">
        <v>196</v>
      </c>
      <c r="R12" t="s">
        <v>98</v>
      </c>
      <c r="S12" t="s">
        <v>99</v>
      </c>
      <c r="T12">
        <v>5</v>
      </c>
      <c r="U12">
        <v>890</v>
      </c>
      <c r="V12" t="s">
        <v>153</v>
      </c>
      <c r="W12" t="s">
        <v>153</v>
      </c>
      <c r="X12" t="s">
        <v>153</v>
      </c>
      <c r="Y12" t="s">
        <v>153</v>
      </c>
      <c r="Z12" t="s">
        <v>178</v>
      </c>
    </row>
    <row r="13" spans="1:26" x14ac:dyDescent="0.2">
      <c r="A13" t="s">
        <v>197</v>
      </c>
      <c r="B13">
        <v>217846</v>
      </c>
      <c r="C13" t="s">
        <v>180</v>
      </c>
      <c r="D13" t="s">
        <v>157</v>
      </c>
      <c r="E13" t="s">
        <v>102</v>
      </c>
      <c r="F13" t="s">
        <v>107</v>
      </c>
      <c r="G13">
        <v>9</v>
      </c>
      <c r="H13">
        <v>1590</v>
      </c>
      <c r="I13" t="s">
        <v>154</v>
      </c>
      <c r="J13" t="s">
        <v>153</v>
      </c>
      <c r="K13" t="s">
        <v>153</v>
      </c>
      <c r="L13" t="s">
        <v>153</v>
      </c>
      <c r="M13" t="s">
        <v>125</v>
      </c>
      <c r="N13" t="s">
        <v>198</v>
      </c>
      <c r="O13">
        <v>217867</v>
      </c>
      <c r="P13" t="s">
        <v>183</v>
      </c>
      <c r="Q13" t="s">
        <v>199</v>
      </c>
      <c r="R13" t="s">
        <v>109</v>
      </c>
      <c r="S13" t="s">
        <v>103</v>
      </c>
      <c r="T13">
        <v>4</v>
      </c>
      <c r="U13">
        <v>1720</v>
      </c>
      <c r="V13" t="s">
        <v>153</v>
      </c>
      <c r="W13" t="s">
        <v>153</v>
      </c>
      <c r="X13" t="s">
        <v>153</v>
      </c>
      <c r="Y13" t="s">
        <v>153</v>
      </c>
      <c r="Z13" t="s">
        <v>127</v>
      </c>
    </row>
    <row r="14" spans="1:26" x14ac:dyDescent="0.2">
      <c r="A14" t="s">
        <v>200</v>
      </c>
      <c r="B14">
        <v>217738</v>
      </c>
      <c r="C14" t="s">
        <v>189</v>
      </c>
      <c r="D14" t="s">
        <v>201</v>
      </c>
      <c r="E14" t="s">
        <v>86</v>
      </c>
      <c r="F14" t="s">
        <v>91</v>
      </c>
      <c r="G14">
        <v>2</v>
      </c>
      <c r="H14">
        <v>1130</v>
      </c>
      <c r="I14" t="s">
        <v>154</v>
      </c>
      <c r="J14" t="s">
        <v>153</v>
      </c>
      <c r="K14" t="s">
        <v>153</v>
      </c>
      <c r="L14" t="s">
        <v>153</v>
      </c>
      <c r="M14" t="s">
        <v>202</v>
      </c>
      <c r="N14" t="s">
        <v>203</v>
      </c>
      <c r="O14">
        <v>217841</v>
      </c>
      <c r="P14" t="s">
        <v>192</v>
      </c>
      <c r="Q14" t="s">
        <v>186</v>
      </c>
      <c r="R14" t="s">
        <v>94</v>
      </c>
      <c r="S14" t="s">
        <v>91</v>
      </c>
      <c r="T14">
        <v>5</v>
      </c>
      <c r="U14">
        <v>2060</v>
      </c>
      <c r="V14" t="s">
        <v>154</v>
      </c>
      <c r="W14" t="s">
        <v>153</v>
      </c>
      <c r="X14" t="s">
        <v>153</v>
      </c>
      <c r="Y14" t="s">
        <v>154</v>
      </c>
      <c r="Z14" t="s">
        <v>127</v>
      </c>
    </row>
    <row r="15" spans="1:26" x14ac:dyDescent="0.2">
      <c r="A15" t="s">
        <v>204</v>
      </c>
      <c r="B15">
        <v>217836</v>
      </c>
      <c r="C15" t="s">
        <v>189</v>
      </c>
      <c r="D15" t="s">
        <v>205</v>
      </c>
      <c r="E15" t="s">
        <v>106</v>
      </c>
      <c r="F15" t="s">
        <v>107</v>
      </c>
      <c r="G15">
        <v>5</v>
      </c>
      <c r="H15">
        <v>2360</v>
      </c>
      <c r="I15" t="s">
        <v>154</v>
      </c>
      <c r="J15" t="s">
        <v>153</v>
      </c>
      <c r="K15" t="s">
        <v>153</v>
      </c>
      <c r="L15" t="s">
        <v>153</v>
      </c>
      <c r="M15" t="s">
        <v>125</v>
      </c>
      <c r="N15" t="s">
        <v>206</v>
      </c>
      <c r="O15">
        <v>217902</v>
      </c>
      <c r="P15" t="s">
        <v>192</v>
      </c>
      <c r="Q15" t="s">
        <v>169</v>
      </c>
      <c r="R15" t="s">
        <v>102</v>
      </c>
      <c r="S15" t="s">
        <v>87</v>
      </c>
      <c r="T15">
        <v>2</v>
      </c>
      <c r="U15">
        <v>620</v>
      </c>
      <c r="V15" t="s">
        <v>153</v>
      </c>
      <c r="W15" t="s">
        <v>153</v>
      </c>
      <c r="X15" t="s">
        <v>154</v>
      </c>
      <c r="Y15" t="s">
        <v>153</v>
      </c>
      <c r="Z15" t="s">
        <v>127</v>
      </c>
    </row>
    <row r="16" spans="1:26" x14ac:dyDescent="0.2">
      <c r="A16" t="s">
        <v>207</v>
      </c>
      <c r="B16">
        <v>217649</v>
      </c>
      <c r="C16" t="s">
        <v>125</v>
      </c>
      <c r="D16" t="s">
        <v>177</v>
      </c>
      <c r="E16" t="s">
        <v>86</v>
      </c>
      <c r="F16" t="s">
        <v>99</v>
      </c>
      <c r="G16">
        <v>2</v>
      </c>
      <c r="H16">
        <v>380</v>
      </c>
      <c r="I16" t="s">
        <v>153</v>
      </c>
      <c r="J16" t="s">
        <v>153</v>
      </c>
      <c r="K16" t="s">
        <v>153</v>
      </c>
      <c r="L16" t="s">
        <v>153</v>
      </c>
      <c r="M16" t="s">
        <v>208</v>
      </c>
      <c r="N16" t="s">
        <v>209</v>
      </c>
      <c r="O16">
        <v>217750</v>
      </c>
      <c r="P16" t="s">
        <v>178</v>
      </c>
      <c r="Q16" t="s">
        <v>182</v>
      </c>
      <c r="R16" t="s">
        <v>94</v>
      </c>
      <c r="S16" t="s">
        <v>87</v>
      </c>
      <c r="T16">
        <v>7</v>
      </c>
      <c r="U16">
        <v>2980</v>
      </c>
      <c r="V16" t="s">
        <v>154</v>
      </c>
      <c r="W16" t="s">
        <v>153</v>
      </c>
      <c r="X16" t="s">
        <v>153</v>
      </c>
      <c r="Y16" t="s">
        <v>153</v>
      </c>
      <c r="Z16" t="s">
        <v>210</v>
      </c>
    </row>
    <row r="17" spans="1:26" x14ac:dyDescent="0.2">
      <c r="A17" t="s">
        <v>211</v>
      </c>
      <c r="B17">
        <v>217733</v>
      </c>
      <c r="C17" t="s">
        <v>125</v>
      </c>
      <c r="D17" t="s">
        <v>212</v>
      </c>
      <c r="E17" t="s">
        <v>106</v>
      </c>
      <c r="F17" t="s">
        <v>99</v>
      </c>
      <c r="G17">
        <v>2</v>
      </c>
      <c r="H17">
        <v>640</v>
      </c>
      <c r="I17" t="s">
        <v>153</v>
      </c>
      <c r="J17" t="s">
        <v>153</v>
      </c>
      <c r="K17" t="s">
        <v>153</v>
      </c>
      <c r="L17" t="s">
        <v>153</v>
      </c>
      <c r="M17" t="s">
        <v>156</v>
      </c>
      <c r="N17" t="s">
        <v>213</v>
      </c>
      <c r="O17">
        <v>217687</v>
      </c>
      <c r="P17" t="s">
        <v>127</v>
      </c>
      <c r="Q17" t="s">
        <v>214</v>
      </c>
      <c r="R17" t="s">
        <v>109</v>
      </c>
      <c r="S17" t="s">
        <v>87</v>
      </c>
      <c r="T17">
        <v>3</v>
      </c>
      <c r="U17">
        <v>460</v>
      </c>
      <c r="V17" t="s">
        <v>153</v>
      </c>
      <c r="W17" t="s">
        <v>153</v>
      </c>
      <c r="X17" t="s">
        <v>153</v>
      </c>
      <c r="Y17" t="s">
        <v>153</v>
      </c>
      <c r="Z17" t="s">
        <v>215</v>
      </c>
    </row>
    <row r="18" spans="1:26" x14ac:dyDescent="0.2">
      <c r="A18" t="s">
        <v>216</v>
      </c>
      <c r="B18">
        <v>217792</v>
      </c>
      <c r="C18" t="s">
        <v>125</v>
      </c>
      <c r="D18" t="s">
        <v>212</v>
      </c>
      <c r="E18" t="s">
        <v>106</v>
      </c>
      <c r="F18" t="s">
        <v>87</v>
      </c>
      <c r="G18">
        <v>2</v>
      </c>
      <c r="H18">
        <v>680</v>
      </c>
      <c r="I18" t="s">
        <v>153</v>
      </c>
      <c r="J18" t="s">
        <v>153</v>
      </c>
      <c r="K18" t="s">
        <v>153</v>
      </c>
      <c r="L18" t="s">
        <v>153</v>
      </c>
      <c r="M18" t="s">
        <v>217</v>
      </c>
      <c r="N18" t="s">
        <v>218</v>
      </c>
      <c r="O18">
        <v>217820</v>
      </c>
      <c r="P18" t="s">
        <v>127</v>
      </c>
      <c r="Q18" t="s">
        <v>191</v>
      </c>
      <c r="R18" t="s">
        <v>98</v>
      </c>
      <c r="S18" t="s">
        <v>95</v>
      </c>
      <c r="T18">
        <v>3</v>
      </c>
      <c r="U18">
        <v>1310</v>
      </c>
      <c r="V18" t="s">
        <v>153</v>
      </c>
      <c r="W18" t="s">
        <v>153</v>
      </c>
      <c r="X18" t="s">
        <v>153</v>
      </c>
      <c r="Y18" t="s">
        <v>153</v>
      </c>
      <c r="Z18" t="s">
        <v>219</v>
      </c>
    </row>
    <row r="19" spans="1:26" x14ac:dyDescent="0.2">
      <c r="A19" t="s">
        <v>220</v>
      </c>
      <c r="B19">
        <v>217861</v>
      </c>
      <c r="C19" t="s">
        <v>125</v>
      </c>
      <c r="D19" t="s">
        <v>221</v>
      </c>
      <c r="E19" t="s">
        <v>86</v>
      </c>
      <c r="F19" t="s">
        <v>103</v>
      </c>
      <c r="G19">
        <v>2</v>
      </c>
      <c r="H19">
        <v>770</v>
      </c>
      <c r="I19" t="s">
        <v>153</v>
      </c>
      <c r="J19" t="s">
        <v>153</v>
      </c>
      <c r="K19" t="s">
        <v>153</v>
      </c>
      <c r="L19" t="s">
        <v>153</v>
      </c>
      <c r="M19" t="s">
        <v>156</v>
      </c>
      <c r="N19" t="s">
        <v>222</v>
      </c>
      <c r="O19">
        <v>217654</v>
      </c>
      <c r="P19" t="s">
        <v>210</v>
      </c>
      <c r="Q19" t="s">
        <v>191</v>
      </c>
      <c r="R19" t="s">
        <v>98</v>
      </c>
      <c r="S19" t="s">
        <v>107</v>
      </c>
      <c r="T19">
        <v>6</v>
      </c>
      <c r="U19">
        <v>2650</v>
      </c>
      <c r="V19" t="s">
        <v>153</v>
      </c>
      <c r="W19" t="s">
        <v>153</v>
      </c>
      <c r="X19" t="s">
        <v>153</v>
      </c>
      <c r="Y19" t="s">
        <v>153</v>
      </c>
      <c r="Z19" t="s">
        <v>215</v>
      </c>
    </row>
    <row r="20" spans="1:26" x14ac:dyDescent="0.2">
      <c r="A20" t="s">
        <v>223</v>
      </c>
      <c r="B20">
        <v>217669</v>
      </c>
      <c r="C20" t="s">
        <v>217</v>
      </c>
      <c r="D20" t="s">
        <v>186</v>
      </c>
      <c r="E20" t="s">
        <v>94</v>
      </c>
      <c r="F20" t="s">
        <v>95</v>
      </c>
      <c r="G20">
        <v>30</v>
      </c>
      <c r="H20">
        <v>4900</v>
      </c>
      <c r="I20" t="s">
        <v>153</v>
      </c>
      <c r="J20" t="s">
        <v>153</v>
      </c>
      <c r="K20" t="s">
        <v>153</v>
      </c>
      <c r="L20" t="s">
        <v>153</v>
      </c>
      <c r="M20" t="s">
        <v>156</v>
      </c>
      <c r="N20" t="s">
        <v>224</v>
      </c>
      <c r="O20">
        <v>217712</v>
      </c>
      <c r="P20" t="s">
        <v>210</v>
      </c>
      <c r="Q20" t="s">
        <v>182</v>
      </c>
      <c r="R20" t="s">
        <v>94</v>
      </c>
      <c r="S20" t="s">
        <v>103</v>
      </c>
      <c r="T20">
        <v>12</v>
      </c>
      <c r="U20">
        <v>2210</v>
      </c>
      <c r="V20" t="s">
        <v>153</v>
      </c>
      <c r="W20" t="s">
        <v>153</v>
      </c>
      <c r="X20" t="s">
        <v>153</v>
      </c>
      <c r="Y20" t="s">
        <v>153</v>
      </c>
      <c r="Z20" t="s">
        <v>215</v>
      </c>
    </row>
    <row r="21" spans="1:26" x14ac:dyDescent="0.2">
      <c r="A21" t="s">
        <v>225</v>
      </c>
      <c r="B21">
        <v>217692</v>
      </c>
      <c r="C21" t="s">
        <v>217</v>
      </c>
      <c r="D21" t="s">
        <v>172</v>
      </c>
      <c r="E21" t="s">
        <v>102</v>
      </c>
      <c r="F21" t="s">
        <v>95</v>
      </c>
      <c r="G21">
        <v>10</v>
      </c>
      <c r="H21">
        <v>4650</v>
      </c>
      <c r="I21" t="s">
        <v>154</v>
      </c>
      <c r="J21" t="s">
        <v>153</v>
      </c>
      <c r="K21" t="s">
        <v>153</v>
      </c>
      <c r="L21" t="s">
        <v>153</v>
      </c>
      <c r="M21" t="s">
        <v>156</v>
      </c>
      <c r="N21" t="s">
        <v>226</v>
      </c>
      <c r="O21">
        <v>217888</v>
      </c>
      <c r="P21" t="s">
        <v>210</v>
      </c>
      <c r="Q21" t="s">
        <v>227</v>
      </c>
      <c r="R21" t="s">
        <v>90</v>
      </c>
      <c r="S21" t="s">
        <v>103</v>
      </c>
      <c r="T21">
        <v>14</v>
      </c>
      <c r="U21">
        <v>3380</v>
      </c>
      <c r="V21" t="s">
        <v>153</v>
      </c>
      <c r="W21" t="s">
        <v>154</v>
      </c>
      <c r="X21" t="s">
        <v>153</v>
      </c>
      <c r="Y21" t="s">
        <v>153</v>
      </c>
      <c r="Z21" t="s">
        <v>215</v>
      </c>
    </row>
    <row r="22" spans="1:26" x14ac:dyDescent="0.2">
      <c r="A22" t="s">
        <v>228</v>
      </c>
      <c r="B22">
        <v>217766</v>
      </c>
      <c r="C22" t="s">
        <v>229</v>
      </c>
      <c r="D22" t="s">
        <v>182</v>
      </c>
      <c r="E22" t="s">
        <v>94</v>
      </c>
      <c r="F22" t="s">
        <v>91</v>
      </c>
      <c r="G22">
        <v>15</v>
      </c>
      <c r="H22">
        <v>5960</v>
      </c>
      <c r="I22" t="s">
        <v>153</v>
      </c>
      <c r="J22" t="s">
        <v>153</v>
      </c>
      <c r="K22" t="s">
        <v>153</v>
      </c>
      <c r="L22" t="s">
        <v>153</v>
      </c>
      <c r="M22" t="s">
        <v>208</v>
      </c>
      <c r="N22" t="s">
        <v>230</v>
      </c>
      <c r="O22">
        <v>217720</v>
      </c>
      <c r="P22" t="s">
        <v>231</v>
      </c>
      <c r="Q22" t="s">
        <v>157</v>
      </c>
      <c r="R22" t="s">
        <v>102</v>
      </c>
      <c r="S22" t="s">
        <v>95</v>
      </c>
      <c r="T22">
        <v>27</v>
      </c>
      <c r="U22">
        <v>4890</v>
      </c>
      <c r="V22" t="s">
        <v>153</v>
      </c>
      <c r="W22" t="s">
        <v>153</v>
      </c>
      <c r="X22" t="s">
        <v>153</v>
      </c>
      <c r="Y22" t="s">
        <v>153</v>
      </c>
      <c r="Z22" t="s">
        <v>215</v>
      </c>
    </row>
    <row r="23" spans="1:26" x14ac:dyDescent="0.2">
      <c r="A23" t="s">
        <v>232</v>
      </c>
      <c r="B23">
        <v>217858</v>
      </c>
      <c r="C23" t="s">
        <v>229</v>
      </c>
      <c r="D23" t="s">
        <v>227</v>
      </c>
      <c r="E23" t="s">
        <v>90</v>
      </c>
      <c r="F23" t="s">
        <v>91</v>
      </c>
      <c r="G23">
        <v>6</v>
      </c>
      <c r="H23">
        <v>1540</v>
      </c>
      <c r="I23" t="s">
        <v>153</v>
      </c>
      <c r="J23" t="s">
        <v>153</v>
      </c>
      <c r="K23" t="s">
        <v>153</v>
      </c>
      <c r="L23" t="s">
        <v>153</v>
      </c>
      <c r="M23" t="s">
        <v>156</v>
      </c>
      <c r="N23" t="s">
        <v>233</v>
      </c>
      <c r="O23">
        <v>217810</v>
      </c>
      <c r="P23" t="s">
        <v>231</v>
      </c>
      <c r="Q23" t="s">
        <v>234</v>
      </c>
      <c r="R23" t="s">
        <v>94</v>
      </c>
      <c r="S23" t="s">
        <v>91</v>
      </c>
      <c r="T23">
        <v>3</v>
      </c>
      <c r="U23">
        <v>510</v>
      </c>
      <c r="V23" t="s">
        <v>154</v>
      </c>
      <c r="W23" t="s">
        <v>154</v>
      </c>
      <c r="X23" t="s">
        <v>153</v>
      </c>
      <c r="Y23" t="s">
        <v>153</v>
      </c>
      <c r="Z23" t="s">
        <v>215</v>
      </c>
    </row>
    <row r="24" spans="1:26" x14ac:dyDescent="0.2">
      <c r="A24" t="s">
        <v>235</v>
      </c>
      <c r="B24">
        <v>217798</v>
      </c>
      <c r="C24" t="s">
        <v>208</v>
      </c>
      <c r="D24" t="s">
        <v>236</v>
      </c>
      <c r="E24" t="s">
        <v>109</v>
      </c>
      <c r="F24" t="s">
        <v>107</v>
      </c>
      <c r="G24">
        <v>3</v>
      </c>
      <c r="H24">
        <v>1860</v>
      </c>
      <c r="I24" t="s">
        <v>153</v>
      </c>
      <c r="J24" t="s">
        <v>154</v>
      </c>
      <c r="K24" t="s">
        <v>153</v>
      </c>
      <c r="L24" t="s">
        <v>153</v>
      </c>
      <c r="M24" t="s">
        <v>126</v>
      </c>
      <c r="N24" t="s">
        <v>237</v>
      </c>
      <c r="O24">
        <v>217915</v>
      </c>
      <c r="P24" t="s">
        <v>231</v>
      </c>
      <c r="Q24" t="s">
        <v>212</v>
      </c>
      <c r="R24" t="s">
        <v>106</v>
      </c>
      <c r="S24" t="s">
        <v>95</v>
      </c>
      <c r="T24">
        <v>22</v>
      </c>
      <c r="U24">
        <v>4120</v>
      </c>
      <c r="V24" t="s">
        <v>153</v>
      </c>
      <c r="W24" t="s">
        <v>153</v>
      </c>
      <c r="X24" t="s">
        <v>153</v>
      </c>
      <c r="Y24" t="s">
        <v>153</v>
      </c>
      <c r="Z24" t="s">
        <v>215</v>
      </c>
    </row>
    <row r="25" spans="1:26" x14ac:dyDescent="0.2">
      <c r="A25" t="s">
        <v>238</v>
      </c>
      <c r="B25">
        <v>217873</v>
      </c>
      <c r="C25" t="s">
        <v>208</v>
      </c>
      <c r="D25" t="s">
        <v>182</v>
      </c>
      <c r="E25" t="s">
        <v>94</v>
      </c>
      <c r="F25" t="s">
        <v>107</v>
      </c>
      <c r="G25">
        <v>7</v>
      </c>
      <c r="H25">
        <v>2790</v>
      </c>
      <c r="I25" t="s">
        <v>154</v>
      </c>
      <c r="J25" t="s">
        <v>153</v>
      </c>
      <c r="K25" t="s">
        <v>153</v>
      </c>
      <c r="L25" t="s">
        <v>154</v>
      </c>
      <c r="M25" t="s">
        <v>156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D26"/>
  <sheetViews>
    <sheetView workbookViewId="0"/>
  </sheetViews>
  <sheetFormatPr baseColWidth="10" defaultColWidth="8.83203125" defaultRowHeight="15" x14ac:dyDescent="0.2"/>
  <cols>
    <col min="1" max="1" width="12" customWidth="1"/>
    <col min="2" max="2" width="10" customWidth="1"/>
    <col min="3" max="4" width="12" customWidth="1"/>
    <col min="5" max="5" width="10" customWidth="1"/>
    <col min="6" max="6" width="12" customWidth="1"/>
    <col min="11" max="11" width="9" customWidth="1"/>
    <col min="13" max="13" width="40" customWidth="1"/>
    <col min="16" max="16" width="12" customWidth="1"/>
    <col min="17" max="17" width="10" customWidth="1"/>
    <col min="18" max="19" width="12" customWidth="1"/>
    <col min="20" max="20" width="10" customWidth="1"/>
    <col min="21" max="21" width="12" customWidth="1"/>
    <col min="26" max="26" width="9" customWidth="1"/>
    <col min="28" max="28" width="40" customWidth="1"/>
  </cols>
  <sheetData>
    <row r="1" spans="1:30" ht="17" x14ac:dyDescent="0.2">
      <c r="A1" s="1" t="s">
        <v>239</v>
      </c>
    </row>
    <row r="3" spans="1:30" x14ac:dyDescent="0.2">
      <c r="A3" s="2" t="s">
        <v>240</v>
      </c>
      <c r="B3" s="2" t="s">
        <v>131</v>
      </c>
      <c r="C3" s="2" t="s">
        <v>241</v>
      </c>
      <c r="D3" s="2" t="s">
        <v>242</v>
      </c>
      <c r="E3" s="2" t="s">
        <v>72</v>
      </c>
      <c r="F3" s="2" t="s">
        <v>243</v>
      </c>
      <c r="G3" s="2" t="s">
        <v>244</v>
      </c>
      <c r="H3" s="2" t="s">
        <v>245</v>
      </c>
      <c r="I3" s="2" t="s">
        <v>246</v>
      </c>
      <c r="J3" s="2" t="s">
        <v>247</v>
      </c>
      <c r="K3" s="2" t="s">
        <v>85</v>
      </c>
      <c r="L3" s="2" t="s">
        <v>248</v>
      </c>
      <c r="M3" s="2" t="s">
        <v>249</v>
      </c>
      <c r="N3" s="2" t="s">
        <v>250</v>
      </c>
      <c r="O3" s="2" t="s">
        <v>251</v>
      </c>
      <c r="P3" s="2" t="s">
        <v>252</v>
      </c>
      <c r="Q3" s="2" t="s">
        <v>138</v>
      </c>
      <c r="R3" s="2" t="s">
        <v>253</v>
      </c>
      <c r="S3" s="2" t="s">
        <v>254</v>
      </c>
      <c r="T3" s="2" t="s">
        <v>141</v>
      </c>
      <c r="U3" s="2" t="s">
        <v>255</v>
      </c>
      <c r="V3" s="2" t="s">
        <v>256</v>
      </c>
      <c r="W3" s="2" t="s">
        <v>257</v>
      </c>
      <c r="X3" s="2" t="s">
        <v>258</v>
      </c>
      <c r="Y3" s="2" t="s">
        <v>259</v>
      </c>
      <c r="Z3" s="2" t="s">
        <v>260</v>
      </c>
      <c r="AA3" s="2" t="s">
        <v>261</v>
      </c>
      <c r="AB3" s="2" t="s">
        <v>262</v>
      </c>
      <c r="AC3" s="2" t="s">
        <v>263</v>
      </c>
      <c r="AD3" s="2" t="s">
        <v>264</v>
      </c>
    </row>
    <row r="4" spans="1:30" x14ac:dyDescent="0.2">
      <c r="A4" t="s">
        <v>265</v>
      </c>
      <c r="B4">
        <v>217402</v>
      </c>
      <c r="C4" t="s">
        <v>266</v>
      </c>
      <c r="D4" t="s">
        <v>151</v>
      </c>
      <c r="E4" t="s">
        <v>86</v>
      </c>
      <c r="F4">
        <v>1120</v>
      </c>
      <c r="G4">
        <v>100</v>
      </c>
      <c r="H4" s="4">
        <v>678.02</v>
      </c>
      <c r="I4" s="4">
        <v>420.37</v>
      </c>
      <c r="J4" s="4">
        <v>257.65</v>
      </c>
      <c r="K4">
        <v>25.5</v>
      </c>
      <c r="L4" s="4">
        <v>65.7</v>
      </c>
      <c r="M4" t="s">
        <v>105</v>
      </c>
      <c r="N4" s="4">
        <v>0</v>
      </c>
      <c r="O4" s="4">
        <v>323.35</v>
      </c>
      <c r="P4" t="s">
        <v>267</v>
      </c>
      <c r="Q4">
        <v>217666</v>
      </c>
      <c r="R4" t="s">
        <v>183</v>
      </c>
      <c r="S4" t="s">
        <v>156</v>
      </c>
      <c r="T4" t="s">
        <v>102</v>
      </c>
      <c r="U4">
        <v>1630</v>
      </c>
      <c r="V4">
        <v>55</v>
      </c>
      <c r="W4" s="4">
        <v>721.5</v>
      </c>
      <c r="X4" s="4">
        <v>447.33</v>
      </c>
      <c r="Y4" s="4">
        <v>274.17</v>
      </c>
      <c r="Z4">
        <v>26</v>
      </c>
      <c r="AA4" s="4">
        <v>71.28</v>
      </c>
      <c r="AB4" t="s">
        <v>105</v>
      </c>
      <c r="AC4" s="4">
        <v>0</v>
      </c>
      <c r="AD4" s="4">
        <v>345.45</v>
      </c>
    </row>
    <row r="5" spans="1:30" x14ac:dyDescent="0.2">
      <c r="A5" t="s">
        <v>268</v>
      </c>
      <c r="B5">
        <v>217598</v>
      </c>
      <c r="C5" t="s">
        <v>269</v>
      </c>
      <c r="D5" t="s">
        <v>159</v>
      </c>
      <c r="E5" t="s">
        <v>102</v>
      </c>
      <c r="F5">
        <v>3150</v>
      </c>
      <c r="G5">
        <v>70</v>
      </c>
      <c r="H5" s="4">
        <v>1300.95</v>
      </c>
      <c r="I5" s="4">
        <v>806.59</v>
      </c>
      <c r="J5" s="4">
        <v>494.36</v>
      </c>
      <c r="K5">
        <v>26.5</v>
      </c>
      <c r="L5" s="4">
        <v>131.01</v>
      </c>
      <c r="M5" t="s">
        <v>105</v>
      </c>
      <c r="N5" s="4">
        <v>0</v>
      </c>
      <c r="O5" s="4">
        <v>625.37</v>
      </c>
      <c r="P5" t="s">
        <v>270</v>
      </c>
      <c r="Q5">
        <v>217724</v>
      </c>
      <c r="R5" t="s">
        <v>183</v>
      </c>
      <c r="S5" t="s">
        <v>156</v>
      </c>
      <c r="T5" t="s">
        <v>109</v>
      </c>
      <c r="U5">
        <v>1450</v>
      </c>
      <c r="V5">
        <v>55</v>
      </c>
      <c r="W5" s="4">
        <v>410.23</v>
      </c>
      <c r="X5" s="4">
        <v>254.34</v>
      </c>
      <c r="Y5" s="4">
        <v>155.89</v>
      </c>
      <c r="Z5">
        <v>26</v>
      </c>
      <c r="AA5" s="4">
        <v>40.53</v>
      </c>
      <c r="AB5" t="s">
        <v>271</v>
      </c>
      <c r="AC5" s="4">
        <v>230</v>
      </c>
      <c r="AD5" s="4">
        <v>426.42</v>
      </c>
    </row>
    <row r="6" spans="1:30" x14ac:dyDescent="0.2">
      <c r="A6" t="s">
        <v>272</v>
      </c>
      <c r="B6">
        <v>217611</v>
      </c>
      <c r="C6" t="s">
        <v>174</v>
      </c>
      <c r="D6" t="s">
        <v>164</v>
      </c>
      <c r="E6" t="s">
        <v>90</v>
      </c>
      <c r="F6">
        <v>1180</v>
      </c>
      <c r="G6">
        <v>55</v>
      </c>
      <c r="H6" s="4">
        <v>455.86</v>
      </c>
      <c r="I6" s="4">
        <v>282.63</v>
      </c>
      <c r="J6" s="4">
        <v>173.23</v>
      </c>
      <c r="K6">
        <v>26</v>
      </c>
      <c r="L6" s="4">
        <v>45.04</v>
      </c>
      <c r="M6" t="s">
        <v>105</v>
      </c>
      <c r="N6" s="4">
        <v>0</v>
      </c>
      <c r="O6" s="4">
        <v>218.27</v>
      </c>
      <c r="P6" t="s">
        <v>273</v>
      </c>
      <c r="Q6">
        <v>217883</v>
      </c>
      <c r="R6" t="s">
        <v>183</v>
      </c>
      <c r="S6" t="s">
        <v>156</v>
      </c>
      <c r="T6" t="s">
        <v>102</v>
      </c>
      <c r="U6">
        <v>1010</v>
      </c>
      <c r="V6">
        <v>100</v>
      </c>
      <c r="W6" s="4">
        <v>736.64</v>
      </c>
      <c r="X6" s="4">
        <v>456.72</v>
      </c>
      <c r="Y6" s="4">
        <v>279.92</v>
      </c>
      <c r="Z6">
        <v>26</v>
      </c>
      <c r="AA6" s="4">
        <v>72.78</v>
      </c>
      <c r="AB6" t="s">
        <v>92</v>
      </c>
      <c r="AC6" s="4">
        <v>95</v>
      </c>
      <c r="AD6" s="4">
        <v>447.7</v>
      </c>
    </row>
    <row r="7" spans="1:30" x14ac:dyDescent="0.2">
      <c r="A7" t="s">
        <v>274</v>
      </c>
      <c r="B7">
        <v>217645</v>
      </c>
      <c r="C7" t="s">
        <v>275</v>
      </c>
      <c r="D7" t="s">
        <v>166</v>
      </c>
      <c r="E7" t="s">
        <v>102</v>
      </c>
      <c r="F7">
        <v>1249</v>
      </c>
      <c r="G7">
        <v>70</v>
      </c>
      <c r="H7" s="4">
        <v>628.25</v>
      </c>
      <c r="I7" s="4">
        <v>389.51</v>
      </c>
      <c r="J7" s="4">
        <v>238.74</v>
      </c>
      <c r="K7">
        <v>26.5</v>
      </c>
      <c r="L7" s="4">
        <v>63.27</v>
      </c>
      <c r="M7" t="s">
        <v>96</v>
      </c>
      <c r="N7" s="4">
        <v>85</v>
      </c>
      <c r="O7" s="4">
        <v>387.01</v>
      </c>
      <c r="P7" t="s">
        <v>276</v>
      </c>
      <c r="Q7">
        <v>217803</v>
      </c>
      <c r="R7" t="s">
        <v>178</v>
      </c>
      <c r="S7" t="s">
        <v>162</v>
      </c>
      <c r="T7" t="s">
        <v>98</v>
      </c>
      <c r="U7">
        <v>3560</v>
      </c>
      <c r="V7">
        <v>92.5</v>
      </c>
      <c r="W7" s="4">
        <v>1809.55</v>
      </c>
      <c r="X7" s="4">
        <v>1121.92</v>
      </c>
      <c r="Y7" s="4">
        <v>687.63</v>
      </c>
      <c r="Z7">
        <v>27.5</v>
      </c>
      <c r="AA7" s="4">
        <v>189.1</v>
      </c>
      <c r="AB7" t="s">
        <v>100</v>
      </c>
      <c r="AC7" s="4">
        <v>60</v>
      </c>
      <c r="AD7" s="4">
        <v>936.73</v>
      </c>
    </row>
    <row r="8" spans="1:30" x14ac:dyDescent="0.2">
      <c r="A8" t="s">
        <v>277</v>
      </c>
      <c r="B8">
        <v>217822</v>
      </c>
      <c r="C8" t="s">
        <v>278</v>
      </c>
      <c r="D8" t="s">
        <v>124</v>
      </c>
      <c r="E8" t="s">
        <v>102</v>
      </c>
      <c r="F8">
        <v>4210</v>
      </c>
      <c r="G8">
        <v>70</v>
      </c>
      <c r="H8" s="4">
        <v>1682.5</v>
      </c>
      <c r="I8" s="4">
        <v>1043.15</v>
      </c>
      <c r="J8" s="4">
        <v>639.35</v>
      </c>
      <c r="K8">
        <v>26.5</v>
      </c>
      <c r="L8" s="4">
        <v>169.43</v>
      </c>
      <c r="M8" t="s">
        <v>88</v>
      </c>
      <c r="N8" s="4">
        <v>75</v>
      </c>
      <c r="O8" s="4">
        <v>883.78</v>
      </c>
      <c r="P8" t="s">
        <v>279</v>
      </c>
      <c r="Q8">
        <v>217894</v>
      </c>
      <c r="R8" t="s">
        <v>178</v>
      </c>
      <c r="S8" t="s">
        <v>162</v>
      </c>
      <c r="T8" t="s">
        <v>98</v>
      </c>
      <c r="U8">
        <v>890</v>
      </c>
      <c r="V8">
        <v>85</v>
      </c>
      <c r="W8" s="4">
        <v>547.4</v>
      </c>
      <c r="X8" s="4">
        <v>339.39</v>
      </c>
      <c r="Y8" s="4">
        <v>208.01</v>
      </c>
      <c r="Z8">
        <v>27.5</v>
      </c>
      <c r="AA8" s="4">
        <v>57.2</v>
      </c>
      <c r="AB8" t="s">
        <v>104</v>
      </c>
      <c r="AC8" s="4">
        <v>88</v>
      </c>
      <c r="AD8" s="4">
        <v>353.21</v>
      </c>
    </row>
    <row r="9" spans="1:30" x14ac:dyDescent="0.2">
      <c r="A9" t="s">
        <v>280</v>
      </c>
      <c r="B9">
        <v>217675</v>
      </c>
      <c r="C9" t="s">
        <v>278</v>
      </c>
      <c r="D9" t="s">
        <v>185</v>
      </c>
      <c r="E9" t="s">
        <v>94</v>
      </c>
      <c r="F9">
        <v>2040</v>
      </c>
      <c r="G9">
        <v>60</v>
      </c>
      <c r="H9" s="4">
        <v>957.84</v>
      </c>
      <c r="I9" s="4">
        <v>593.86</v>
      </c>
      <c r="J9" s="4">
        <v>363.98</v>
      </c>
      <c r="K9">
        <v>26.5</v>
      </c>
      <c r="L9" s="4">
        <v>96.45</v>
      </c>
      <c r="M9" t="s">
        <v>105</v>
      </c>
      <c r="N9" s="4">
        <v>0</v>
      </c>
      <c r="O9" s="4">
        <v>460.43</v>
      </c>
      <c r="P9" t="s">
        <v>281</v>
      </c>
      <c r="Q9">
        <v>217757</v>
      </c>
      <c r="R9" t="s">
        <v>282</v>
      </c>
      <c r="S9" t="s">
        <v>162</v>
      </c>
      <c r="T9" t="s">
        <v>102</v>
      </c>
      <c r="U9">
        <v>930</v>
      </c>
      <c r="V9">
        <v>100</v>
      </c>
      <c r="W9" s="4">
        <v>796.29</v>
      </c>
      <c r="X9" s="4">
        <v>493.7</v>
      </c>
      <c r="Y9" s="4">
        <v>302.59</v>
      </c>
      <c r="Z9">
        <v>27.5</v>
      </c>
      <c r="AA9" s="4">
        <v>83.21</v>
      </c>
      <c r="AB9" t="s">
        <v>105</v>
      </c>
      <c r="AC9" s="4">
        <v>0</v>
      </c>
      <c r="AD9" s="4">
        <v>385.8</v>
      </c>
    </row>
    <row r="10" spans="1:30" x14ac:dyDescent="0.2">
      <c r="A10" t="s">
        <v>283</v>
      </c>
      <c r="B10">
        <v>217738</v>
      </c>
      <c r="C10" t="s">
        <v>284</v>
      </c>
      <c r="D10" t="s">
        <v>189</v>
      </c>
      <c r="E10" t="s">
        <v>86</v>
      </c>
      <c r="F10">
        <v>1130</v>
      </c>
      <c r="G10">
        <v>60</v>
      </c>
      <c r="H10" s="4">
        <v>443.47</v>
      </c>
      <c r="I10" s="4">
        <v>274.95</v>
      </c>
      <c r="J10" s="4">
        <v>168.52</v>
      </c>
      <c r="K10">
        <v>26.5</v>
      </c>
      <c r="L10" s="4">
        <v>44.66</v>
      </c>
      <c r="M10" t="s">
        <v>105</v>
      </c>
      <c r="N10" s="4">
        <v>0</v>
      </c>
      <c r="O10" s="4">
        <v>213.18</v>
      </c>
      <c r="P10" t="s">
        <v>285</v>
      </c>
      <c r="Q10">
        <v>217851</v>
      </c>
      <c r="R10" t="s">
        <v>286</v>
      </c>
      <c r="S10" t="s">
        <v>126</v>
      </c>
      <c r="T10" t="s">
        <v>86</v>
      </c>
      <c r="U10">
        <v>4470</v>
      </c>
      <c r="V10">
        <v>85</v>
      </c>
      <c r="W10" s="4">
        <v>1601.38</v>
      </c>
      <c r="X10" s="4">
        <v>992.86</v>
      </c>
      <c r="Y10" s="4">
        <v>608.52</v>
      </c>
      <c r="Z10">
        <v>27.5</v>
      </c>
      <c r="AA10" s="4">
        <v>167.34</v>
      </c>
      <c r="AB10" t="s">
        <v>105</v>
      </c>
      <c r="AC10" s="4">
        <v>0</v>
      </c>
      <c r="AD10" s="4">
        <v>775.86</v>
      </c>
    </row>
    <row r="11" spans="1:30" x14ac:dyDescent="0.2">
      <c r="A11" t="s">
        <v>287</v>
      </c>
      <c r="B11">
        <v>217846</v>
      </c>
      <c r="C11" t="s">
        <v>125</v>
      </c>
      <c r="D11" t="s">
        <v>180</v>
      </c>
      <c r="E11" t="s">
        <v>102</v>
      </c>
      <c r="F11">
        <v>1950</v>
      </c>
      <c r="G11">
        <v>100</v>
      </c>
      <c r="H11" s="4">
        <v>1197.7</v>
      </c>
      <c r="I11" s="4">
        <v>742.57</v>
      </c>
      <c r="J11" s="4">
        <v>455.13</v>
      </c>
      <c r="K11">
        <v>26.5</v>
      </c>
      <c r="L11" s="4">
        <v>120.61</v>
      </c>
      <c r="M11" t="s">
        <v>88</v>
      </c>
      <c r="N11" s="4">
        <v>75</v>
      </c>
      <c r="O11" s="4">
        <v>650.74</v>
      </c>
      <c r="P11" t="s">
        <v>288</v>
      </c>
      <c r="Q11">
        <v>217864</v>
      </c>
      <c r="R11" t="s">
        <v>231</v>
      </c>
      <c r="S11" t="s">
        <v>126</v>
      </c>
      <c r="T11" t="s">
        <v>94</v>
      </c>
      <c r="U11">
        <v>1220</v>
      </c>
      <c r="V11">
        <v>70</v>
      </c>
      <c r="W11" s="4">
        <v>742.37</v>
      </c>
      <c r="X11" s="4">
        <v>460.27</v>
      </c>
      <c r="Y11" s="4">
        <v>282.1</v>
      </c>
      <c r="Z11">
        <v>27</v>
      </c>
      <c r="AA11" s="4">
        <v>76.17</v>
      </c>
      <c r="AB11" t="s">
        <v>105</v>
      </c>
      <c r="AC11" s="4">
        <v>0</v>
      </c>
      <c r="AD11" s="4">
        <v>358.27</v>
      </c>
    </row>
    <row r="12" spans="1:30" x14ac:dyDescent="0.2">
      <c r="A12" t="s">
        <v>289</v>
      </c>
      <c r="B12">
        <v>217703</v>
      </c>
      <c r="C12" t="s">
        <v>217</v>
      </c>
      <c r="D12" t="s">
        <v>174</v>
      </c>
      <c r="E12" t="s">
        <v>86</v>
      </c>
      <c r="F12">
        <v>720</v>
      </c>
      <c r="G12">
        <v>85</v>
      </c>
      <c r="H12" s="4">
        <v>406.55</v>
      </c>
      <c r="I12" s="4">
        <v>252.06</v>
      </c>
      <c r="J12" s="4">
        <v>154.49</v>
      </c>
      <c r="K12">
        <v>26</v>
      </c>
      <c r="L12" s="4">
        <v>40.17</v>
      </c>
      <c r="M12" t="s">
        <v>290</v>
      </c>
      <c r="N12" s="4">
        <v>160</v>
      </c>
      <c r="O12" s="4">
        <v>354.66</v>
      </c>
      <c r="P12" t="s">
        <v>291</v>
      </c>
      <c r="Q12">
        <v>217841</v>
      </c>
      <c r="R12" t="s">
        <v>231</v>
      </c>
      <c r="S12" t="s">
        <v>192</v>
      </c>
      <c r="T12" t="s">
        <v>94</v>
      </c>
      <c r="U12">
        <v>2060</v>
      </c>
      <c r="V12">
        <v>60</v>
      </c>
      <c r="W12" s="4">
        <v>967.23</v>
      </c>
      <c r="X12" s="4">
        <v>599.68</v>
      </c>
      <c r="Y12" s="4">
        <v>367.55</v>
      </c>
      <c r="Z12">
        <v>27.5</v>
      </c>
      <c r="AA12" s="4">
        <v>101.08</v>
      </c>
      <c r="AB12" t="s">
        <v>292</v>
      </c>
      <c r="AC12" s="4">
        <v>135</v>
      </c>
      <c r="AD12" s="4">
        <v>603.63</v>
      </c>
    </row>
    <row r="13" spans="1:30" x14ac:dyDescent="0.2">
      <c r="A13" t="s">
        <v>293</v>
      </c>
      <c r="B13">
        <v>217836</v>
      </c>
      <c r="C13" t="s">
        <v>229</v>
      </c>
      <c r="D13" t="s">
        <v>189</v>
      </c>
      <c r="E13" t="s">
        <v>106</v>
      </c>
      <c r="F13">
        <v>2360</v>
      </c>
      <c r="G13">
        <v>100</v>
      </c>
      <c r="H13" s="4">
        <v>1399.6</v>
      </c>
      <c r="I13" s="4">
        <v>867.75</v>
      </c>
      <c r="J13" s="4">
        <v>531.85</v>
      </c>
      <c r="K13">
        <v>26.5</v>
      </c>
      <c r="L13" s="4">
        <v>140.94</v>
      </c>
      <c r="M13" t="s">
        <v>88</v>
      </c>
      <c r="N13" s="4">
        <v>85</v>
      </c>
      <c r="O13" s="4">
        <v>757.79</v>
      </c>
      <c r="P13" t="s">
        <v>294</v>
      </c>
      <c r="Q13">
        <v>217750</v>
      </c>
      <c r="R13" t="s">
        <v>231</v>
      </c>
      <c r="S13" t="s">
        <v>178</v>
      </c>
      <c r="T13" t="s">
        <v>94</v>
      </c>
      <c r="U13">
        <v>2980</v>
      </c>
      <c r="V13">
        <v>55</v>
      </c>
      <c r="W13" s="4">
        <v>1309.89</v>
      </c>
      <c r="X13" s="4">
        <v>812.13</v>
      </c>
      <c r="Y13" s="4">
        <v>497.76</v>
      </c>
      <c r="Z13">
        <v>27.5</v>
      </c>
      <c r="AA13" s="4">
        <v>136.88</v>
      </c>
      <c r="AB13" t="s">
        <v>88</v>
      </c>
      <c r="AC13" s="4">
        <v>75</v>
      </c>
      <c r="AD13" s="4">
        <v>709.64</v>
      </c>
    </row>
    <row r="14" spans="1:30" x14ac:dyDescent="0.2">
      <c r="A14" t="s">
        <v>295</v>
      </c>
      <c r="B14">
        <v>217700</v>
      </c>
      <c r="C14" t="s">
        <v>217</v>
      </c>
      <c r="D14" t="s">
        <v>180</v>
      </c>
      <c r="E14" t="s">
        <v>90</v>
      </c>
      <c r="F14">
        <v>1980</v>
      </c>
      <c r="G14">
        <v>70</v>
      </c>
      <c r="H14" s="4">
        <v>721</v>
      </c>
      <c r="I14" s="4">
        <v>447.02</v>
      </c>
      <c r="J14" s="4">
        <v>273.98</v>
      </c>
      <c r="K14">
        <v>26.5</v>
      </c>
      <c r="L14" s="4">
        <v>72.6</v>
      </c>
      <c r="M14" t="s">
        <v>105</v>
      </c>
      <c r="N14" s="4">
        <v>0</v>
      </c>
      <c r="O14" s="4">
        <v>346.58</v>
      </c>
      <c r="P14" t="s">
        <v>296</v>
      </c>
      <c r="Q14">
        <v>217883</v>
      </c>
      <c r="R14" t="s">
        <v>219</v>
      </c>
      <c r="S14" t="s">
        <v>156</v>
      </c>
      <c r="T14" t="s">
        <v>102</v>
      </c>
      <c r="U14">
        <v>1010</v>
      </c>
      <c r="V14">
        <v>100</v>
      </c>
      <c r="W14" s="4">
        <v>736.64</v>
      </c>
      <c r="X14" s="4">
        <v>456.72</v>
      </c>
      <c r="Y14" s="4">
        <v>279.92</v>
      </c>
      <c r="Z14">
        <v>26</v>
      </c>
      <c r="AA14" s="4">
        <v>72.78</v>
      </c>
      <c r="AB14" t="s">
        <v>92</v>
      </c>
      <c r="AC14" s="4">
        <v>95</v>
      </c>
      <c r="AD14" s="4">
        <v>447.7</v>
      </c>
    </row>
    <row r="15" spans="1:30" x14ac:dyDescent="0.2">
      <c r="A15" t="s">
        <v>297</v>
      </c>
      <c r="B15">
        <v>217784</v>
      </c>
      <c r="C15" t="s">
        <v>217</v>
      </c>
      <c r="D15" t="s">
        <v>180</v>
      </c>
      <c r="E15" t="s">
        <v>109</v>
      </c>
      <c r="F15">
        <v>2440</v>
      </c>
      <c r="G15">
        <v>92.5</v>
      </c>
      <c r="H15" s="4">
        <v>837.41</v>
      </c>
      <c r="I15" s="4">
        <v>519.19</v>
      </c>
      <c r="J15" s="4">
        <v>318.22</v>
      </c>
      <c r="K15">
        <v>26.5</v>
      </c>
      <c r="L15" s="4">
        <v>84.33</v>
      </c>
      <c r="M15" t="s">
        <v>96</v>
      </c>
      <c r="N15" s="4">
        <v>85</v>
      </c>
      <c r="O15" s="4">
        <v>487.55</v>
      </c>
      <c r="P15" t="s">
        <v>298</v>
      </c>
      <c r="Q15">
        <v>217687</v>
      </c>
      <c r="R15" t="s">
        <v>215</v>
      </c>
      <c r="S15" t="s">
        <v>127</v>
      </c>
      <c r="T15" t="s">
        <v>109</v>
      </c>
      <c r="U15">
        <v>460</v>
      </c>
      <c r="V15">
        <v>55</v>
      </c>
      <c r="W15" s="4">
        <v>181.76</v>
      </c>
      <c r="X15" s="4">
        <v>63.36</v>
      </c>
      <c r="Y15" s="4">
        <v>118.4</v>
      </c>
      <c r="Z15">
        <v>27</v>
      </c>
      <c r="AA15" s="4">
        <v>31.97</v>
      </c>
      <c r="AB15" t="s">
        <v>105</v>
      </c>
      <c r="AC15" s="4">
        <v>0</v>
      </c>
      <c r="AD15" s="4">
        <v>150.37</v>
      </c>
    </row>
    <row r="16" spans="1:30" x14ac:dyDescent="0.2">
      <c r="A16" t="s">
        <v>299</v>
      </c>
      <c r="B16">
        <v>217733</v>
      </c>
      <c r="C16" t="s">
        <v>156</v>
      </c>
      <c r="D16" t="s">
        <v>125</v>
      </c>
      <c r="E16" t="s">
        <v>106</v>
      </c>
      <c r="F16">
        <v>640</v>
      </c>
      <c r="G16">
        <v>85</v>
      </c>
      <c r="H16" s="4">
        <v>430.19</v>
      </c>
      <c r="I16" s="4">
        <v>266.72</v>
      </c>
      <c r="J16" s="4">
        <v>163.47</v>
      </c>
      <c r="K16">
        <v>26</v>
      </c>
      <c r="L16" s="4">
        <v>42.5</v>
      </c>
      <c r="M16" t="s">
        <v>108</v>
      </c>
      <c r="N16" s="4">
        <v>110</v>
      </c>
      <c r="O16" s="4">
        <v>315.97</v>
      </c>
      <c r="P16" t="s">
        <v>300</v>
      </c>
      <c r="Q16">
        <v>217820</v>
      </c>
      <c r="R16" t="s">
        <v>215</v>
      </c>
      <c r="S16" t="s">
        <v>127</v>
      </c>
      <c r="T16" t="s">
        <v>98</v>
      </c>
      <c r="U16">
        <v>1620</v>
      </c>
      <c r="V16">
        <v>70</v>
      </c>
      <c r="W16" s="4">
        <v>771.12</v>
      </c>
      <c r="X16" s="4">
        <v>478.09</v>
      </c>
      <c r="Y16" s="4">
        <v>293.03</v>
      </c>
      <c r="Z16">
        <v>27</v>
      </c>
      <c r="AA16" s="4">
        <v>79.12</v>
      </c>
      <c r="AB16" t="s">
        <v>105</v>
      </c>
      <c r="AC16" s="4">
        <v>0</v>
      </c>
      <c r="AD16" s="4">
        <v>372.15</v>
      </c>
    </row>
    <row r="17" spans="1:30" x14ac:dyDescent="0.2">
      <c r="A17" t="s">
        <v>301</v>
      </c>
      <c r="B17">
        <v>217669</v>
      </c>
      <c r="C17" t="s">
        <v>156</v>
      </c>
      <c r="D17" t="s">
        <v>217</v>
      </c>
      <c r="E17" t="s">
        <v>94</v>
      </c>
      <c r="F17">
        <v>4900</v>
      </c>
      <c r="G17">
        <v>70</v>
      </c>
      <c r="H17" s="4">
        <v>2030</v>
      </c>
      <c r="I17" s="4">
        <v>1258.6</v>
      </c>
      <c r="J17" s="4">
        <v>771.4</v>
      </c>
      <c r="K17">
        <v>26</v>
      </c>
      <c r="L17" s="4">
        <v>200.56</v>
      </c>
      <c r="M17" t="s">
        <v>105</v>
      </c>
      <c r="N17" s="4">
        <v>0</v>
      </c>
      <c r="O17" s="4">
        <v>971.96</v>
      </c>
      <c r="P17" t="s">
        <v>302</v>
      </c>
      <c r="Q17">
        <v>217876</v>
      </c>
      <c r="R17" t="s">
        <v>215</v>
      </c>
      <c r="S17" t="s">
        <v>183</v>
      </c>
      <c r="T17" t="s">
        <v>109</v>
      </c>
      <c r="U17">
        <v>1720</v>
      </c>
      <c r="V17">
        <v>92.5</v>
      </c>
      <c r="W17" s="4">
        <v>686.4</v>
      </c>
      <c r="X17" s="4">
        <v>425.57</v>
      </c>
      <c r="Y17" s="4">
        <v>260.83</v>
      </c>
      <c r="Z17">
        <v>27.5</v>
      </c>
      <c r="AA17" s="4">
        <v>71.73</v>
      </c>
      <c r="AB17" t="s">
        <v>105</v>
      </c>
      <c r="AC17" s="4">
        <v>0</v>
      </c>
      <c r="AD17" s="4">
        <v>332.56</v>
      </c>
    </row>
    <row r="18" spans="1:30" x14ac:dyDescent="0.2">
      <c r="A18" t="s">
        <v>303</v>
      </c>
      <c r="B18">
        <v>217649</v>
      </c>
      <c r="C18" t="s">
        <v>304</v>
      </c>
      <c r="D18" t="s">
        <v>125</v>
      </c>
      <c r="E18" t="s">
        <v>86</v>
      </c>
      <c r="F18">
        <v>380</v>
      </c>
      <c r="G18">
        <v>85</v>
      </c>
      <c r="H18" s="4">
        <v>255.21</v>
      </c>
      <c r="I18" s="4">
        <v>136.81</v>
      </c>
      <c r="J18" s="4">
        <v>118.4</v>
      </c>
      <c r="K18">
        <v>26</v>
      </c>
      <c r="L18" s="4">
        <v>30.78</v>
      </c>
      <c r="M18" t="s">
        <v>105</v>
      </c>
      <c r="N18" s="4">
        <v>0</v>
      </c>
      <c r="O18" s="4">
        <v>149.18</v>
      </c>
      <c r="P18" t="s">
        <v>305</v>
      </c>
      <c r="Q18">
        <v>217654</v>
      </c>
      <c r="R18" t="s">
        <v>215</v>
      </c>
      <c r="S18" t="s">
        <v>210</v>
      </c>
      <c r="T18" t="s">
        <v>98</v>
      </c>
      <c r="U18">
        <v>2650</v>
      </c>
      <c r="V18">
        <v>100</v>
      </c>
      <c r="W18" s="4">
        <v>1502.42</v>
      </c>
      <c r="X18" s="4">
        <v>931.5</v>
      </c>
      <c r="Y18" s="4">
        <v>570.92</v>
      </c>
      <c r="Z18">
        <v>27</v>
      </c>
      <c r="AA18" s="4">
        <v>154.15</v>
      </c>
      <c r="AB18" t="s">
        <v>105</v>
      </c>
      <c r="AC18" s="4">
        <v>0</v>
      </c>
      <c r="AD18" s="4">
        <v>725.07</v>
      </c>
    </row>
    <row r="19" spans="1:30" x14ac:dyDescent="0.2">
      <c r="A19" t="s">
        <v>306</v>
      </c>
      <c r="B19">
        <v>217792</v>
      </c>
      <c r="C19" t="s">
        <v>304</v>
      </c>
      <c r="D19" t="s">
        <v>125</v>
      </c>
      <c r="E19" t="s">
        <v>106</v>
      </c>
      <c r="F19">
        <v>680</v>
      </c>
      <c r="G19">
        <v>70</v>
      </c>
      <c r="H19" s="4">
        <v>397.46</v>
      </c>
      <c r="I19" s="4">
        <v>246.43</v>
      </c>
      <c r="J19" s="4">
        <v>151.03</v>
      </c>
      <c r="K19">
        <v>26</v>
      </c>
      <c r="L19" s="4">
        <v>39.27</v>
      </c>
      <c r="M19" t="s">
        <v>105</v>
      </c>
      <c r="N19" s="4">
        <v>0</v>
      </c>
      <c r="O19" s="4">
        <v>190.3</v>
      </c>
      <c r="P19" t="s">
        <v>307</v>
      </c>
      <c r="Q19">
        <v>217902</v>
      </c>
      <c r="R19" t="s">
        <v>215</v>
      </c>
      <c r="S19" t="s">
        <v>192</v>
      </c>
      <c r="T19" t="s">
        <v>102</v>
      </c>
      <c r="U19">
        <v>620</v>
      </c>
      <c r="V19">
        <v>55</v>
      </c>
      <c r="W19" s="4">
        <v>322.18</v>
      </c>
      <c r="X19" s="4">
        <v>199.75</v>
      </c>
      <c r="Y19" s="4">
        <v>122.43</v>
      </c>
      <c r="Z19">
        <v>27.5</v>
      </c>
      <c r="AA19" s="4">
        <v>33.67</v>
      </c>
      <c r="AB19" t="s">
        <v>308</v>
      </c>
      <c r="AC19" s="4">
        <v>145</v>
      </c>
      <c r="AD19" s="4">
        <v>301.1</v>
      </c>
    </row>
    <row r="20" spans="1:30" x14ac:dyDescent="0.2">
      <c r="A20" t="s">
        <v>309</v>
      </c>
      <c r="B20">
        <v>217861</v>
      </c>
      <c r="C20" t="s">
        <v>310</v>
      </c>
      <c r="D20" t="s">
        <v>125</v>
      </c>
      <c r="E20" t="s">
        <v>86</v>
      </c>
      <c r="F20">
        <v>770</v>
      </c>
      <c r="G20">
        <v>92.5</v>
      </c>
      <c r="H20" s="4">
        <v>491.49</v>
      </c>
      <c r="I20" s="4">
        <v>304.72</v>
      </c>
      <c r="J20" s="4">
        <v>186.77</v>
      </c>
      <c r="K20">
        <v>26</v>
      </c>
      <c r="L20" s="4">
        <v>48.56</v>
      </c>
      <c r="M20" t="s">
        <v>88</v>
      </c>
      <c r="N20" s="4">
        <v>75</v>
      </c>
      <c r="O20" s="4">
        <v>310.33</v>
      </c>
      <c r="P20" t="s">
        <v>311</v>
      </c>
      <c r="Q20">
        <v>217712</v>
      </c>
      <c r="R20" t="s">
        <v>215</v>
      </c>
      <c r="S20" t="s">
        <v>210</v>
      </c>
      <c r="T20" t="s">
        <v>94</v>
      </c>
      <c r="U20">
        <v>2312</v>
      </c>
      <c r="V20">
        <v>92.5</v>
      </c>
      <c r="W20" s="4">
        <v>1501.3</v>
      </c>
      <c r="X20" s="4">
        <v>930.81</v>
      </c>
      <c r="Y20" s="4">
        <v>570.49</v>
      </c>
      <c r="Z20">
        <v>27</v>
      </c>
      <c r="AA20" s="4">
        <v>154.03</v>
      </c>
      <c r="AB20" t="s">
        <v>105</v>
      </c>
      <c r="AC20" s="4">
        <v>0</v>
      </c>
      <c r="AD20" s="4">
        <v>724.52</v>
      </c>
    </row>
    <row r="21" spans="1:30" x14ac:dyDescent="0.2">
      <c r="A21" t="s">
        <v>312</v>
      </c>
      <c r="B21">
        <v>217692</v>
      </c>
      <c r="C21" t="s">
        <v>310</v>
      </c>
      <c r="D21" t="s">
        <v>217</v>
      </c>
      <c r="E21" t="s">
        <v>102</v>
      </c>
      <c r="F21">
        <v>4650</v>
      </c>
      <c r="G21">
        <v>70</v>
      </c>
      <c r="H21" s="4">
        <v>1920.45</v>
      </c>
      <c r="I21" s="4">
        <v>1190.68</v>
      </c>
      <c r="J21" s="4">
        <v>729.77</v>
      </c>
      <c r="K21">
        <v>26</v>
      </c>
      <c r="L21" s="4">
        <v>189.74</v>
      </c>
      <c r="M21" t="s">
        <v>88</v>
      </c>
      <c r="N21" s="4">
        <v>75</v>
      </c>
      <c r="O21" s="4">
        <v>994.51</v>
      </c>
      <c r="P21" t="s">
        <v>313</v>
      </c>
      <c r="Q21">
        <v>217888</v>
      </c>
      <c r="R21" t="s">
        <v>215</v>
      </c>
      <c r="S21" t="s">
        <v>210</v>
      </c>
      <c r="T21" t="s">
        <v>90</v>
      </c>
      <c r="U21">
        <v>3380</v>
      </c>
      <c r="V21">
        <v>92.5</v>
      </c>
      <c r="W21" s="4">
        <v>1584.04</v>
      </c>
      <c r="X21" s="4">
        <v>982.1</v>
      </c>
      <c r="Y21" s="4">
        <v>601.94</v>
      </c>
      <c r="Z21">
        <v>27.5</v>
      </c>
      <c r="AA21" s="4">
        <v>165.53</v>
      </c>
      <c r="AB21" t="s">
        <v>92</v>
      </c>
      <c r="AC21" s="4">
        <v>95</v>
      </c>
      <c r="AD21" s="4">
        <v>862.47</v>
      </c>
    </row>
    <row r="22" spans="1:30" x14ac:dyDescent="0.2">
      <c r="A22" t="s">
        <v>314</v>
      </c>
      <c r="B22">
        <v>217766</v>
      </c>
      <c r="C22" t="s">
        <v>126</v>
      </c>
      <c r="D22" t="s">
        <v>229</v>
      </c>
      <c r="E22" t="s">
        <v>94</v>
      </c>
      <c r="F22">
        <v>5960</v>
      </c>
      <c r="G22">
        <v>60</v>
      </c>
      <c r="H22" s="4">
        <v>2274.57</v>
      </c>
      <c r="I22" s="4">
        <v>1410.23</v>
      </c>
      <c r="J22" s="4">
        <v>864.34</v>
      </c>
      <c r="K22">
        <v>26</v>
      </c>
      <c r="L22" s="4">
        <v>224.73</v>
      </c>
      <c r="M22" t="s">
        <v>105</v>
      </c>
      <c r="N22" s="4">
        <v>0</v>
      </c>
      <c r="O22" s="4">
        <v>1089.07</v>
      </c>
      <c r="P22" t="s">
        <v>315</v>
      </c>
      <c r="Q22">
        <v>217720</v>
      </c>
      <c r="R22" t="s">
        <v>215</v>
      </c>
      <c r="S22" t="s">
        <v>231</v>
      </c>
      <c r="T22" t="s">
        <v>102</v>
      </c>
      <c r="U22">
        <v>4890</v>
      </c>
      <c r="V22">
        <v>70</v>
      </c>
      <c r="W22" s="4">
        <v>1682.5</v>
      </c>
      <c r="X22" s="4">
        <v>1043.15</v>
      </c>
      <c r="Y22" s="4">
        <v>639.35</v>
      </c>
      <c r="Z22">
        <v>27</v>
      </c>
      <c r="AA22" s="4">
        <v>172.62</v>
      </c>
      <c r="AB22" t="s">
        <v>105</v>
      </c>
      <c r="AC22" s="4">
        <v>0</v>
      </c>
      <c r="AD22" s="4">
        <v>811.97</v>
      </c>
    </row>
    <row r="23" spans="1:30" x14ac:dyDescent="0.2">
      <c r="A23" t="s">
        <v>316</v>
      </c>
      <c r="B23">
        <v>217858</v>
      </c>
      <c r="C23" t="s">
        <v>126</v>
      </c>
      <c r="D23" t="s">
        <v>229</v>
      </c>
      <c r="E23" t="s">
        <v>90</v>
      </c>
      <c r="F23">
        <v>1540</v>
      </c>
      <c r="G23">
        <v>60</v>
      </c>
      <c r="H23" s="4">
        <v>635.5</v>
      </c>
      <c r="I23" s="4">
        <v>394.01</v>
      </c>
      <c r="J23" s="4">
        <v>241.49</v>
      </c>
      <c r="K23">
        <v>26</v>
      </c>
      <c r="L23" s="4">
        <v>62.79</v>
      </c>
      <c r="M23" t="s">
        <v>104</v>
      </c>
      <c r="N23" s="4">
        <v>88</v>
      </c>
      <c r="O23" s="4">
        <v>392.28</v>
      </c>
      <c r="P23" t="s">
        <v>317</v>
      </c>
      <c r="Q23">
        <v>217810</v>
      </c>
      <c r="R23" t="s">
        <v>215</v>
      </c>
      <c r="S23" t="s">
        <v>231</v>
      </c>
      <c r="T23" t="s">
        <v>94</v>
      </c>
      <c r="U23">
        <v>510</v>
      </c>
      <c r="V23">
        <v>60</v>
      </c>
      <c r="W23" s="4">
        <v>341.81</v>
      </c>
      <c r="X23" s="4">
        <v>211.92</v>
      </c>
      <c r="Y23" s="4">
        <v>129.89</v>
      </c>
      <c r="Z23">
        <v>27</v>
      </c>
      <c r="AA23" s="4">
        <v>35.07</v>
      </c>
      <c r="AB23" t="s">
        <v>318</v>
      </c>
      <c r="AC23" s="4">
        <v>170</v>
      </c>
      <c r="AD23" s="4">
        <v>334.96</v>
      </c>
    </row>
    <row r="24" spans="1:30" x14ac:dyDescent="0.2">
      <c r="A24" t="s">
        <v>319</v>
      </c>
      <c r="B24">
        <v>217798</v>
      </c>
      <c r="C24" t="s">
        <v>126</v>
      </c>
      <c r="D24" t="s">
        <v>208</v>
      </c>
      <c r="E24" t="s">
        <v>109</v>
      </c>
      <c r="F24">
        <v>1860</v>
      </c>
      <c r="G24">
        <v>100</v>
      </c>
      <c r="H24" s="4">
        <v>867.09</v>
      </c>
      <c r="I24" s="4">
        <v>537.6</v>
      </c>
      <c r="J24" s="4">
        <v>329.49</v>
      </c>
      <c r="K24">
        <v>26</v>
      </c>
      <c r="L24" s="4">
        <v>85.67</v>
      </c>
      <c r="M24" t="s">
        <v>92</v>
      </c>
      <c r="N24" s="4">
        <v>95</v>
      </c>
      <c r="O24" s="4">
        <v>510.16</v>
      </c>
      <c r="P24" t="s">
        <v>320</v>
      </c>
      <c r="Q24">
        <v>217915</v>
      </c>
      <c r="R24" t="s">
        <v>215</v>
      </c>
      <c r="S24" t="s">
        <v>231</v>
      </c>
      <c r="T24" t="s">
        <v>106</v>
      </c>
      <c r="U24">
        <v>4120</v>
      </c>
      <c r="V24">
        <v>70</v>
      </c>
      <c r="W24" s="4">
        <v>1665</v>
      </c>
      <c r="X24" s="4">
        <v>1032.3</v>
      </c>
      <c r="Y24" s="4">
        <v>632.7</v>
      </c>
      <c r="Z24">
        <v>27</v>
      </c>
      <c r="AA24" s="4">
        <v>170.83</v>
      </c>
      <c r="AB24" t="s">
        <v>105</v>
      </c>
      <c r="AC24" s="4">
        <v>0</v>
      </c>
      <c r="AD24" s="4">
        <v>803.53</v>
      </c>
    </row>
    <row r="25" spans="1:30" x14ac:dyDescent="0.2">
      <c r="A25" t="s">
        <v>321</v>
      </c>
      <c r="B25">
        <v>217873</v>
      </c>
      <c r="C25" t="s">
        <v>126</v>
      </c>
      <c r="D25" t="s">
        <v>208</v>
      </c>
      <c r="E25" t="s">
        <v>94</v>
      </c>
      <c r="F25">
        <v>3010</v>
      </c>
      <c r="G25">
        <v>100</v>
      </c>
      <c r="H25" s="4">
        <v>2180.07</v>
      </c>
      <c r="I25" s="4">
        <v>1351.64</v>
      </c>
      <c r="J25" s="4">
        <v>828.43</v>
      </c>
      <c r="K25">
        <v>26</v>
      </c>
      <c r="L25" s="4">
        <v>215.39</v>
      </c>
      <c r="M25" t="s">
        <v>292</v>
      </c>
      <c r="N25" s="4">
        <v>135</v>
      </c>
      <c r="O25" s="4">
        <v>1178.82</v>
      </c>
      <c r="P25" t="s">
        <v>322</v>
      </c>
      <c r="Q25">
        <v>217841</v>
      </c>
      <c r="R25" t="s">
        <v>215</v>
      </c>
      <c r="S25" t="s">
        <v>192</v>
      </c>
      <c r="T25" t="s">
        <v>94</v>
      </c>
      <c r="U25">
        <v>2060</v>
      </c>
      <c r="V25">
        <v>60</v>
      </c>
      <c r="W25" s="4">
        <v>967.23</v>
      </c>
      <c r="X25" s="4">
        <v>599.68</v>
      </c>
      <c r="Y25" s="4">
        <v>367.55</v>
      </c>
      <c r="Z25">
        <v>27.5</v>
      </c>
      <c r="AA25" s="4">
        <v>101.08</v>
      </c>
      <c r="AB25" t="s">
        <v>292</v>
      </c>
      <c r="AC25" s="4">
        <v>135</v>
      </c>
      <c r="AD25" s="4">
        <v>603.63</v>
      </c>
    </row>
    <row r="26" spans="1:30" x14ac:dyDescent="0.2">
      <c r="A26" t="s">
        <v>323</v>
      </c>
      <c r="B26">
        <v>217833</v>
      </c>
      <c r="C26" t="s">
        <v>126</v>
      </c>
      <c r="D26" t="s">
        <v>156</v>
      </c>
      <c r="E26" t="s">
        <v>86</v>
      </c>
      <c r="F26">
        <v>1070</v>
      </c>
      <c r="G26">
        <v>92.5</v>
      </c>
      <c r="H26" s="4">
        <v>580.74</v>
      </c>
      <c r="I26" s="4">
        <v>360.06</v>
      </c>
      <c r="J26" s="4">
        <v>220.68</v>
      </c>
      <c r="K26">
        <v>26</v>
      </c>
      <c r="L26" s="4">
        <v>57.38</v>
      </c>
      <c r="M26" t="s">
        <v>318</v>
      </c>
      <c r="N26" s="4">
        <v>170</v>
      </c>
      <c r="O26" s="4">
        <v>448.06</v>
      </c>
      <c r="P26" t="s">
        <v>324</v>
      </c>
      <c r="Q26">
        <v>217846</v>
      </c>
      <c r="R26" t="s">
        <v>215</v>
      </c>
      <c r="S26" t="s">
        <v>180</v>
      </c>
      <c r="T26" t="s">
        <v>102</v>
      </c>
      <c r="U26">
        <v>1590</v>
      </c>
      <c r="V26">
        <v>100</v>
      </c>
      <c r="W26" s="4">
        <v>1159.67</v>
      </c>
      <c r="X26" s="4">
        <v>719</v>
      </c>
      <c r="Y26" s="4">
        <v>440.67</v>
      </c>
      <c r="Z26">
        <v>26.5</v>
      </c>
      <c r="AA26" s="4">
        <v>116.78</v>
      </c>
      <c r="AB26" t="s">
        <v>88</v>
      </c>
      <c r="AC26" s="4">
        <v>75</v>
      </c>
      <c r="AD26" s="4">
        <v>632.45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7"/>
  <sheetViews>
    <sheetView workbookViewId="0"/>
  </sheetViews>
  <sheetFormatPr baseColWidth="10" defaultColWidth="8.83203125" defaultRowHeight="15" x14ac:dyDescent="0.2"/>
  <cols>
    <col min="1" max="1" width="10" customWidth="1"/>
    <col min="2" max="2" width="13" customWidth="1"/>
    <col min="3" max="3" width="26" customWidth="1"/>
    <col min="4" max="4" width="74" customWidth="1"/>
    <col min="5" max="5" width="34" customWidth="1"/>
    <col min="6" max="6" width="11" customWidth="1"/>
    <col min="7" max="7" width="14" customWidth="1"/>
  </cols>
  <sheetData>
    <row r="1" spans="1:7" ht="17" x14ac:dyDescent="0.2">
      <c r="A1" s="1" t="s">
        <v>325</v>
      </c>
    </row>
    <row r="3" spans="1:7" x14ac:dyDescent="0.2">
      <c r="A3" s="2" t="s">
        <v>131</v>
      </c>
      <c r="B3" s="2" t="s">
        <v>326</v>
      </c>
      <c r="C3" s="2" t="s">
        <v>327</v>
      </c>
      <c r="D3" s="2" t="s">
        <v>328</v>
      </c>
      <c r="E3" s="2" t="s">
        <v>329</v>
      </c>
      <c r="F3" s="2" t="s">
        <v>330</v>
      </c>
      <c r="G3" s="2" t="s">
        <v>331</v>
      </c>
    </row>
    <row r="4" spans="1:7" x14ac:dyDescent="0.2">
      <c r="A4">
        <v>217645</v>
      </c>
      <c r="B4" t="s">
        <v>274</v>
      </c>
      <c r="C4" t="s">
        <v>332</v>
      </c>
      <c r="D4" t="s">
        <v>333</v>
      </c>
      <c r="E4" t="s">
        <v>334</v>
      </c>
      <c r="F4" t="s">
        <v>335</v>
      </c>
      <c r="G4" t="s">
        <v>336</v>
      </c>
    </row>
    <row r="5" spans="1:7" x14ac:dyDescent="0.2">
      <c r="A5">
        <v>217675</v>
      </c>
      <c r="B5" t="s">
        <v>280</v>
      </c>
      <c r="C5" t="s">
        <v>337</v>
      </c>
      <c r="D5" t="s">
        <v>338</v>
      </c>
      <c r="E5" t="s">
        <v>339</v>
      </c>
      <c r="F5" t="s">
        <v>340</v>
      </c>
      <c r="G5" t="s">
        <v>341</v>
      </c>
    </row>
    <row r="6" spans="1:7" x14ac:dyDescent="0.2">
      <c r="A6">
        <v>217703</v>
      </c>
      <c r="B6" t="s">
        <v>289</v>
      </c>
      <c r="C6" t="s">
        <v>332</v>
      </c>
      <c r="D6" t="s">
        <v>342</v>
      </c>
      <c r="E6" t="s">
        <v>334</v>
      </c>
      <c r="F6" t="s">
        <v>335</v>
      </c>
      <c r="G6" t="s">
        <v>336</v>
      </c>
    </row>
    <row r="7" spans="1:7" x14ac:dyDescent="0.2">
      <c r="A7">
        <v>217712</v>
      </c>
      <c r="B7" t="s">
        <v>311</v>
      </c>
      <c r="C7" t="s">
        <v>337</v>
      </c>
      <c r="D7" t="s">
        <v>343</v>
      </c>
      <c r="E7" t="s">
        <v>339</v>
      </c>
      <c r="F7" t="s">
        <v>340</v>
      </c>
      <c r="G7" t="s">
        <v>341</v>
      </c>
    </row>
    <row r="8" spans="1:7" x14ac:dyDescent="0.2">
      <c r="A8">
        <v>217784</v>
      </c>
      <c r="B8" t="s">
        <v>297</v>
      </c>
      <c r="C8" t="s">
        <v>344</v>
      </c>
      <c r="D8" t="s">
        <v>345</v>
      </c>
      <c r="E8" t="s">
        <v>346</v>
      </c>
      <c r="F8" t="s">
        <v>335</v>
      </c>
      <c r="G8" t="s">
        <v>347</v>
      </c>
    </row>
    <row r="9" spans="1:7" x14ac:dyDescent="0.2">
      <c r="A9">
        <v>217792</v>
      </c>
      <c r="B9" t="s">
        <v>306</v>
      </c>
      <c r="C9" t="s">
        <v>348</v>
      </c>
      <c r="D9" t="s">
        <v>349</v>
      </c>
      <c r="E9" t="s">
        <v>350</v>
      </c>
      <c r="F9" t="s">
        <v>340</v>
      </c>
      <c r="G9" t="s">
        <v>347</v>
      </c>
    </row>
    <row r="10" spans="1:7" x14ac:dyDescent="0.2">
      <c r="A10">
        <v>217820</v>
      </c>
      <c r="B10" t="s">
        <v>300</v>
      </c>
      <c r="C10" t="s">
        <v>351</v>
      </c>
      <c r="D10" t="s">
        <v>352</v>
      </c>
      <c r="E10" t="s">
        <v>353</v>
      </c>
      <c r="F10" t="s">
        <v>335</v>
      </c>
      <c r="G10" t="s">
        <v>341</v>
      </c>
    </row>
    <row r="11" spans="1:7" x14ac:dyDescent="0.2">
      <c r="A11">
        <v>217841</v>
      </c>
      <c r="B11" t="s">
        <v>291</v>
      </c>
      <c r="C11" t="s">
        <v>332</v>
      </c>
      <c r="D11" t="s">
        <v>354</v>
      </c>
      <c r="E11" t="s">
        <v>334</v>
      </c>
      <c r="F11" t="s">
        <v>335</v>
      </c>
      <c r="G11" t="s">
        <v>336</v>
      </c>
    </row>
    <row r="12" spans="1:7" x14ac:dyDescent="0.2">
      <c r="A12">
        <v>217846</v>
      </c>
      <c r="B12" t="s">
        <v>287</v>
      </c>
      <c r="C12" t="s">
        <v>355</v>
      </c>
      <c r="D12" t="s">
        <v>356</v>
      </c>
      <c r="E12" t="s">
        <v>357</v>
      </c>
      <c r="F12" t="s">
        <v>340</v>
      </c>
      <c r="G12" t="s">
        <v>358</v>
      </c>
    </row>
    <row r="13" spans="1:7" x14ac:dyDescent="0.2">
      <c r="A13">
        <v>217846</v>
      </c>
      <c r="B13" t="s">
        <v>324</v>
      </c>
      <c r="C13" t="s">
        <v>359</v>
      </c>
      <c r="D13" t="s">
        <v>360</v>
      </c>
      <c r="E13" t="s">
        <v>361</v>
      </c>
      <c r="F13" t="s">
        <v>340</v>
      </c>
      <c r="G13" t="s">
        <v>362</v>
      </c>
    </row>
    <row r="14" spans="1:7" x14ac:dyDescent="0.2">
      <c r="A14">
        <v>217873</v>
      </c>
      <c r="B14" t="s">
        <v>321</v>
      </c>
      <c r="C14" t="s">
        <v>337</v>
      </c>
      <c r="D14" t="s">
        <v>363</v>
      </c>
      <c r="E14" t="s">
        <v>339</v>
      </c>
      <c r="F14" t="s">
        <v>340</v>
      </c>
      <c r="G14" t="s">
        <v>341</v>
      </c>
    </row>
    <row r="15" spans="1:7" x14ac:dyDescent="0.2">
      <c r="A15">
        <v>217883</v>
      </c>
      <c r="B15" t="s">
        <v>273</v>
      </c>
      <c r="C15" t="s">
        <v>332</v>
      </c>
      <c r="D15" t="s">
        <v>364</v>
      </c>
      <c r="E15" t="s">
        <v>334</v>
      </c>
      <c r="F15" t="s">
        <v>335</v>
      </c>
      <c r="G15" t="s">
        <v>336</v>
      </c>
    </row>
    <row r="17" spans="1:1" x14ac:dyDescent="0.2">
      <c r="A17" t="s">
        <v>365</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9"/>
  <sheetViews>
    <sheetView workbookViewId="0"/>
  </sheetViews>
  <sheetFormatPr baseColWidth="10" defaultColWidth="8.83203125" defaultRowHeight="15" x14ac:dyDescent="0.2"/>
  <cols>
    <col min="1" max="1" width="10" customWidth="1"/>
    <col min="2" max="2" width="13" customWidth="1"/>
    <col min="3" max="3" width="20" customWidth="1"/>
    <col min="4" max="4" width="62" customWidth="1"/>
    <col min="5" max="6" width="16" customWidth="1"/>
    <col min="7" max="7" width="10" customWidth="1"/>
    <col min="8" max="8" width="14" customWidth="1"/>
  </cols>
  <sheetData>
    <row r="1" spans="1:8" ht="17" x14ac:dyDescent="0.2">
      <c r="A1" s="1" t="s">
        <v>366</v>
      </c>
    </row>
    <row r="3" spans="1:8" x14ac:dyDescent="0.2">
      <c r="A3" s="2" t="s">
        <v>131</v>
      </c>
      <c r="B3" s="2" t="s">
        <v>326</v>
      </c>
      <c r="C3" s="2" t="s">
        <v>81</v>
      </c>
      <c r="D3" s="2" t="s">
        <v>367</v>
      </c>
      <c r="E3" s="2" t="s">
        <v>368</v>
      </c>
      <c r="F3" s="2" t="s">
        <v>136</v>
      </c>
      <c r="G3" s="2" t="s">
        <v>83</v>
      </c>
      <c r="H3" s="2" t="s">
        <v>369</v>
      </c>
    </row>
    <row r="4" spans="1:8" x14ac:dyDescent="0.2">
      <c r="A4">
        <v>217861</v>
      </c>
      <c r="B4" t="s">
        <v>309</v>
      </c>
      <c r="C4" t="s">
        <v>88</v>
      </c>
      <c r="D4" t="s">
        <v>370</v>
      </c>
      <c r="E4" t="s">
        <v>229</v>
      </c>
      <c r="F4" t="str">
        <f>IFERROR(INDEX(BOL!$M$4:$M$25,MATCH(A4,BOL!$B$4:$B$25,0)),INDEX(BOL!$Z$4:$Z$25,MATCH(A4,BOL!$O$4:$O$25,0)))</f>
        <v>09/18/2026</v>
      </c>
      <c r="G4" s="4">
        <f>INDEX(Tariff!$O$4:$O$9,MATCH(C4,Tariff!$M$4:$M$9,0))</f>
        <v>75</v>
      </c>
      <c r="H4" t="str">
        <f>IF(DATEVALUE(E4)&lt;DATEVALUE(F4),"Yes","No")</f>
        <v>Yes</v>
      </c>
    </row>
    <row r="5" spans="1:8" x14ac:dyDescent="0.2">
      <c r="A5">
        <v>217733</v>
      </c>
      <c r="B5" t="s">
        <v>299</v>
      </c>
      <c r="C5" t="s">
        <v>108</v>
      </c>
      <c r="D5" t="s">
        <v>370</v>
      </c>
      <c r="E5" t="s">
        <v>217</v>
      </c>
      <c r="F5" t="str">
        <f>IFERROR(INDEX(BOL!$M$4:$M$25,MATCH(A5,BOL!$B$4:$B$25,0)),INDEX(BOL!$Z$4:$Z$25,MATCH(A5,BOL!$O$4:$O$25,0)))</f>
        <v>09/18/2026</v>
      </c>
      <c r="G5" s="4">
        <f>INDEX(Tariff!$O$4:$O$9,MATCH(C5,Tariff!$M$4:$M$9,0))</f>
        <v>110</v>
      </c>
      <c r="H5" t="str">
        <f>IF(DATEVALUE(E5)&lt;DATEVALUE(F5),"Yes","No")</f>
        <v>Yes</v>
      </c>
    </row>
    <row r="6" spans="1:8" x14ac:dyDescent="0.2">
      <c r="A6">
        <v>217858</v>
      </c>
      <c r="B6" t="s">
        <v>316</v>
      </c>
      <c r="C6" t="s">
        <v>104</v>
      </c>
      <c r="D6" t="s">
        <v>370</v>
      </c>
      <c r="E6" t="s">
        <v>208</v>
      </c>
      <c r="F6" t="str">
        <f>IFERROR(INDEX(BOL!$M$4:$M$25,MATCH(A6,BOL!$B$4:$B$25,0)),INDEX(BOL!$Z$4:$Z$25,MATCH(A6,BOL!$O$4:$O$25,0)))</f>
        <v>09/18/2026</v>
      </c>
      <c r="G6" s="4">
        <f>INDEX(Tariff!$O$4:$O$9,MATCH(C6,Tariff!$M$4:$M$9,0))</f>
        <v>88</v>
      </c>
      <c r="H6" t="str">
        <f>IF(DATEVALUE(E6)&lt;DATEVALUE(F6),"Yes","No")</f>
        <v>Yes</v>
      </c>
    </row>
    <row r="7" spans="1:8" x14ac:dyDescent="0.2">
      <c r="A7">
        <v>217724</v>
      </c>
      <c r="B7" t="s">
        <v>270</v>
      </c>
      <c r="C7" t="s">
        <v>88</v>
      </c>
      <c r="D7" t="s">
        <v>371</v>
      </c>
      <c r="E7" t="s">
        <v>183</v>
      </c>
      <c r="F7" t="str">
        <f>IFERROR(INDEX(BOL!$M$4:$M$25,MATCH(A7,BOL!$B$4:$B$25,0)),INDEX(BOL!$Z$4:$Z$25,MATCH(A7,BOL!$O$4:$O$25,0)))</f>
        <v>09/22/2026</v>
      </c>
      <c r="G7" s="4">
        <f>INDEX(Tariff!$O$4:$O$9,MATCH(C7,Tariff!$M$4:$M$9,0))</f>
        <v>75</v>
      </c>
      <c r="H7" t="str">
        <f>IF(DATEVALUE(E7)&lt;DATEVALUE(F7),"Yes","No")</f>
        <v>No</v>
      </c>
    </row>
    <row r="9" spans="1:8" x14ac:dyDescent="0.2">
      <c r="A9" t="s">
        <v>372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6"/>
  <sheetViews>
    <sheetView workbookViewId="0"/>
  </sheetViews>
  <sheetFormatPr baseColWidth="10" defaultColWidth="8.83203125" defaultRowHeight="15" x14ac:dyDescent="0.2"/>
  <cols>
    <col min="1" max="2" width="16" customWidth="1"/>
    <col min="3" max="3" width="10" customWidth="1"/>
    <col min="4" max="4" width="120" customWidth="1"/>
  </cols>
  <sheetData>
    <row r="1" spans="1:4" ht="17" x14ac:dyDescent="0.2">
      <c r="A1" s="1" t="s">
        <v>373</v>
      </c>
    </row>
    <row r="3" spans="1:4" x14ac:dyDescent="0.2">
      <c r="A3" s="2" t="s">
        <v>374</v>
      </c>
      <c r="B3" s="2" t="s">
        <v>375</v>
      </c>
      <c r="C3" s="2" t="s">
        <v>131</v>
      </c>
      <c r="D3" s="2" t="s">
        <v>376</v>
      </c>
    </row>
    <row r="4" spans="1:4" x14ac:dyDescent="0.2">
      <c r="A4" t="s">
        <v>287</v>
      </c>
      <c r="B4" t="s">
        <v>324</v>
      </c>
      <c r="C4">
        <v>217846</v>
      </c>
      <c r="D4" t="s">
        <v>377</v>
      </c>
    </row>
    <row r="6" spans="1:4" x14ac:dyDescent="0.2">
      <c r="A6" t="s">
        <v>378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6"/>
  <sheetViews>
    <sheetView workbookViewId="0"/>
  </sheetViews>
  <sheetFormatPr baseColWidth="10" defaultColWidth="8.83203125" defaultRowHeight="15" x14ac:dyDescent="0.2"/>
  <cols>
    <col min="1" max="1" width="12" customWidth="1"/>
    <col min="2" max="2" width="13" customWidth="1"/>
    <col min="3" max="3" width="10" customWidth="1"/>
    <col min="4" max="4" width="12" customWidth="1"/>
    <col min="5" max="5" width="120" customWidth="1"/>
  </cols>
  <sheetData>
    <row r="1" spans="1:5" ht="17" x14ac:dyDescent="0.2">
      <c r="A1" s="1" t="s">
        <v>379</v>
      </c>
    </row>
    <row r="3" spans="1:5" x14ac:dyDescent="0.2">
      <c r="A3" s="2" t="s">
        <v>380</v>
      </c>
      <c r="B3" s="2" t="s">
        <v>326</v>
      </c>
      <c r="C3" s="2" t="s">
        <v>381</v>
      </c>
      <c r="D3" s="2" t="s">
        <v>130</v>
      </c>
      <c r="E3" s="2" t="s">
        <v>376</v>
      </c>
    </row>
    <row r="4" spans="1:5" x14ac:dyDescent="0.2">
      <c r="A4">
        <v>217876</v>
      </c>
      <c r="B4" t="s">
        <v>302</v>
      </c>
      <c r="C4">
        <v>217867</v>
      </c>
      <c r="D4" t="s">
        <v>198</v>
      </c>
      <c r="E4" t="s">
        <v>382</v>
      </c>
    </row>
    <row r="6" spans="1:5" x14ac:dyDescent="0.2">
      <c r="A6" t="s">
        <v>383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K32"/>
  <sheetViews>
    <sheetView workbookViewId="0"/>
  </sheetViews>
  <sheetFormatPr baseColWidth="10" defaultColWidth="8.83203125" defaultRowHeight="15" x14ac:dyDescent="0.2"/>
  <cols>
    <col min="1" max="1" width="12" customWidth="1"/>
    <col min="2" max="2" width="11" customWidth="1"/>
    <col min="3" max="3" width="10" customWidth="1"/>
    <col min="6" max="6" width="12" customWidth="1"/>
    <col min="7" max="7" width="8" customWidth="1"/>
    <col min="8" max="8" width="24" customWidth="1"/>
    <col min="25" max="25" width="12" customWidth="1"/>
    <col min="43" max="43" width="28" customWidth="1"/>
    <col min="44" max="44" width="26" customWidth="1"/>
    <col min="46" max="46" width="12" customWidth="1"/>
    <col min="47" max="47" width="11" customWidth="1"/>
    <col min="48" max="48" width="10" customWidth="1"/>
    <col min="51" max="51" width="12" customWidth="1"/>
    <col min="52" max="52" width="8" customWidth="1"/>
    <col min="53" max="53" width="24" customWidth="1"/>
    <col min="70" max="70" width="12" customWidth="1"/>
    <col min="88" max="88" width="28" customWidth="1"/>
    <col min="89" max="89" width="26" customWidth="1"/>
  </cols>
  <sheetData>
    <row r="1" spans="1:89" ht="17" x14ac:dyDescent="0.2">
      <c r="A1" s="1" t="s">
        <v>384</v>
      </c>
    </row>
    <row r="3" spans="1:89" x14ac:dyDescent="0.2">
      <c r="A3" s="2" t="s">
        <v>240</v>
      </c>
      <c r="B3" s="2" t="s">
        <v>385</v>
      </c>
      <c r="C3" s="2" t="s">
        <v>131</v>
      </c>
      <c r="D3" s="2" t="s">
        <v>386</v>
      </c>
      <c r="E3" s="2" t="s">
        <v>375</v>
      </c>
      <c r="F3" s="2" t="s">
        <v>132</v>
      </c>
      <c r="G3" s="2" t="s">
        <v>72</v>
      </c>
      <c r="H3" s="2" t="s">
        <v>80</v>
      </c>
      <c r="I3" s="2" t="s">
        <v>387</v>
      </c>
      <c r="J3" s="2" t="s">
        <v>243</v>
      </c>
      <c r="K3" s="2" t="s">
        <v>388</v>
      </c>
      <c r="L3" s="2" t="s">
        <v>389</v>
      </c>
      <c r="M3" s="2" t="s">
        <v>390</v>
      </c>
      <c r="N3" s="2" t="s">
        <v>244</v>
      </c>
      <c r="O3" s="2" t="s">
        <v>391</v>
      </c>
      <c r="P3" s="2" t="s">
        <v>392</v>
      </c>
      <c r="Q3" s="2" t="s">
        <v>393</v>
      </c>
      <c r="R3" s="2" t="s">
        <v>394</v>
      </c>
      <c r="S3" s="2" t="s">
        <v>395</v>
      </c>
      <c r="T3" s="2" t="s">
        <v>396</v>
      </c>
      <c r="U3" s="2" t="s">
        <v>397</v>
      </c>
      <c r="V3" s="2" t="s">
        <v>398</v>
      </c>
      <c r="W3" s="2" t="s">
        <v>399</v>
      </c>
      <c r="X3" s="2" t="s">
        <v>247</v>
      </c>
      <c r="Y3" s="2" t="s">
        <v>400</v>
      </c>
      <c r="Z3" s="2" t="s">
        <v>85</v>
      </c>
      <c r="AA3" s="2" t="s">
        <v>401</v>
      </c>
      <c r="AB3" s="2" t="s">
        <v>89</v>
      </c>
      <c r="AC3" s="2" t="s">
        <v>93</v>
      </c>
      <c r="AD3" s="2" t="s">
        <v>97</v>
      </c>
      <c r="AE3" s="2" t="s">
        <v>101</v>
      </c>
      <c r="AF3" s="2" t="s">
        <v>402</v>
      </c>
      <c r="AG3" s="2" t="s">
        <v>403</v>
      </c>
      <c r="AH3" s="2" t="s">
        <v>404</v>
      </c>
      <c r="AI3" s="2" t="s">
        <v>405</v>
      </c>
      <c r="AJ3" s="2" t="s">
        <v>406</v>
      </c>
      <c r="AK3" s="2" t="s">
        <v>407</v>
      </c>
      <c r="AL3" s="2" t="s">
        <v>408</v>
      </c>
      <c r="AM3" s="2" t="s">
        <v>409</v>
      </c>
      <c r="AN3" s="2" t="s">
        <v>410</v>
      </c>
      <c r="AO3" s="2" t="s">
        <v>411</v>
      </c>
      <c r="AP3" s="2" t="s">
        <v>412</v>
      </c>
      <c r="AQ3" s="2" t="s">
        <v>413</v>
      </c>
      <c r="AR3" s="2" t="s">
        <v>414</v>
      </c>
      <c r="AT3" s="2" t="s">
        <v>252</v>
      </c>
      <c r="AU3" s="2" t="s">
        <v>415</v>
      </c>
      <c r="AV3" s="2" t="s">
        <v>138</v>
      </c>
      <c r="AW3" s="2" t="s">
        <v>416</v>
      </c>
      <c r="AX3" s="2" t="s">
        <v>417</v>
      </c>
      <c r="AY3" s="2" t="s">
        <v>139</v>
      </c>
      <c r="AZ3" s="2" t="s">
        <v>141</v>
      </c>
      <c r="BA3" s="2" t="s">
        <v>142</v>
      </c>
      <c r="BB3" s="2" t="s">
        <v>418</v>
      </c>
      <c r="BC3" s="2" t="s">
        <v>255</v>
      </c>
      <c r="BD3" s="2" t="s">
        <v>419</v>
      </c>
      <c r="BE3" s="2" t="s">
        <v>420</v>
      </c>
      <c r="BF3" s="2" t="s">
        <v>421</v>
      </c>
      <c r="BG3" s="2" t="s">
        <v>256</v>
      </c>
      <c r="BH3" s="2" t="s">
        <v>422</v>
      </c>
      <c r="BI3" s="2" t="s">
        <v>423</v>
      </c>
      <c r="BJ3" s="2" t="s">
        <v>424</v>
      </c>
      <c r="BK3" s="2" t="s">
        <v>425</v>
      </c>
      <c r="BL3" s="2" t="s">
        <v>426</v>
      </c>
      <c r="BM3" s="2" t="s">
        <v>427</v>
      </c>
      <c r="BN3" s="2" t="s">
        <v>428</v>
      </c>
      <c r="BO3" s="2" t="s">
        <v>429</v>
      </c>
      <c r="BP3" s="2" t="s">
        <v>430</v>
      </c>
      <c r="BQ3" s="2" t="s">
        <v>259</v>
      </c>
      <c r="BR3" s="2" t="s">
        <v>431</v>
      </c>
      <c r="BS3" s="2" t="s">
        <v>260</v>
      </c>
      <c r="BT3" s="2" t="s">
        <v>432</v>
      </c>
      <c r="BU3" s="2" t="s">
        <v>145</v>
      </c>
      <c r="BV3" s="2" t="s">
        <v>146</v>
      </c>
      <c r="BW3" s="2" t="s">
        <v>147</v>
      </c>
      <c r="BX3" s="2" t="s">
        <v>148</v>
      </c>
      <c r="BY3" s="2" t="s">
        <v>433</v>
      </c>
      <c r="BZ3" s="2" t="s">
        <v>434</v>
      </c>
      <c r="CA3" s="2" t="s">
        <v>435</v>
      </c>
      <c r="CB3" s="2" t="s">
        <v>436</v>
      </c>
      <c r="CC3" s="2" t="s">
        <v>437</v>
      </c>
      <c r="CD3" s="2" t="s">
        <v>438</v>
      </c>
      <c r="CE3" s="2" t="s">
        <v>439</v>
      </c>
      <c r="CF3" s="2" t="s">
        <v>440</v>
      </c>
      <c r="CG3" s="2" t="s">
        <v>441</v>
      </c>
      <c r="CH3" s="2" t="s">
        <v>442</v>
      </c>
      <c r="CI3" s="2" t="s">
        <v>443</v>
      </c>
      <c r="CJ3" s="2" t="s">
        <v>444</v>
      </c>
      <c r="CK3" s="2" t="s">
        <v>445</v>
      </c>
    </row>
    <row r="4" spans="1:89" x14ac:dyDescent="0.2">
      <c r="A4" t="str">
        <f>Invoices!A4</f>
        <v>NFL-89740</v>
      </c>
      <c r="B4">
        <f>Invoices!B4</f>
        <v>217402</v>
      </c>
      <c r="C4">
        <f>IFERROR(INDEX('Pro Matches'!$C$4:$C$4,MATCH(B4,'Pro Matches'!$A$4:$A$4,0)),B4)</f>
        <v>217402</v>
      </c>
      <c r="D4" t="str">
        <f>IF(COUNTIF(Corrections!$A$4:$A$4,A4)&gt;0,"Yes","No")</f>
        <v>No</v>
      </c>
      <c r="E4" t="str">
        <f>IF(COUNTIF(Corrections!$B$4:$B$4,A4)&gt;0,"Yes","No")</f>
        <v>No</v>
      </c>
      <c r="F4" t="str">
        <f>IFERROR(INDEX(BOL!$C$4:$C$25,MATCH(C4,BOL!$B$4:$B$25,0)),INDEX(BOL!$P$4:$P$25,MATCH(C4,BOL!$O$4:$O$25,0)))</f>
        <v>07/09/2026</v>
      </c>
      <c r="G4" t="str">
        <f>IFERROR(INDEX(BOL!$E$4:$E$25,MATCH(C4,BOL!$B$4:$B$25,0)),INDEX(BOL!$R$4:$R$25,MATCH(C4,BOL!$O$4:$O$25,0)))</f>
        <v>MN</v>
      </c>
      <c r="H4" t="str">
        <f>IFERROR(INDEX(BOL!$F$4:$F$25,MATCH(C4,BOL!$B$4:$B$25,0)),INDEX(BOL!$S$4:$S$25,MATCH(C4,BOL!$O$4:$O$25,0)))</f>
        <v>Windows and doors</v>
      </c>
      <c r="I4">
        <f>IFERROR(INDEX(BOL!$H$4:$H$25,MATCH(C4,BOL!$B$4:$B$25,0)),INDEX(BOL!$U$4:$U$25,MATCH(C4,BOL!$O$4:$O$25,0)))</f>
        <v>1120</v>
      </c>
      <c r="J4">
        <f>Invoices!F4</f>
        <v>1120</v>
      </c>
      <c r="K4" t="str">
        <f>IF(COUNTIFS('Billing File'!$A$4:$A$15,C4,'Billing File'!$G$4:$G$15,"4.5 weight",'Billing File'!$F$4:$F$15,"Yes")&gt;0,"Yes","No")</f>
        <v>No</v>
      </c>
      <c r="L4">
        <f>IF(AND(K4="Yes",J4&gt;I4*(1+Terms!$B$6)),J4,I4)</f>
        <v>1120</v>
      </c>
      <c r="M4">
        <f>INDEX(Tariff!$L$4:$L$9,MATCH(H4,Tariff!$K$4:$K$9,0))</f>
        <v>100</v>
      </c>
      <c r="N4">
        <f>Invoices!G4</f>
        <v>100</v>
      </c>
      <c r="O4" t="str">
        <f>IF(COUNTIFS('Billing File'!$A$4:$A$15,C4,'Billing File'!$G$4:$G$15,"4.3 class",'Billing File'!$F$4:$F$15,"Yes")&gt;0,"Yes","No")</f>
        <v>No</v>
      </c>
      <c r="P4">
        <f t="shared" ref="P4:P26" si="0">IF(O4="Yes",N4,M4)</f>
        <v>100</v>
      </c>
      <c r="Q4" s="9">
        <f>INDEX(Tariff!$I$4:$I$10,MATCH(P4,Tariff!$H$4:$H$10,0))</f>
        <v>1.45</v>
      </c>
      <c r="R4">
        <f>MATCH(L4,Tariff!$B$12:$F$12,1)</f>
        <v>3</v>
      </c>
      <c r="S4" s="9">
        <f>INDEX(Tariff!$B$4:$F$10,MATCH(G4,Tariff!$A$4:$A$10,0),R4)</f>
        <v>41.75</v>
      </c>
      <c r="T4" s="4">
        <f t="shared" ref="T4:T26" si="1">ROUND(L4/100*S4*Q4,2)</f>
        <v>678.02</v>
      </c>
      <c r="U4" s="4">
        <f>IF(R4&lt;5,ROUND(INDEX(Tariff!$B$12:$F$12,R4+1)/100*INDEX(Tariff!$B$4:$F$10,MATCH(G4,Tariff!$A$4:$A$10,0),R4+1)*Q4,2),T4)</f>
        <v>991.8</v>
      </c>
      <c r="V4" s="4">
        <f t="shared" ref="V4:V26" si="2">MIN(T4,U4)</f>
        <v>678.02</v>
      </c>
      <c r="W4" s="4">
        <f>ROUND(V4*Terms!$B$4,2)</f>
        <v>420.37</v>
      </c>
      <c r="X4" s="4">
        <f>MAX(V4-W4,Terms!$B$5)</f>
        <v>257.65</v>
      </c>
      <c r="Y4" t="str">
        <f t="shared" ref="Y4:Y26" si="3">TEXT(DATEVALUE(F4)-WEEKDAY(DATEVALUE(F4),2)+1,"mm/dd/yyyy")</f>
        <v>07/06/2026</v>
      </c>
      <c r="Z4" s="11">
        <f>INDEX('Fuel Index'!$C$4:$C$16,MATCH(Y4,'Fuel Index'!$A$4:$A$16,0))</f>
        <v>0.255</v>
      </c>
      <c r="AA4" s="4">
        <f t="shared" ref="AA4:AA26" si="4">ROUND(X4*Z4,2)</f>
        <v>65.7</v>
      </c>
      <c r="AB4" t="str">
        <f>IFERROR(INDEX(BOL!$I$4:$I$25,MATCH(C4,BOL!$B$4:$B$25,0)),INDEX(BOL!$V$4:$V$25,MATCH(C4,BOL!$O$4:$O$25,0)))</f>
        <v>N</v>
      </c>
      <c r="AC4" t="str">
        <f>IFERROR(INDEX(BOL!$J$4:$J$25,MATCH(C4,BOL!$B$4:$B$25,0)),INDEX(BOL!$W$4:$W$25,MATCH(C4,BOL!$O$4:$O$25,0)))</f>
        <v>Y</v>
      </c>
      <c r="AD4" t="str">
        <f>IFERROR(INDEX(BOL!$K$4:$K$25,MATCH(C4,BOL!$B$4:$B$25,0)),INDEX(BOL!$X$4:$X$25,MATCH(C4,BOL!$O$4:$O$25,0)))</f>
        <v>N</v>
      </c>
      <c r="AE4" t="str">
        <f>IFERROR(INDEX(BOL!$L$4:$L$25,MATCH(C4,BOL!$B$4:$B$25,0)),INDEX(BOL!$Y$4:$Y$25,MATCH(C4,BOL!$O$4:$O$25,0)))</f>
        <v>N</v>
      </c>
      <c r="AF4" s="4">
        <f>(AB4="Y")*Tariff!$O$4+(AC4="Y")*Tariff!$O$5+(AD4="Y")*Tariff!$O$6+(AE4="Y")*Tariff!$O$7</f>
        <v>95</v>
      </c>
      <c r="AG4" s="4">
        <f>SUMIFS(Confirmations!$G$4:$G$7,Confirmations!$A$4:$A$7,C4,Confirmations!$H$4:$H$7,"Yes")</f>
        <v>0</v>
      </c>
      <c r="AH4" s="4">
        <f t="shared" ref="AH4:AH26" si="5">AF4+AG4</f>
        <v>95</v>
      </c>
      <c r="AI4" t="str">
        <f>IF(AND(E4="No",COUNTIFS(Invoices!$B$4:$Q$26,B4,Invoices!$A$4:$P$26,"&lt;"&amp;A4)&gt;0),"Yes","No")</f>
        <v>No</v>
      </c>
      <c r="AJ4" s="4">
        <f t="shared" ref="AJ4:AJ26" si="6">IF(OR(D4="Yes",AI4="Yes"),0,ROUND(X4+AA4+AH4,2))</f>
        <v>418.35</v>
      </c>
      <c r="AK4" s="4">
        <f>Invoices!O4</f>
        <v>323.35</v>
      </c>
      <c r="AL4" s="4">
        <f t="shared" ref="AL4:AL26" si="7">ROUND(AK4-AJ4,2)</f>
        <v>-95</v>
      </c>
      <c r="AM4" s="4">
        <f>Invoices!H4</f>
        <v>678.02</v>
      </c>
      <c r="AN4" s="4">
        <f>Invoices!J4</f>
        <v>257.65</v>
      </c>
      <c r="AO4" s="11">
        <f>ROUND(Invoices!K4/Terms!$B$9,4)</f>
        <v>0.255</v>
      </c>
      <c r="AP4" s="4">
        <f>Invoices!N4</f>
        <v>0</v>
      </c>
      <c r="AQ4" t="str">
        <f t="shared" ref="AQ4:AQ26" si="8">IF(D4="Yes","7.1 withdrawn bill",IF(AI4="Yes","7.1 duplicate bill",IF(AL4=0,"",IF(N4&lt;&gt;P4,"4.3 class",IF(J4&lt;&gt;L4,"4.5 reweigh",IF(AM4&lt;&gt;V4,"4.2 deficit weight",IF(AO4&lt;&gt;ROUND(Z4,4),"5.2 fuel week",IF(AP4&gt;AH4,"6.1 accessorial overbilled",IF(AP4&lt;AH4,"6.1 accessorial omitted",IF(AN4&lt;&gt;X4,"4.6 rounding",""))))))))))</f>
        <v>6.1 accessorial omitted</v>
      </c>
      <c r="AR4" t="str">
        <f t="shared" ref="AR4:AR26" si="9">IF(E4="Yes","7.1 corrected freight bill",IF(AND(O4="Yes",N4&lt;&gt;M4),"4.3 inspection certificate",IF(AND(K4="Yes",J4&lt;&gt;I4,J4=L4),"4.5 certified scale ticket",IF(AG4&gt;0,"6.1 written confirmation",IF(C4&lt;&gt;B4,"corrected pro number","")))))</f>
        <v/>
      </c>
      <c r="AT4" t="str">
        <f>Invoices!P4</f>
        <v>NFL-90338</v>
      </c>
      <c r="AU4">
        <f>Invoices!Q4</f>
        <v>217666</v>
      </c>
      <c r="AV4">
        <f>IFERROR(INDEX('Pro Matches'!$C$4:$C$4,MATCH(AU4,'Pro Matches'!$A$4:$A$4,0)),AU4)</f>
        <v>217666</v>
      </c>
      <c r="AW4" t="str">
        <f>IF(COUNTIF(Corrections!$A$4:$A$4,AT4)&gt;0,"Yes","No")</f>
        <v>No</v>
      </c>
      <c r="AX4" t="str">
        <f>IF(COUNTIF(Corrections!$B$4:$B$4,AT4)&gt;0,"Yes","No")</f>
        <v>No</v>
      </c>
      <c r="AY4" t="str">
        <f>IFERROR(INDEX(BOL!$C$4:$C$25,MATCH(AV4,BOL!$B$4:$B$25,0)),INDEX(BOL!$P$4:$P$25,MATCH(AV4,BOL!$O$4:$O$25,0)))</f>
        <v>09/18/2026</v>
      </c>
      <c r="AZ4" t="str">
        <f>IFERROR(INDEX(BOL!$E$4:$E$25,MATCH(AV4,BOL!$B$4:$B$25,0)),INDEX(BOL!$R$4:$R$25,MATCH(AV4,BOL!$O$4:$O$25,0)))</f>
        <v>WI</v>
      </c>
      <c r="BA4" t="str">
        <f>IFERROR(INDEX(BOL!$F$4:$F$25,MATCH(AV4,BOL!$B$4:$B$25,0)),INDEX(BOL!$S$4:$S$25,MATCH(AV4,BOL!$O$4:$O$25,0)))</f>
        <v>Gypsum and cement board</v>
      </c>
      <c r="BB4">
        <f>IFERROR(INDEX(BOL!$H$4:$H$25,MATCH(AV4,BOL!$B$4:$B$25,0)),INDEX(BOL!$U$4:$U$25,MATCH(AV4,BOL!$O$4:$O$25,0)))</f>
        <v>1630</v>
      </c>
      <c r="BC4">
        <f>Invoices!U4</f>
        <v>1630</v>
      </c>
      <c r="BD4" t="str">
        <f>IF(COUNTIFS('Billing File'!$A$4:$A$15,AV4,'Billing File'!$G$4:$G$15,"4.5 weight",'Billing File'!$F$4:$F$15,"Yes")&gt;0,"Yes","No")</f>
        <v>No</v>
      </c>
      <c r="BE4">
        <f>IF(AND(BD4="Yes",BC4&gt;BB4*(1+Terms!$B$6)),BC4,BB4)</f>
        <v>1630</v>
      </c>
      <c r="BF4">
        <f>INDEX(Tariff!$L$4:$L$9,MATCH(BA4,Tariff!$K$4:$K$9,0))</f>
        <v>55</v>
      </c>
      <c r="BG4">
        <f>Invoices!V4</f>
        <v>55</v>
      </c>
      <c r="BH4" t="str">
        <f>IF(COUNTIFS('Billing File'!$A$4:$A$15,AV4,'Billing File'!$G$4:$G$15,"4.3 class",'Billing File'!$F$4:$F$15,"Yes")&gt;0,"Yes","No")</f>
        <v>No</v>
      </c>
      <c r="BI4">
        <f t="shared" ref="BI4:BI26" si="10">IF(BH4="Yes",BG4,BF4)</f>
        <v>55</v>
      </c>
      <c r="BJ4" s="9">
        <f>INDEX(Tariff!$I$4:$I$10,MATCH(BI4,Tariff!$H$4:$H$10,0))</f>
        <v>0.88</v>
      </c>
      <c r="BK4">
        <f>MATCH(BE4,Tariff!$B$12:$F$12,1)</f>
        <v>3</v>
      </c>
      <c r="BL4" s="9">
        <f>INDEX(Tariff!$B$4:$F$10,MATCH(AZ4,Tariff!$A$4:$A$10,0),BK4)</f>
        <v>50.3</v>
      </c>
      <c r="BM4" s="4">
        <f t="shared" ref="BM4:BM26" si="11">ROUND(BE4/100*BL4*BJ4,2)</f>
        <v>721.5</v>
      </c>
      <c r="BN4" s="4">
        <f>IF(BK4&lt;5,ROUND(INDEX(Tariff!$B$12:$F$12,BK4+1)/100*INDEX(Tariff!$B$4:$F$10,MATCH(AZ4,Tariff!$A$4:$A$10,0),BK4+1)*BJ4,2),BM4)</f>
        <v>726.88</v>
      </c>
      <c r="BO4" s="4">
        <f t="shared" ref="BO4:BO26" si="12">MIN(BM4,BN4)</f>
        <v>721.5</v>
      </c>
      <c r="BP4" s="4">
        <f>ROUND(BO4*Terms!$B$4,2)</f>
        <v>447.33</v>
      </c>
      <c r="BQ4" s="4">
        <f>MAX(BO4-BP4,Terms!$B$5)</f>
        <v>274.17</v>
      </c>
      <c r="BR4" t="str">
        <f t="shared" ref="BR4:BR26" si="13">TEXT(DATEVALUE(AY4)-WEEKDAY(DATEVALUE(AY4),2)+1,"mm/dd/yyyy")</f>
        <v>09/14/2026</v>
      </c>
      <c r="BS4" s="11">
        <f>INDEX('Fuel Index'!$C$4:$C$16,MATCH(BR4,'Fuel Index'!$A$4:$A$16,0))</f>
        <v>0.26</v>
      </c>
      <c r="BT4" s="4">
        <f t="shared" ref="BT4:BT26" si="14">ROUND(BQ4*BS4,2)</f>
        <v>71.28</v>
      </c>
      <c r="BU4" t="str">
        <f>IFERROR(INDEX(BOL!$I$4:$I$25,MATCH(AV4,BOL!$B$4:$B$25,0)),INDEX(BOL!$V$4:$V$25,MATCH(AV4,BOL!$O$4:$O$25,0)))</f>
        <v>N</v>
      </c>
      <c r="BV4" t="str">
        <f>IFERROR(INDEX(BOL!$J$4:$J$25,MATCH(AV4,BOL!$B$4:$B$25,0)),INDEX(BOL!$W$4:$W$25,MATCH(AV4,BOL!$O$4:$O$25,0)))</f>
        <v>N</v>
      </c>
      <c r="BW4" t="str">
        <f>IFERROR(INDEX(BOL!$K$4:$K$25,MATCH(AV4,BOL!$B$4:$B$25,0)),INDEX(BOL!$X$4:$X$25,MATCH(AV4,BOL!$O$4:$O$25,0)))</f>
        <v>N</v>
      </c>
      <c r="BX4" t="str">
        <f>IFERROR(INDEX(BOL!$L$4:$L$25,MATCH(AV4,BOL!$B$4:$B$25,0)),INDEX(BOL!$Y$4:$Y$25,MATCH(AV4,BOL!$O$4:$O$25,0)))</f>
        <v>N</v>
      </c>
      <c r="BY4" s="4">
        <f>(BU4="Y")*Tariff!$O$4+(BV4="Y")*Tariff!$O$5+(BW4="Y")*Tariff!$O$6+(BX4="Y")*Tariff!$O$7</f>
        <v>0</v>
      </c>
      <c r="BZ4" s="4">
        <f>SUMIFS(Confirmations!$G$4:$G$7,Confirmations!$A$4:$A$7,AV4,Confirmations!$H$4:$H$7,"Yes")</f>
        <v>0</v>
      </c>
      <c r="CA4" s="4">
        <f t="shared" ref="CA4:CA26" si="15">BY4+BZ4</f>
        <v>0</v>
      </c>
      <c r="CB4" t="str">
        <f>IF(AND(AX4="No",COUNTIFS(Invoices!$B$4:$Q$26,AU4,Invoices!$A$4:$P$26,"&lt;"&amp;AT4)&gt;0),"Yes","No")</f>
        <v>No</v>
      </c>
      <c r="CC4" s="4">
        <f t="shared" ref="CC4:CC26" si="16">IF(OR(AW4="Yes",CB4="Yes"),0,ROUND(BQ4+BT4+CA4,2))</f>
        <v>345.45</v>
      </c>
      <c r="CD4" s="4">
        <f>Invoices!AD4</f>
        <v>345.45</v>
      </c>
      <c r="CE4" s="4">
        <f t="shared" ref="CE4:CE26" si="17">ROUND(CD4-CC4,2)</f>
        <v>0</v>
      </c>
      <c r="CF4" s="4">
        <f>Invoices!W4</f>
        <v>721.5</v>
      </c>
      <c r="CG4" s="4">
        <f>Invoices!Y4</f>
        <v>274.17</v>
      </c>
      <c r="CH4" s="11">
        <f>ROUND(Invoices!Z4/Terms!$B$9,4)</f>
        <v>0.26</v>
      </c>
      <c r="CI4" s="4">
        <f>Invoices!AC4</f>
        <v>0</v>
      </c>
      <c r="CJ4" t="str">
        <f t="shared" ref="CJ4:CJ26" si="18">IF(AW4="Yes","7.1 withdrawn bill",IF(CB4="Yes","7.1 duplicate bill",IF(CE4=0,"",IF(BG4&lt;&gt;BI4,"4.3 class",IF(BC4&lt;&gt;BE4,"4.5 reweigh",IF(CF4&lt;&gt;BO4,"4.2 deficit weight",IF(CH4&lt;&gt;ROUND(BS4,4),"5.2 fuel week",IF(CI4&gt;CA4,"6.1 accessorial overbilled",IF(CI4&lt;CA4,"6.1 accessorial omitted",IF(CG4&lt;&gt;BQ4,"4.6 rounding",""))))))))))</f>
        <v/>
      </c>
      <c r="CK4" t="str">
        <f t="shared" ref="CK4:CK26" si="19">IF(AX4="Yes","7.1 corrected freight bill",IF(AND(BH4="Yes",BG4&lt;&gt;BF4),"4.3 inspection certificate",IF(AND(BD4="Yes",BC4&lt;&gt;BB4,BC4=BE4),"4.5 certified scale ticket",IF(BZ4&gt;0,"6.1 written confirmation",IF(AV4&lt;&gt;AU4,"corrected pro number","")))))</f>
        <v/>
      </c>
    </row>
    <row r="5" spans="1:89" x14ac:dyDescent="0.2">
      <c r="A5" t="str">
        <f>Invoices!A5</f>
        <v>NFL-90302</v>
      </c>
      <c r="B5">
        <f>Invoices!B5</f>
        <v>217598</v>
      </c>
      <c r="C5">
        <f>IFERROR(INDEX('Pro Matches'!$C$4:$C$4,MATCH(B5,'Pro Matches'!$A$4:$A$4,0)),B5)</f>
        <v>217598</v>
      </c>
      <c r="D5" t="str">
        <f>IF(COUNTIF(Corrections!$A$4:$A$4,A5)&gt;0,"Yes","No")</f>
        <v>No</v>
      </c>
      <c r="E5" t="str">
        <f>IF(COUNTIF(Corrections!$B$4:$B$4,A5)&gt;0,"Yes","No")</f>
        <v>No</v>
      </c>
      <c r="F5" t="str">
        <f>IFERROR(INDEX(BOL!$C$4:$C$25,MATCH(C5,BOL!$B$4:$B$25,0)),INDEX(BOL!$P$4:$P$25,MATCH(C5,BOL!$O$4:$O$25,0)))</f>
        <v>08/27/2026</v>
      </c>
      <c r="G5" t="str">
        <f>IFERROR(INDEX(BOL!$E$4:$E$25,MATCH(C5,BOL!$B$4:$B$25,0)),INDEX(BOL!$R$4:$R$25,MATCH(C5,BOL!$O$4:$O$25,0)))</f>
        <v>WI</v>
      </c>
      <c r="H5" t="str">
        <f>IFERROR(INDEX(BOL!$F$4:$F$25,MATCH(C5,BOL!$B$4:$B$25,0)),INDEX(BOL!$S$4:$S$25,MATCH(C5,BOL!$O$4:$O$25,0)))</f>
        <v>Metal roofing panels</v>
      </c>
      <c r="I5">
        <f>IFERROR(INDEX(BOL!$H$4:$H$25,MATCH(C5,BOL!$B$4:$B$25,0)),INDEX(BOL!$U$4:$U$25,MATCH(C5,BOL!$O$4:$O$25,0)))</f>
        <v>3150</v>
      </c>
      <c r="J5">
        <f>Invoices!F5</f>
        <v>3150</v>
      </c>
      <c r="K5" t="str">
        <f>IF(COUNTIFS('Billing File'!$A$4:$A$15,C5,'Billing File'!$G$4:$G$15,"4.5 weight",'Billing File'!$F$4:$F$15,"Yes")&gt;0,"Yes","No")</f>
        <v>No</v>
      </c>
      <c r="L5">
        <f>IF(AND(K5="Yes",J5&gt;I5*(1+Terms!$B$6)),J5,I5)</f>
        <v>3150</v>
      </c>
      <c r="M5">
        <f>INDEX(Tariff!$L$4:$L$9,MATCH(H5,Tariff!$K$4:$K$9,0))</f>
        <v>70</v>
      </c>
      <c r="N5">
        <f>Invoices!G5</f>
        <v>70</v>
      </c>
      <c r="O5" t="str">
        <f>IF(COUNTIFS('Billing File'!$A$4:$A$15,C5,'Billing File'!$G$4:$G$15,"4.3 class",'Billing File'!$F$4:$F$15,"Yes")&gt;0,"Yes","No")</f>
        <v>No</v>
      </c>
      <c r="P5">
        <f t="shared" si="0"/>
        <v>70</v>
      </c>
      <c r="Q5" s="9">
        <f>INDEX(Tariff!$I$4:$I$10,MATCH(P5,Tariff!$H$4:$H$10,0))</f>
        <v>1</v>
      </c>
      <c r="R5">
        <f>MATCH(L5,Tariff!$B$12:$F$12,1)</f>
        <v>4</v>
      </c>
      <c r="S5" s="9">
        <f>INDEX(Tariff!$B$4:$F$10,MATCH(G5,Tariff!$A$4:$A$10,0),R5)</f>
        <v>41.3</v>
      </c>
      <c r="T5" s="4">
        <f t="shared" si="1"/>
        <v>1300.95</v>
      </c>
      <c r="U5" s="4">
        <f>IF(R5&lt;5,ROUND(INDEX(Tariff!$B$12:$F$12,R5+1)/100*INDEX(Tariff!$B$4:$F$10,MATCH(G5,Tariff!$A$4:$A$10,0),R5+1)*Q5,2),T5)</f>
        <v>1682.5</v>
      </c>
      <c r="V5" s="4">
        <f t="shared" si="2"/>
        <v>1300.95</v>
      </c>
      <c r="W5" s="4">
        <f>ROUND(V5*Terms!$B$4,2)</f>
        <v>806.59</v>
      </c>
      <c r="X5" s="4">
        <f>MAX(V5-W5,Terms!$B$5)</f>
        <v>494.36</v>
      </c>
      <c r="Y5" t="str">
        <f t="shared" si="3"/>
        <v>08/24/2026</v>
      </c>
      <c r="Z5" s="11">
        <f>INDEX('Fuel Index'!$C$4:$C$16,MATCH(Y5,'Fuel Index'!$A$4:$A$16,0))</f>
        <v>0.26</v>
      </c>
      <c r="AA5" s="4">
        <f t="shared" si="4"/>
        <v>128.53</v>
      </c>
      <c r="AB5" t="str">
        <f>IFERROR(INDEX(BOL!$I$4:$I$25,MATCH(C5,BOL!$B$4:$B$25,0)),INDEX(BOL!$V$4:$V$25,MATCH(C5,BOL!$O$4:$O$25,0)))</f>
        <v>N</v>
      </c>
      <c r="AC5" t="str">
        <f>IFERROR(INDEX(BOL!$J$4:$J$25,MATCH(C5,BOL!$B$4:$B$25,0)),INDEX(BOL!$W$4:$W$25,MATCH(C5,BOL!$O$4:$O$25,0)))</f>
        <v>N</v>
      </c>
      <c r="AD5" t="str">
        <f>IFERROR(INDEX(BOL!$K$4:$K$25,MATCH(C5,BOL!$B$4:$B$25,0)),INDEX(BOL!$X$4:$X$25,MATCH(C5,BOL!$O$4:$O$25,0)))</f>
        <v>N</v>
      </c>
      <c r="AE5" t="str">
        <f>IFERROR(INDEX(BOL!$L$4:$L$25,MATCH(C5,BOL!$B$4:$B$25,0)),INDEX(BOL!$Y$4:$Y$25,MATCH(C5,BOL!$O$4:$O$25,0)))</f>
        <v>N</v>
      </c>
      <c r="AF5" s="4">
        <f>(AB5="Y")*Tariff!$O$4+(AC5="Y")*Tariff!$O$5+(AD5="Y")*Tariff!$O$6+(AE5="Y")*Tariff!$O$7</f>
        <v>0</v>
      </c>
      <c r="AG5" s="4">
        <f>SUMIFS(Confirmations!$G$4:$G$7,Confirmations!$A$4:$A$7,C5,Confirmations!$H$4:$H$7,"Yes")</f>
        <v>0</v>
      </c>
      <c r="AH5" s="4">
        <f t="shared" si="5"/>
        <v>0</v>
      </c>
      <c r="AI5" t="str">
        <f>IF(AND(E5="No",COUNTIFS(Invoices!$B$4:$Q$26,B5,Invoices!$A$4:$P$26,"&lt;"&amp;A5)&gt;0),"Yes","No")</f>
        <v>No</v>
      </c>
      <c r="AJ5" s="4">
        <f t="shared" si="6"/>
        <v>622.89</v>
      </c>
      <c r="AK5" s="4">
        <f>Invoices!O5</f>
        <v>625.37</v>
      </c>
      <c r="AL5" s="4">
        <f t="shared" si="7"/>
        <v>2.48</v>
      </c>
      <c r="AM5" s="4">
        <f>Invoices!H5</f>
        <v>1300.95</v>
      </c>
      <c r="AN5" s="4">
        <f>Invoices!J5</f>
        <v>494.36</v>
      </c>
      <c r="AO5" s="11">
        <f>ROUND(Invoices!K5/Terms!$B$9,4)</f>
        <v>0.265</v>
      </c>
      <c r="AP5" s="4">
        <f>Invoices!N5</f>
        <v>0</v>
      </c>
      <c r="AQ5" t="str">
        <f t="shared" si="8"/>
        <v>5.2 fuel week</v>
      </c>
      <c r="AR5" t="str">
        <f t="shared" si="9"/>
        <v/>
      </c>
      <c r="AT5" t="str">
        <f>Invoices!P5</f>
        <v>NFL-90339</v>
      </c>
      <c r="AU5">
        <f>Invoices!Q5</f>
        <v>217724</v>
      </c>
      <c r="AV5">
        <f>IFERROR(INDEX('Pro Matches'!$C$4:$C$4,MATCH(AU5,'Pro Matches'!$A$4:$A$4,0)),AU5)</f>
        <v>217724</v>
      </c>
      <c r="AW5" t="str">
        <f>IF(COUNTIF(Corrections!$A$4:$A$4,AT5)&gt;0,"Yes","No")</f>
        <v>No</v>
      </c>
      <c r="AX5" t="str">
        <f>IF(COUNTIF(Corrections!$B$4:$B$4,AT5)&gt;0,"Yes","No")</f>
        <v>No</v>
      </c>
      <c r="AY5" t="str">
        <f>IFERROR(INDEX(BOL!$C$4:$C$25,MATCH(AV5,BOL!$B$4:$B$25,0)),INDEX(BOL!$P$4:$P$25,MATCH(AV5,BOL!$O$4:$O$25,0)))</f>
        <v>09/18/2026</v>
      </c>
      <c r="AZ5" t="str">
        <f>IFERROR(INDEX(BOL!$E$4:$E$25,MATCH(AV5,BOL!$B$4:$B$25,0)),INDEX(BOL!$R$4:$R$25,MATCH(AV5,BOL!$O$4:$O$25,0)))</f>
        <v>ND</v>
      </c>
      <c r="BA5" t="str">
        <f>IFERROR(INDEX(BOL!$F$4:$F$25,MATCH(AV5,BOL!$B$4:$B$25,0)),INDEX(BOL!$S$4:$S$25,MATCH(AV5,BOL!$O$4:$O$25,0)))</f>
        <v>Gypsum and cement board</v>
      </c>
      <c r="BB5">
        <f>IFERROR(INDEX(BOL!$H$4:$H$25,MATCH(AV5,BOL!$B$4:$B$25,0)),INDEX(BOL!$U$4:$U$25,MATCH(AV5,BOL!$O$4:$O$25,0)))</f>
        <v>1450</v>
      </c>
      <c r="BC5">
        <f>Invoices!U5</f>
        <v>1450</v>
      </c>
      <c r="BD5" t="str">
        <f>IF(COUNTIFS('Billing File'!$A$4:$A$15,AV5,'Billing File'!$G$4:$G$15,"4.5 weight",'Billing File'!$F$4:$F$15,"Yes")&gt;0,"Yes","No")</f>
        <v>No</v>
      </c>
      <c r="BE5">
        <f>IF(AND(BD5="Yes",BC5&gt;BB5*(1+Terms!$B$6)),BC5,BB5)</f>
        <v>1450</v>
      </c>
      <c r="BF5">
        <f>INDEX(Tariff!$L$4:$L$9,MATCH(BA5,Tariff!$K$4:$K$9,0))</f>
        <v>55</v>
      </c>
      <c r="BG5">
        <f>Invoices!V5</f>
        <v>55</v>
      </c>
      <c r="BH5" t="str">
        <f>IF(COUNTIFS('Billing File'!$A$4:$A$15,AV5,'Billing File'!$G$4:$G$15,"4.3 class",'Billing File'!$F$4:$F$15,"Yes")&gt;0,"Yes","No")</f>
        <v>No</v>
      </c>
      <c r="BI5">
        <f t="shared" si="10"/>
        <v>55</v>
      </c>
      <c r="BJ5" s="9">
        <f>INDEX(Tariff!$I$4:$I$10,MATCH(BI5,Tariff!$H$4:$H$10,0))</f>
        <v>0.88</v>
      </c>
      <c r="BK5">
        <f>MATCH(BE5,Tariff!$B$12:$F$12,1)</f>
        <v>3</v>
      </c>
      <c r="BL5" s="9">
        <f>INDEX(Tariff!$B$4:$F$10,MATCH(AZ5,Tariff!$A$4:$A$10,0),BK5)</f>
        <v>32.15</v>
      </c>
      <c r="BM5" s="4">
        <f t="shared" si="11"/>
        <v>410.23</v>
      </c>
      <c r="BN5" s="4">
        <f>IF(BK5&lt;5,ROUND(INDEX(Tariff!$B$12:$F$12,BK5+1)/100*INDEX(Tariff!$B$4:$F$10,MATCH(AZ5,Tariff!$A$4:$A$10,0),BK5+1)*BJ5,2),BM5)</f>
        <v>464.64</v>
      </c>
      <c r="BO5" s="4">
        <f t="shared" si="12"/>
        <v>410.23</v>
      </c>
      <c r="BP5" s="4">
        <f>ROUND(BO5*Terms!$B$4,2)</f>
        <v>254.34</v>
      </c>
      <c r="BQ5" s="4">
        <f>MAX(BO5-BP5,Terms!$B$5)</f>
        <v>155.89</v>
      </c>
      <c r="BR5" t="str">
        <f t="shared" si="13"/>
        <v>09/14/2026</v>
      </c>
      <c r="BS5" s="11">
        <f>INDEX('Fuel Index'!$C$4:$C$16,MATCH(BR5,'Fuel Index'!$A$4:$A$16,0))</f>
        <v>0.26</v>
      </c>
      <c r="BT5" s="4">
        <f t="shared" si="14"/>
        <v>40.53</v>
      </c>
      <c r="BU5" t="str">
        <f>IFERROR(INDEX(BOL!$I$4:$I$25,MATCH(AV5,BOL!$B$4:$B$25,0)),INDEX(BOL!$V$4:$V$25,MATCH(AV5,BOL!$O$4:$O$25,0)))</f>
        <v>N</v>
      </c>
      <c r="BV5" t="str">
        <f>IFERROR(INDEX(BOL!$J$4:$J$25,MATCH(AV5,BOL!$B$4:$B$25,0)),INDEX(BOL!$W$4:$W$25,MATCH(AV5,BOL!$O$4:$O$25,0)))</f>
        <v>Y</v>
      </c>
      <c r="BW5" t="str">
        <f>IFERROR(INDEX(BOL!$K$4:$K$25,MATCH(AV5,BOL!$B$4:$B$25,0)),INDEX(BOL!$X$4:$X$25,MATCH(AV5,BOL!$O$4:$O$25,0)))</f>
        <v>N</v>
      </c>
      <c r="BX5" t="str">
        <f>IFERROR(INDEX(BOL!$L$4:$L$25,MATCH(AV5,BOL!$B$4:$B$25,0)),INDEX(BOL!$Y$4:$Y$25,MATCH(AV5,BOL!$O$4:$O$25,0)))</f>
        <v>Y</v>
      </c>
      <c r="BY5" s="4">
        <f>(BU5="Y")*Tariff!$O$4+(BV5="Y")*Tariff!$O$5+(BW5="Y")*Tariff!$O$6+(BX5="Y")*Tariff!$O$7</f>
        <v>155</v>
      </c>
      <c r="BZ5" s="4">
        <f>SUMIFS(Confirmations!$G$4:$G$7,Confirmations!$A$4:$A$7,AV5,Confirmations!$H$4:$H$7,"Yes")</f>
        <v>0</v>
      </c>
      <c r="CA5" s="4">
        <f t="shared" si="15"/>
        <v>155</v>
      </c>
      <c r="CB5" t="str">
        <f>IF(AND(AX5="No",COUNTIFS(Invoices!$B$4:$Q$26,AU5,Invoices!$A$4:$P$26,"&lt;"&amp;AT5)&gt;0),"Yes","No")</f>
        <v>No</v>
      </c>
      <c r="CC5" s="4">
        <f t="shared" si="16"/>
        <v>351.42</v>
      </c>
      <c r="CD5" s="4">
        <f>Invoices!AD5</f>
        <v>426.42</v>
      </c>
      <c r="CE5" s="4">
        <f t="shared" si="17"/>
        <v>75</v>
      </c>
      <c r="CF5" s="4">
        <f>Invoices!W5</f>
        <v>410.23</v>
      </c>
      <c r="CG5" s="4">
        <f>Invoices!Y5</f>
        <v>155.89</v>
      </c>
      <c r="CH5" s="11">
        <f>ROUND(Invoices!Z5/Terms!$B$9,4)</f>
        <v>0.26</v>
      </c>
      <c r="CI5" s="4">
        <f>Invoices!AC5</f>
        <v>230</v>
      </c>
      <c r="CJ5" t="str">
        <f t="shared" si="18"/>
        <v>6.1 accessorial overbilled</v>
      </c>
      <c r="CK5" t="str">
        <f t="shared" si="19"/>
        <v/>
      </c>
    </row>
    <row r="6" spans="1:89" x14ac:dyDescent="0.2">
      <c r="A6" t="str">
        <f>Invoices!A6</f>
        <v>NFL-90304</v>
      </c>
      <c r="B6">
        <f>Invoices!B6</f>
        <v>217611</v>
      </c>
      <c r="C6">
        <f>IFERROR(INDEX('Pro Matches'!$C$4:$C$4,MATCH(B6,'Pro Matches'!$A$4:$A$4,0)),B6)</f>
        <v>217611</v>
      </c>
      <c r="D6" t="str">
        <f>IF(COUNTIF(Corrections!$A$4:$A$4,A6)&gt;0,"Yes","No")</f>
        <v>No</v>
      </c>
      <c r="E6" t="str">
        <f>IF(COUNTIF(Corrections!$B$4:$B$4,A6)&gt;0,"Yes","No")</f>
        <v>No</v>
      </c>
      <c r="F6" t="str">
        <f>IFERROR(INDEX(BOL!$C$4:$C$25,MATCH(C6,BOL!$B$4:$B$25,0)),INDEX(BOL!$P$4:$P$25,MATCH(C6,BOL!$O$4:$O$25,0)))</f>
        <v>08/28/2026</v>
      </c>
      <c r="G6" t="str">
        <f>IFERROR(INDEX(BOL!$E$4:$E$25,MATCH(C6,BOL!$B$4:$B$25,0)),INDEX(BOL!$R$4:$R$25,MATCH(C6,BOL!$O$4:$O$25,0)))</f>
        <v>SD</v>
      </c>
      <c r="H6" t="str">
        <f>IFERROR(INDEX(BOL!$F$4:$F$25,MATCH(C6,BOL!$B$4:$B$25,0)),INDEX(BOL!$S$4:$S$25,MATCH(C6,BOL!$O$4:$O$25,0)))</f>
        <v>Gypsum and cement board</v>
      </c>
      <c r="I6">
        <f>IFERROR(INDEX(BOL!$H$4:$H$25,MATCH(C6,BOL!$B$4:$B$25,0)),INDEX(BOL!$U$4:$U$25,MATCH(C6,BOL!$O$4:$O$25,0)))</f>
        <v>1180</v>
      </c>
      <c r="J6">
        <f>Invoices!F6</f>
        <v>1180</v>
      </c>
      <c r="K6" t="str">
        <f>IF(COUNTIFS('Billing File'!$A$4:$A$15,C6,'Billing File'!$G$4:$G$15,"4.5 weight",'Billing File'!$F$4:$F$15,"Yes")&gt;0,"Yes","No")</f>
        <v>No</v>
      </c>
      <c r="L6">
        <f>IF(AND(K6="Yes",J6&gt;I6*(1+Terms!$B$6)),J6,I6)</f>
        <v>1180</v>
      </c>
      <c r="M6">
        <f>INDEX(Tariff!$L$4:$L$9,MATCH(H6,Tariff!$K$4:$K$9,0))</f>
        <v>55</v>
      </c>
      <c r="N6">
        <f>Invoices!G6</f>
        <v>55</v>
      </c>
      <c r="O6" t="str">
        <f>IF(COUNTIFS('Billing File'!$A$4:$A$15,C6,'Billing File'!$G$4:$G$15,"4.3 class",'Billing File'!$F$4:$F$15,"Yes")&gt;0,"Yes","No")</f>
        <v>No</v>
      </c>
      <c r="P6">
        <f t="shared" si="0"/>
        <v>55</v>
      </c>
      <c r="Q6" s="9">
        <f>INDEX(Tariff!$I$4:$I$10,MATCH(P6,Tariff!$H$4:$H$10,0))</f>
        <v>0.88</v>
      </c>
      <c r="R6">
        <f>MATCH(L6,Tariff!$B$12:$F$12,1)</f>
        <v>3</v>
      </c>
      <c r="S6" s="9">
        <f>INDEX(Tariff!$B$4:$F$10,MATCH(G6,Tariff!$A$4:$A$10,0),R6)</f>
        <v>43.9</v>
      </c>
      <c r="T6" s="4">
        <f t="shared" si="1"/>
        <v>455.86</v>
      </c>
      <c r="U6" s="4">
        <f>IF(R6&lt;5,ROUND(INDEX(Tariff!$B$12:$F$12,R6+1)/100*INDEX(Tariff!$B$4:$F$10,MATCH(G6,Tariff!$A$4:$A$10,0),R6+1)*Q6,2),T6)</f>
        <v>634.48</v>
      </c>
      <c r="V6" s="4">
        <f t="shared" si="2"/>
        <v>455.86</v>
      </c>
      <c r="W6" s="4">
        <f>ROUND(V6*Terms!$B$4,2)</f>
        <v>282.63</v>
      </c>
      <c r="X6" s="4">
        <f>MAX(V6-W6,Terms!$B$5)</f>
        <v>173.23</v>
      </c>
      <c r="Y6" t="str">
        <f t="shared" si="3"/>
        <v>08/24/2026</v>
      </c>
      <c r="Z6" s="11">
        <f>INDEX('Fuel Index'!$C$4:$C$16,MATCH(Y6,'Fuel Index'!$A$4:$A$16,0))</f>
        <v>0.26</v>
      </c>
      <c r="AA6" s="4">
        <f t="shared" si="4"/>
        <v>45.04</v>
      </c>
      <c r="AB6" t="str">
        <f>IFERROR(INDEX(BOL!$I$4:$I$25,MATCH(C6,BOL!$B$4:$B$25,0)),INDEX(BOL!$V$4:$V$25,MATCH(C6,BOL!$O$4:$O$25,0)))</f>
        <v>N</v>
      </c>
      <c r="AC6" t="str">
        <f>IFERROR(INDEX(BOL!$J$4:$J$25,MATCH(C6,BOL!$B$4:$B$25,0)),INDEX(BOL!$W$4:$W$25,MATCH(C6,BOL!$O$4:$O$25,0)))</f>
        <v>N</v>
      </c>
      <c r="AD6" t="str">
        <f>IFERROR(INDEX(BOL!$K$4:$K$25,MATCH(C6,BOL!$B$4:$B$25,0)),INDEX(BOL!$X$4:$X$25,MATCH(C6,BOL!$O$4:$O$25,0)))</f>
        <v>N</v>
      </c>
      <c r="AE6" t="str">
        <f>IFERROR(INDEX(BOL!$L$4:$L$25,MATCH(C6,BOL!$B$4:$B$25,0)),INDEX(BOL!$Y$4:$Y$25,MATCH(C6,BOL!$O$4:$O$25,0)))</f>
        <v>N</v>
      </c>
      <c r="AF6" s="4">
        <f>(AB6="Y")*Tariff!$O$4+(AC6="Y")*Tariff!$O$5+(AD6="Y")*Tariff!$O$6+(AE6="Y")*Tariff!$O$7</f>
        <v>0</v>
      </c>
      <c r="AG6" s="4">
        <f>SUMIFS(Confirmations!$G$4:$G$7,Confirmations!$A$4:$A$7,C6,Confirmations!$H$4:$H$7,"Yes")</f>
        <v>0</v>
      </c>
      <c r="AH6" s="4">
        <f t="shared" si="5"/>
        <v>0</v>
      </c>
      <c r="AI6" t="str">
        <f>IF(AND(E6="No",COUNTIFS(Invoices!$B$4:$Q$26,B6,Invoices!$A$4:$P$26,"&lt;"&amp;A6)&gt;0),"Yes","No")</f>
        <v>No</v>
      </c>
      <c r="AJ6" s="4">
        <f t="shared" si="6"/>
        <v>218.27</v>
      </c>
      <c r="AK6" s="4">
        <f>Invoices!O6</f>
        <v>218.27</v>
      </c>
      <c r="AL6" s="4">
        <f t="shared" si="7"/>
        <v>0</v>
      </c>
      <c r="AM6" s="4">
        <f>Invoices!H6</f>
        <v>455.86</v>
      </c>
      <c r="AN6" s="4">
        <f>Invoices!J6</f>
        <v>173.23</v>
      </c>
      <c r="AO6" s="11">
        <f>ROUND(Invoices!K6/Terms!$B$9,4)</f>
        <v>0.26</v>
      </c>
      <c r="AP6" s="4">
        <f>Invoices!N6</f>
        <v>0</v>
      </c>
      <c r="AQ6" t="str">
        <f t="shared" si="8"/>
        <v/>
      </c>
      <c r="AR6" t="str">
        <f t="shared" si="9"/>
        <v/>
      </c>
      <c r="AT6" t="str">
        <f>Invoices!P6</f>
        <v>NFL-90340</v>
      </c>
      <c r="AU6">
        <f>Invoices!Q6</f>
        <v>217883</v>
      </c>
      <c r="AV6">
        <f>IFERROR(INDEX('Pro Matches'!$C$4:$C$4,MATCH(AU6,'Pro Matches'!$A$4:$A$4,0)),AU6)</f>
        <v>217883</v>
      </c>
      <c r="AW6" t="str">
        <f>IF(COUNTIF(Corrections!$A$4:$A$4,AT6)&gt;0,"Yes","No")</f>
        <v>No</v>
      </c>
      <c r="AX6" t="str">
        <f>IF(COUNTIF(Corrections!$B$4:$B$4,AT6)&gt;0,"Yes","No")</f>
        <v>No</v>
      </c>
      <c r="AY6" t="str">
        <f>IFERROR(INDEX(BOL!$C$4:$C$25,MATCH(AV6,BOL!$B$4:$B$25,0)),INDEX(BOL!$P$4:$P$25,MATCH(AV6,BOL!$O$4:$O$25,0)))</f>
        <v>09/18/2026</v>
      </c>
      <c r="AZ6" t="str">
        <f>IFERROR(INDEX(BOL!$E$4:$E$25,MATCH(AV6,BOL!$B$4:$B$25,0)),INDEX(BOL!$R$4:$R$25,MATCH(AV6,BOL!$O$4:$O$25,0)))</f>
        <v>WI</v>
      </c>
      <c r="BA6" t="str">
        <f>IFERROR(INDEX(BOL!$F$4:$F$25,MATCH(AV6,BOL!$B$4:$B$25,0)),INDEX(BOL!$S$4:$S$25,MATCH(AV6,BOL!$O$4:$O$25,0)))</f>
        <v>Windows and doors</v>
      </c>
      <c r="BB6">
        <f>IFERROR(INDEX(BOL!$H$4:$H$25,MATCH(AV6,BOL!$B$4:$B$25,0)),INDEX(BOL!$U$4:$U$25,MATCH(AV6,BOL!$O$4:$O$25,0)))</f>
        <v>1010</v>
      </c>
      <c r="BC6">
        <f>Invoices!U6</f>
        <v>1010</v>
      </c>
      <c r="BD6" t="str">
        <f>IF(COUNTIFS('Billing File'!$A$4:$A$15,AV6,'Billing File'!$G$4:$G$15,"4.5 weight",'Billing File'!$F$4:$F$15,"Yes")&gt;0,"Yes","No")</f>
        <v>No</v>
      </c>
      <c r="BE6">
        <f>IF(AND(BD6="Yes",BC6&gt;BB6*(1+Terms!$B$6)),BC6,BB6)</f>
        <v>1010</v>
      </c>
      <c r="BF6">
        <f>INDEX(Tariff!$L$4:$L$9,MATCH(BA6,Tariff!$K$4:$K$9,0))</f>
        <v>100</v>
      </c>
      <c r="BG6">
        <f>Invoices!V6</f>
        <v>100</v>
      </c>
      <c r="BH6" t="str">
        <f>IF(COUNTIFS('Billing File'!$A$4:$A$15,AV6,'Billing File'!$G$4:$G$15,"4.3 class",'Billing File'!$F$4:$F$15,"Yes")&gt;0,"Yes","No")</f>
        <v>No</v>
      </c>
      <c r="BI6">
        <f t="shared" si="10"/>
        <v>100</v>
      </c>
      <c r="BJ6" s="9">
        <f>INDEX(Tariff!$I$4:$I$10,MATCH(BI6,Tariff!$H$4:$H$10,0))</f>
        <v>1.45</v>
      </c>
      <c r="BK6">
        <f>MATCH(BE6,Tariff!$B$12:$F$12,1)</f>
        <v>3</v>
      </c>
      <c r="BL6" s="9">
        <f>INDEX(Tariff!$B$4:$F$10,MATCH(AZ6,Tariff!$A$4:$A$10,0),BK6)</f>
        <v>50.3</v>
      </c>
      <c r="BM6" s="4">
        <f t="shared" si="11"/>
        <v>736.64</v>
      </c>
      <c r="BN6" s="4">
        <f>IF(BK6&lt;5,ROUND(INDEX(Tariff!$B$12:$F$12,BK6+1)/100*INDEX(Tariff!$B$4:$F$10,MATCH(AZ6,Tariff!$A$4:$A$10,0),BK6+1)*BJ6,2),BM6)</f>
        <v>1197.7</v>
      </c>
      <c r="BO6" s="4">
        <f t="shared" si="12"/>
        <v>736.64</v>
      </c>
      <c r="BP6" s="4">
        <f>ROUND(BO6*Terms!$B$4,2)</f>
        <v>456.72</v>
      </c>
      <c r="BQ6" s="4">
        <f>MAX(BO6-BP6,Terms!$B$5)</f>
        <v>279.92</v>
      </c>
      <c r="BR6" t="str">
        <f t="shared" si="13"/>
        <v>09/14/2026</v>
      </c>
      <c r="BS6" s="11">
        <f>INDEX('Fuel Index'!$C$4:$C$16,MATCH(BR6,'Fuel Index'!$A$4:$A$16,0))</f>
        <v>0.26</v>
      </c>
      <c r="BT6" s="4">
        <f t="shared" si="14"/>
        <v>72.78</v>
      </c>
      <c r="BU6" t="str">
        <f>IFERROR(INDEX(BOL!$I$4:$I$25,MATCH(AV6,BOL!$B$4:$B$25,0)),INDEX(BOL!$V$4:$V$25,MATCH(AV6,BOL!$O$4:$O$25,0)))</f>
        <v>N</v>
      </c>
      <c r="BV6" t="str">
        <f>IFERROR(INDEX(BOL!$J$4:$J$25,MATCH(AV6,BOL!$B$4:$B$25,0)),INDEX(BOL!$W$4:$W$25,MATCH(AV6,BOL!$O$4:$O$25,0)))</f>
        <v>Y</v>
      </c>
      <c r="BW6" t="str">
        <f>IFERROR(INDEX(BOL!$K$4:$K$25,MATCH(AV6,BOL!$B$4:$B$25,0)),INDEX(BOL!$X$4:$X$25,MATCH(AV6,BOL!$O$4:$O$25,0)))</f>
        <v>N</v>
      </c>
      <c r="BX6" t="str">
        <f>IFERROR(INDEX(BOL!$L$4:$L$25,MATCH(AV6,BOL!$B$4:$B$25,0)),INDEX(BOL!$Y$4:$Y$25,MATCH(AV6,BOL!$O$4:$O$25,0)))</f>
        <v>N</v>
      </c>
      <c r="BY6" s="4">
        <f>(BU6="Y")*Tariff!$O$4+(BV6="Y")*Tariff!$O$5+(BW6="Y")*Tariff!$O$6+(BX6="Y")*Tariff!$O$7</f>
        <v>95</v>
      </c>
      <c r="BZ6" s="4">
        <f>SUMIFS(Confirmations!$G$4:$G$7,Confirmations!$A$4:$A$7,AV6,Confirmations!$H$4:$H$7,"Yes")</f>
        <v>0</v>
      </c>
      <c r="CA6" s="4">
        <f t="shared" si="15"/>
        <v>95</v>
      </c>
      <c r="CB6" t="str">
        <f>IF(AND(AX6="No",COUNTIFS(Invoices!$B$4:$Q$26,AU6,Invoices!$A$4:$P$26,"&lt;"&amp;AT6)&gt;0),"Yes","No")</f>
        <v>No</v>
      </c>
      <c r="CC6" s="4">
        <f t="shared" si="16"/>
        <v>447.7</v>
      </c>
      <c r="CD6" s="4">
        <f>Invoices!AD6</f>
        <v>447.7</v>
      </c>
      <c r="CE6" s="4">
        <f t="shared" si="17"/>
        <v>0</v>
      </c>
      <c r="CF6" s="4">
        <f>Invoices!W6</f>
        <v>736.64</v>
      </c>
      <c r="CG6" s="4">
        <f>Invoices!Y6</f>
        <v>279.92</v>
      </c>
      <c r="CH6" s="11">
        <f>ROUND(Invoices!Z6/Terms!$B$9,4)</f>
        <v>0.26</v>
      </c>
      <c r="CI6" s="4">
        <f>Invoices!AC6</f>
        <v>95</v>
      </c>
      <c r="CJ6" t="str">
        <f t="shared" si="18"/>
        <v/>
      </c>
      <c r="CK6" t="str">
        <f t="shared" si="19"/>
        <v/>
      </c>
    </row>
    <row r="7" spans="1:89" x14ac:dyDescent="0.2">
      <c r="A7" t="str">
        <f>Invoices!A7</f>
        <v>NFL-90311</v>
      </c>
      <c r="B7">
        <f>Invoices!B7</f>
        <v>217645</v>
      </c>
      <c r="C7">
        <f>IFERROR(INDEX('Pro Matches'!$C$4:$C$4,MATCH(B7,'Pro Matches'!$A$4:$A$4,0)),B7)</f>
        <v>217645</v>
      </c>
      <c r="D7" t="str">
        <f>IF(COUNTIF(Corrections!$A$4:$A$4,A7)&gt;0,"Yes","No")</f>
        <v>No</v>
      </c>
      <c r="E7" t="str">
        <f>IF(COUNTIF(Corrections!$B$4:$B$4,A7)&gt;0,"Yes","No")</f>
        <v>No</v>
      </c>
      <c r="F7" t="str">
        <f>IFERROR(INDEX(BOL!$C$4:$C$25,MATCH(C7,BOL!$B$4:$B$25,0)),INDEX(BOL!$P$4:$P$25,MATCH(C7,BOL!$O$4:$O$25,0)))</f>
        <v>09/01/2026</v>
      </c>
      <c r="G7" t="str">
        <f>IFERROR(INDEX(BOL!$E$4:$E$25,MATCH(C7,BOL!$B$4:$B$25,0)),INDEX(BOL!$R$4:$R$25,MATCH(C7,BOL!$O$4:$O$25,0)))</f>
        <v>WI</v>
      </c>
      <c r="H7" t="str">
        <f>IFERROR(INDEX(BOL!$F$4:$F$25,MATCH(C7,BOL!$B$4:$B$25,0)),INDEX(BOL!$S$4:$S$25,MATCH(C7,BOL!$O$4:$O$25,0)))</f>
        <v>Metal roofing panels</v>
      </c>
      <c r="I7">
        <f>IFERROR(INDEX(BOL!$H$4:$H$25,MATCH(C7,BOL!$B$4:$B$25,0)),INDEX(BOL!$U$4:$U$25,MATCH(C7,BOL!$O$4:$O$25,0)))</f>
        <v>1249</v>
      </c>
      <c r="J7">
        <f>Invoices!F7</f>
        <v>1249</v>
      </c>
      <c r="K7" t="str">
        <f>IF(COUNTIFS('Billing File'!$A$4:$A$15,C7,'Billing File'!$G$4:$G$15,"4.5 weight",'Billing File'!$F$4:$F$15,"Yes")&gt;0,"Yes","No")</f>
        <v>No</v>
      </c>
      <c r="L7">
        <f>IF(AND(K7="Yes",J7&gt;I7*(1+Terms!$B$6)),J7,I7)</f>
        <v>1249</v>
      </c>
      <c r="M7">
        <f>INDEX(Tariff!$L$4:$L$9,MATCH(H7,Tariff!$K$4:$K$9,0))</f>
        <v>70</v>
      </c>
      <c r="N7">
        <f>Invoices!G7</f>
        <v>70</v>
      </c>
      <c r="O7" t="str">
        <f>IF(COUNTIFS('Billing File'!$A$4:$A$15,C7,'Billing File'!$G$4:$G$15,"4.3 class",'Billing File'!$F$4:$F$15,"Yes")&gt;0,"Yes","No")</f>
        <v>No</v>
      </c>
      <c r="P7">
        <f t="shared" si="0"/>
        <v>70</v>
      </c>
      <c r="Q7" s="9">
        <f>INDEX(Tariff!$I$4:$I$10,MATCH(P7,Tariff!$H$4:$H$10,0))</f>
        <v>1</v>
      </c>
      <c r="R7">
        <f>MATCH(L7,Tariff!$B$12:$F$12,1)</f>
        <v>3</v>
      </c>
      <c r="S7" s="9">
        <f>INDEX(Tariff!$B$4:$F$10,MATCH(G7,Tariff!$A$4:$A$10,0),R7)</f>
        <v>50.3</v>
      </c>
      <c r="T7" s="4">
        <f t="shared" si="1"/>
        <v>628.25</v>
      </c>
      <c r="U7" s="4">
        <f>IF(R7&lt;5,ROUND(INDEX(Tariff!$B$12:$F$12,R7+1)/100*INDEX(Tariff!$B$4:$F$10,MATCH(G7,Tariff!$A$4:$A$10,0),R7+1)*Q7,2),T7)</f>
        <v>826</v>
      </c>
      <c r="V7" s="4">
        <f t="shared" si="2"/>
        <v>628.25</v>
      </c>
      <c r="W7" s="4">
        <f>ROUND(V7*Terms!$B$4,2)</f>
        <v>389.52</v>
      </c>
      <c r="X7" s="4">
        <f>MAX(V7-W7,Terms!$B$5)</f>
        <v>238.73</v>
      </c>
      <c r="Y7" t="str">
        <f t="shared" si="3"/>
        <v>08/31/2026</v>
      </c>
      <c r="Z7" s="11">
        <f>INDEX('Fuel Index'!$C$4:$C$16,MATCH(Y7,'Fuel Index'!$A$4:$A$16,0))</f>
        <v>0.265</v>
      </c>
      <c r="AA7" s="4">
        <f t="shared" si="4"/>
        <v>63.26</v>
      </c>
      <c r="AB7" t="str">
        <f>IFERROR(INDEX(BOL!$I$4:$I$25,MATCH(C7,BOL!$B$4:$B$25,0)),INDEX(BOL!$V$4:$V$25,MATCH(C7,BOL!$O$4:$O$25,0)))</f>
        <v>N</v>
      </c>
      <c r="AC7" t="str">
        <f>IFERROR(INDEX(BOL!$J$4:$J$25,MATCH(C7,BOL!$B$4:$B$25,0)),INDEX(BOL!$W$4:$W$25,MATCH(C7,BOL!$O$4:$O$25,0)))</f>
        <v>N</v>
      </c>
      <c r="AD7" t="str">
        <f>IFERROR(INDEX(BOL!$K$4:$K$25,MATCH(C7,BOL!$B$4:$B$25,0)),INDEX(BOL!$X$4:$X$25,MATCH(C7,BOL!$O$4:$O$25,0)))</f>
        <v>Y</v>
      </c>
      <c r="AE7" t="str">
        <f>IFERROR(INDEX(BOL!$L$4:$L$25,MATCH(C7,BOL!$B$4:$B$25,0)),INDEX(BOL!$Y$4:$Y$25,MATCH(C7,BOL!$O$4:$O$25,0)))</f>
        <v>N</v>
      </c>
      <c r="AF7" s="4">
        <f>(AB7="Y")*Tariff!$O$4+(AC7="Y")*Tariff!$O$5+(AD7="Y")*Tariff!$O$6+(AE7="Y")*Tariff!$O$7</f>
        <v>85</v>
      </c>
      <c r="AG7" s="4">
        <f>SUMIFS(Confirmations!$G$4:$G$7,Confirmations!$A$4:$A$7,C7,Confirmations!$H$4:$H$7,"Yes")</f>
        <v>0</v>
      </c>
      <c r="AH7" s="4">
        <f t="shared" si="5"/>
        <v>85</v>
      </c>
      <c r="AI7" t="str">
        <f>IF(AND(E7="No",COUNTIFS(Invoices!$B$4:$Q$26,B7,Invoices!$A$4:$P$26,"&lt;"&amp;A7)&gt;0),"Yes","No")</f>
        <v>No</v>
      </c>
      <c r="AJ7" s="4">
        <f t="shared" si="6"/>
        <v>386.99</v>
      </c>
      <c r="AK7" s="4">
        <f>Invoices!O7</f>
        <v>387.01</v>
      </c>
      <c r="AL7" s="4">
        <f t="shared" si="7"/>
        <v>0.02</v>
      </c>
      <c r="AM7" s="4">
        <f>Invoices!H7</f>
        <v>628.25</v>
      </c>
      <c r="AN7" s="4">
        <f>Invoices!J7</f>
        <v>238.74</v>
      </c>
      <c r="AO7" s="11">
        <f>ROUND(Invoices!K7/Terms!$B$9,4)</f>
        <v>0.265</v>
      </c>
      <c r="AP7" s="4">
        <f>Invoices!N7</f>
        <v>85</v>
      </c>
      <c r="AQ7" t="str">
        <f t="shared" si="8"/>
        <v>4.6 rounding</v>
      </c>
      <c r="AR7" t="str">
        <f t="shared" si="9"/>
        <v/>
      </c>
      <c r="AT7" t="str">
        <f>Invoices!P7</f>
        <v>NFL-90341</v>
      </c>
      <c r="AU7">
        <f>Invoices!Q7</f>
        <v>217803</v>
      </c>
      <c r="AV7">
        <f>IFERROR(INDEX('Pro Matches'!$C$4:$C$4,MATCH(AU7,'Pro Matches'!$A$4:$A$4,0)),AU7)</f>
        <v>217803</v>
      </c>
      <c r="AW7" t="str">
        <f>IF(COUNTIF(Corrections!$A$4:$A$4,AT7)&gt;0,"Yes","No")</f>
        <v>No</v>
      </c>
      <c r="AX7" t="str">
        <f>IF(COUNTIF(Corrections!$B$4:$B$4,AT7)&gt;0,"Yes","No")</f>
        <v>No</v>
      </c>
      <c r="AY7" t="str">
        <f>IFERROR(INDEX(BOL!$C$4:$C$25,MATCH(AV7,BOL!$B$4:$B$25,0)),INDEX(BOL!$P$4:$P$25,MATCH(AV7,BOL!$O$4:$O$25,0)))</f>
        <v>09/22/2026</v>
      </c>
      <c r="AZ7" t="str">
        <f>IFERROR(INDEX(BOL!$E$4:$E$25,MATCH(AV7,BOL!$B$4:$B$25,0)),INDEX(BOL!$R$4:$R$25,MATCH(AV7,BOL!$O$4:$O$25,0)))</f>
        <v>IA</v>
      </c>
      <c r="BA7" t="str">
        <f>IFERROR(INDEX(BOL!$F$4:$F$25,MATCH(AV7,BOL!$B$4:$B$25,0)),INDEX(BOL!$S$4:$S$25,MATCH(AV7,BOL!$O$4:$O$25,0)))</f>
        <v>Vinyl siding</v>
      </c>
      <c r="BB7">
        <f>IFERROR(INDEX(BOL!$H$4:$H$25,MATCH(AV7,BOL!$B$4:$B$25,0)),INDEX(BOL!$U$4:$U$25,MATCH(AV7,BOL!$O$4:$O$25,0)))</f>
        <v>3560</v>
      </c>
      <c r="BC7">
        <f>Invoices!U7</f>
        <v>3560</v>
      </c>
      <c r="BD7" t="str">
        <f>IF(COUNTIFS('Billing File'!$A$4:$A$15,AV7,'Billing File'!$G$4:$G$15,"4.5 weight",'Billing File'!$F$4:$F$15,"Yes")&gt;0,"Yes","No")</f>
        <v>No</v>
      </c>
      <c r="BE7">
        <f>IF(AND(BD7="Yes",BC7&gt;BB7*(1+Terms!$B$6)),BC7,BB7)</f>
        <v>3560</v>
      </c>
      <c r="BF7">
        <f>INDEX(Tariff!$L$4:$L$9,MATCH(BA7,Tariff!$K$4:$K$9,0))</f>
        <v>92.5</v>
      </c>
      <c r="BG7">
        <f>Invoices!V7</f>
        <v>92.5</v>
      </c>
      <c r="BH7" t="str">
        <f>IF(COUNTIFS('Billing File'!$A$4:$A$15,AV7,'Billing File'!$G$4:$G$15,"4.3 class",'Billing File'!$F$4:$F$15,"Yes")&gt;0,"Yes","No")</f>
        <v>No</v>
      </c>
      <c r="BI7">
        <f t="shared" si="10"/>
        <v>92.5</v>
      </c>
      <c r="BJ7" s="9">
        <f>INDEX(Tariff!$I$4:$I$10,MATCH(BI7,Tariff!$H$4:$H$10,0))</f>
        <v>1.3</v>
      </c>
      <c r="BK7">
        <f>MATCH(BE7,Tariff!$B$12:$F$12,1)</f>
        <v>4</v>
      </c>
      <c r="BL7" s="9">
        <f>INDEX(Tariff!$B$4:$F$10,MATCH(AZ7,Tariff!$A$4:$A$10,0),BK7)</f>
        <v>39.1</v>
      </c>
      <c r="BM7" s="4">
        <f t="shared" si="11"/>
        <v>1809.55</v>
      </c>
      <c r="BN7" s="4">
        <f>IF(BK7&lt;5,ROUND(INDEX(Tariff!$B$12:$F$12,BK7+1)/100*INDEX(Tariff!$B$4:$F$10,MATCH(AZ7,Tariff!$A$4:$A$10,0),BK7+1)*BJ7,2),BM7)</f>
        <v>2070.25</v>
      </c>
      <c r="BO7" s="4">
        <f t="shared" si="12"/>
        <v>1809.55</v>
      </c>
      <c r="BP7" s="4">
        <f>ROUND(BO7*Terms!$B$4,2)</f>
        <v>1121.92</v>
      </c>
      <c r="BQ7" s="4">
        <f>MAX(BO7-BP7,Terms!$B$5)</f>
        <v>687.63</v>
      </c>
      <c r="BR7" t="str">
        <f t="shared" si="13"/>
        <v>09/21/2026</v>
      </c>
      <c r="BS7" s="11">
        <f>INDEX('Fuel Index'!$C$4:$C$16,MATCH(BR7,'Fuel Index'!$A$4:$A$16,0))</f>
        <v>0.275</v>
      </c>
      <c r="BT7" s="4">
        <f t="shared" si="14"/>
        <v>189.1</v>
      </c>
      <c r="BU7" t="str">
        <f>IFERROR(INDEX(BOL!$I$4:$I$25,MATCH(AV7,BOL!$B$4:$B$25,0)),INDEX(BOL!$V$4:$V$25,MATCH(AV7,BOL!$O$4:$O$25,0)))</f>
        <v>N</v>
      </c>
      <c r="BV7" t="str">
        <f>IFERROR(INDEX(BOL!$J$4:$J$25,MATCH(AV7,BOL!$B$4:$B$25,0)),INDEX(BOL!$W$4:$W$25,MATCH(AV7,BOL!$O$4:$O$25,0)))</f>
        <v>N</v>
      </c>
      <c r="BW7" t="str">
        <f>IFERROR(INDEX(BOL!$K$4:$K$25,MATCH(AV7,BOL!$B$4:$B$25,0)),INDEX(BOL!$X$4:$X$25,MATCH(AV7,BOL!$O$4:$O$25,0)))</f>
        <v>N</v>
      </c>
      <c r="BX7" t="str">
        <f>IFERROR(INDEX(BOL!$L$4:$L$25,MATCH(AV7,BOL!$B$4:$B$25,0)),INDEX(BOL!$Y$4:$Y$25,MATCH(AV7,BOL!$O$4:$O$25,0)))</f>
        <v>Y</v>
      </c>
      <c r="BY7" s="4">
        <f>(BU7="Y")*Tariff!$O$4+(BV7="Y")*Tariff!$O$5+(BW7="Y")*Tariff!$O$6+(BX7="Y")*Tariff!$O$7</f>
        <v>60</v>
      </c>
      <c r="BZ7" s="4">
        <f>SUMIFS(Confirmations!$G$4:$G$7,Confirmations!$A$4:$A$7,AV7,Confirmations!$H$4:$H$7,"Yes")</f>
        <v>0</v>
      </c>
      <c r="CA7" s="4">
        <f t="shared" si="15"/>
        <v>60</v>
      </c>
      <c r="CB7" t="str">
        <f>IF(AND(AX7="No",COUNTIFS(Invoices!$B$4:$Q$26,AU7,Invoices!$A$4:$P$26,"&lt;"&amp;AT7)&gt;0),"Yes","No")</f>
        <v>No</v>
      </c>
      <c r="CC7" s="4">
        <f t="shared" si="16"/>
        <v>936.73</v>
      </c>
      <c r="CD7" s="4">
        <f>Invoices!AD7</f>
        <v>936.73</v>
      </c>
      <c r="CE7" s="4">
        <f t="shared" si="17"/>
        <v>0</v>
      </c>
      <c r="CF7" s="4">
        <f>Invoices!W7</f>
        <v>1809.55</v>
      </c>
      <c r="CG7" s="4">
        <f>Invoices!Y7</f>
        <v>687.63</v>
      </c>
      <c r="CH7" s="11">
        <f>ROUND(Invoices!Z7/Terms!$B$9,4)</f>
        <v>0.275</v>
      </c>
      <c r="CI7" s="4">
        <f>Invoices!AC7</f>
        <v>60</v>
      </c>
      <c r="CJ7" t="str">
        <f t="shared" si="18"/>
        <v/>
      </c>
      <c r="CK7" t="str">
        <f t="shared" si="19"/>
        <v/>
      </c>
    </row>
    <row r="8" spans="1:89" x14ac:dyDescent="0.2">
      <c r="A8" t="str">
        <f>Invoices!A8</f>
        <v>NFL-90314</v>
      </c>
      <c r="B8">
        <f>Invoices!B8</f>
        <v>217822</v>
      </c>
      <c r="C8">
        <f>IFERROR(INDEX('Pro Matches'!$C$4:$C$4,MATCH(B8,'Pro Matches'!$A$4:$A$4,0)),B8)</f>
        <v>217822</v>
      </c>
      <c r="D8" t="str">
        <f>IF(COUNTIF(Corrections!$A$4:$A$4,A8)&gt;0,"Yes","No")</f>
        <v>No</v>
      </c>
      <c r="E8" t="str">
        <f>IF(COUNTIF(Corrections!$B$4:$B$4,A8)&gt;0,"Yes","No")</f>
        <v>No</v>
      </c>
      <c r="F8" t="str">
        <f>IFERROR(INDEX(BOL!$C$4:$C$25,MATCH(C8,BOL!$B$4:$B$25,0)),INDEX(BOL!$P$4:$P$25,MATCH(C8,BOL!$O$4:$O$25,0)))</f>
        <v>09/07/2026</v>
      </c>
      <c r="G8" t="str">
        <f>IFERROR(INDEX(BOL!$E$4:$E$25,MATCH(C8,BOL!$B$4:$B$25,0)),INDEX(BOL!$R$4:$R$25,MATCH(C8,BOL!$O$4:$O$25,0)))</f>
        <v>WI</v>
      </c>
      <c r="H8" t="str">
        <f>IFERROR(INDEX(BOL!$F$4:$F$25,MATCH(C8,BOL!$B$4:$B$25,0)),INDEX(BOL!$S$4:$S$25,MATCH(C8,BOL!$O$4:$O$25,0)))</f>
        <v>Metal roofing panels</v>
      </c>
      <c r="I8">
        <f>IFERROR(INDEX(BOL!$H$4:$H$25,MATCH(C8,BOL!$B$4:$B$25,0)),INDEX(BOL!$U$4:$U$25,MATCH(C8,BOL!$O$4:$O$25,0)))</f>
        <v>4210</v>
      </c>
      <c r="J8">
        <f>Invoices!F8</f>
        <v>4210</v>
      </c>
      <c r="K8" t="str">
        <f>IF(COUNTIFS('Billing File'!$A$4:$A$15,C8,'Billing File'!$G$4:$G$15,"4.5 weight",'Billing File'!$F$4:$F$15,"Yes")&gt;0,"Yes","No")</f>
        <v>No</v>
      </c>
      <c r="L8">
        <f>IF(AND(K8="Yes",J8&gt;I8*(1+Terms!$B$6)),J8,I8)</f>
        <v>4210</v>
      </c>
      <c r="M8">
        <f>INDEX(Tariff!$L$4:$L$9,MATCH(H8,Tariff!$K$4:$K$9,0))</f>
        <v>70</v>
      </c>
      <c r="N8">
        <f>Invoices!G8</f>
        <v>70</v>
      </c>
      <c r="O8" t="str">
        <f>IF(COUNTIFS('Billing File'!$A$4:$A$15,C8,'Billing File'!$G$4:$G$15,"4.3 class",'Billing File'!$F$4:$F$15,"Yes")&gt;0,"Yes","No")</f>
        <v>No</v>
      </c>
      <c r="P8">
        <f t="shared" si="0"/>
        <v>70</v>
      </c>
      <c r="Q8" s="9">
        <f>INDEX(Tariff!$I$4:$I$10,MATCH(P8,Tariff!$H$4:$H$10,0))</f>
        <v>1</v>
      </c>
      <c r="R8">
        <f>MATCH(L8,Tariff!$B$12:$F$12,1)</f>
        <v>4</v>
      </c>
      <c r="S8" s="9">
        <f>INDEX(Tariff!$B$4:$F$10,MATCH(G8,Tariff!$A$4:$A$10,0),R8)</f>
        <v>41.3</v>
      </c>
      <c r="T8" s="4">
        <f t="shared" si="1"/>
        <v>1738.73</v>
      </c>
      <c r="U8" s="4">
        <f>IF(R8&lt;5,ROUND(INDEX(Tariff!$B$12:$F$12,R8+1)/100*INDEX(Tariff!$B$4:$F$10,MATCH(G8,Tariff!$A$4:$A$10,0),R8+1)*Q8,2),T8)</f>
        <v>1682.5</v>
      </c>
      <c r="V8" s="4">
        <f t="shared" si="2"/>
        <v>1682.5</v>
      </c>
      <c r="W8" s="4">
        <f>ROUND(V8*Terms!$B$4,2)</f>
        <v>1043.15</v>
      </c>
      <c r="X8" s="4">
        <f>MAX(V8-W8,Terms!$B$5)</f>
        <v>639.35</v>
      </c>
      <c r="Y8" t="str">
        <f t="shared" si="3"/>
        <v>09/07/2026</v>
      </c>
      <c r="Z8" s="11">
        <f>INDEX('Fuel Index'!$C$4:$C$16,MATCH(Y8,'Fuel Index'!$A$4:$A$16,0))</f>
        <v>0.265</v>
      </c>
      <c r="AA8" s="4">
        <f t="shared" si="4"/>
        <v>169.43</v>
      </c>
      <c r="AB8" t="str">
        <f>IFERROR(INDEX(BOL!$I$4:$I$25,MATCH(C8,BOL!$B$4:$B$25,0)),INDEX(BOL!$V$4:$V$25,MATCH(C8,BOL!$O$4:$O$25,0)))</f>
        <v>Y</v>
      </c>
      <c r="AC8" t="str">
        <f>IFERROR(INDEX(BOL!$J$4:$J$25,MATCH(C8,BOL!$B$4:$B$25,0)),INDEX(BOL!$W$4:$W$25,MATCH(C8,BOL!$O$4:$O$25,0)))</f>
        <v>N</v>
      </c>
      <c r="AD8" t="str">
        <f>IFERROR(INDEX(BOL!$K$4:$K$25,MATCH(C8,BOL!$B$4:$B$25,0)),INDEX(BOL!$X$4:$X$25,MATCH(C8,BOL!$O$4:$O$25,0)))</f>
        <v>N</v>
      </c>
      <c r="AE8" t="str">
        <f>IFERROR(INDEX(BOL!$L$4:$L$25,MATCH(C8,BOL!$B$4:$B$25,0)),INDEX(BOL!$Y$4:$Y$25,MATCH(C8,BOL!$O$4:$O$25,0)))</f>
        <v>N</v>
      </c>
      <c r="AF8" s="4">
        <f>(AB8="Y")*Tariff!$O$4+(AC8="Y")*Tariff!$O$5+(AD8="Y")*Tariff!$O$6+(AE8="Y")*Tariff!$O$7</f>
        <v>75</v>
      </c>
      <c r="AG8" s="4">
        <f>SUMIFS(Confirmations!$G$4:$G$7,Confirmations!$A$4:$A$7,C8,Confirmations!$H$4:$H$7,"Yes")</f>
        <v>0</v>
      </c>
      <c r="AH8" s="4">
        <f t="shared" si="5"/>
        <v>75</v>
      </c>
      <c r="AI8" t="str">
        <f>IF(AND(E8="No",COUNTIFS(Invoices!$B$4:$Q$26,B8,Invoices!$A$4:$P$26,"&lt;"&amp;A8)&gt;0),"Yes","No")</f>
        <v>No</v>
      </c>
      <c r="AJ8" s="4">
        <f t="shared" si="6"/>
        <v>883.78</v>
      </c>
      <c r="AK8" s="4">
        <f>Invoices!O8</f>
        <v>883.78</v>
      </c>
      <c r="AL8" s="4">
        <f t="shared" si="7"/>
        <v>0</v>
      </c>
      <c r="AM8" s="4">
        <f>Invoices!H8</f>
        <v>1682.5</v>
      </c>
      <c r="AN8" s="4">
        <f>Invoices!J8</f>
        <v>639.35</v>
      </c>
      <c r="AO8" s="11">
        <f>ROUND(Invoices!K8/Terms!$B$9,4)</f>
        <v>0.265</v>
      </c>
      <c r="AP8" s="4">
        <f>Invoices!N8</f>
        <v>75</v>
      </c>
      <c r="AQ8" t="str">
        <f t="shared" si="8"/>
        <v/>
      </c>
      <c r="AR8" t="str">
        <f t="shared" si="9"/>
        <v/>
      </c>
      <c r="AT8" t="str">
        <f>Invoices!P8</f>
        <v>NFL-90342</v>
      </c>
      <c r="AU8">
        <f>Invoices!Q8</f>
        <v>217894</v>
      </c>
      <c r="AV8">
        <f>IFERROR(INDEX('Pro Matches'!$C$4:$C$4,MATCH(AU8,'Pro Matches'!$A$4:$A$4,0)),AU8)</f>
        <v>217894</v>
      </c>
      <c r="AW8" t="str">
        <f>IF(COUNTIF(Corrections!$A$4:$A$4,AT8)&gt;0,"Yes","No")</f>
        <v>No</v>
      </c>
      <c r="AX8" t="str">
        <f>IF(COUNTIF(Corrections!$B$4:$B$4,AT8)&gt;0,"Yes","No")</f>
        <v>No</v>
      </c>
      <c r="AY8" t="str">
        <f>IFERROR(INDEX(BOL!$C$4:$C$25,MATCH(AV8,BOL!$B$4:$B$25,0)),INDEX(BOL!$P$4:$P$25,MATCH(AV8,BOL!$O$4:$O$25,0)))</f>
        <v>09/22/2026</v>
      </c>
      <c r="AZ8" t="str">
        <f>IFERROR(INDEX(BOL!$E$4:$E$25,MATCH(AV8,BOL!$B$4:$B$25,0)),INDEX(BOL!$R$4:$R$25,MATCH(AV8,BOL!$O$4:$O$25,0)))</f>
        <v>IA</v>
      </c>
      <c r="BA8" t="str">
        <f>IFERROR(INDEX(BOL!$F$4:$F$25,MATCH(AV8,BOL!$B$4:$B$25,0)),INDEX(BOL!$S$4:$S$25,MATCH(AV8,BOL!$O$4:$O$25,0)))</f>
        <v>Sealants and coatings</v>
      </c>
      <c r="BB8">
        <f>IFERROR(INDEX(BOL!$H$4:$H$25,MATCH(AV8,BOL!$B$4:$B$25,0)),INDEX(BOL!$U$4:$U$25,MATCH(AV8,BOL!$O$4:$O$25,0)))</f>
        <v>890</v>
      </c>
      <c r="BC8">
        <f>Invoices!U8</f>
        <v>890</v>
      </c>
      <c r="BD8" t="str">
        <f>IF(COUNTIFS('Billing File'!$A$4:$A$15,AV8,'Billing File'!$G$4:$G$15,"4.5 weight",'Billing File'!$F$4:$F$15,"Yes")&gt;0,"Yes","No")</f>
        <v>No</v>
      </c>
      <c r="BE8">
        <f>IF(AND(BD8="Yes",BC8&gt;BB8*(1+Terms!$B$6)),BC8,BB8)</f>
        <v>890</v>
      </c>
      <c r="BF8">
        <f>INDEX(Tariff!$L$4:$L$9,MATCH(BA8,Tariff!$K$4:$K$9,0))</f>
        <v>85</v>
      </c>
      <c r="BG8">
        <f>Invoices!V8</f>
        <v>85</v>
      </c>
      <c r="BH8" t="str">
        <f>IF(COUNTIFS('Billing File'!$A$4:$A$15,AV8,'Billing File'!$G$4:$G$15,"4.3 class",'Billing File'!$F$4:$F$15,"Yes")&gt;0,"Yes","No")</f>
        <v>No</v>
      </c>
      <c r="BI8">
        <f t="shared" si="10"/>
        <v>85</v>
      </c>
      <c r="BJ8" s="9">
        <f>INDEX(Tariff!$I$4:$I$10,MATCH(BI8,Tariff!$H$4:$H$10,0))</f>
        <v>1.15</v>
      </c>
      <c r="BK8">
        <f>MATCH(BE8,Tariff!$B$12:$F$12,1)</f>
        <v>2</v>
      </c>
      <c r="BL8" s="9">
        <f>INDEX(Tariff!$B$4:$F$10,MATCH(AZ8,Tariff!$A$4:$A$10,0),BK8)</f>
        <v>55.9</v>
      </c>
      <c r="BM8" s="4">
        <f t="shared" si="11"/>
        <v>572.14</v>
      </c>
      <c r="BN8" s="4">
        <f>IF(BK8&lt;5,ROUND(INDEX(Tariff!$B$12:$F$12,BK8+1)/100*INDEX(Tariff!$B$4:$F$10,MATCH(AZ8,Tariff!$A$4:$A$10,0),BK8+1)*BJ8,2),BM8)</f>
        <v>547.4</v>
      </c>
      <c r="BO8" s="4">
        <f t="shared" si="12"/>
        <v>547.4</v>
      </c>
      <c r="BP8" s="4">
        <f>ROUND(BO8*Terms!$B$4,2)</f>
        <v>339.39</v>
      </c>
      <c r="BQ8" s="4">
        <f>MAX(BO8-BP8,Terms!$B$5)</f>
        <v>208.01</v>
      </c>
      <c r="BR8" t="str">
        <f t="shared" si="13"/>
        <v>09/21/2026</v>
      </c>
      <c r="BS8" s="11">
        <f>INDEX('Fuel Index'!$C$4:$C$16,MATCH(BR8,'Fuel Index'!$A$4:$A$16,0))</f>
        <v>0.275</v>
      </c>
      <c r="BT8" s="4">
        <f t="shared" si="14"/>
        <v>57.2</v>
      </c>
      <c r="BU8" t="str">
        <f>IFERROR(INDEX(BOL!$I$4:$I$25,MATCH(AV8,BOL!$B$4:$B$25,0)),INDEX(BOL!$V$4:$V$25,MATCH(AV8,BOL!$O$4:$O$25,0)))</f>
        <v>N</v>
      </c>
      <c r="BV8" t="str">
        <f>IFERROR(INDEX(BOL!$J$4:$J$25,MATCH(AV8,BOL!$B$4:$B$25,0)),INDEX(BOL!$W$4:$W$25,MATCH(AV8,BOL!$O$4:$O$25,0)))</f>
        <v>N</v>
      </c>
      <c r="BW8" t="str">
        <f>IFERROR(INDEX(BOL!$K$4:$K$25,MATCH(AV8,BOL!$B$4:$B$25,0)),INDEX(BOL!$X$4:$X$25,MATCH(AV8,BOL!$O$4:$O$25,0)))</f>
        <v>N</v>
      </c>
      <c r="BX8" t="str">
        <f>IFERROR(INDEX(BOL!$L$4:$L$25,MATCH(AV8,BOL!$B$4:$B$25,0)),INDEX(BOL!$Y$4:$Y$25,MATCH(AV8,BOL!$O$4:$O$25,0)))</f>
        <v>N</v>
      </c>
      <c r="BY8" s="4">
        <f>(BU8="Y")*Tariff!$O$4+(BV8="Y")*Tariff!$O$5+(BW8="Y")*Tariff!$O$6+(BX8="Y")*Tariff!$O$7</f>
        <v>0</v>
      </c>
      <c r="BZ8" s="4">
        <f>SUMIFS(Confirmations!$G$4:$G$7,Confirmations!$A$4:$A$7,AV8,Confirmations!$H$4:$H$7,"Yes")</f>
        <v>0</v>
      </c>
      <c r="CA8" s="4">
        <f t="shared" si="15"/>
        <v>0</v>
      </c>
      <c r="CB8" t="str">
        <f>IF(AND(AX8="No",COUNTIFS(Invoices!$B$4:$Q$26,AU8,Invoices!$A$4:$P$26,"&lt;"&amp;AT8)&gt;0),"Yes","No")</f>
        <v>No</v>
      </c>
      <c r="CC8" s="4">
        <f t="shared" si="16"/>
        <v>265.21</v>
      </c>
      <c r="CD8" s="4">
        <f>Invoices!AD8</f>
        <v>353.21</v>
      </c>
      <c r="CE8" s="4">
        <f t="shared" si="17"/>
        <v>88</v>
      </c>
      <c r="CF8" s="4">
        <f>Invoices!W8</f>
        <v>547.4</v>
      </c>
      <c r="CG8" s="4">
        <f>Invoices!Y8</f>
        <v>208.01</v>
      </c>
      <c r="CH8" s="11">
        <f>ROUND(Invoices!Z8/Terms!$B$9,4)</f>
        <v>0.275</v>
      </c>
      <c r="CI8" s="4">
        <f>Invoices!AC8</f>
        <v>88</v>
      </c>
      <c r="CJ8" t="str">
        <f t="shared" si="18"/>
        <v>6.1 accessorial overbilled</v>
      </c>
      <c r="CK8" t="str">
        <f t="shared" si="19"/>
        <v/>
      </c>
    </row>
    <row r="9" spans="1:89" x14ac:dyDescent="0.2">
      <c r="A9" t="str">
        <f>Invoices!A9</f>
        <v>NFL-90316</v>
      </c>
      <c r="B9">
        <f>Invoices!B9</f>
        <v>217675</v>
      </c>
      <c r="C9">
        <f>IFERROR(INDEX('Pro Matches'!$C$4:$C$4,MATCH(B9,'Pro Matches'!$A$4:$A$4,0)),B9)</f>
        <v>217675</v>
      </c>
      <c r="D9" t="str">
        <f>IF(COUNTIF(Corrections!$A$4:$A$4,A9)&gt;0,"Yes","No")</f>
        <v>No</v>
      </c>
      <c r="E9" t="str">
        <f>IF(COUNTIF(Corrections!$B$4:$B$4,A9)&gt;0,"Yes","No")</f>
        <v>No</v>
      </c>
      <c r="F9" t="str">
        <f>IFERROR(INDEX(BOL!$C$4:$C$25,MATCH(C9,BOL!$B$4:$B$25,0)),INDEX(BOL!$P$4:$P$25,MATCH(C9,BOL!$O$4:$O$25,0)))</f>
        <v>09/08/2026</v>
      </c>
      <c r="G9" t="str">
        <f>IFERROR(INDEX(BOL!$E$4:$E$25,MATCH(C9,BOL!$B$4:$B$25,0)),INDEX(BOL!$R$4:$R$25,MATCH(C9,BOL!$O$4:$O$25,0)))</f>
        <v>MT</v>
      </c>
      <c r="H9" t="str">
        <f>IFERROR(INDEX(BOL!$F$4:$F$25,MATCH(C9,BOL!$B$4:$B$25,0)),INDEX(BOL!$S$4:$S$25,MATCH(C9,BOL!$O$4:$O$25,0)))</f>
        <v>Fasteners and hardware</v>
      </c>
      <c r="I9">
        <f>IFERROR(INDEX(BOL!$H$4:$H$25,MATCH(C9,BOL!$B$4:$B$25,0)),INDEX(BOL!$U$4:$U$25,MATCH(C9,BOL!$O$4:$O$25,0)))</f>
        <v>1760</v>
      </c>
      <c r="J9">
        <f>Invoices!F9</f>
        <v>2040</v>
      </c>
      <c r="K9" t="str">
        <f>IF(COUNTIFS('Billing File'!$A$4:$A$15,C9,'Billing File'!$G$4:$G$15,"4.5 weight",'Billing File'!$F$4:$F$15,"Yes")&gt;0,"Yes","No")</f>
        <v>Yes</v>
      </c>
      <c r="L9">
        <f>IF(AND(K9="Yes",J9&gt;I9*(1+Terms!$B$6)),J9,I9)</f>
        <v>2040</v>
      </c>
      <c r="M9">
        <f>INDEX(Tariff!$L$4:$L$9,MATCH(H9,Tariff!$K$4:$K$9,0))</f>
        <v>60</v>
      </c>
      <c r="N9">
        <f>Invoices!G9</f>
        <v>60</v>
      </c>
      <c r="O9" t="str">
        <f>IF(COUNTIFS('Billing File'!$A$4:$A$15,C9,'Billing File'!$G$4:$G$15,"4.3 class",'Billing File'!$F$4:$F$15,"Yes")&gt;0,"Yes","No")</f>
        <v>No</v>
      </c>
      <c r="P9">
        <f t="shared" si="0"/>
        <v>60</v>
      </c>
      <c r="Q9" s="9">
        <f>INDEX(Tariff!$I$4:$I$10,MATCH(P9,Tariff!$H$4:$H$10,0))</f>
        <v>0.94</v>
      </c>
      <c r="R9">
        <f>MATCH(L9,Tariff!$B$12:$F$12,1)</f>
        <v>4</v>
      </c>
      <c r="S9" s="9">
        <f>INDEX(Tariff!$B$4:$F$10,MATCH(G9,Tariff!$A$4:$A$10,0),R9)</f>
        <v>49.95</v>
      </c>
      <c r="T9" s="4">
        <f t="shared" si="1"/>
        <v>957.84</v>
      </c>
      <c r="U9" s="4">
        <f>IF(R9&lt;5,ROUND(INDEX(Tariff!$B$12:$F$12,R9+1)/100*INDEX(Tariff!$B$4:$F$10,MATCH(G9,Tariff!$A$4:$A$10,0),R9+1)*Q9,2),T9)</f>
        <v>1908.2</v>
      </c>
      <c r="V9" s="4">
        <f t="shared" si="2"/>
        <v>957.84</v>
      </c>
      <c r="W9" s="4">
        <f>ROUND(V9*Terms!$B$4,2)</f>
        <v>593.86</v>
      </c>
      <c r="X9" s="4">
        <f>MAX(V9-W9,Terms!$B$5)</f>
        <v>363.98</v>
      </c>
      <c r="Y9" t="str">
        <f t="shared" si="3"/>
        <v>09/07/2026</v>
      </c>
      <c r="Z9" s="11">
        <f>INDEX('Fuel Index'!$C$4:$C$16,MATCH(Y9,'Fuel Index'!$A$4:$A$16,0))</f>
        <v>0.265</v>
      </c>
      <c r="AA9" s="4">
        <f t="shared" si="4"/>
        <v>96.45</v>
      </c>
      <c r="AB9" t="str">
        <f>IFERROR(INDEX(BOL!$I$4:$I$25,MATCH(C9,BOL!$B$4:$B$25,0)),INDEX(BOL!$V$4:$V$25,MATCH(C9,BOL!$O$4:$O$25,0)))</f>
        <v>N</v>
      </c>
      <c r="AC9" t="str">
        <f>IFERROR(INDEX(BOL!$J$4:$J$25,MATCH(C9,BOL!$B$4:$B$25,0)),INDEX(BOL!$W$4:$W$25,MATCH(C9,BOL!$O$4:$O$25,0)))</f>
        <v>N</v>
      </c>
      <c r="AD9" t="str">
        <f>IFERROR(INDEX(BOL!$K$4:$K$25,MATCH(C9,BOL!$B$4:$B$25,0)),INDEX(BOL!$X$4:$X$25,MATCH(C9,BOL!$O$4:$O$25,0)))</f>
        <v>N</v>
      </c>
      <c r="AE9" t="str">
        <f>IFERROR(INDEX(BOL!$L$4:$L$25,MATCH(C9,BOL!$B$4:$B$25,0)),INDEX(BOL!$Y$4:$Y$25,MATCH(C9,BOL!$O$4:$O$25,0)))</f>
        <v>N</v>
      </c>
      <c r="AF9" s="4">
        <f>(AB9="Y")*Tariff!$O$4+(AC9="Y")*Tariff!$O$5+(AD9="Y")*Tariff!$O$6+(AE9="Y")*Tariff!$O$7</f>
        <v>0</v>
      </c>
      <c r="AG9" s="4">
        <f>SUMIFS(Confirmations!$G$4:$G$7,Confirmations!$A$4:$A$7,C9,Confirmations!$H$4:$H$7,"Yes")</f>
        <v>0</v>
      </c>
      <c r="AH9" s="4">
        <f t="shared" si="5"/>
        <v>0</v>
      </c>
      <c r="AI9" t="str">
        <f>IF(AND(E9="No",COUNTIFS(Invoices!$B$4:$Q$26,B9,Invoices!$A$4:$P$26,"&lt;"&amp;A9)&gt;0),"Yes","No")</f>
        <v>No</v>
      </c>
      <c r="AJ9" s="4">
        <f t="shared" si="6"/>
        <v>460.43</v>
      </c>
      <c r="AK9" s="4">
        <f>Invoices!O9</f>
        <v>460.43</v>
      </c>
      <c r="AL9" s="4">
        <f t="shared" si="7"/>
        <v>0</v>
      </c>
      <c r="AM9" s="4">
        <f>Invoices!H9</f>
        <v>957.84</v>
      </c>
      <c r="AN9" s="4">
        <f>Invoices!J9</f>
        <v>363.98</v>
      </c>
      <c r="AO9" s="11">
        <f>ROUND(Invoices!K9/Terms!$B$9,4)</f>
        <v>0.265</v>
      </c>
      <c r="AP9" s="4">
        <f>Invoices!N9</f>
        <v>0</v>
      </c>
      <c r="AQ9" t="str">
        <f t="shared" si="8"/>
        <v/>
      </c>
      <c r="AR9" t="str">
        <f t="shared" si="9"/>
        <v>4.5 certified scale ticket</v>
      </c>
      <c r="AT9" t="str">
        <f>Invoices!P9</f>
        <v>NFL-90343</v>
      </c>
      <c r="AU9">
        <f>Invoices!Q9</f>
        <v>217757</v>
      </c>
      <c r="AV9">
        <f>IFERROR(INDEX('Pro Matches'!$C$4:$C$4,MATCH(AU9,'Pro Matches'!$A$4:$A$4,0)),AU9)</f>
        <v>217757</v>
      </c>
      <c r="AW9" t="str">
        <f>IF(COUNTIF(Corrections!$A$4:$A$4,AT9)&gt;0,"Yes","No")</f>
        <v>No</v>
      </c>
      <c r="AX9" t="str">
        <f>IF(COUNTIF(Corrections!$B$4:$B$4,AT9)&gt;0,"Yes","No")</f>
        <v>No</v>
      </c>
      <c r="AY9" t="str">
        <f>IFERROR(INDEX(BOL!$C$4:$C$25,MATCH(AV9,BOL!$B$4:$B$25,0)),INDEX(BOL!$P$4:$P$25,MATCH(AV9,BOL!$O$4:$O$25,0)))</f>
        <v>09/22/2026</v>
      </c>
      <c r="AZ9" t="str">
        <f>IFERROR(INDEX(BOL!$E$4:$E$25,MATCH(AV9,BOL!$B$4:$B$25,0)),INDEX(BOL!$R$4:$R$25,MATCH(AV9,BOL!$O$4:$O$25,0)))</f>
        <v>WI</v>
      </c>
      <c r="BA9" t="str">
        <f>IFERROR(INDEX(BOL!$F$4:$F$25,MATCH(AV9,BOL!$B$4:$B$25,0)),INDEX(BOL!$S$4:$S$25,MATCH(AV9,BOL!$O$4:$O$25,0)))</f>
        <v>Windows and doors</v>
      </c>
      <c r="BB9">
        <f>IFERROR(INDEX(BOL!$H$4:$H$25,MATCH(AV9,BOL!$B$4:$B$25,0)),INDEX(BOL!$U$4:$U$25,MATCH(AV9,BOL!$O$4:$O$25,0)))</f>
        <v>930</v>
      </c>
      <c r="BC9">
        <f>Invoices!U9</f>
        <v>930</v>
      </c>
      <c r="BD9" t="str">
        <f>IF(COUNTIFS('Billing File'!$A$4:$A$15,AV9,'Billing File'!$G$4:$G$15,"4.5 weight",'Billing File'!$F$4:$F$15,"Yes")&gt;0,"Yes","No")</f>
        <v>No</v>
      </c>
      <c r="BE9">
        <f>IF(AND(BD9="Yes",BC9&gt;BB9*(1+Terms!$B$6)),BC9,BB9)</f>
        <v>930</v>
      </c>
      <c r="BF9">
        <f>INDEX(Tariff!$L$4:$L$9,MATCH(BA9,Tariff!$K$4:$K$9,0))</f>
        <v>100</v>
      </c>
      <c r="BG9">
        <f>Invoices!V9</f>
        <v>100</v>
      </c>
      <c r="BH9" t="str">
        <f>IF(COUNTIFS('Billing File'!$A$4:$A$15,AV9,'Billing File'!$G$4:$G$15,"4.3 class",'Billing File'!$F$4:$F$15,"Yes")&gt;0,"Yes","No")</f>
        <v>No</v>
      </c>
      <c r="BI9">
        <f t="shared" si="10"/>
        <v>100</v>
      </c>
      <c r="BJ9" s="9">
        <f>INDEX(Tariff!$I$4:$I$10,MATCH(BI9,Tariff!$H$4:$H$10,0))</f>
        <v>1.45</v>
      </c>
      <c r="BK9">
        <f>MATCH(BE9,Tariff!$B$12:$F$12,1)</f>
        <v>2</v>
      </c>
      <c r="BL9" s="9">
        <f>INDEX(Tariff!$B$4:$F$10,MATCH(AZ9,Tariff!$A$4:$A$10,0),BK9)</f>
        <v>59.05</v>
      </c>
      <c r="BM9" s="4">
        <f t="shared" si="11"/>
        <v>796.29</v>
      </c>
      <c r="BN9" s="4">
        <f>IF(BK9&lt;5,ROUND(INDEX(Tariff!$B$12:$F$12,BK9+1)/100*INDEX(Tariff!$B$4:$F$10,MATCH(AZ9,Tariff!$A$4:$A$10,0),BK9+1)*BJ9,2),BM9)</f>
        <v>729.35</v>
      </c>
      <c r="BO9" s="4">
        <f t="shared" si="12"/>
        <v>729.35</v>
      </c>
      <c r="BP9" s="4">
        <f>ROUND(BO9*Terms!$B$4,2)</f>
        <v>452.2</v>
      </c>
      <c r="BQ9" s="4">
        <f>MAX(BO9-BP9,Terms!$B$5)</f>
        <v>277.15</v>
      </c>
      <c r="BR9" t="str">
        <f t="shared" si="13"/>
        <v>09/21/2026</v>
      </c>
      <c r="BS9" s="11">
        <f>INDEX('Fuel Index'!$C$4:$C$16,MATCH(BR9,'Fuel Index'!$A$4:$A$16,0))</f>
        <v>0.275</v>
      </c>
      <c r="BT9" s="4">
        <f t="shared" si="14"/>
        <v>76.22</v>
      </c>
      <c r="BU9" t="str">
        <f>IFERROR(INDEX(BOL!$I$4:$I$25,MATCH(AV9,BOL!$B$4:$B$25,0)),INDEX(BOL!$V$4:$V$25,MATCH(AV9,BOL!$O$4:$O$25,0)))</f>
        <v>N</v>
      </c>
      <c r="BV9" t="str">
        <f>IFERROR(INDEX(BOL!$J$4:$J$25,MATCH(AV9,BOL!$B$4:$B$25,0)),INDEX(BOL!$W$4:$W$25,MATCH(AV9,BOL!$O$4:$O$25,0)))</f>
        <v>N</v>
      </c>
      <c r="BW9" t="str">
        <f>IFERROR(INDEX(BOL!$K$4:$K$25,MATCH(AV9,BOL!$B$4:$B$25,0)),INDEX(BOL!$X$4:$X$25,MATCH(AV9,BOL!$O$4:$O$25,0)))</f>
        <v>N</v>
      </c>
      <c r="BX9" t="str">
        <f>IFERROR(INDEX(BOL!$L$4:$L$25,MATCH(AV9,BOL!$B$4:$B$25,0)),INDEX(BOL!$Y$4:$Y$25,MATCH(AV9,BOL!$O$4:$O$25,0)))</f>
        <v>N</v>
      </c>
      <c r="BY9" s="4">
        <f>(BU9="Y")*Tariff!$O$4+(BV9="Y")*Tariff!$O$5+(BW9="Y")*Tariff!$O$6+(BX9="Y")*Tariff!$O$7</f>
        <v>0</v>
      </c>
      <c r="BZ9" s="4">
        <f>SUMIFS(Confirmations!$G$4:$G$7,Confirmations!$A$4:$A$7,AV9,Confirmations!$H$4:$H$7,"Yes")</f>
        <v>0</v>
      </c>
      <c r="CA9" s="4">
        <f t="shared" si="15"/>
        <v>0</v>
      </c>
      <c r="CB9" t="str">
        <f>IF(AND(AX9="No",COUNTIFS(Invoices!$B$4:$Q$26,AU9,Invoices!$A$4:$P$26,"&lt;"&amp;AT9)&gt;0),"Yes","No")</f>
        <v>No</v>
      </c>
      <c r="CC9" s="4">
        <f t="shared" si="16"/>
        <v>353.37</v>
      </c>
      <c r="CD9" s="4">
        <f>Invoices!AD9</f>
        <v>385.8</v>
      </c>
      <c r="CE9" s="4">
        <f t="shared" si="17"/>
        <v>32.43</v>
      </c>
      <c r="CF9" s="4">
        <f>Invoices!W9</f>
        <v>796.29</v>
      </c>
      <c r="CG9" s="4">
        <f>Invoices!Y9</f>
        <v>302.59</v>
      </c>
      <c r="CH9" s="11">
        <f>ROUND(Invoices!Z9/Terms!$B$9,4)</f>
        <v>0.275</v>
      </c>
      <c r="CI9" s="4">
        <f>Invoices!AC9</f>
        <v>0</v>
      </c>
      <c r="CJ9" t="str">
        <f t="shared" si="18"/>
        <v>4.2 deficit weight</v>
      </c>
      <c r="CK9" t="str">
        <f t="shared" si="19"/>
        <v/>
      </c>
    </row>
    <row r="10" spans="1:89" x14ac:dyDescent="0.2">
      <c r="A10" t="str">
        <f>Invoices!A10</f>
        <v>NFL-90317</v>
      </c>
      <c r="B10">
        <f>Invoices!B10</f>
        <v>217738</v>
      </c>
      <c r="C10">
        <f>IFERROR(INDEX('Pro Matches'!$C$4:$C$4,MATCH(B10,'Pro Matches'!$A$4:$A$4,0)),B10)</f>
        <v>217738</v>
      </c>
      <c r="D10" t="str">
        <f>IF(COUNTIF(Corrections!$A$4:$A$4,A10)&gt;0,"Yes","No")</f>
        <v>No</v>
      </c>
      <c r="E10" t="str">
        <f>IF(COUNTIF(Corrections!$B$4:$B$4,A10)&gt;0,"Yes","No")</f>
        <v>No</v>
      </c>
      <c r="F10" t="str">
        <f>IFERROR(INDEX(BOL!$C$4:$C$25,MATCH(C10,BOL!$B$4:$B$25,0)),INDEX(BOL!$P$4:$P$25,MATCH(C10,BOL!$O$4:$O$25,0)))</f>
        <v>09/10/2026</v>
      </c>
      <c r="G10" t="str">
        <f>IFERROR(INDEX(BOL!$E$4:$E$25,MATCH(C10,BOL!$B$4:$B$25,0)),INDEX(BOL!$R$4:$R$25,MATCH(C10,BOL!$O$4:$O$25,0)))</f>
        <v>MN</v>
      </c>
      <c r="H10" t="str">
        <f>IFERROR(INDEX(BOL!$F$4:$F$25,MATCH(C10,BOL!$B$4:$B$25,0)),INDEX(BOL!$S$4:$S$25,MATCH(C10,BOL!$O$4:$O$25,0)))</f>
        <v>Fasteners and hardware</v>
      </c>
      <c r="I10">
        <f>IFERROR(INDEX(BOL!$H$4:$H$25,MATCH(C10,BOL!$B$4:$B$25,0)),INDEX(BOL!$U$4:$U$25,MATCH(C10,BOL!$O$4:$O$25,0)))</f>
        <v>1130</v>
      </c>
      <c r="J10">
        <f>Invoices!F10</f>
        <v>1130</v>
      </c>
      <c r="K10" t="str">
        <f>IF(COUNTIFS('Billing File'!$A$4:$A$15,C10,'Billing File'!$G$4:$G$15,"4.5 weight",'Billing File'!$F$4:$F$15,"Yes")&gt;0,"Yes","No")</f>
        <v>No</v>
      </c>
      <c r="L10">
        <f>IF(AND(K10="Yes",J10&gt;I10*(1+Terms!$B$6)),J10,I10)</f>
        <v>1130</v>
      </c>
      <c r="M10">
        <f>INDEX(Tariff!$L$4:$L$9,MATCH(H10,Tariff!$K$4:$K$9,0))</f>
        <v>60</v>
      </c>
      <c r="N10">
        <f>Invoices!G10</f>
        <v>60</v>
      </c>
      <c r="O10" t="str">
        <f>IF(COUNTIFS('Billing File'!$A$4:$A$15,C10,'Billing File'!$G$4:$G$15,"4.3 class",'Billing File'!$F$4:$F$15,"Yes")&gt;0,"Yes","No")</f>
        <v>No</v>
      </c>
      <c r="P10">
        <f t="shared" si="0"/>
        <v>60</v>
      </c>
      <c r="Q10" s="9">
        <f>INDEX(Tariff!$I$4:$I$10,MATCH(P10,Tariff!$H$4:$H$10,0))</f>
        <v>0.94</v>
      </c>
      <c r="R10">
        <f>MATCH(L10,Tariff!$B$12:$F$12,1)</f>
        <v>3</v>
      </c>
      <c r="S10" s="9">
        <f>INDEX(Tariff!$B$4:$F$10,MATCH(G10,Tariff!$A$4:$A$10,0),R10)</f>
        <v>41.75</v>
      </c>
      <c r="T10" s="4">
        <f t="shared" si="1"/>
        <v>443.47</v>
      </c>
      <c r="U10" s="4">
        <f>IF(R10&lt;5,ROUND(INDEX(Tariff!$B$12:$F$12,R10+1)/100*INDEX(Tariff!$B$4:$F$10,MATCH(G10,Tariff!$A$4:$A$10,0),R10+1)*Q10,2),T10)</f>
        <v>642.96</v>
      </c>
      <c r="V10" s="4">
        <f t="shared" si="2"/>
        <v>443.47</v>
      </c>
      <c r="W10" s="4">
        <f>ROUND(V10*Terms!$B$4,2)</f>
        <v>274.95</v>
      </c>
      <c r="X10" s="4">
        <f>MAX(V10-W10,Terms!$B$5)</f>
        <v>168.52</v>
      </c>
      <c r="Y10" t="str">
        <f t="shared" si="3"/>
        <v>09/07/2026</v>
      </c>
      <c r="Z10" s="11">
        <f>INDEX('Fuel Index'!$C$4:$C$16,MATCH(Y10,'Fuel Index'!$A$4:$A$16,0))</f>
        <v>0.265</v>
      </c>
      <c r="AA10" s="4">
        <f t="shared" si="4"/>
        <v>44.66</v>
      </c>
      <c r="AB10" t="str">
        <f>IFERROR(INDEX(BOL!$I$4:$I$25,MATCH(C10,BOL!$B$4:$B$25,0)),INDEX(BOL!$V$4:$V$25,MATCH(C10,BOL!$O$4:$O$25,0)))</f>
        <v>Y</v>
      </c>
      <c r="AC10" t="str">
        <f>IFERROR(INDEX(BOL!$J$4:$J$25,MATCH(C10,BOL!$B$4:$B$25,0)),INDEX(BOL!$W$4:$W$25,MATCH(C10,BOL!$O$4:$O$25,0)))</f>
        <v>N</v>
      </c>
      <c r="AD10" t="str">
        <f>IFERROR(INDEX(BOL!$K$4:$K$25,MATCH(C10,BOL!$B$4:$B$25,0)),INDEX(BOL!$X$4:$X$25,MATCH(C10,BOL!$O$4:$O$25,0)))</f>
        <v>N</v>
      </c>
      <c r="AE10" t="str">
        <f>IFERROR(INDEX(BOL!$L$4:$L$25,MATCH(C10,BOL!$B$4:$B$25,0)),INDEX(BOL!$Y$4:$Y$25,MATCH(C10,BOL!$O$4:$O$25,0)))</f>
        <v>N</v>
      </c>
      <c r="AF10" s="4">
        <f>(AB10="Y")*Tariff!$O$4+(AC10="Y")*Tariff!$O$5+(AD10="Y")*Tariff!$O$6+(AE10="Y")*Tariff!$O$7</f>
        <v>75</v>
      </c>
      <c r="AG10" s="4">
        <f>SUMIFS(Confirmations!$G$4:$G$7,Confirmations!$A$4:$A$7,C10,Confirmations!$H$4:$H$7,"Yes")</f>
        <v>0</v>
      </c>
      <c r="AH10" s="4">
        <f t="shared" si="5"/>
        <v>75</v>
      </c>
      <c r="AI10" t="str">
        <f>IF(AND(E10="No",COUNTIFS(Invoices!$B$4:$Q$26,B10,Invoices!$A$4:$P$26,"&lt;"&amp;A10)&gt;0),"Yes","No")</f>
        <v>No</v>
      </c>
      <c r="AJ10" s="4">
        <f t="shared" si="6"/>
        <v>288.18</v>
      </c>
      <c r="AK10" s="4">
        <f>Invoices!O10</f>
        <v>213.18</v>
      </c>
      <c r="AL10" s="4">
        <f t="shared" si="7"/>
        <v>-75</v>
      </c>
      <c r="AM10" s="4">
        <f>Invoices!H10</f>
        <v>443.47</v>
      </c>
      <c r="AN10" s="4">
        <f>Invoices!J10</f>
        <v>168.52</v>
      </c>
      <c r="AO10" s="11">
        <f>ROUND(Invoices!K10/Terms!$B$9,4)</f>
        <v>0.265</v>
      </c>
      <c r="AP10" s="4">
        <f>Invoices!N10</f>
        <v>0</v>
      </c>
      <c r="AQ10" t="str">
        <f t="shared" si="8"/>
        <v>6.1 accessorial omitted</v>
      </c>
      <c r="AR10" t="str">
        <f t="shared" si="9"/>
        <v/>
      </c>
      <c r="AT10" t="str">
        <f>Invoices!P10</f>
        <v>NFL-90344</v>
      </c>
      <c r="AU10">
        <f>Invoices!Q10</f>
        <v>217851</v>
      </c>
      <c r="AV10">
        <f>IFERROR(INDEX('Pro Matches'!$C$4:$C$4,MATCH(AU10,'Pro Matches'!$A$4:$A$4,0)),AU10)</f>
        <v>217851</v>
      </c>
      <c r="AW10" t="str">
        <f>IF(COUNTIF(Corrections!$A$4:$A$4,AT10)&gt;0,"Yes","No")</f>
        <v>No</v>
      </c>
      <c r="AX10" t="str">
        <f>IF(COUNTIF(Corrections!$B$4:$B$4,AT10)&gt;0,"Yes","No")</f>
        <v>No</v>
      </c>
      <c r="AY10" t="str">
        <f>IFERROR(INDEX(BOL!$C$4:$C$25,MATCH(AV10,BOL!$B$4:$B$25,0)),INDEX(BOL!$P$4:$P$25,MATCH(AV10,BOL!$O$4:$O$25,0)))</f>
        <v>09/21/2026</v>
      </c>
      <c r="AZ10" t="str">
        <f>IFERROR(INDEX(BOL!$E$4:$E$25,MATCH(AV10,BOL!$B$4:$B$25,0)),INDEX(BOL!$R$4:$R$25,MATCH(AV10,BOL!$O$4:$O$25,0)))</f>
        <v>MN</v>
      </c>
      <c r="BA10" t="str">
        <f>IFERROR(INDEX(BOL!$F$4:$F$25,MATCH(AV10,BOL!$B$4:$B$25,0)),INDEX(BOL!$S$4:$S$25,MATCH(AV10,BOL!$O$4:$O$25,0)))</f>
        <v>Sealants and coatings</v>
      </c>
      <c r="BB10">
        <f>IFERROR(INDEX(BOL!$H$4:$H$25,MATCH(AV10,BOL!$B$4:$B$25,0)),INDEX(BOL!$U$4:$U$25,MATCH(AV10,BOL!$O$4:$O$25,0)))</f>
        <v>4470</v>
      </c>
      <c r="BC10">
        <f>Invoices!U10</f>
        <v>4470</v>
      </c>
      <c r="BD10" t="str">
        <f>IF(COUNTIFS('Billing File'!$A$4:$A$15,AV10,'Billing File'!$G$4:$G$15,"4.5 weight",'Billing File'!$F$4:$F$15,"Yes")&gt;0,"Yes","No")</f>
        <v>No</v>
      </c>
      <c r="BE10">
        <f>IF(AND(BD10="Yes",BC10&gt;BB10*(1+Terms!$B$6)),BC10,BB10)</f>
        <v>4470</v>
      </c>
      <c r="BF10">
        <f>INDEX(Tariff!$L$4:$L$9,MATCH(BA10,Tariff!$K$4:$K$9,0))</f>
        <v>85</v>
      </c>
      <c r="BG10">
        <f>Invoices!V10</f>
        <v>85</v>
      </c>
      <c r="BH10" t="str">
        <f>IF(COUNTIFS('Billing File'!$A$4:$A$15,AV10,'Billing File'!$G$4:$G$15,"4.3 class",'Billing File'!$F$4:$F$15,"Yes")&gt;0,"Yes","No")</f>
        <v>No</v>
      </c>
      <c r="BI10">
        <f t="shared" si="10"/>
        <v>85</v>
      </c>
      <c r="BJ10" s="9">
        <f>INDEX(Tariff!$I$4:$I$10,MATCH(BI10,Tariff!$H$4:$H$10,0))</f>
        <v>1.15</v>
      </c>
      <c r="BK10">
        <f>MATCH(BE10,Tariff!$B$12:$F$12,1)</f>
        <v>4</v>
      </c>
      <c r="BL10" s="9">
        <f>INDEX(Tariff!$B$4:$F$10,MATCH(AZ10,Tariff!$A$4:$A$10,0),BK10)</f>
        <v>34.2</v>
      </c>
      <c r="BM10" s="4">
        <f t="shared" si="11"/>
        <v>1758.05</v>
      </c>
      <c r="BN10" s="4">
        <f>IF(BK10&lt;5,ROUND(INDEX(Tariff!$B$12:$F$12,BK10+1)/100*INDEX(Tariff!$B$4:$F$10,MATCH(AZ10,Tariff!$A$4:$A$10,0),BK10+1)*BJ10,2),BM10)</f>
        <v>1601.38</v>
      </c>
      <c r="BO10" s="4">
        <f t="shared" si="12"/>
        <v>1601.38</v>
      </c>
      <c r="BP10" s="4">
        <f>ROUND(BO10*Terms!$B$4,2)</f>
        <v>992.86</v>
      </c>
      <c r="BQ10" s="4">
        <f>MAX(BO10-BP10,Terms!$B$5)</f>
        <v>608.52</v>
      </c>
      <c r="BR10" t="str">
        <f t="shared" si="13"/>
        <v>09/21/2026</v>
      </c>
      <c r="BS10" s="11">
        <f>INDEX('Fuel Index'!$C$4:$C$16,MATCH(BR10,'Fuel Index'!$A$4:$A$16,0))</f>
        <v>0.275</v>
      </c>
      <c r="BT10" s="4">
        <f t="shared" si="14"/>
        <v>167.34</v>
      </c>
      <c r="BU10" t="str">
        <f>IFERROR(INDEX(BOL!$I$4:$I$25,MATCH(AV10,BOL!$B$4:$B$25,0)),INDEX(BOL!$V$4:$V$25,MATCH(AV10,BOL!$O$4:$O$25,0)))</f>
        <v>N</v>
      </c>
      <c r="BV10" t="str">
        <f>IFERROR(INDEX(BOL!$J$4:$J$25,MATCH(AV10,BOL!$B$4:$B$25,0)),INDEX(BOL!$W$4:$W$25,MATCH(AV10,BOL!$O$4:$O$25,0)))</f>
        <v>N</v>
      </c>
      <c r="BW10" t="str">
        <f>IFERROR(INDEX(BOL!$K$4:$K$25,MATCH(AV10,BOL!$B$4:$B$25,0)),INDEX(BOL!$X$4:$X$25,MATCH(AV10,BOL!$O$4:$O$25,0)))</f>
        <v>N</v>
      </c>
      <c r="BX10" t="str">
        <f>IFERROR(INDEX(BOL!$L$4:$L$25,MATCH(AV10,BOL!$B$4:$B$25,0)),INDEX(BOL!$Y$4:$Y$25,MATCH(AV10,BOL!$O$4:$O$25,0)))</f>
        <v>N</v>
      </c>
      <c r="BY10" s="4">
        <f>(BU10="Y")*Tariff!$O$4+(BV10="Y")*Tariff!$O$5+(BW10="Y")*Tariff!$O$6+(BX10="Y")*Tariff!$O$7</f>
        <v>0</v>
      </c>
      <c r="BZ10" s="4">
        <f>SUMIFS(Confirmations!$G$4:$G$7,Confirmations!$A$4:$A$7,AV10,Confirmations!$H$4:$H$7,"Yes")</f>
        <v>0</v>
      </c>
      <c r="CA10" s="4">
        <f t="shared" si="15"/>
        <v>0</v>
      </c>
      <c r="CB10" t="str">
        <f>IF(AND(AX10="No",COUNTIFS(Invoices!$B$4:$Q$26,AU10,Invoices!$A$4:$P$26,"&lt;"&amp;AT10)&gt;0),"Yes","No")</f>
        <v>No</v>
      </c>
      <c r="CC10" s="4">
        <f t="shared" si="16"/>
        <v>775.86</v>
      </c>
      <c r="CD10" s="4">
        <f>Invoices!AD10</f>
        <v>775.86</v>
      </c>
      <c r="CE10" s="4">
        <f t="shared" si="17"/>
        <v>0</v>
      </c>
      <c r="CF10" s="4">
        <f>Invoices!W10</f>
        <v>1601.38</v>
      </c>
      <c r="CG10" s="4">
        <f>Invoices!Y10</f>
        <v>608.52</v>
      </c>
      <c r="CH10" s="11">
        <f>ROUND(Invoices!Z10/Terms!$B$9,4)</f>
        <v>0.275</v>
      </c>
      <c r="CI10" s="4">
        <f>Invoices!AC10</f>
        <v>0</v>
      </c>
      <c r="CJ10" t="str">
        <f t="shared" si="18"/>
        <v/>
      </c>
      <c r="CK10" t="str">
        <f t="shared" si="19"/>
        <v/>
      </c>
    </row>
    <row r="11" spans="1:89" x14ac:dyDescent="0.2">
      <c r="A11" t="str">
        <f>Invoices!A11</f>
        <v>NFL-90318</v>
      </c>
      <c r="B11">
        <f>Invoices!B11</f>
        <v>217846</v>
      </c>
      <c r="C11">
        <f>IFERROR(INDEX('Pro Matches'!$C$4:$C$4,MATCH(B11,'Pro Matches'!$A$4:$A$4,0)),B11)</f>
        <v>217846</v>
      </c>
      <c r="D11" t="str">
        <f>IF(COUNTIF(Corrections!$A$4:$A$4,A11)&gt;0,"Yes","No")</f>
        <v>Yes</v>
      </c>
      <c r="E11" t="str">
        <f>IF(COUNTIF(Corrections!$B$4:$B$4,A11)&gt;0,"Yes","No")</f>
        <v>No</v>
      </c>
      <c r="F11" t="str">
        <f>IFERROR(INDEX(BOL!$C$4:$C$25,MATCH(C11,BOL!$B$4:$B$25,0)),INDEX(BOL!$P$4:$P$25,MATCH(C11,BOL!$O$4:$O$25,0)))</f>
        <v>09/09/2026</v>
      </c>
      <c r="G11" t="str">
        <f>IFERROR(INDEX(BOL!$E$4:$E$25,MATCH(C11,BOL!$B$4:$B$25,0)),INDEX(BOL!$R$4:$R$25,MATCH(C11,BOL!$O$4:$O$25,0)))</f>
        <v>WI</v>
      </c>
      <c r="H11" t="str">
        <f>IFERROR(INDEX(BOL!$F$4:$F$25,MATCH(C11,BOL!$B$4:$B$25,0)),INDEX(BOL!$S$4:$S$25,MATCH(C11,BOL!$O$4:$O$25,0)))</f>
        <v>Windows and doors</v>
      </c>
      <c r="I11">
        <f>IFERROR(INDEX(BOL!$H$4:$H$25,MATCH(C11,BOL!$B$4:$B$25,0)),INDEX(BOL!$U$4:$U$25,MATCH(C11,BOL!$O$4:$O$25,0)))</f>
        <v>1590</v>
      </c>
      <c r="J11">
        <f>Invoices!F11</f>
        <v>1950</v>
      </c>
      <c r="K11" t="str">
        <f>IF(COUNTIFS('Billing File'!$A$4:$A$15,C11,'Billing File'!$G$4:$G$15,"4.5 weight",'Billing File'!$F$4:$F$15,"Yes")&gt;0,"Yes","No")</f>
        <v>No</v>
      </c>
      <c r="L11">
        <f>IF(AND(K11="Yes",J11&gt;I11*(1+Terms!$B$6)),J11,I11)</f>
        <v>1590</v>
      </c>
      <c r="M11">
        <f>INDEX(Tariff!$L$4:$L$9,MATCH(H11,Tariff!$K$4:$K$9,0))</f>
        <v>100</v>
      </c>
      <c r="N11">
        <f>Invoices!G11</f>
        <v>100</v>
      </c>
      <c r="O11" t="str">
        <f>IF(COUNTIFS('Billing File'!$A$4:$A$15,C11,'Billing File'!$G$4:$G$15,"4.3 class",'Billing File'!$F$4:$F$15,"Yes")&gt;0,"Yes","No")</f>
        <v>No</v>
      </c>
      <c r="P11">
        <f t="shared" si="0"/>
        <v>100</v>
      </c>
      <c r="Q11" s="9">
        <f>INDEX(Tariff!$I$4:$I$10,MATCH(P11,Tariff!$H$4:$H$10,0))</f>
        <v>1.45</v>
      </c>
      <c r="R11">
        <f>MATCH(L11,Tariff!$B$12:$F$12,1)</f>
        <v>3</v>
      </c>
      <c r="S11" s="9">
        <f>INDEX(Tariff!$B$4:$F$10,MATCH(G11,Tariff!$A$4:$A$10,0),R11)</f>
        <v>50.3</v>
      </c>
      <c r="T11" s="4">
        <f t="shared" si="1"/>
        <v>1159.67</v>
      </c>
      <c r="U11" s="4">
        <f>IF(R11&lt;5,ROUND(INDEX(Tariff!$B$12:$F$12,R11+1)/100*INDEX(Tariff!$B$4:$F$10,MATCH(G11,Tariff!$A$4:$A$10,0),R11+1)*Q11,2),T11)</f>
        <v>1197.7</v>
      </c>
      <c r="V11" s="4">
        <f t="shared" si="2"/>
        <v>1159.67</v>
      </c>
      <c r="W11" s="4">
        <f>ROUND(V11*Terms!$B$4,2)</f>
        <v>719</v>
      </c>
      <c r="X11" s="4">
        <f>MAX(V11-W11,Terms!$B$5)</f>
        <v>440.67</v>
      </c>
      <c r="Y11" t="str">
        <f t="shared" si="3"/>
        <v>09/07/2026</v>
      </c>
      <c r="Z11" s="11">
        <f>INDEX('Fuel Index'!$C$4:$C$16,MATCH(Y11,'Fuel Index'!$A$4:$A$16,0))</f>
        <v>0.265</v>
      </c>
      <c r="AA11" s="4">
        <f t="shared" si="4"/>
        <v>116.78</v>
      </c>
      <c r="AB11" t="str">
        <f>IFERROR(INDEX(BOL!$I$4:$I$25,MATCH(C11,BOL!$B$4:$B$25,0)),INDEX(BOL!$V$4:$V$25,MATCH(C11,BOL!$O$4:$O$25,0)))</f>
        <v>Y</v>
      </c>
      <c r="AC11" t="str">
        <f>IFERROR(INDEX(BOL!$J$4:$J$25,MATCH(C11,BOL!$B$4:$B$25,0)),INDEX(BOL!$W$4:$W$25,MATCH(C11,BOL!$O$4:$O$25,0)))</f>
        <v>N</v>
      </c>
      <c r="AD11" t="str">
        <f>IFERROR(INDEX(BOL!$K$4:$K$25,MATCH(C11,BOL!$B$4:$B$25,0)),INDEX(BOL!$X$4:$X$25,MATCH(C11,BOL!$O$4:$O$25,0)))</f>
        <v>N</v>
      </c>
      <c r="AE11" t="str">
        <f>IFERROR(INDEX(BOL!$L$4:$L$25,MATCH(C11,BOL!$B$4:$B$25,0)),INDEX(BOL!$Y$4:$Y$25,MATCH(C11,BOL!$O$4:$O$25,0)))</f>
        <v>N</v>
      </c>
      <c r="AF11" s="4">
        <f>(AB11="Y")*Tariff!$O$4+(AC11="Y")*Tariff!$O$5+(AD11="Y")*Tariff!$O$6+(AE11="Y")*Tariff!$O$7</f>
        <v>75</v>
      </c>
      <c r="AG11" s="4">
        <f>SUMIFS(Confirmations!$G$4:$G$7,Confirmations!$A$4:$A$7,C11,Confirmations!$H$4:$H$7,"Yes")</f>
        <v>0</v>
      </c>
      <c r="AH11" s="4">
        <f t="shared" si="5"/>
        <v>75</v>
      </c>
      <c r="AI11" t="str">
        <f>IF(AND(E11="No",COUNTIFS(Invoices!$B$4:$Q$26,B11,Invoices!$A$4:$P$26,"&lt;"&amp;A11)&gt;0),"Yes","No")</f>
        <v>No</v>
      </c>
      <c r="AJ11" s="4">
        <f t="shared" si="6"/>
        <v>0</v>
      </c>
      <c r="AK11" s="4">
        <f>Invoices!O11</f>
        <v>650.74</v>
      </c>
      <c r="AL11" s="4">
        <f t="shared" si="7"/>
        <v>650.74</v>
      </c>
      <c r="AM11" s="4">
        <f>Invoices!H11</f>
        <v>1197.7</v>
      </c>
      <c r="AN11" s="4">
        <f>Invoices!J11</f>
        <v>455.13</v>
      </c>
      <c r="AO11" s="11">
        <f>ROUND(Invoices!K11/Terms!$B$9,4)</f>
        <v>0.265</v>
      </c>
      <c r="AP11" s="4">
        <f>Invoices!N11</f>
        <v>75</v>
      </c>
      <c r="AQ11" t="str">
        <f t="shared" si="8"/>
        <v>7.1 withdrawn bill</v>
      </c>
      <c r="AR11" t="str">
        <f t="shared" si="9"/>
        <v/>
      </c>
      <c r="AT11" t="str">
        <f>Invoices!P11</f>
        <v>NFL-90346</v>
      </c>
      <c r="AU11">
        <f>Invoices!Q11</f>
        <v>217864</v>
      </c>
      <c r="AV11">
        <f>IFERROR(INDEX('Pro Matches'!$C$4:$C$4,MATCH(AU11,'Pro Matches'!$A$4:$A$4,0)),AU11)</f>
        <v>217864</v>
      </c>
      <c r="AW11" t="str">
        <f>IF(COUNTIF(Corrections!$A$4:$A$4,AT11)&gt;0,"Yes","No")</f>
        <v>No</v>
      </c>
      <c r="AX11" t="str">
        <f>IF(COUNTIF(Corrections!$B$4:$B$4,AT11)&gt;0,"Yes","No")</f>
        <v>No</v>
      </c>
      <c r="AY11" t="str">
        <f>IFERROR(INDEX(BOL!$C$4:$C$25,MATCH(AV11,BOL!$B$4:$B$25,0)),INDEX(BOL!$P$4:$P$25,MATCH(AV11,BOL!$O$4:$O$25,0)))</f>
        <v>09/21/2026</v>
      </c>
      <c r="AZ11" t="str">
        <f>IFERROR(INDEX(BOL!$E$4:$E$25,MATCH(AV11,BOL!$B$4:$B$25,0)),INDEX(BOL!$R$4:$R$25,MATCH(AV11,BOL!$O$4:$O$25,0)))</f>
        <v>MT</v>
      </c>
      <c r="BA11" t="str">
        <f>IFERROR(INDEX(BOL!$F$4:$F$25,MATCH(AV11,BOL!$B$4:$B$25,0)),INDEX(BOL!$S$4:$S$25,MATCH(AV11,BOL!$O$4:$O$25,0)))</f>
        <v>Metal roofing panels</v>
      </c>
      <c r="BB11">
        <f>IFERROR(INDEX(BOL!$H$4:$H$25,MATCH(AV11,BOL!$B$4:$B$25,0)),INDEX(BOL!$U$4:$U$25,MATCH(AV11,BOL!$O$4:$O$25,0)))</f>
        <v>1220</v>
      </c>
      <c r="BC11">
        <f>Invoices!U11</f>
        <v>1220</v>
      </c>
      <c r="BD11" t="str">
        <f>IF(COUNTIFS('Billing File'!$A$4:$A$15,AV11,'Billing File'!$G$4:$G$15,"4.5 weight",'Billing File'!$F$4:$F$15,"Yes")&gt;0,"Yes","No")</f>
        <v>No</v>
      </c>
      <c r="BE11">
        <f>IF(AND(BD11="Yes",BC11&gt;BB11*(1+Terms!$B$6)),BC11,BB11)</f>
        <v>1220</v>
      </c>
      <c r="BF11">
        <f>INDEX(Tariff!$L$4:$L$9,MATCH(BA11,Tariff!$K$4:$K$9,0))</f>
        <v>70</v>
      </c>
      <c r="BG11">
        <f>Invoices!V11</f>
        <v>70</v>
      </c>
      <c r="BH11" t="str">
        <f>IF(COUNTIFS('Billing File'!$A$4:$A$15,AV11,'Billing File'!$G$4:$G$15,"4.3 class",'Billing File'!$F$4:$F$15,"Yes")&gt;0,"Yes","No")</f>
        <v>No</v>
      </c>
      <c r="BI11">
        <f t="shared" si="10"/>
        <v>70</v>
      </c>
      <c r="BJ11" s="9">
        <f>INDEX(Tariff!$I$4:$I$10,MATCH(BI11,Tariff!$H$4:$H$10,0))</f>
        <v>1</v>
      </c>
      <c r="BK11">
        <f>MATCH(BE11,Tariff!$B$12:$F$12,1)</f>
        <v>3</v>
      </c>
      <c r="BL11" s="9">
        <f>INDEX(Tariff!$B$4:$F$10,MATCH(AZ11,Tariff!$A$4:$A$10,0),BK11)</f>
        <v>60.85</v>
      </c>
      <c r="BM11" s="4">
        <f t="shared" si="11"/>
        <v>742.37</v>
      </c>
      <c r="BN11" s="4">
        <f>IF(BK11&lt;5,ROUND(INDEX(Tariff!$B$12:$F$12,BK11+1)/100*INDEX(Tariff!$B$4:$F$10,MATCH(AZ11,Tariff!$A$4:$A$10,0),BK11+1)*BJ11,2),BM11)</f>
        <v>999</v>
      </c>
      <c r="BO11" s="4">
        <f t="shared" si="12"/>
        <v>742.37</v>
      </c>
      <c r="BP11" s="4">
        <f>ROUND(BO11*Terms!$B$4,2)</f>
        <v>460.27</v>
      </c>
      <c r="BQ11" s="4">
        <f>MAX(BO11-BP11,Terms!$B$5)</f>
        <v>282.1</v>
      </c>
      <c r="BR11" t="str">
        <f t="shared" si="13"/>
        <v>09/21/2026</v>
      </c>
      <c r="BS11" s="11">
        <f>INDEX('Fuel Index'!$C$4:$C$16,MATCH(BR11,'Fuel Index'!$A$4:$A$16,0))</f>
        <v>0.275</v>
      </c>
      <c r="BT11" s="4">
        <f t="shared" si="14"/>
        <v>77.58</v>
      </c>
      <c r="BU11" t="str">
        <f>IFERROR(INDEX(BOL!$I$4:$I$25,MATCH(AV11,BOL!$B$4:$B$25,0)),INDEX(BOL!$V$4:$V$25,MATCH(AV11,BOL!$O$4:$O$25,0)))</f>
        <v>N</v>
      </c>
      <c r="BV11" t="str">
        <f>IFERROR(INDEX(BOL!$J$4:$J$25,MATCH(AV11,BOL!$B$4:$B$25,0)),INDEX(BOL!$W$4:$W$25,MATCH(AV11,BOL!$O$4:$O$25,0)))</f>
        <v>N</v>
      </c>
      <c r="BW11" t="str">
        <f>IFERROR(INDEX(BOL!$K$4:$K$25,MATCH(AV11,BOL!$B$4:$B$25,0)),INDEX(BOL!$X$4:$X$25,MATCH(AV11,BOL!$O$4:$O$25,0)))</f>
        <v>N</v>
      </c>
      <c r="BX11" t="str">
        <f>IFERROR(INDEX(BOL!$L$4:$L$25,MATCH(AV11,BOL!$B$4:$B$25,0)),INDEX(BOL!$Y$4:$Y$25,MATCH(AV11,BOL!$O$4:$O$25,0)))</f>
        <v>N</v>
      </c>
      <c r="BY11" s="4">
        <f>(BU11="Y")*Tariff!$O$4+(BV11="Y")*Tariff!$O$5+(BW11="Y")*Tariff!$O$6+(BX11="Y")*Tariff!$O$7</f>
        <v>0</v>
      </c>
      <c r="BZ11" s="4">
        <f>SUMIFS(Confirmations!$G$4:$G$7,Confirmations!$A$4:$A$7,AV11,Confirmations!$H$4:$H$7,"Yes")</f>
        <v>0</v>
      </c>
      <c r="CA11" s="4">
        <f t="shared" si="15"/>
        <v>0</v>
      </c>
      <c r="CB11" t="str">
        <f>IF(AND(AX11="No",COUNTIFS(Invoices!$B$4:$Q$26,AU11,Invoices!$A$4:$P$26,"&lt;"&amp;AT11)&gt;0),"Yes","No")</f>
        <v>No</v>
      </c>
      <c r="CC11" s="4">
        <f t="shared" si="16"/>
        <v>359.68</v>
      </c>
      <c r="CD11" s="4">
        <f>Invoices!AD11</f>
        <v>358.27</v>
      </c>
      <c r="CE11" s="4">
        <f t="shared" si="17"/>
        <v>-1.41</v>
      </c>
      <c r="CF11" s="4">
        <f>Invoices!W11</f>
        <v>742.37</v>
      </c>
      <c r="CG11" s="4">
        <f>Invoices!Y11</f>
        <v>282.1</v>
      </c>
      <c r="CH11" s="11">
        <f>ROUND(Invoices!Z11/Terms!$B$9,4)</f>
        <v>0.27</v>
      </c>
      <c r="CI11" s="4">
        <f>Invoices!AC11</f>
        <v>0</v>
      </c>
      <c r="CJ11" t="str">
        <f t="shared" si="18"/>
        <v>5.2 fuel week</v>
      </c>
      <c r="CK11" t="str">
        <f t="shared" si="19"/>
        <v/>
      </c>
    </row>
    <row r="12" spans="1:89" x14ac:dyDescent="0.2">
      <c r="A12" t="str">
        <f>Invoices!A12</f>
        <v>NFL-90319</v>
      </c>
      <c r="B12">
        <f>Invoices!B12</f>
        <v>217703</v>
      </c>
      <c r="C12">
        <f>IFERROR(INDEX('Pro Matches'!$C$4:$C$4,MATCH(B12,'Pro Matches'!$A$4:$A$4,0)),B12)</f>
        <v>217703</v>
      </c>
      <c r="D12" t="str">
        <f>IF(COUNTIF(Corrections!$A$4:$A$4,A12)&gt;0,"Yes","No")</f>
        <v>No</v>
      </c>
      <c r="E12" t="str">
        <f>IF(COUNTIF(Corrections!$B$4:$B$4,A12)&gt;0,"Yes","No")</f>
        <v>No</v>
      </c>
      <c r="F12" t="str">
        <f>IFERROR(INDEX(BOL!$C$4:$C$25,MATCH(C12,BOL!$B$4:$B$25,0)),INDEX(BOL!$P$4:$P$25,MATCH(C12,BOL!$O$4:$O$25,0)))</f>
        <v>09/03/2026</v>
      </c>
      <c r="G12" t="str">
        <f>IFERROR(INDEX(BOL!$E$4:$E$25,MATCH(C12,BOL!$B$4:$B$25,0)),INDEX(BOL!$R$4:$R$25,MATCH(C12,BOL!$O$4:$O$25,0)))</f>
        <v>MN</v>
      </c>
      <c r="H12" t="str">
        <f>IFERROR(INDEX(BOL!$F$4:$F$25,MATCH(C12,BOL!$B$4:$B$25,0)),INDEX(BOL!$S$4:$S$25,MATCH(C12,BOL!$O$4:$O$25,0)))</f>
        <v>Sealants and coatings</v>
      </c>
      <c r="I12">
        <f>IFERROR(INDEX(BOL!$H$4:$H$25,MATCH(C12,BOL!$B$4:$B$25,0)),INDEX(BOL!$U$4:$U$25,MATCH(C12,BOL!$O$4:$O$25,0)))</f>
        <v>720</v>
      </c>
      <c r="J12">
        <f>Invoices!F12</f>
        <v>720</v>
      </c>
      <c r="K12" t="str">
        <f>IF(COUNTIFS('Billing File'!$A$4:$A$15,C12,'Billing File'!$G$4:$G$15,"4.5 weight",'Billing File'!$F$4:$F$15,"Yes")&gt;0,"Yes","No")</f>
        <v>No</v>
      </c>
      <c r="L12">
        <f>IF(AND(K12="Yes",J12&gt;I12*(1+Terms!$B$6)),J12,I12)</f>
        <v>720</v>
      </c>
      <c r="M12">
        <f>INDEX(Tariff!$L$4:$L$9,MATCH(H12,Tariff!$K$4:$K$9,0))</f>
        <v>85</v>
      </c>
      <c r="N12">
        <f>Invoices!G12</f>
        <v>85</v>
      </c>
      <c r="O12" t="str">
        <f>IF(COUNTIFS('Billing File'!$A$4:$A$15,C12,'Billing File'!$G$4:$G$15,"4.3 class",'Billing File'!$F$4:$F$15,"Yes")&gt;0,"Yes","No")</f>
        <v>No</v>
      </c>
      <c r="P12">
        <f t="shared" si="0"/>
        <v>85</v>
      </c>
      <c r="Q12" s="9">
        <f>INDEX(Tariff!$I$4:$I$10,MATCH(P12,Tariff!$H$4:$H$10,0))</f>
        <v>1.15</v>
      </c>
      <c r="R12">
        <f>MATCH(L12,Tariff!$B$12:$F$12,1)</f>
        <v>2</v>
      </c>
      <c r="S12" s="9">
        <f>INDEX(Tariff!$B$4:$F$10,MATCH(G12,Tariff!$A$4:$A$10,0),R12)</f>
        <v>49.1</v>
      </c>
      <c r="T12" s="4">
        <f t="shared" si="1"/>
        <v>406.55</v>
      </c>
      <c r="U12" s="4">
        <f>IF(R12&lt;5,ROUND(INDEX(Tariff!$B$12:$F$12,R12+1)/100*INDEX(Tariff!$B$4:$F$10,MATCH(G12,Tariff!$A$4:$A$10,0),R12+1)*Q12,2),T12)</f>
        <v>480.13</v>
      </c>
      <c r="V12" s="4">
        <f t="shared" si="2"/>
        <v>406.55</v>
      </c>
      <c r="W12" s="4">
        <f>ROUND(V12*Terms!$B$4,2)</f>
        <v>252.06</v>
      </c>
      <c r="X12" s="4">
        <f>MAX(V12-W12,Terms!$B$5)</f>
        <v>154.49</v>
      </c>
      <c r="Y12" t="str">
        <f t="shared" si="3"/>
        <v>08/31/2026</v>
      </c>
      <c r="Z12" s="11">
        <f>INDEX('Fuel Index'!$C$4:$C$16,MATCH(Y12,'Fuel Index'!$A$4:$A$16,0))</f>
        <v>0.265</v>
      </c>
      <c r="AA12" s="4">
        <f t="shared" si="4"/>
        <v>40.94</v>
      </c>
      <c r="AB12" t="str">
        <f>IFERROR(INDEX(BOL!$I$4:$I$25,MATCH(C12,BOL!$B$4:$B$25,0)),INDEX(BOL!$V$4:$V$25,MATCH(C12,BOL!$O$4:$O$25,0)))</f>
        <v>Y</v>
      </c>
      <c r="AC12" t="str">
        <f>IFERROR(INDEX(BOL!$J$4:$J$25,MATCH(C12,BOL!$B$4:$B$25,0)),INDEX(BOL!$W$4:$W$25,MATCH(C12,BOL!$O$4:$O$25,0)))</f>
        <v>N</v>
      </c>
      <c r="AD12" t="str">
        <f>IFERROR(INDEX(BOL!$K$4:$K$25,MATCH(C12,BOL!$B$4:$B$25,0)),INDEX(BOL!$X$4:$X$25,MATCH(C12,BOL!$O$4:$O$25,0)))</f>
        <v>Y</v>
      </c>
      <c r="AE12" t="str">
        <f>IFERROR(INDEX(BOL!$L$4:$L$25,MATCH(C12,BOL!$B$4:$B$25,0)),INDEX(BOL!$Y$4:$Y$25,MATCH(C12,BOL!$O$4:$O$25,0)))</f>
        <v>N</v>
      </c>
      <c r="AF12" s="4">
        <f>(AB12="Y")*Tariff!$O$4+(AC12="Y")*Tariff!$O$5+(AD12="Y")*Tariff!$O$6+(AE12="Y")*Tariff!$O$7</f>
        <v>160</v>
      </c>
      <c r="AG12" s="4">
        <f>SUMIFS(Confirmations!$G$4:$G$7,Confirmations!$A$4:$A$7,C12,Confirmations!$H$4:$H$7,"Yes")</f>
        <v>0</v>
      </c>
      <c r="AH12" s="4">
        <f t="shared" si="5"/>
        <v>160</v>
      </c>
      <c r="AI12" t="str">
        <f>IF(AND(E12="No",COUNTIFS(Invoices!$B$4:$Q$26,B12,Invoices!$A$4:$P$26,"&lt;"&amp;A12)&gt;0),"Yes","No")</f>
        <v>No</v>
      </c>
      <c r="AJ12" s="4">
        <f t="shared" si="6"/>
        <v>355.43</v>
      </c>
      <c r="AK12" s="4">
        <f>Invoices!O12</f>
        <v>354.66</v>
      </c>
      <c r="AL12" s="4">
        <f t="shared" si="7"/>
        <v>-0.77</v>
      </c>
      <c r="AM12" s="4">
        <f>Invoices!H12</f>
        <v>406.55</v>
      </c>
      <c r="AN12" s="4">
        <f>Invoices!J12</f>
        <v>154.49</v>
      </c>
      <c r="AO12" s="11">
        <f>ROUND(Invoices!K12/Terms!$B$9,4)</f>
        <v>0.26</v>
      </c>
      <c r="AP12" s="4">
        <f>Invoices!N12</f>
        <v>160</v>
      </c>
      <c r="AQ12" t="str">
        <f t="shared" si="8"/>
        <v>5.2 fuel week</v>
      </c>
      <c r="AR12" t="str">
        <f t="shared" si="9"/>
        <v/>
      </c>
      <c r="AT12" t="str">
        <f>Invoices!P12</f>
        <v>NFL-90347</v>
      </c>
      <c r="AU12">
        <f>Invoices!Q12</f>
        <v>217841</v>
      </c>
      <c r="AV12">
        <f>IFERROR(INDEX('Pro Matches'!$C$4:$C$4,MATCH(AU12,'Pro Matches'!$A$4:$A$4,0)),AU12)</f>
        <v>217841</v>
      </c>
      <c r="AW12" t="str">
        <f>IF(COUNTIF(Corrections!$A$4:$A$4,AT12)&gt;0,"Yes","No")</f>
        <v>No</v>
      </c>
      <c r="AX12" t="str">
        <f>IF(COUNTIF(Corrections!$B$4:$B$4,AT12)&gt;0,"Yes","No")</f>
        <v>No</v>
      </c>
      <c r="AY12" t="str">
        <f>IFERROR(INDEX(BOL!$C$4:$C$25,MATCH(AV12,BOL!$B$4:$B$25,0)),INDEX(BOL!$P$4:$P$25,MATCH(AV12,BOL!$O$4:$O$25,0)))</f>
        <v>09/24/2026</v>
      </c>
      <c r="AZ12" t="str">
        <f>IFERROR(INDEX(BOL!$E$4:$E$25,MATCH(AV12,BOL!$B$4:$B$25,0)),INDEX(BOL!$R$4:$R$25,MATCH(AV12,BOL!$O$4:$O$25,0)))</f>
        <v>MT</v>
      </c>
      <c r="BA12" t="str">
        <f>IFERROR(INDEX(BOL!$F$4:$F$25,MATCH(AV12,BOL!$B$4:$B$25,0)),INDEX(BOL!$S$4:$S$25,MATCH(AV12,BOL!$O$4:$O$25,0)))</f>
        <v>Fasteners and hardware</v>
      </c>
      <c r="BB12">
        <f>IFERROR(INDEX(BOL!$H$4:$H$25,MATCH(AV12,BOL!$B$4:$B$25,0)),INDEX(BOL!$U$4:$U$25,MATCH(AV12,BOL!$O$4:$O$25,0)))</f>
        <v>2060</v>
      </c>
      <c r="BC12">
        <f>Invoices!U12</f>
        <v>2060</v>
      </c>
      <c r="BD12" t="str">
        <f>IF(COUNTIFS('Billing File'!$A$4:$A$15,AV12,'Billing File'!$G$4:$G$15,"4.5 weight",'Billing File'!$F$4:$F$15,"Yes")&gt;0,"Yes","No")</f>
        <v>No</v>
      </c>
      <c r="BE12">
        <f>IF(AND(BD12="Yes",BC12&gt;BB12*(1+Terms!$B$6)),BC12,BB12)</f>
        <v>2060</v>
      </c>
      <c r="BF12">
        <f>INDEX(Tariff!$L$4:$L$9,MATCH(BA12,Tariff!$K$4:$K$9,0))</f>
        <v>60</v>
      </c>
      <c r="BG12">
        <f>Invoices!V12</f>
        <v>60</v>
      </c>
      <c r="BH12" t="str">
        <f>IF(COUNTIFS('Billing File'!$A$4:$A$15,AV12,'Billing File'!$G$4:$G$15,"4.3 class",'Billing File'!$F$4:$F$15,"Yes")&gt;0,"Yes","No")</f>
        <v>No</v>
      </c>
      <c r="BI12">
        <f t="shared" si="10"/>
        <v>60</v>
      </c>
      <c r="BJ12" s="9">
        <f>INDEX(Tariff!$I$4:$I$10,MATCH(BI12,Tariff!$H$4:$H$10,0))</f>
        <v>0.94</v>
      </c>
      <c r="BK12">
        <f>MATCH(BE12,Tariff!$B$12:$F$12,1)</f>
        <v>4</v>
      </c>
      <c r="BL12" s="9">
        <f>INDEX(Tariff!$B$4:$F$10,MATCH(AZ12,Tariff!$A$4:$A$10,0),BK12)</f>
        <v>49.95</v>
      </c>
      <c r="BM12" s="4">
        <f t="shared" si="11"/>
        <v>967.23</v>
      </c>
      <c r="BN12" s="4">
        <f>IF(BK12&lt;5,ROUND(INDEX(Tariff!$B$12:$F$12,BK12+1)/100*INDEX(Tariff!$B$4:$F$10,MATCH(AZ12,Tariff!$A$4:$A$10,0),BK12+1)*BJ12,2),BM12)</f>
        <v>1908.2</v>
      </c>
      <c r="BO12" s="4">
        <f t="shared" si="12"/>
        <v>967.23</v>
      </c>
      <c r="BP12" s="4">
        <f>ROUND(BO12*Terms!$B$4,2)</f>
        <v>599.68</v>
      </c>
      <c r="BQ12" s="4">
        <f>MAX(BO12-BP12,Terms!$B$5)</f>
        <v>367.55</v>
      </c>
      <c r="BR12" t="str">
        <f t="shared" si="13"/>
        <v>09/21/2026</v>
      </c>
      <c r="BS12" s="11">
        <f>INDEX('Fuel Index'!$C$4:$C$16,MATCH(BR12,'Fuel Index'!$A$4:$A$16,0))</f>
        <v>0.275</v>
      </c>
      <c r="BT12" s="4">
        <f t="shared" si="14"/>
        <v>101.08</v>
      </c>
      <c r="BU12" t="str">
        <f>IFERROR(INDEX(BOL!$I$4:$I$25,MATCH(AV12,BOL!$B$4:$B$25,0)),INDEX(BOL!$V$4:$V$25,MATCH(AV12,BOL!$O$4:$O$25,0)))</f>
        <v>Y</v>
      </c>
      <c r="BV12" t="str">
        <f>IFERROR(INDEX(BOL!$J$4:$J$25,MATCH(AV12,BOL!$B$4:$B$25,0)),INDEX(BOL!$W$4:$W$25,MATCH(AV12,BOL!$O$4:$O$25,0)))</f>
        <v>N</v>
      </c>
      <c r="BW12" t="str">
        <f>IFERROR(INDEX(BOL!$K$4:$K$25,MATCH(AV12,BOL!$B$4:$B$25,0)),INDEX(BOL!$X$4:$X$25,MATCH(AV12,BOL!$O$4:$O$25,0)))</f>
        <v>N</v>
      </c>
      <c r="BX12" t="str">
        <f>IFERROR(INDEX(BOL!$L$4:$L$25,MATCH(AV12,BOL!$B$4:$B$25,0)),INDEX(BOL!$Y$4:$Y$25,MATCH(AV12,BOL!$O$4:$O$25,0)))</f>
        <v>Y</v>
      </c>
      <c r="BY12" s="4">
        <f>(BU12="Y")*Tariff!$O$4+(BV12="Y")*Tariff!$O$5+(BW12="Y")*Tariff!$O$6+(BX12="Y")*Tariff!$O$7</f>
        <v>135</v>
      </c>
      <c r="BZ12" s="4">
        <f>SUMIFS(Confirmations!$G$4:$G$7,Confirmations!$A$4:$A$7,AV12,Confirmations!$H$4:$H$7,"Yes")</f>
        <v>0</v>
      </c>
      <c r="CA12" s="4">
        <f t="shared" si="15"/>
        <v>135</v>
      </c>
      <c r="CB12" t="str">
        <f>IF(AND(AX12="No",COUNTIFS(Invoices!$B$4:$Q$26,AU12,Invoices!$A$4:$P$26,"&lt;"&amp;AT12)&gt;0),"Yes","No")</f>
        <v>No</v>
      </c>
      <c r="CC12" s="4">
        <f t="shared" si="16"/>
        <v>603.63</v>
      </c>
      <c r="CD12" s="4">
        <f>Invoices!AD12</f>
        <v>603.63</v>
      </c>
      <c r="CE12" s="4">
        <f t="shared" si="17"/>
        <v>0</v>
      </c>
      <c r="CF12" s="4">
        <f>Invoices!W12</f>
        <v>967.23</v>
      </c>
      <c r="CG12" s="4">
        <f>Invoices!Y12</f>
        <v>367.55</v>
      </c>
      <c r="CH12" s="11">
        <f>ROUND(Invoices!Z12/Terms!$B$9,4)</f>
        <v>0.275</v>
      </c>
      <c r="CI12" s="4">
        <f>Invoices!AC12</f>
        <v>135</v>
      </c>
      <c r="CJ12" t="str">
        <f t="shared" si="18"/>
        <v/>
      </c>
      <c r="CK12" t="str">
        <f t="shared" si="19"/>
        <v/>
      </c>
    </row>
    <row r="13" spans="1:89" x14ac:dyDescent="0.2">
      <c r="A13" t="str">
        <f>Invoices!A13</f>
        <v>NFL-90320</v>
      </c>
      <c r="B13">
        <f>Invoices!B13</f>
        <v>217836</v>
      </c>
      <c r="C13">
        <f>IFERROR(INDEX('Pro Matches'!$C$4:$C$4,MATCH(B13,'Pro Matches'!$A$4:$A$4,0)),B13)</f>
        <v>217836</v>
      </c>
      <c r="D13" t="str">
        <f>IF(COUNTIF(Corrections!$A$4:$A$4,A13)&gt;0,"Yes","No")</f>
        <v>No</v>
      </c>
      <c r="E13" t="str">
        <f>IF(COUNTIF(Corrections!$B$4:$B$4,A13)&gt;0,"Yes","No")</f>
        <v>No</v>
      </c>
      <c r="F13" t="str">
        <f>IFERROR(INDEX(BOL!$C$4:$C$25,MATCH(C13,BOL!$B$4:$B$25,0)),INDEX(BOL!$P$4:$P$25,MATCH(C13,BOL!$O$4:$O$25,0)))</f>
        <v>09/10/2026</v>
      </c>
      <c r="G13" t="str">
        <f>IFERROR(INDEX(BOL!$E$4:$E$25,MATCH(C13,BOL!$B$4:$B$25,0)),INDEX(BOL!$R$4:$R$25,MATCH(C13,BOL!$O$4:$O$25,0)))</f>
        <v>NE</v>
      </c>
      <c r="H13" t="str">
        <f>IFERROR(INDEX(BOL!$F$4:$F$25,MATCH(C13,BOL!$B$4:$B$25,0)),INDEX(BOL!$S$4:$S$25,MATCH(C13,BOL!$O$4:$O$25,0)))</f>
        <v>Windows and doors</v>
      </c>
      <c r="I13">
        <f>IFERROR(INDEX(BOL!$H$4:$H$25,MATCH(C13,BOL!$B$4:$B$25,0)),INDEX(BOL!$U$4:$U$25,MATCH(C13,BOL!$O$4:$O$25,0)))</f>
        <v>2360</v>
      </c>
      <c r="J13">
        <f>Invoices!F13</f>
        <v>2360</v>
      </c>
      <c r="K13" t="str">
        <f>IF(COUNTIFS('Billing File'!$A$4:$A$15,C13,'Billing File'!$G$4:$G$15,"4.5 weight",'Billing File'!$F$4:$F$15,"Yes")&gt;0,"Yes","No")</f>
        <v>No</v>
      </c>
      <c r="L13">
        <f>IF(AND(K13="Yes",J13&gt;I13*(1+Terms!$B$6)),J13,I13)</f>
        <v>2360</v>
      </c>
      <c r="M13">
        <f>INDEX(Tariff!$L$4:$L$9,MATCH(H13,Tariff!$K$4:$K$9,0))</f>
        <v>100</v>
      </c>
      <c r="N13">
        <f>Invoices!G13</f>
        <v>100</v>
      </c>
      <c r="O13" t="str">
        <f>IF(COUNTIFS('Billing File'!$A$4:$A$15,C13,'Billing File'!$G$4:$G$15,"4.3 class",'Billing File'!$F$4:$F$15,"Yes")&gt;0,"Yes","No")</f>
        <v>No</v>
      </c>
      <c r="P13">
        <f t="shared" si="0"/>
        <v>100</v>
      </c>
      <c r="Q13" s="9">
        <f>INDEX(Tariff!$I$4:$I$10,MATCH(P13,Tariff!$H$4:$H$10,0))</f>
        <v>1.45</v>
      </c>
      <c r="R13">
        <f>MATCH(L13,Tariff!$B$12:$F$12,1)</f>
        <v>4</v>
      </c>
      <c r="S13" s="9">
        <f>INDEX(Tariff!$B$4:$F$10,MATCH(G13,Tariff!$A$4:$A$10,0),R13)</f>
        <v>40.9</v>
      </c>
      <c r="T13" s="4">
        <f t="shared" si="1"/>
        <v>1399.6</v>
      </c>
      <c r="U13" s="4">
        <f>IF(R13&lt;5,ROUND(INDEX(Tariff!$B$12:$F$12,R13+1)/100*INDEX(Tariff!$B$4:$F$10,MATCH(G13,Tariff!$A$4:$A$10,0),R13+1)*Q13,2),T13)</f>
        <v>2414.25</v>
      </c>
      <c r="V13" s="4">
        <f t="shared" si="2"/>
        <v>1399.6</v>
      </c>
      <c r="W13" s="4">
        <f>ROUND(V13*Terms!$B$4,2)</f>
        <v>867.75</v>
      </c>
      <c r="X13" s="4">
        <f>MAX(V13-W13,Terms!$B$5)</f>
        <v>531.85</v>
      </c>
      <c r="Y13" t="str">
        <f t="shared" si="3"/>
        <v>09/07/2026</v>
      </c>
      <c r="Z13" s="11">
        <f>INDEX('Fuel Index'!$C$4:$C$16,MATCH(Y13,'Fuel Index'!$A$4:$A$16,0))</f>
        <v>0.265</v>
      </c>
      <c r="AA13" s="4">
        <f t="shared" si="4"/>
        <v>140.94</v>
      </c>
      <c r="AB13" t="str">
        <f>IFERROR(INDEX(BOL!$I$4:$I$25,MATCH(C13,BOL!$B$4:$B$25,0)),INDEX(BOL!$V$4:$V$25,MATCH(C13,BOL!$O$4:$O$25,0)))</f>
        <v>Y</v>
      </c>
      <c r="AC13" t="str">
        <f>IFERROR(INDEX(BOL!$J$4:$J$25,MATCH(C13,BOL!$B$4:$B$25,0)),INDEX(BOL!$W$4:$W$25,MATCH(C13,BOL!$O$4:$O$25,0)))</f>
        <v>N</v>
      </c>
      <c r="AD13" t="str">
        <f>IFERROR(INDEX(BOL!$K$4:$K$25,MATCH(C13,BOL!$B$4:$B$25,0)),INDEX(BOL!$X$4:$X$25,MATCH(C13,BOL!$O$4:$O$25,0)))</f>
        <v>N</v>
      </c>
      <c r="AE13" t="str">
        <f>IFERROR(INDEX(BOL!$L$4:$L$25,MATCH(C13,BOL!$B$4:$B$25,0)),INDEX(BOL!$Y$4:$Y$25,MATCH(C13,BOL!$O$4:$O$25,0)))</f>
        <v>N</v>
      </c>
      <c r="AF13" s="4">
        <f>(AB13="Y")*Tariff!$O$4+(AC13="Y")*Tariff!$O$5+(AD13="Y")*Tariff!$O$6+(AE13="Y")*Tariff!$O$7</f>
        <v>75</v>
      </c>
      <c r="AG13" s="4">
        <f>SUMIFS(Confirmations!$G$4:$G$7,Confirmations!$A$4:$A$7,C13,Confirmations!$H$4:$H$7,"Yes")</f>
        <v>0</v>
      </c>
      <c r="AH13" s="4">
        <f t="shared" si="5"/>
        <v>75</v>
      </c>
      <c r="AI13" t="str">
        <f>IF(AND(E13="No",COUNTIFS(Invoices!$B$4:$Q$26,B13,Invoices!$A$4:$P$26,"&lt;"&amp;A13)&gt;0),"Yes","No")</f>
        <v>No</v>
      </c>
      <c r="AJ13" s="4">
        <f t="shared" si="6"/>
        <v>747.79</v>
      </c>
      <c r="AK13" s="4">
        <f>Invoices!O13</f>
        <v>757.79</v>
      </c>
      <c r="AL13" s="4">
        <f t="shared" si="7"/>
        <v>10</v>
      </c>
      <c r="AM13" s="4">
        <f>Invoices!H13</f>
        <v>1399.6</v>
      </c>
      <c r="AN13" s="4">
        <f>Invoices!J13</f>
        <v>531.85</v>
      </c>
      <c r="AO13" s="11">
        <f>ROUND(Invoices!K13/Terms!$B$9,4)</f>
        <v>0.265</v>
      </c>
      <c r="AP13" s="4">
        <f>Invoices!N13</f>
        <v>85</v>
      </c>
      <c r="AQ13" t="str">
        <f t="shared" si="8"/>
        <v>6.1 accessorial overbilled</v>
      </c>
      <c r="AR13" t="str">
        <f t="shared" si="9"/>
        <v/>
      </c>
      <c r="AT13" t="str">
        <f>Invoices!P13</f>
        <v>NFL-90348</v>
      </c>
      <c r="AU13">
        <f>Invoices!Q13</f>
        <v>217750</v>
      </c>
      <c r="AV13">
        <f>IFERROR(INDEX('Pro Matches'!$C$4:$C$4,MATCH(AU13,'Pro Matches'!$A$4:$A$4,0)),AU13)</f>
        <v>217750</v>
      </c>
      <c r="AW13" t="str">
        <f>IF(COUNTIF(Corrections!$A$4:$A$4,AT13)&gt;0,"Yes","No")</f>
        <v>No</v>
      </c>
      <c r="AX13" t="str">
        <f>IF(COUNTIF(Corrections!$B$4:$B$4,AT13)&gt;0,"Yes","No")</f>
        <v>No</v>
      </c>
      <c r="AY13" t="str">
        <f>IFERROR(INDEX(BOL!$C$4:$C$25,MATCH(AV13,BOL!$B$4:$B$25,0)),INDEX(BOL!$P$4:$P$25,MATCH(AV13,BOL!$O$4:$O$25,0)))</f>
        <v>09/25/2026</v>
      </c>
      <c r="AZ13" t="str">
        <f>IFERROR(INDEX(BOL!$E$4:$E$25,MATCH(AV13,BOL!$B$4:$B$25,0)),INDEX(BOL!$R$4:$R$25,MATCH(AV13,BOL!$O$4:$O$25,0)))</f>
        <v>MT</v>
      </c>
      <c r="BA13" t="str">
        <f>IFERROR(INDEX(BOL!$F$4:$F$25,MATCH(AV13,BOL!$B$4:$B$25,0)),INDEX(BOL!$S$4:$S$25,MATCH(AV13,BOL!$O$4:$O$25,0)))</f>
        <v>Gypsum and cement board</v>
      </c>
      <c r="BB13">
        <f>IFERROR(INDEX(BOL!$H$4:$H$25,MATCH(AV13,BOL!$B$4:$B$25,0)),INDEX(BOL!$U$4:$U$25,MATCH(AV13,BOL!$O$4:$O$25,0)))</f>
        <v>2980</v>
      </c>
      <c r="BC13">
        <f>Invoices!U13</f>
        <v>2980</v>
      </c>
      <c r="BD13" t="str">
        <f>IF(COUNTIFS('Billing File'!$A$4:$A$15,AV13,'Billing File'!$G$4:$G$15,"4.5 weight",'Billing File'!$F$4:$F$15,"Yes")&gt;0,"Yes","No")</f>
        <v>No</v>
      </c>
      <c r="BE13">
        <f>IF(AND(BD13="Yes",BC13&gt;BB13*(1+Terms!$B$6)),BC13,BB13)</f>
        <v>2980</v>
      </c>
      <c r="BF13">
        <f>INDEX(Tariff!$L$4:$L$9,MATCH(BA13,Tariff!$K$4:$K$9,0))</f>
        <v>55</v>
      </c>
      <c r="BG13">
        <f>Invoices!V13</f>
        <v>55</v>
      </c>
      <c r="BH13" t="str">
        <f>IF(COUNTIFS('Billing File'!$A$4:$A$15,AV13,'Billing File'!$G$4:$G$15,"4.3 class",'Billing File'!$F$4:$F$15,"Yes")&gt;0,"Yes","No")</f>
        <v>No</v>
      </c>
      <c r="BI13">
        <f t="shared" si="10"/>
        <v>55</v>
      </c>
      <c r="BJ13" s="9">
        <f>INDEX(Tariff!$I$4:$I$10,MATCH(BI13,Tariff!$H$4:$H$10,0))</f>
        <v>0.88</v>
      </c>
      <c r="BK13">
        <f>MATCH(BE13,Tariff!$B$12:$F$12,1)</f>
        <v>4</v>
      </c>
      <c r="BL13" s="9">
        <f>INDEX(Tariff!$B$4:$F$10,MATCH(AZ13,Tariff!$A$4:$A$10,0),BK13)</f>
        <v>49.95</v>
      </c>
      <c r="BM13" s="4">
        <f t="shared" si="11"/>
        <v>1309.89</v>
      </c>
      <c r="BN13" s="4">
        <f>IF(BK13&lt;5,ROUND(INDEX(Tariff!$B$12:$F$12,BK13+1)/100*INDEX(Tariff!$B$4:$F$10,MATCH(AZ13,Tariff!$A$4:$A$10,0),BK13+1)*BJ13,2),BM13)</f>
        <v>1786.4</v>
      </c>
      <c r="BO13" s="4">
        <f t="shared" si="12"/>
        <v>1309.89</v>
      </c>
      <c r="BP13" s="4">
        <f>ROUND(BO13*Terms!$B$4,2)</f>
        <v>812.13</v>
      </c>
      <c r="BQ13" s="4">
        <f>MAX(BO13-BP13,Terms!$B$5)</f>
        <v>497.76</v>
      </c>
      <c r="BR13" t="str">
        <f t="shared" si="13"/>
        <v>09/21/2026</v>
      </c>
      <c r="BS13" s="11">
        <f>INDEX('Fuel Index'!$C$4:$C$16,MATCH(BR13,'Fuel Index'!$A$4:$A$16,0))</f>
        <v>0.275</v>
      </c>
      <c r="BT13" s="4">
        <f t="shared" si="14"/>
        <v>136.88</v>
      </c>
      <c r="BU13" t="str">
        <f>IFERROR(INDEX(BOL!$I$4:$I$25,MATCH(AV13,BOL!$B$4:$B$25,0)),INDEX(BOL!$V$4:$V$25,MATCH(AV13,BOL!$O$4:$O$25,0)))</f>
        <v>Y</v>
      </c>
      <c r="BV13" t="str">
        <f>IFERROR(INDEX(BOL!$J$4:$J$25,MATCH(AV13,BOL!$B$4:$B$25,0)),INDEX(BOL!$W$4:$W$25,MATCH(AV13,BOL!$O$4:$O$25,0)))</f>
        <v>N</v>
      </c>
      <c r="BW13" t="str">
        <f>IFERROR(INDEX(BOL!$K$4:$K$25,MATCH(AV13,BOL!$B$4:$B$25,0)),INDEX(BOL!$X$4:$X$25,MATCH(AV13,BOL!$O$4:$O$25,0)))</f>
        <v>N</v>
      </c>
      <c r="BX13" t="str">
        <f>IFERROR(INDEX(BOL!$L$4:$L$25,MATCH(AV13,BOL!$B$4:$B$25,0)),INDEX(BOL!$Y$4:$Y$25,MATCH(AV13,BOL!$O$4:$O$25,0)))</f>
        <v>N</v>
      </c>
      <c r="BY13" s="4">
        <f>(BU13="Y")*Tariff!$O$4+(BV13="Y")*Tariff!$O$5+(BW13="Y")*Tariff!$O$6+(BX13="Y")*Tariff!$O$7</f>
        <v>75</v>
      </c>
      <c r="BZ13" s="4">
        <f>SUMIFS(Confirmations!$G$4:$G$7,Confirmations!$A$4:$A$7,AV13,Confirmations!$H$4:$H$7,"Yes")</f>
        <v>0</v>
      </c>
      <c r="CA13" s="4">
        <f t="shared" si="15"/>
        <v>75</v>
      </c>
      <c r="CB13" t="str">
        <f>IF(AND(AX13="No",COUNTIFS(Invoices!$B$4:$Q$26,AU13,Invoices!$A$4:$P$26,"&lt;"&amp;AT13)&gt;0),"Yes","No")</f>
        <v>No</v>
      </c>
      <c r="CC13" s="4">
        <f t="shared" si="16"/>
        <v>709.64</v>
      </c>
      <c r="CD13" s="4">
        <f>Invoices!AD13</f>
        <v>709.64</v>
      </c>
      <c r="CE13" s="4">
        <f t="shared" si="17"/>
        <v>0</v>
      </c>
      <c r="CF13" s="4">
        <f>Invoices!W13</f>
        <v>1309.89</v>
      </c>
      <c r="CG13" s="4">
        <f>Invoices!Y13</f>
        <v>497.76</v>
      </c>
      <c r="CH13" s="11">
        <f>ROUND(Invoices!Z13/Terms!$B$9,4)</f>
        <v>0.275</v>
      </c>
      <c r="CI13" s="4">
        <f>Invoices!AC13</f>
        <v>75</v>
      </c>
      <c r="CJ13" t="str">
        <f t="shared" si="18"/>
        <v/>
      </c>
      <c r="CK13" t="str">
        <f t="shared" si="19"/>
        <v/>
      </c>
    </row>
    <row r="14" spans="1:89" x14ac:dyDescent="0.2">
      <c r="A14" t="str">
        <f>Invoices!A14</f>
        <v>NFL-90321</v>
      </c>
      <c r="B14">
        <f>Invoices!B14</f>
        <v>217700</v>
      </c>
      <c r="C14">
        <f>IFERROR(INDEX('Pro Matches'!$C$4:$C$4,MATCH(B14,'Pro Matches'!$A$4:$A$4,0)),B14)</f>
        <v>217700</v>
      </c>
      <c r="D14" t="str">
        <f>IF(COUNTIF(Corrections!$A$4:$A$4,A14)&gt;0,"Yes","No")</f>
        <v>No</v>
      </c>
      <c r="E14" t="str">
        <f>IF(COUNTIF(Corrections!$B$4:$B$4,A14)&gt;0,"Yes","No")</f>
        <v>No</v>
      </c>
      <c r="F14" t="str">
        <f>IFERROR(INDEX(BOL!$C$4:$C$25,MATCH(C14,BOL!$B$4:$B$25,0)),INDEX(BOL!$P$4:$P$25,MATCH(C14,BOL!$O$4:$O$25,0)))</f>
        <v>09/09/2026</v>
      </c>
      <c r="G14" t="str">
        <f>IFERROR(INDEX(BOL!$E$4:$E$25,MATCH(C14,BOL!$B$4:$B$25,0)),INDEX(BOL!$R$4:$R$25,MATCH(C14,BOL!$O$4:$O$25,0)))</f>
        <v>SD</v>
      </c>
      <c r="H14" t="str">
        <f>IFERROR(INDEX(BOL!$F$4:$F$25,MATCH(C14,BOL!$B$4:$B$25,0)),INDEX(BOL!$S$4:$S$25,MATCH(C14,BOL!$O$4:$O$25,0)))</f>
        <v>Metal roofing panels</v>
      </c>
      <c r="I14">
        <f>IFERROR(INDEX(BOL!$H$4:$H$25,MATCH(C14,BOL!$B$4:$B$25,0)),INDEX(BOL!$U$4:$U$25,MATCH(C14,BOL!$O$4:$O$25,0)))</f>
        <v>1980</v>
      </c>
      <c r="J14">
        <f>Invoices!F14</f>
        <v>1980</v>
      </c>
      <c r="K14" t="str">
        <f>IF(COUNTIFS('Billing File'!$A$4:$A$15,C14,'Billing File'!$G$4:$G$15,"4.5 weight",'Billing File'!$F$4:$F$15,"Yes")&gt;0,"Yes","No")</f>
        <v>No</v>
      </c>
      <c r="L14">
        <f>IF(AND(K14="Yes",J14&gt;I14*(1+Terms!$B$6)),J14,I14)</f>
        <v>1980</v>
      </c>
      <c r="M14">
        <f>INDEX(Tariff!$L$4:$L$9,MATCH(H14,Tariff!$K$4:$K$9,0))</f>
        <v>70</v>
      </c>
      <c r="N14">
        <f>Invoices!G14</f>
        <v>70</v>
      </c>
      <c r="O14" t="str">
        <f>IF(COUNTIFS('Billing File'!$A$4:$A$15,C14,'Billing File'!$G$4:$G$15,"4.3 class",'Billing File'!$F$4:$F$15,"Yes")&gt;0,"Yes","No")</f>
        <v>No</v>
      </c>
      <c r="P14">
        <f t="shared" si="0"/>
        <v>70</v>
      </c>
      <c r="Q14" s="9">
        <f>INDEX(Tariff!$I$4:$I$10,MATCH(P14,Tariff!$H$4:$H$10,0))</f>
        <v>1</v>
      </c>
      <c r="R14">
        <f>MATCH(L14,Tariff!$B$12:$F$12,1)</f>
        <v>3</v>
      </c>
      <c r="S14" s="9">
        <f>INDEX(Tariff!$B$4:$F$10,MATCH(G14,Tariff!$A$4:$A$10,0),R14)</f>
        <v>43.9</v>
      </c>
      <c r="T14" s="4">
        <f t="shared" si="1"/>
        <v>869.22</v>
      </c>
      <c r="U14" s="4">
        <f>IF(R14&lt;5,ROUND(INDEX(Tariff!$B$12:$F$12,R14+1)/100*INDEX(Tariff!$B$4:$F$10,MATCH(G14,Tariff!$A$4:$A$10,0),R14+1)*Q14,2),T14)</f>
        <v>721</v>
      </c>
      <c r="V14" s="4">
        <f t="shared" si="2"/>
        <v>721</v>
      </c>
      <c r="W14" s="4">
        <f>ROUND(V14*Terms!$B$4,2)</f>
        <v>447.02</v>
      </c>
      <c r="X14" s="4">
        <f>MAX(V14-W14,Terms!$B$5)</f>
        <v>273.98</v>
      </c>
      <c r="Y14" t="str">
        <f t="shared" si="3"/>
        <v>09/07/2026</v>
      </c>
      <c r="Z14" s="11">
        <f>INDEX('Fuel Index'!$C$4:$C$16,MATCH(Y14,'Fuel Index'!$A$4:$A$16,0))</f>
        <v>0.265</v>
      </c>
      <c r="AA14" s="4">
        <f t="shared" si="4"/>
        <v>72.6</v>
      </c>
      <c r="AB14" t="str">
        <f>IFERROR(INDEX(BOL!$I$4:$I$25,MATCH(C14,BOL!$B$4:$B$25,0)),INDEX(BOL!$V$4:$V$25,MATCH(C14,BOL!$O$4:$O$25,0)))</f>
        <v>N</v>
      </c>
      <c r="AC14" t="str">
        <f>IFERROR(INDEX(BOL!$J$4:$J$25,MATCH(C14,BOL!$B$4:$B$25,0)),INDEX(BOL!$W$4:$W$25,MATCH(C14,BOL!$O$4:$O$25,0)))</f>
        <v>N</v>
      </c>
      <c r="AD14" t="str">
        <f>IFERROR(INDEX(BOL!$K$4:$K$25,MATCH(C14,BOL!$B$4:$B$25,0)),INDEX(BOL!$X$4:$X$25,MATCH(C14,BOL!$O$4:$O$25,0)))</f>
        <v>N</v>
      </c>
      <c r="AE14" t="str">
        <f>IFERROR(INDEX(BOL!$L$4:$L$25,MATCH(C14,BOL!$B$4:$B$25,0)),INDEX(BOL!$Y$4:$Y$25,MATCH(C14,BOL!$O$4:$O$25,0)))</f>
        <v>N</v>
      </c>
      <c r="AF14" s="4">
        <f>(AB14="Y")*Tariff!$O$4+(AC14="Y")*Tariff!$O$5+(AD14="Y")*Tariff!$O$6+(AE14="Y")*Tariff!$O$7</f>
        <v>0</v>
      </c>
      <c r="AG14" s="4">
        <f>SUMIFS(Confirmations!$G$4:$G$7,Confirmations!$A$4:$A$7,C14,Confirmations!$H$4:$H$7,"Yes")</f>
        <v>0</v>
      </c>
      <c r="AH14" s="4">
        <f t="shared" si="5"/>
        <v>0</v>
      </c>
      <c r="AI14" t="str">
        <f>IF(AND(E14="No",COUNTIFS(Invoices!$B$4:$Q$26,B14,Invoices!$A$4:$P$26,"&lt;"&amp;A14)&gt;0),"Yes","No")</f>
        <v>No</v>
      </c>
      <c r="AJ14" s="4">
        <f t="shared" si="6"/>
        <v>346.58</v>
      </c>
      <c r="AK14" s="4">
        <f>Invoices!O14</f>
        <v>346.58</v>
      </c>
      <c r="AL14" s="4">
        <f t="shared" si="7"/>
        <v>0</v>
      </c>
      <c r="AM14" s="4">
        <f>Invoices!H14</f>
        <v>721</v>
      </c>
      <c r="AN14" s="4">
        <f>Invoices!J14</f>
        <v>273.98</v>
      </c>
      <c r="AO14" s="11">
        <f>ROUND(Invoices!K14/Terms!$B$9,4)</f>
        <v>0.265</v>
      </c>
      <c r="AP14" s="4">
        <f>Invoices!N14</f>
        <v>0</v>
      </c>
      <c r="AQ14" t="str">
        <f t="shared" si="8"/>
        <v/>
      </c>
      <c r="AR14" t="str">
        <f t="shared" si="9"/>
        <v/>
      </c>
      <c r="AT14" t="str">
        <f>Invoices!P14</f>
        <v>NFL-90349</v>
      </c>
      <c r="AU14">
        <f>Invoices!Q14</f>
        <v>217883</v>
      </c>
      <c r="AV14">
        <f>IFERROR(INDEX('Pro Matches'!$C$4:$C$4,MATCH(AU14,'Pro Matches'!$A$4:$A$4,0)),AU14)</f>
        <v>217883</v>
      </c>
      <c r="AW14" t="str">
        <f>IF(COUNTIF(Corrections!$A$4:$A$4,AT14)&gt;0,"Yes","No")</f>
        <v>No</v>
      </c>
      <c r="AX14" t="str">
        <f>IF(COUNTIF(Corrections!$B$4:$B$4,AT14)&gt;0,"Yes","No")</f>
        <v>No</v>
      </c>
      <c r="AY14" t="str">
        <f>IFERROR(INDEX(BOL!$C$4:$C$25,MATCH(AV14,BOL!$B$4:$B$25,0)),INDEX(BOL!$P$4:$P$25,MATCH(AV14,BOL!$O$4:$O$25,0)))</f>
        <v>09/18/2026</v>
      </c>
      <c r="AZ14" t="str">
        <f>IFERROR(INDEX(BOL!$E$4:$E$25,MATCH(AV14,BOL!$B$4:$B$25,0)),INDEX(BOL!$R$4:$R$25,MATCH(AV14,BOL!$O$4:$O$25,0)))</f>
        <v>WI</v>
      </c>
      <c r="BA14" t="str">
        <f>IFERROR(INDEX(BOL!$F$4:$F$25,MATCH(AV14,BOL!$B$4:$B$25,0)),INDEX(BOL!$S$4:$S$25,MATCH(AV14,BOL!$O$4:$O$25,0)))</f>
        <v>Windows and doors</v>
      </c>
      <c r="BB14">
        <f>IFERROR(INDEX(BOL!$H$4:$H$25,MATCH(AV14,BOL!$B$4:$B$25,0)),INDEX(BOL!$U$4:$U$25,MATCH(AV14,BOL!$O$4:$O$25,0)))</f>
        <v>1010</v>
      </c>
      <c r="BC14">
        <f>Invoices!U14</f>
        <v>1010</v>
      </c>
      <c r="BD14" t="str">
        <f>IF(COUNTIFS('Billing File'!$A$4:$A$15,AV14,'Billing File'!$G$4:$G$15,"4.5 weight",'Billing File'!$F$4:$F$15,"Yes")&gt;0,"Yes","No")</f>
        <v>No</v>
      </c>
      <c r="BE14">
        <f>IF(AND(BD14="Yes",BC14&gt;BB14*(1+Terms!$B$6)),BC14,BB14)</f>
        <v>1010</v>
      </c>
      <c r="BF14">
        <f>INDEX(Tariff!$L$4:$L$9,MATCH(BA14,Tariff!$K$4:$K$9,0))</f>
        <v>100</v>
      </c>
      <c r="BG14">
        <f>Invoices!V14</f>
        <v>100</v>
      </c>
      <c r="BH14" t="str">
        <f>IF(COUNTIFS('Billing File'!$A$4:$A$15,AV14,'Billing File'!$G$4:$G$15,"4.3 class",'Billing File'!$F$4:$F$15,"Yes")&gt;0,"Yes","No")</f>
        <v>No</v>
      </c>
      <c r="BI14">
        <f t="shared" si="10"/>
        <v>100</v>
      </c>
      <c r="BJ14" s="9">
        <f>INDEX(Tariff!$I$4:$I$10,MATCH(BI14,Tariff!$H$4:$H$10,0))</f>
        <v>1.45</v>
      </c>
      <c r="BK14">
        <f>MATCH(BE14,Tariff!$B$12:$F$12,1)</f>
        <v>3</v>
      </c>
      <c r="BL14" s="9">
        <f>INDEX(Tariff!$B$4:$F$10,MATCH(AZ14,Tariff!$A$4:$A$10,0),BK14)</f>
        <v>50.3</v>
      </c>
      <c r="BM14" s="4">
        <f t="shared" si="11"/>
        <v>736.64</v>
      </c>
      <c r="BN14" s="4">
        <f>IF(BK14&lt;5,ROUND(INDEX(Tariff!$B$12:$F$12,BK14+1)/100*INDEX(Tariff!$B$4:$F$10,MATCH(AZ14,Tariff!$A$4:$A$10,0),BK14+1)*BJ14,2),BM14)</f>
        <v>1197.7</v>
      </c>
      <c r="BO14" s="4">
        <f t="shared" si="12"/>
        <v>736.64</v>
      </c>
      <c r="BP14" s="4">
        <f>ROUND(BO14*Terms!$B$4,2)</f>
        <v>456.72</v>
      </c>
      <c r="BQ14" s="4">
        <f>MAX(BO14-BP14,Terms!$B$5)</f>
        <v>279.92</v>
      </c>
      <c r="BR14" t="str">
        <f t="shared" si="13"/>
        <v>09/14/2026</v>
      </c>
      <c r="BS14" s="11">
        <f>INDEX('Fuel Index'!$C$4:$C$16,MATCH(BR14,'Fuel Index'!$A$4:$A$16,0))</f>
        <v>0.26</v>
      </c>
      <c r="BT14" s="4">
        <f t="shared" si="14"/>
        <v>72.78</v>
      </c>
      <c r="BU14" t="str">
        <f>IFERROR(INDEX(BOL!$I$4:$I$25,MATCH(AV14,BOL!$B$4:$B$25,0)),INDEX(BOL!$V$4:$V$25,MATCH(AV14,BOL!$O$4:$O$25,0)))</f>
        <v>N</v>
      </c>
      <c r="BV14" t="str">
        <f>IFERROR(INDEX(BOL!$J$4:$J$25,MATCH(AV14,BOL!$B$4:$B$25,0)),INDEX(BOL!$W$4:$W$25,MATCH(AV14,BOL!$O$4:$O$25,0)))</f>
        <v>Y</v>
      </c>
      <c r="BW14" t="str">
        <f>IFERROR(INDEX(BOL!$K$4:$K$25,MATCH(AV14,BOL!$B$4:$B$25,0)),INDEX(BOL!$X$4:$X$25,MATCH(AV14,BOL!$O$4:$O$25,0)))</f>
        <v>N</v>
      </c>
      <c r="BX14" t="str">
        <f>IFERROR(INDEX(BOL!$L$4:$L$25,MATCH(AV14,BOL!$B$4:$B$25,0)),INDEX(BOL!$Y$4:$Y$25,MATCH(AV14,BOL!$O$4:$O$25,0)))</f>
        <v>N</v>
      </c>
      <c r="BY14" s="4">
        <f>(BU14="Y")*Tariff!$O$4+(BV14="Y")*Tariff!$O$5+(BW14="Y")*Tariff!$O$6+(BX14="Y")*Tariff!$O$7</f>
        <v>95</v>
      </c>
      <c r="BZ14" s="4">
        <f>SUMIFS(Confirmations!$G$4:$G$7,Confirmations!$A$4:$A$7,AV14,Confirmations!$H$4:$H$7,"Yes")</f>
        <v>0</v>
      </c>
      <c r="CA14" s="4">
        <f t="shared" si="15"/>
        <v>95</v>
      </c>
      <c r="CB14" t="str">
        <f>IF(AND(AX14="No",COUNTIFS(Invoices!$B$4:$Q$26,AU14,Invoices!$A$4:$P$26,"&lt;"&amp;AT14)&gt;0),"Yes","No")</f>
        <v>Yes</v>
      </c>
      <c r="CC14" s="4">
        <f t="shared" si="16"/>
        <v>0</v>
      </c>
      <c r="CD14" s="4">
        <f>Invoices!AD14</f>
        <v>447.7</v>
      </c>
      <c r="CE14" s="4">
        <f t="shared" si="17"/>
        <v>447.7</v>
      </c>
      <c r="CF14" s="4">
        <f>Invoices!W14</f>
        <v>736.64</v>
      </c>
      <c r="CG14" s="4">
        <f>Invoices!Y14</f>
        <v>279.92</v>
      </c>
      <c r="CH14" s="11">
        <f>ROUND(Invoices!Z14/Terms!$B$9,4)</f>
        <v>0.26</v>
      </c>
      <c r="CI14" s="4">
        <f>Invoices!AC14</f>
        <v>95</v>
      </c>
      <c r="CJ14" t="str">
        <f t="shared" si="18"/>
        <v>7.1 duplicate bill</v>
      </c>
      <c r="CK14" t="str">
        <f t="shared" si="19"/>
        <v/>
      </c>
    </row>
    <row r="15" spans="1:89" x14ac:dyDescent="0.2">
      <c r="A15" t="str">
        <f>Invoices!A15</f>
        <v>NFL-90322</v>
      </c>
      <c r="B15">
        <f>Invoices!B15</f>
        <v>217784</v>
      </c>
      <c r="C15">
        <f>IFERROR(INDEX('Pro Matches'!$C$4:$C$4,MATCH(B15,'Pro Matches'!$A$4:$A$4,0)),B15)</f>
        <v>217784</v>
      </c>
      <c r="D15" t="str">
        <f>IF(COUNTIF(Corrections!$A$4:$A$4,A15)&gt;0,"Yes","No")</f>
        <v>No</v>
      </c>
      <c r="E15" t="str">
        <f>IF(COUNTIF(Corrections!$B$4:$B$4,A15)&gt;0,"Yes","No")</f>
        <v>No</v>
      </c>
      <c r="F15" t="str">
        <f>IFERROR(INDEX(BOL!$C$4:$C$25,MATCH(C15,BOL!$B$4:$B$25,0)),INDEX(BOL!$P$4:$P$25,MATCH(C15,BOL!$O$4:$O$25,0)))</f>
        <v>09/09/2026</v>
      </c>
      <c r="G15" t="str">
        <f>IFERROR(INDEX(BOL!$E$4:$E$25,MATCH(C15,BOL!$B$4:$B$25,0)),INDEX(BOL!$R$4:$R$25,MATCH(C15,BOL!$O$4:$O$25,0)))</f>
        <v>ND</v>
      </c>
      <c r="H15" t="str">
        <f>IFERROR(INDEX(BOL!$F$4:$F$25,MATCH(C15,BOL!$B$4:$B$25,0)),INDEX(BOL!$S$4:$S$25,MATCH(C15,BOL!$O$4:$O$25,0)))</f>
        <v>Sealants and coatings</v>
      </c>
      <c r="I15">
        <f>IFERROR(INDEX(BOL!$H$4:$H$25,MATCH(C15,BOL!$B$4:$B$25,0)),INDEX(BOL!$U$4:$U$25,MATCH(C15,BOL!$O$4:$O$25,0)))</f>
        <v>2440</v>
      </c>
      <c r="J15">
        <f>Invoices!F15</f>
        <v>2440</v>
      </c>
      <c r="K15" t="str">
        <f>IF(COUNTIFS('Billing File'!$A$4:$A$15,C15,'Billing File'!$G$4:$G$15,"4.5 weight",'Billing File'!$F$4:$F$15,"Yes")&gt;0,"Yes","No")</f>
        <v>No</v>
      </c>
      <c r="L15">
        <f>IF(AND(K15="Yes",J15&gt;I15*(1+Terms!$B$6)),J15,I15)</f>
        <v>2440</v>
      </c>
      <c r="M15">
        <f>INDEX(Tariff!$L$4:$L$9,MATCH(H15,Tariff!$K$4:$K$9,0))</f>
        <v>85</v>
      </c>
      <c r="N15">
        <f>Invoices!G15</f>
        <v>92.5</v>
      </c>
      <c r="O15" t="str">
        <f>IF(COUNTIFS('Billing File'!$A$4:$A$15,C15,'Billing File'!$G$4:$G$15,"4.3 class",'Billing File'!$F$4:$F$15,"Yes")&gt;0,"Yes","No")</f>
        <v>No</v>
      </c>
      <c r="P15">
        <f t="shared" si="0"/>
        <v>85</v>
      </c>
      <c r="Q15" s="9">
        <f>INDEX(Tariff!$I$4:$I$10,MATCH(P15,Tariff!$H$4:$H$10,0))</f>
        <v>1.15</v>
      </c>
      <c r="R15">
        <f>MATCH(L15,Tariff!$B$12:$F$12,1)</f>
        <v>4</v>
      </c>
      <c r="S15" s="9">
        <f>INDEX(Tariff!$B$4:$F$10,MATCH(G15,Tariff!$A$4:$A$10,0),R15)</f>
        <v>26.4</v>
      </c>
      <c r="T15" s="4">
        <f t="shared" si="1"/>
        <v>740.78</v>
      </c>
      <c r="U15" s="4">
        <f>IF(R15&lt;5,ROUND(INDEX(Tariff!$B$12:$F$12,R15+1)/100*INDEX(Tariff!$B$4:$F$10,MATCH(G15,Tariff!$A$4:$A$10,0),R15+1)*Q15,2),T15)</f>
        <v>1236.25</v>
      </c>
      <c r="V15" s="4">
        <f t="shared" si="2"/>
        <v>740.78</v>
      </c>
      <c r="W15" s="4">
        <f>ROUND(V15*Terms!$B$4,2)</f>
        <v>459.28</v>
      </c>
      <c r="X15" s="4">
        <f>MAX(V15-W15,Terms!$B$5)</f>
        <v>281.5</v>
      </c>
      <c r="Y15" t="str">
        <f t="shared" si="3"/>
        <v>09/07/2026</v>
      </c>
      <c r="Z15" s="11">
        <f>INDEX('Fuel Index'!$C$4:$C$16,MATCH(Y15,'Fuel Index'!$A$4:$A$16,0))</f>
        <v>0.265</v>
      </c>
      <c r="AA15" s="4">
        <f t="shared" si="4"/>
        <v>74.6</v>
      </c>
      <c r="AB15" t="str">
        <f>IFERROR(INDEX(BOL!$I$4:$I$25,MATCH(C15,BOL!$B$4:$B$25,0)),INDEX(BOL!$V$4:$V$25,MATCH(C15,BOL!$O$4:$O$25,0)))</f>
        <v>N</v>
      </c>
      <c r="AC15" t="str">
        <f>IFERROR(INDEX(BOL!$J$4:$J$25,MATCH(C15,BOL!$B$4:$B$25,0)),INDEX(BOL!$W$4:$W$25,MATCH(C15,BOL!$O$4:$O$25,0)))</f>
        <v>N</v>
      </c>
      <c r="AD15" t="str">
        <f>IFERROR(INDEX(BOL!$K$4:$K$25,MATCH(C15,BOL!$B$4:$B$25,0)),INDEX(BOL!$X$4:$X$25,MATCH(C15,BOL!$O$4:$O$25,0)))</f>
        <v>Y</v>
      </c>
      <c r="AE15" t="str">
        <f>IFERROR(INDEX(BOL!$L$4:$L$25,MATCH(C15,BOL!$B$4:$B$25,0)),INDEX(BOL!$Y$4:$Y$25,MATCH(C15,BOL!$O$4:$O$25,0)))</f>
        <v>N</v>
      </c>
      <c r="AF15" s="4">
        <f>(AB15="Y")*Tariff!$O$4+(AC15="Y")*Tariff!$O$5+(AD15="Y")*Tariff!$O$6+(AE15="Y")*Tariff!$O$7</f>
        <v>85</v>
      </c>
      <c r="AG15" s="4">
        <f>SUMIFS(Confirmations!$G$4:$G$7,Confirmations!$A$4:$A$7,C15,Confirmations!$H$4:$H$7,"Yes")</f>
        <v>0</v>
      </c>
      <c r="AH15" s="4">
        <f t="shared" si="5"/>
        <v>85</v>
      </c>
      <c r="AI15" t="str">
        <f>IF(AND(E15="No",COUNTIFS(Invoices!$B$4:$Q$26,B15,Invoices!$A$4:$P$26,"&lt;"&amp;A15)&gt;0),"Yes","No")</f>
        <v>No</v>
      </c>
      <c r="AJ15" s="4">
        <f t="shared" si="6"/>
        <v>441.1</v>
      </c>
      <c r="AK15" s="4">
        <f>Invoices!O15</f>
        <v>487.55</v>
      </c>
      <c r="AL15" s="4">
        <f t="shared" si="7"/>
        <v>46.45</v>
      </c>
      <c r="AM15" s="4">
        <f>Invoices!H15</f>
        <v>837.41</v>
      </c>
      <c r="AN15" s="4">
        <f>Invoices!J15</f>
        <v>318.22</v>
      </c>
      <c r="AO15" s="11">
        <f>ROUND(Invoices!K15/Terms!$B$9,4)</f>
        <v>0.265</v>
      </c>
      <c r="AP15" s="4">
        <f>Invoices!N15</f>
        <v>85</v>
      </c>
      <c r="AQ15" t="str">
        <f t="shared" si="8"/>
        <v>4.3 class</v>
      </c>
      <c r="AR15" t="str">
        <f t="shared" si="9"/>
        <v/>
      </c>
      <c r="AT15" t="str">
        <f>Invoices!P15</f>
        <v>NFL-90350</v>
      </c>
      <c r="AU15">
        <f>Invoices!Q15</f>
        <v>217687</v>
      </c>
      <c r="AV15">
        <f>IFERROR(INDEX('Pro Matches'!$C$4:$C$4,MATCH(AU15,'Pro Matches'!$A$4:$A$4,0)),AU15)</f>
        <v>217687</v>
      </c>
      <c r="AW15" t="str">
        <f>IF(COUNTIF(Corrections!$A$4:$A$4,AT15)&gt;0,"Yes","No")</f>
        <v>No</v>
      </c>
      <c r="AX15" t="str">
        <f>IF(COUNTIF(Corrections!$B$4:$B$4,AT15)&gt;0,"Yes","No")</f>
        <v>No</v>
      </c>
      <c r="AY15" t="str">
        <f>IFERROR(INDEX(BOL!$C$4:$C$25,MATCH(AV15,BOL!$B$4:$B$25,0)),INDEX(BOL!$P$4:$P$25,MATCH(AV15,BOL!$O$4:$O$25,0)))</f>
        <v>09/28/2026</v>
      </c>
      <c r="AZ15" t="str">
        <f>IFERROR(INDEX(BOL!$E$4:$E$25,MATCH(AV15,BOL!$B$4:$B$25,0)),INDEX(BOL!$R$4:$R$25,MATCH(AV15,BOL!$O$4:$O$25,0)))</f>
        <v>ND</v>
      </c>
      <c r="BA15" t="str">
        <f>IFERROR(INDEX(BOL!$F$4:$F$25,MATCH(AV15,BOL!$B$4:$B$25,0)),INDEX(BOL!$S$4:$S$25,MATCH(AV15,BOL!$O$4:$O$25,0)))</f>
        <v>Gypsum and cement board</v>
      </c>
      <c r="BB15">
        <f>IFERROR(INDEX(BOL!$H$4:$H$25,MATCH(AV15,BOL!$B$4:$B$25,0)),INDEX(BOL!$U$4:$U$25,MATCH(AV15,BOL!$O$4:$O$25,0)))</f>
        <v>460</v>
      </c>
      <c r="BC15">
        <f>Invoices!U15</f>
        <v>460</v>
      </c>
      <c r="BD15" t="str">
        <f>IF(COUNTIFS('Billing File'!$A$4:$A$15,AV15,'Billing File'!$G$4:$G$15,"4.5 weight",'Billing File'!$F$4:$F$15,"Yes")&gt;0,"Yes","No")</f>
        <v>No</v>
      </c>
      <c r="BE15">
        <f>IF(AND(BD15="Yes",BC15&gt;BB15*(1+Terms!$B$6)),BC15,BB15)</f>
        <v>460</v>
      </c>
      <c r="BF15">
        <f>INDEX(Tariff!$L$4:$L$9,MATCH(BA15,Tariff!$K$4:$K$9,0))</f>
        <v>55</v>
      </c>
      <c r="BG15">
        <f>Invoices!V15</f>
        <v>55</v>
      </c>
      <c r="BH15" t="str">
        <f>IF(COUNTIFS('Billing File'!$A$4:$A$15,AV15,'Billing File'!$G$4:$G$15,"4.3 class",'Billing File'!$F$4:$F$15,"Yes")&gt;0,"Yes","No")</f>
        <v>No</v>
      </c>
      <c r="BI15">
        <f t="shared" si="10"/>
        <v>55</v>
      </c>
      <c r="BJ15" s="9">
        <f>INDEX(Tariff!$I$4:$I$10,MATCH(BI15,Tariff!$H$4:$H$10,0))</f>
        <v>0.88</v>
      </c>
      <c r="BK15">
        <f>MATCH(BE15,Tariff!$B$12:$F$12,1)</f>
        <v>1</v>
      </c>
      <c r="BL15" s="9">
        <f>INDEX(Tariff!$B$4:$F$10,MATCH(AZ15,Tariff!$A$4:$A$10,0),BK15)</f>
        <v>44.9</v>
      </c>
      <c r="BM15" s="4">
        <f t="shared" si="11"/>
        <v>181.76</v>
      </c>
      <c r="BN15" s="4">
        <f>IF(BK15&lt;5,ROUND(INDEX(Tariff!$B$12:$F$12,BK15+1)/100*INDEX(Tariff!$B$4:$F$10,MATCH(AZ15,Tariff!$A$4:$A$10,0),BK15+1)*BJ15,2),BM15)</f>
        <v>166.32</v>
      </c>
      <c r="BO15" s="4">
        <f t="shared" si="12"/>
        <v>166.32</v>
      </c>
      <c r="BP15" s="4">
        <f>ROUND(BO15*Terms!$B$4,2)</f>
        <v>103.12</v>
      </c>
      <c r="BQ15" s="4">
        <f>MAX(BO15-BP15,Terms!$B$5)</f>
        <v>118.4</v>
      </c>
      <c r="BR15" t="str">
        <f t="shared" si="13"/>
        <v>09/28/2026</v>
      </c>
      <c r="BS15" s="11">
        <f>INDEX('Fuel Index'!$C$4:$C$16,MATCH(BR15,'Fuel Index'!$A$4:$A$16,0))</f>
        <v>0.27</v>
      </c>
      <c r="BT15" s="4">
        <f t="shared" si="14"/>
        <v>31.97</v>
      </c>
      <c r="BU15" t="str">
        <f>IFERROR(INDEX(BOL!$I$4:$I$25,MATCH(AV15,BOL!$B$4:$B$25,0)),INDEX(BOL!$V$4:$V$25,MATCH(AV15,BOL!$O$4:$O$25,0)))</f>
        <v>N</v>
      </c>
      <c r="BV15" t="str">
        <f>IFERROR(INDEX(BOL!$J$4:$J$25,MATCH(AV15,BOL!$B$4:$B$25,0)),INDEX(BOL!$W$4:$W$25,MATCH(AV15,BOL!$O$4:$O$25,0)))</f>
        <v>N</v>
      </c>
      <c r="BW15" t="str">
        <f>IFERROR(INDEX(BOL!$K$4:$K$25,MATCH(AV15,BOL!$B$4:$B$25,0)),INDEX(BOL!$X$4:$X$25,MATCH(AV15,BOL!$O$4:$O$25,0)))</f>
        <v>N</v>
      </c>
      <c r="BX15" t="str">
        <f>IFERROR(INDEX(BOL!$L$4:$L$25,MATCH(AV15,BOL!$B$4:$B$25,0)),INDEX(BOL!$Y$4:$Y$25,MATCH(AV15,BOL!$O$4:$O$25,0)))</f>
        <v>N</v>
      </c>
      <c r="BY15" s="4">
        <f>(BU15="Y")*Tariff!$O$4+(BV15="Y")*Tariff!$O$5+(BW15="Y")*Tariff!$O$6+(BX15="Y")*Tariff!$O$7</f>
        <v>0</v>
      </c>
      <c r="BZ15" s="4">
        <f>SUMIFS(Confirmations!$G$4:$G$7,Confirmations!$A$4:$A$7,AV15,Confirmations!$H$4:$H$7,"Yes")</f>
        <v>0</v>
      </c>
      <c r="CA15" s="4">
        <f t="shared" si="15"/>
        <v>0</v>
      </c>
      <c r="CB15" t="str">
        <f>IF(AND(AX15="No",COUNTIFS(Invoices!$B$4:$Q$26,AU15,Invoices!$A$4:$P$26,"&lt;"&amp;AT15)&gt;0),"Yes","No")</f>
        <v>No</v>
      </c>
      <c r="CC15" s="4">
        <f t="shared" si="16"/>
        <v>150.37</v>
      </c>
      <c r="CD15" s="4">
        <f>Invoices!AD15</f>
        <v>150.37</v>
      </c>
      <c r="CE15" s="4">
        <f t="shared" si="17"/>
        <v>0</v>
      </c>
      <c r="CF15" s="4">
        <f>Invoices!W15</f>
        <v>181.76</v>
      </c>
      <c r="CG15" s="4">
        <f>Invoices!Y15</f>
        <v>118.4</v>
      </c>
      <c r="CH15" s="11">
        <f>ROUND(Invoices!Z15/Terms!$B$9,4)</f>
        <v>0.27</v>
      </c>
      <c r="CI15" s="4">
        <f>Invoices!AC15</f>
        <v>0</v>
      </c>
      <c r="CJ15" t="str">
        <f t="shared" si="18"/>
        <v/>
      </c>
      <c r="CK15" t="str">
        <f t="shared" si="19"/>
        <v/>
      </c>
    </row>
    <row r="16" spans="1:89" x14ac:dyDescent="0.2">
      <c r="A16" t="str">
        <f>Invoices!A16</f>
        <v>NFL-90324</v>
      </c>
      <c r="B16">
        <f>Invoices!B16</f>
        <v>217733</v>
      </c>
      <c r="C16">
        <f>IFERROR(INDEX('Pro Matches'!$C$4:$C$4,MATCH(B16,'Pro Matches'!$A$4:$A$4,0)),B16)</f>
        <v>217733</v>
      </c>
      <c r="D16" t="str">
        <f>IF(COUNTIF(Corrections!$A$4:$A$4,A16)&gt;0,"Yes","No")</f>
        <v>No</v>
      </c>
      <c r="E16" t="str">
        <f>IF(COUNTIF(Corrections!$B$4:$B$4,A16)&gt;0,"Yes","No")</f>
        <v>No</v>
      </c>
      <c r="F16" t="str">
        <f>IFERROR(INDEX(BOL!$C$4:$C$25,MATCH(C16,BOL!$B$4:$B$25,0)),INDEX(BOL!$P$4:$P$25,MATCH(C16,BOL!$O$4:$O$25,0)))</f>
        <v>09/14/2026</v>
      </c>
      <c r="G16" t="str">
        <f>IFERROR(INDEX(BOL!$E$4:$E$25,MATCH(C16,BOL!$B$4:$B$25,0)),INDEX(BOL!$R$4:$R$25,MATCH(C16,BOL!$O$4:$O$25,0)))</f>
        <v>NE</v>
      </c>
      <c r="H16" t="str">
        <f>IFERROR(INDEX(BOL!$F$4:$F$25,MATCH(C16,BOL!$B$4:$B$25,0)),INDEX(BOL!$S$4:$S$25,MATCH(C16,BOL!$O$4:$O$25,0)))</f>
        <v>Sealants and coatings</v>
      </c>
      <c r="I16">
        <f>IFERROR(INDEX(BOL!$H$4:$H$25,MATCH(C16,BOL!$B$4:$B$25,0)),INDEX(BOL!$U$4:$U$25,MATCH(C16,BOL!$O$4:$O$25,0)))</f>
        <v>640</v>
      </c>
      <c r="J16">
        <f>Invoices!F16</f>
        <v>640</v>
      </c>
      <c r="K16" t="str">
        <f>IF(COUNTIFS('Billing File'!$A$4:$A$15,C16,'Billing File'!$G$4:$G$15,"4.5 weight",'Billing File'!$F$4:$F$15,"Yes")&gt;0,"Yes","No")</f>
        <v>No</v>
      </c>
      <c r="L16">
        <f>IF(AND(K16="Yes",J16&gt;I16*(1+Terms!$B$6)),J16,I16)</f>
        <v>640</v>
      </c>
      <c r="M16">
        <f>INDEX(Tariff!$L$4:$L$9,MATCH(H16,Tariff!$K$4:$K$9,0))</f>
        <v>85</v>
      </c>
      <c r="N16">
        <f>Invoices!G16</f>
        <v>85</v>
      </c>
      <c r="O16" t="str">
        <f>IF(COUNTIFS('Billing File'!$A$4:$A$15,C16,'Billing File'!$G$4:$G$15,"4.3 class",'Billing File'!$F$4:$F$15,"Yes")&gt;0,"Yes","No")</f>
        <v>No</v>
      </c>
      <c r="P16">
        <f t="shared" si="0"/>
        <v>85</v>
      </c>
      <c r="Q16" s="9">
        <f>INDEX(Tariff!$I$4:$I$10,MATCH(P16,Tariff!$H$4:$H$10,0))</f>
        <v>1.15</v>
      </c>
      <c r="R16">
        <f>MATCH(L16,Tariff!$B$12:$F$12,1)</f>
        <v>2</v>
      </c>
      <c r="S16" s="9">
        <f>INDEX(Tariff!$B$4:$F$10,MATCH(G16,Tariff!$A$4:$A$10,0),R16)</f>
        <v>58.45</v>
      </c>
      <c r="T16" s="4">
        <f t="shared" si="1"/>
        <v>430.19</v>
      </c>
      <c r="U16" s="4">
        <f>IF(R16&lt;5,ROUND(INDEX(Tariff!$B$12:$F$12,R16+1)/100*INDEX(Tariff!$B$4:$F$10,MATCH(G16,Tariff!$A$4:$A$10,0),R16+1)*Q16,2),T16)</f>
        <v>572.7</v>
      </c>
      <c r="V16" s="4">
        <f t="shared" si="2"/>
        <v>430.19</v>
      </c>
      <c r="W16" s="4">
        <f>ROUND(V16*Terms!$B$4,2)</f>
        <v>266.72</v>
      </c>
      <c r="X16" s="4">
        <f>MAX(V16-W16,Terms!$B$5)</f>
        <v>163.47</v>
      </c>
      <c r="Y16" t="str">
        <f t="shared" si="3"/>
        <v>09/14/2026</v>
      </c>
      <c r="Z16" s="11">
        <f>INDEX('Fuel Index'!$C$4:$C$16,MATCH(Y16,'Fuel Index'!$A$4:$A$16,0))</f>
        <v>0.26</v>
      </c>
      <c r="AA16" s="4">
        <f t="shared" si="4"/>
        <v>42.5</v>
      </c>
      <c r="AB16" t="str">
        <f>IFERROR(INDEX(BOL!$I$4:$I$25,MATCH(C16,BOL!$B$4:$B$25,0)),INDEX(BOL!$V$4:$V$25,MATCH(C16,BOL!$O$4:$O$25,0)))</f>
        <v>N</v>
      </c>
      <c r="AC16" t="str">
        <f>IFERROR(INDEX(BOL!$J$4:$J$25,MATCH(C16,BOL!$B$4:$B$25,0)),INDEX(BOL!$W$4:$W$25,MATCH(C16,BOL!$O$4:$O$25,0)))</f>
        <v>N</v>
      </c>
      <c r="AD16" t="str">
        <f>IFERROR(INDEX(BOL!$K$4:$K$25,MATCH(C16,BOL!$B$4:$B$25,0)),INDEX(BOL!$X$4:$X$25,MATCH(C16,BOL!$O$4:$O$25,0)))</f>
        <v>N</v>
      </c>
      <c r="AE16" t="str">
        <f>IFERROR(INDEX(BOL!$L$4:$L$25,MATCH(C16,BOL!$B$4:$B$25,0)),INDEX(BOL!$Y$4:$Y$25,MATCH(C16,BOL!$O$4:$O$25,0)))</f>
        <v>N</v>
      </c>
      <c r="AF16" s="4">
        <f>(AB16="Y")*Tariff!$O$4+(AC16="Y")*Tariff!$O$5+(AD16="Y")*Tariff!$O$6+(AE16="Y")*Tariff!$O$7</f>
        <v>0</v>
      </c>
      <c r="AG16" s="4">
        <f>SUMIFS(Confirmations!$G$4:$G$7,Confirmations!$A$4:$A$7,C16,Confirmations!$H$4:$H$7,"Yes")</f>
        <v>110</v>
      </c>
      <c r="AH16" s="4">
        <f t="shared" si="5"/>
        <v>110</v>
      </c>
      <c r="AI16" t="str">
        <f>IF(AND(E16="No",COUNTIFS(Invoices!$B$4:$Q$26,B16,Invoices!$A$4:$P$26,"&lt;"&amp;A16)&gt;0),"Yes","No")</f>
        <v>No</v>
      </c>
      <c r="AJ16" s="4">
        <f t="shared" si="6"/>
        <v>315.97</v>
      </c>
      <c r="AK16" s="4">
        <f>Invoices!O16</f>
        <v>315.97</v>
      </c>
      <c r="AL16" s="4">
        <f t="shared" si="7"/>
        <v>0</v>
      </c>
      <c r="AM16" s="4">
        <f>Invoices!H16</f>
        <v>430.19</v>
      </c>
      <c r="AN16" s="4">
        <f>Invoices!J16</f>
        <v>163.47</v>
      </c>
      <c r="AO16" s="11">
        <f>ROUND(Invoices!K16/Terms!$B$9,4)</f>
        <v>0.26</v>
      </c>
      <c r="AP16" s="4">
        <f>Invoices!N16</f>
        <v>110</v>
      </c>
      <c r="AQ16" t="str">
        <f t="shared" si="8"/>
        <v/>
      </c>
      <c r="AR16" t="str">
        <f t="shared" si="9"/>
        <v>6.1 written confirmation</v>
      </c>
      <c r="AT16" t="str">
        <f>Invoices!P16</f>
        <v>NFL-90351</v>
      </c>
      <c r="AU16">
        <f>Invoices!Q16</f>
        <v>217820</v>
      </c>
      <c r="AV16">
        <f>IFERROR(INDEX('Pro Matches'!$C$4:$C$4,MATCH(AU16,'Pro Matches'!$A$4:$A$4,0)),AU16)</f>
        <v>217820</v>
      </c>
      <c r="AW16" t="str">
        <f>IF(COUNTIF(Corrections!$A$4:$A$4,AT16)&gt;0,"Yes","No")</f>
        <v>No</v>
      </c>
      <c r="AX16" t="str">
        <f>IF(COUNTIF(Corrections!$B$4:$B$4,AT16)&gt;0,"Yes","No")</f>
        <v>No</v>
      </c>
      <c r="AY16" t="str">
        <f>IFERROR(INDEX(BOL!$C$4:$C$25,MATCH(AV16,BOL!$B$4:$B$25,0)),INDEX(BOL!$P$4:$P$25,MATCH(AV16,BOL!$O$4:$O$25,0)))</f>
        <v>09/28/2026</v>
      </c>
      <c r="AZ16" t="str">
        <f>IFERROR(INDEX(BOL!$E$4:$E$25,MATCH(AV16,BOL!$B$4:$B$25,0)),INDEX(BOL!$R$4:$R$25,MATCH(AV16,BOL!$O$4:$O$25,0)))</f>
        <v>IA</v>
      </c>
      <c r="BA16" t="str">
        <f>IFERROR(INDEX(BOL!$F$4:$F$25,MATCH(AV16,BOL!$B$4:$B$25,0)),INDEX(BOL!$S$4:$S$25,MATCH(AV16,BOL!$O$4:$O$25,0)))</f>
        <v>Metal roofing panels</v>
      </c>
      <c r="BB16">
        <f>IFERROR(INDEX(BOL!$H$4:$H$25,MATCH(AV16,BOL!$B$4:$B$25,0)),INDEX(BOL!$U$4:$U$25,MATCH(AV16,BOL!$O$4:$O$25,0)))</f>
        <v>1310</v>
      </c>
      <c r="BC16">
        <f>Invoices!U16</f>
        <v>1620</v>
      </c>
      <c r="BD16" t="str">
        <f>IF(COUNTIFS('Billing File'!$A$4:$A$15,AV16,'Billing File'!$G$4:$G$15,"4.5 weight",'Billing File'!$F$4:$F$15,"Yes")&gt;0,"Yes","No")</f>
        <v>No</v>
      </c>
      <c r="BE16">
        <f>IF(AND(BD16="Yes",BC16&gt;BB16*(1+Terms!$B$6)),BC16,BB16)</f>
        <v>1310</v>
      </c>
      <c r="BF16">
        <f>INDEX(Tariff!$L$4:$L$9,MATCH(BA16,Tariff!$K$4:$K$9,0))</f>
        <v>70</v>
      </c>
      <c r="BG16">
        <f>Invoices!V16</f>
        <v>70</v>
      </c>
      <c r="BH16" t="str">
        <f>IF(COUNTIFS('Billing File'!$A$4:$A$15,AV16,'Billing File'!$G$4:$G$15,"4.3 class",'Billing File'!$F$4:$F$15,"Yes")&gt;0,"Yes","No")</f>
        <v>No</v>
      </c>
      <c r="BI16">
        <f t="shared" si="10"/>
        <v>70</v>
      </c>
      <c r="BJ16" s="9">
        <f>INDEX(Tariff!$I$4:$I$10,MATCH(BI16,Tariff!$H$4:$H$10,0))</f>
        <v>1</v>
      </c>
      <c r="BK16">
        <f>MATCH(BE16,Tariff!$B$12:$F$12,1)</f>
        <v>3</v>
      </c>
      <c r="BL16" s="9">
        <f>INDEX(Tariff!$B$4:$F$10,MATCH(AZ16,Tariff!$A$4:$A$10,0),BK16)</f>
        <v>47.6</v>
      </c>
      <c r="BM16" s="4">
        <f t="shared" si="11"/>
        <v>623.56</v>
      </c>
      <c r="BN16" s="4">
        <f>IF(BK16&lt;5,ROUND(INDEX(Tariff!$B$12:$F$12,BK16+1)/100*INDEX(Tariff!$B$4:$F$10,MATCH(AZ16,Tariff!$A$4:$A$10,0),BK16+1)*BJ16,2),BM16)</f>
        <v>782</v>
      </c>
      <c r="BO16" s="4">
        <f t="shared" si="12"/>
        <v>623.56</v>
      </c>
      <c r="BP16" s="4">
        <f>ROUND(BO16*Terms!$B$4,2)</f>
        <v>386.61</v>
      </c>
      <c r="BQ16" s="4">
        <f>MAX(BO16-BP16,Terms!$B$5)</f>
        <v>236.95</v>
      </c>
      <c r="BR16" t="str">
        <f t="shared" si="13"/>
        <v>09/28/2026</v>
      </c>
      <c r="BS16" s="11">
        <f>INDEX('Fuel Index'!$C$4:$C$16,MATCH(BR16,'Fuel Index'!$A$4:$A$16,0))</f>
        <v>0.27</v>
      </c>
      <c r="BT16" s="4">
        <f t="shared" si="14"/>
        <v>63.98</v>
      </c>
      <c r="BU16" t="str">
        <f>IFERROR(INDEX(BOL!$I$4:$I$25,MATCH(AV16,BOL!$B$4:$B$25,0)),INDEX(BOL!$V$4:$V$25,MATCH(AV16,BOL!$O$4:$O$25,0)))</f>
        <v>N</v>
      </c>
      <c r="BV16" t="str">
        <f>IFERROR(INDEX(BOL!$J$4:$J$25,MATCH(AV16,BOL!$B$4:$B$25,0)),INDEX(BOL!$W$4:$W$25,MATCH(AV16,BOL!$O$4:$O$25,0)))</f>
        <v>N</v>
      </c>
      <c r="BW16" t="str">
        <f>IFERROR(INDEX(BOL!$K$4:$K$25,MATCH(AV16,BOL!$B$4:$B$25,0)),INDEX(BOL!$X$4:$X$25,MATCH(AV16,BOL!$O$4:$O$25,0)))</f>
        <v>N</v>
      </c>
      <c r="BX16" t="str">
        <f>IFERROR(INDEX(BOL!$L$4:$L$25,MATCH(AV16,BOL!$B$4:$B$25,0)),INDEX(BOL!$Y$4:$Y$25,MATCH(AV16,BOL!$O$4:$O$25,0)))</f>
        <v>N</v>
      </c>
      <c r="BY16" s="4">
        <f>(BU16="Y")*Tariff!$O$4+(BV16="Y")*Tariff!$O$5+(BW16="Y")*Tariff!$O$6+(BX16="Y")*Tariff!$O$7</f>
        <v>0</v>
      </c>
      <c r="BZ16" s="4">
        <f>SUMIFS(Confirmations!$G$4:$G$7,Confirmations!$A$4:$A$7,AV16,Confirmations!$H$4:$H$7,"Yes")</f>
        <v>0</v>
      </c>
      <c r="CA16" s="4">
        <f t="shared" si="15"/>
        <v>0</v>
      </c>
      <c r="CB16" t="str">
        <f>IF(AND(AX16="No",COUNTIFS(Invoices!$B$4:$Q$26,AU16,Invoices!$A$4:$P$26,"&lt;"&amp;AT16)&gt;0),"Yes","No")</f>
        <v>No</v>
      </c>
      <c r="CC16" s="4">
        <f t="shared" si="16"/>
        <v>300.93</v>
      </c>
      <c r="CD16" s="4">
        <f>Invoices!AD16</f>
        <v>372.15</v>
      </c>
      <c r="CE16" s="4">
        <f t="shared" si="17"/>
        <v>71.22</v>
      </c>
      <c r="CF16" s="4">
        <f>Invoices!W16</f>
        <v>771.12</v>
      </c>
      <c r="CG16" s="4">
        <f>Invoices!Y16</f>
        <v>293.03</v>
      </c>
      <c r="CH16" s="11">
        <f>ROUND(Invoices!Z16/Terms!$B$9,4)</f>
        <v>0.27</v>
      </c>
      <c r="CI16" s="4">
        <f>Invoices!AC16</f>
        <v>0</v>
      </c>
      <c r="CJ16" t="str">
        <f t="shared" si="18"/>
        <v>4.5 reweigh</v>
      </c>
      <c r="CK16" t="str">
        <f t="shared" si="19"/>
        <v/>
      </c>
    </row>
    <row r="17" spans="1:89" x14ac:dyDescent="0.2">
      <c r="A17" t="str">
        <f>Invoices!A17</f>
        <v>NFL-90326</v>
      </c>
      <c r="B17">
        <f>Invoices!B17</f>
        <v>217669</v>
      </c>
      <c r="C17">
        <f>IFERROR(INDEX('Pro Matches'!$C$4:$C$4,MATCH(B17,'Pro Matches'!$A$4:$A$4,0)),B17)</f>
        <v>217669</v>
      </c>
      <c r="D17" t="str">
        <f>IF(COUNTIF(Corrections!$A$4:$A$4,A17)&gt;0,"Yes","No")</f>
        <v>No</v>
      </c>
      <c r="E17" t="str">
        <f>IF(COUNTIF(Corrections!$B$4:$B$4,A17)&gt;0,"Yes","No")</f>
        <v>No</v>
      </c>
      <c r="F17" t="str">
        <f>IFERROR(INDEX(BOL!$C$4:$C$25,MATCH(C17,BOL!$B$4:$B$25,0)),INDEX(BOL!$P$4:$P$25,MATCH(C17,BOL!$O$4:$O$25,0)))</f>
        <v>09/15/2026</v>
      </c>
      <c r="G17" t="str">
        <f>IFERROR(INDEX(BOL!$E$4:$E$25,MATCH(C17,BOL!$B$4:$B$25,0)),INDEX(BOL!$R$4:$R$25,MATCH(C17,BOL!$O$4:$O$25,0)))</f>
        <v>MT</v>
      </c>
      <c r="H17" t="str">
        <f>IFERROR(INDEX(BOL!$F$4:$F$25,MATCH(C17,BOL!$B$4:$B$25,0)),INDEX(BOL!$S$4:$S$25,MATCH(C17,BOL!$O$4:$O$25,0)))</f>
        <v>Metal roofing panels</v>
      </c>
      <c r="I17">
        <f>IFERROR(INDEX(BOL!$H$4:$H$25,MATCH(C17,BOL!$B$4:$B$25,0)),INDEX(BOL!$U$4:$U$25,MATCH(C17,BOL!$O$4:$O$25,0)))</f>
        <v>4900</v>
      </c>
      <c r="J17">
        <f>Invoices!F17</f>
        <v>4900</v>
      </c>
      <c r="K17" t="str">
        <f>IF(COUNTIFS('Billing File'!$A$4:$A$15,C17,'Billing File'!$G$4:$G$15,"4.5 weight",'Billing File'!$F$4:$F$15,"Yes")&gt;0,"Yes","No")</f>
        <v>No</v>
      </c>
      <c r="L17">
        <f>IF(AND(K17="Yes",J17&gt;I17*(1+Terms!$B$6)),J17,I17)</f>
        <v>4900</v>
      </c>
      <c r="M17">
        <f>INDEX(Tariff!$L$4:$L$9,MATCH(H17,Tariff!$K$4:$K$9,0))</f>
        <v>70</v>
      </c>
      <c r="N17">
        <f>Invoices!G17</f>
        <v>70</v>
      </c>
      <c r="O17" t="str">
        <f>IF(COUNTIFS('Billing File'!$A$4:$A$15,C17,'Billing File'!$G$4:$G$15,"4.3 class",'Billing File'!$F$4:$F$15,"Yes")&gt;0,"Yes","No")</f>
        <v>No</v>
      </c>
      <c r="P17">
        <f t="shared" si="0"/>
        <v>70</v>
      </c>
      <c r="Q17" s="9">
        <f>INDEX(Tariff!$I$4:$I$10,MATCH(P17,Tariff!$H$4:$H$10,0))</f>
        <v>1</v>
      </c>
      <c r="R17">
        <f>MATCH(L17,Tariff!$B$12:$F$12,1)</f>
        <v>4</v>
      </c>
      <c r="S17" s="9">
        <f>INDEX(Tariff!$B$4:$F$10,MATCH(G17,Tariff!$A$4:$A$10,0),R17)</f>
        <v>49.95</v>
      </c>
      <c r="T17" s="4">
        <f t="shared" si="1"/>
        <v>2447.55</v>
      </c>
      <c r="U17" s="4">
        <f>IF(R17&lt;5,ROUND(INDEX(Tariff!$B$12:$F$12,R17+1)/100*INDEX(Tariff!$B$4:$F$10,MATCH(G17,Tariff!$A$4:$A$10,0),R17+1)*Q17,2),T17)</f>
        <v>2030</v>
      </c>
      <c r="V17" s="4">
        <f t="shared" si="2"/>
        <v>2030</v>
      </c>
      <c r="W17" s="4">
        <f>ROUND(V17*Terms!$B$4,2)</f>
        <v>1258.6</v>
      </c>
      <c r="X17" s="4">
        <f>MAX(V17-W17,Terms!$B$5)</f>
        <v>771.4</v>
      </c>
      <c r="Y17" t="str">
        <f t="shared" si="3"/>
        <v>09/14/2026</v>
      </c>
      <c r="Z17" s="11">
        <f>INDEX('Fuel Index'!$C$4:$C$16,MATCH(Y17,'Fuel Index'!$A$4:$A$16,0))</f>
        <v>0.26</v>
      </c>
      <c r="AA17" s="4">
        <f t="shared" si="4"/>
        <v>200.56</v>
      </c>
      <c r="AB17" t="str">
        <f>IFERROR(INDEX(BOL!$I$4:$I$25,MATCH(C17,BOL!$B$4:$B$25,0)),INDEX(BOL!$V$4:$V$25,MATCH(C17,BOL!$O$4:$O$25,0)))</f>
        <v>N</v>
      </c>
      <c r="AC17" t="str">
        <f>IFERROR(INDEX(BOL!$J$4:$J$25,MATCH(C17,BOL!$B$4:$B$25,0)),INDEX(BOL!$W$4:$W$25,MATCH(C17,BOL!$O$4:$O$25,0)))</f>
        <v>N</v>
      </c>
      <c r="AD17" t="str">
        <f>IFERROR(INDEX(BOL!$K$4:$K$25,MATCH(C17,BOL!$B$4:$B$25,0)),INDEX(BOL!$X$4:$X$25,MATCH(C17,BOL!$O$4:$O$25,0)))</f>
        <v>N</v>
      </c>
      <c r="AE17" t="str">
        <f>IFERROR(INDEX(BOL!$L$4:$L$25,MATCH(C17,BOL!$B$4:$B$25,0)),INDEX(BOL!$Y$4:$Y$25,MATCH(C17,BOL!$O$4:$O$25,0)))</f>
        <v>N</v>
      </c>
      <c r="AF17" s="4">
        <f>(AB17="Y")*Tariff!$O$4+(AC17="Y")*Tariff!$O$5+(AD17="Y")*Tariff!$O$6+(AE17="Y")*Tariff!$O$7</f>
        <v>0</v>
      </c>
      <c r="AG17" s="4">
        <f>SUMIFS(Confirmations!$G$4:$G$7,Confirmations!$A$4:$A$7,C17,Confirmations!$H$4:$H$7,"Yes")</f>
        <v>0</v>
      </c>
      <c r="AH17" s="4">
        <f t="shared" si="5"/>
        <v>0</v>
      </c>
      <c r="AI17" t="str">
        <f>IF(AND(E17="No",COUNTIFS(Invoices!$B$4:$Q$26,B17,Invoices!$A$4:$P$26,"&lt;"&amp;A17)&gt;0),"Yes","No")</f>
        <v>No</v>
      </c>
      <c r="AJ17" s="4">
        <f t="shared" si="6"/>
        <v>971.96</v>
      </c>
      <c r="AK17" s="4">
        <f>Invoices!O17</f>
        <v>971.96</v>
      </c>
      <c r="AL17" s="4">
        <f t="shared" si="7"/>
        <v>0</v>
      </c>
      <c r="AM17" s="4">
        <f>Invoices!H17</f>
        <v>2030</v>
      </c>
      <c r="AN17" s="4">
        <f>Invoices!J17</f>
        <v>771.4</v>
      </c>
      <c r="AO17" s="11">
        <f>ROUND(Invoices!K17/Terms!$B$9,4)</f>
        <v>0.26</v>
      </c>
      <c r="AP17" s="4">
        <f>Invoices!N17</f>
        <v>0</v>
      </c>
      <c r="AQ17" t="str">
        <f t="shared" si="8"/>
        <v/>
      </c>
      <c r="AR17" t="str">
        <f t="shared" si="9"/>
        <v/>
      </c>
      <c r="AT17" t="str">
        <f>Invoices!P17</f>
        <v>NFL-90352</v>
      </c>
      <c r="AU17">
        <f>Invoices!Q17</f>
        <v>217876</v>
      </c>
      <c r="AV17">
        <f>IFERROR(INDEX('Pro Matches'!$C$4:$C$4,MATCH(AU17,'Pro Matches'!$A$4:$A$4,0)),AU17)</f>
        <v>217867</v>
      </c>
      <c r="AW17" t="str">
        <f>IF(COUNTIF(Corrections!$A$4:$A$4,AT17)&gt;0,"Yes","No")</f>
        <v>No</v>
      </c>
      <c r="AX17" t="str">
        <f>IF(COUNTIF(Corrections!$B$4:$B$4,AT17)&gt;0,"Yes","No")</f>
        <v>No</v>
      </c>
      <c r="AY17" t="str">
        <f>IFERROR(INDEX(BOL!$C$4:$C$25,MATCH(AV17,BOL!$B$4:$B$25,0)),INDEX(BOL!$P$4:$P$25,MATCH(AV17,BOL!$O$4:$O$25,0)))</f>
        <v>09/23/2026</v>
      </c>
      <c r="AZ17" t="str">
        <f>IFERROR(INDEX(BOL!$E$4:$E$25,MATCH(AV17,BOL!$B$4:$B$25,0)),INDEX(BOL!$R$4:$R$25,MATCH(AV17,BOL!$O$4:$O$25,0)))</f>
        <v>ND</v>
      </c>
      <c r="BA17" t="str">
        <f>IFERROR(INDEX(BOL!$F$4:$F$25,MATCH(AV17,BOL!$B$4:$B$25,0)),INDEX(BOL!$S$4:$S$25,MATCH(AV17,BOL!$O$4:$O$25,0)))</f>
        <v>Vinyl siding</v>
      </c>
      <c r="BB17">
        <f>IFERROR(INDEX(BOL!$H$4:$H$25,MATCH(AV17,BOL!$B$4:$B$25,0)),INDEX(BOL!$U$4:$U$25,MATCH(AV17,BOL!$O$4:$O$25,0)))</f>
        <v>1720</v>
      </c>
      <c r="BC17">
        <f>Invoices!U17</f>
        <v>1720</v>
      </c>
      <c r="BD17" t="str">
        <f>IF(COUNTIFS('Billing File'!$A$4:$A$15,AV17,'Billing File'!$G$4:$G$15,"4.5 weight",'Billing File'!$F$4:$F$15,"Yes")&gt;0,"Yes","No")</f>
        <v>No</v>
      </c>
      <c r="BE17">
        <f>IF(AND(BD17="Yes",BC17&gt;BB17*(1+Terms!$B$6)),BC17,BB17)</f>
        <v>1720</v>
      </c>
      <c r="BF17">
        <f>INDEX(Tariff!$L$4:$L$9,MATCH(BA17,Tariff!$K$4:$K$9,0))</f>
        <v>92.5</v>
      </c>
      <c r="BG17">
        <f>Invoices!V17</f>
        <v>92.5</v>
      </c>
      <c r="BH17" t="str">
        <f>IF(COUNTIFS('Billing File'!$A$4:$A$15,AV17,'Billing File'!$G$4:$G$15,"4.3 class",'Billing File'!$F$4:$F$15,"Yes")&gt;0,"Yes","No")</f>
        <v>No</v>
      </c>
      <c r="BI17">
        <f t="shared" si="10"/>
        <v>92.5</v>
      </c>
      <c r="BJ17" s="9">
        <f>INDEX(Tariff!$I$4:$I$10,MATCH(BI17,Tariff!$H$4:$H$10,0))</f>
        <v>1.3</v>
      </c>
      <c r="BK17">
        <f>MATCH(BE17,Tariff!$B$12:$F$12,1)</f>
        <v>3</v>
      </c>
      <c r="BL17" s="9">
        <f>INDEX(Tariff!$B$4:$F$10,MATCH(AZ17,Tariff!$A$4:$A$10,0),BK17)</f>
        <v>32.15</v>
      </c>
      <c r="BM17" s="4">
        <f t="shared" si="11"/>
        <v>718.87</v>
      </c>
      <c r="BN17" s="4">
        <f>IF(BK17&lt;5,ROUND(INDEX(Tariff!$B$12:$F$12,BK17+1)/100*INDEX(Tariff!$B$4:$F$10,MATCH(AZ17,Tariff!$A$4:$A$10,0),BK17+1)*BJ17,2),BM17)</f>
        <v>686.4</v>
      </c>
      <c r="BO17" s="4">
        <f t="shared" si="12"/>
        <v>686.4</v>
      </c>
      <c r="BP17" s="4">
        <f>ROUND(BO17*Terms!$B$4,2)</f>
        <v>425.57</v>
      </c>
      <c r="BQ17" s="4">
        <f>MAX(BO17-BP17,Terms!$B$5)</f>
        <v>260.83</v>
      </c>
      <c r="BR17" t="str">
        <f t="shared" si="13"/>
        <v>09/21/2026</v>
      </c>
      <c r="BS17" s="11">
        <f>INDEX('Fuel Index'!$C$4:$C$16,MATCH(BR17,'Fuel Index'!$A$4:$A$16,0))</f>
        <v>0.275</v>
      </c>
      <c r="BT17" s="4">
        <f t="shared" si="14"/>
        <v>71.73</v>
      </c>
      <c r="BU17" t="str">
        <f>IFERROR(INDEX(BOL!$I$4:$I$25,MATCH(AV17,BOL!$B$4:$B$25,0)),INDEX(BOL!$V$4:$V$25,MATCH(AV17,BOL!$O$4:$O$25,0)))</f>
        <v>N</v>
      </c>
      <c r="BV17" t="str">
        <f>IFERROR(INDEX(BOL!$J$4:$J$25,MATCH(AV17,BOL!$B$4:$B$25,0)),INDEX(BOL!$W$4:$W$25,MATCH(AV17,BOL!$O$4:$O$25,0)))</f>
        <v>N</v>
      </c>
      <c r="BW17" t="str">
        <f>IFERROR(INDEX(BOL!$K$4:$K$25,MATCH(AV17,BOL!$B$4:$B$25,0)),INDEX(BOL!$X$4:$X$25,MATCH(AV17,BOL!$O$4:$O$25,0)))</f>
        <v>N</v>
      </c>
      <c r="BX17" t="str">
        <f>IFERROR(INDEX(BOL!$L$4:$L$25,MATCH(AV17,BOL!$B$4:$B$25,0)),INDEX(BOL!$Y$4:$Y$25,MATCH(AV17,BOL!$O$4:$O$25,0)))</f>
        <v>N</v>
      </c>
      <c r="BY17" s="4">
        <f>(BU17="Y")*Tariff!$O$4+(BV17="Y")*Tariff!$O$5+(BW17="Y")*Tariff!$O$6+(BX17="Y")*Tariff!$O$7</f>
        <v>0</v>
      </c>
      <c r="BZ17" s="4">
        <f>SUMIFS(Confirmations!$G$4:$G$7,Confirmations!$A$4:$A$7,AV17,Confirmations!$H$4:$H$7,"Yes")</f>
        <v>0</v>
      </c>
      <c r="CA17" s="4">
        <f t="shared" si="15"/>
        <v>0</v>
      </c>
      <c r="CB17" t="str">
        <f>IF(AND(AX17="No",COUNTIFS(Invoices!$B$4:$Q$26,AU17,Invoices!$A$4:$P$26,"&lt;"&amp;AT17)&gt;0),"Yes","No")</f>
        <v>No</v>
      </c>
      <c r="CC17" s="4">
        <f t="shared" si="16"/>
        <v>332.56</v>
      </c>
      <c r="CD17" s="4">
        <f>Invoices!AD17</f>
        <v>332.56</v>
      </c>
      <c r="CE17" s="4">
        <f t="shared" si="17"/>
        <v>0</v>
      </c>
      <c r="CF17" s="4">
        <f>Invoices!W17</f>
        <v>686.4</v>
      </c>
      <c r="CG17" s="4">
        <f>Invoices!Y17</f>
        <v>260.83</v>
      </c>
      <c r="CH17" s="11">
        <f>ROUND(Invoices!Z17/Terms!$B$9,4)</f>
        <v>0.275</v>
      </c>
      <c r="CI17" s="4">
        <f>Invoices!AC17</f>
        <v>0</v>
      </c>
      <c r="CJ17" t="str">
        <f t="shared" si="18"/>
        <v/>
      </c>
      <c r="CK17" t="str">
        <f t="shared" si="19"/>
        <v>corrected pro number</v>
      </c>
    </row>
    <row r="18" spans="1:89" x14ac:dyDescent="0.2">
      <c r="A18" t="str">
        <f>Invoices!A18</f>
        <v>NFL-90327</v>
      </c>
      <c r="B18">
        <f>Invoices!B18</f>
        <v>217649</v>
      </c>
      <c r="C18">
        <f>IFERROR(INDEX('Pro Matches'!$C$4:$C$4,MATCH(B18,'Pro Matches'!$A$4:$A$4,0)),B18)</f>
        <v>217649</v>
      </c>
      <c r="D18" t="str">
        <f>IF(COUNTIF(Corrections!$A$4:$A$4,A18)&gt;0,"Yes","No")</f>
        <v>No</v>
      </c>
      <c r="E18" t="str">
        <f>IF(COUNTIF(Corrections!$B$4:$B$4,A18)&gt;0,"Yes","No")</f>
        <v>No</v>
      </c>
      <c r="F18" t="str">
        <f>IFERROR(INDEX(BOL!$C$4:$C$25,MATCH(C18,BOL!$B$4:$B$25,0)),INDEX(BOL!$P$4:$P$25,MATCH(C18,BOL!$O$4:$O$25,0)))</f>
        <v>09/14/2026</v>
      </c>
      <c r="G18" t="str">
        <f>IFERROR(INDEX(BOL!$E$4:$E$25,MATCH(C18,BOL!$B$4:$B$25,0)),INDEX(BOL!$R$4:$R$25,MATCH(C18,BOL!$O$4:$O$25,0)))</f>
        <v>MN</v>
      </c>
      <c r="H18" t="str">
        <f>IFERROR(INDEX(BOL!$F$4:$F$25,MATCH(C18,BOL!$B$4:$B$25,0)),INDEX(BOL!$S$4:$S$25,MATCH(C18,BOL!$O$4:$O$25,0)))</f>
        <v>Sealants and coatings</v>
      </c>
      <c r="I18">
        <f>IFERROR(INDEX(BOL!$H$4:$H$25,MATCH(C18,BOL!$B$4:$B$25,0)),INDEX(BOL!$U$4:$U$25,MATCH(C18,BOL!$O$4:$O$25,0)))</f>
        <v>380</v>
      </c>
      <c r="J18">
        <f>Invoices!F18</f>
        <v>380</v>
      </c>
      <c r="K18" t="str">
        <f>IF(COUNTIFS('Billing File'!$A$4:$A$15,C18,'Billing File'!$G$4:$G$15,"4.5 weight",'Billing File'!$F$4:$F$15,"Yes")&gt;0,"Yes","No")</f>
        <v>No</v>
      </c>
      <c r="L18">
        <f>IF(AND(K18="Yes",J18&gt;I18*(1+Terms!$B$6)),J18,I18)</f>
        <v>380</v>
      </c>
      <c r="M18">
        <f>INDEX(Tariff!$L$4:$L$9,MATCH(H18,Tariff!$K$4:$K$9,0))</f>
        <v>85</v>
      </c>
      <c r="N18">
        <f>Invoices!G18</f>
        <v>85</v>
      </c>
      <c r="O18" t="str">
        <f>IF(COUNTIFS('Billing File'!$A$4:$A$15,C18,'Billing File'!$G$4:$G$15,"4.3 class",'Billing File'!$F$4:$F$15,"Yes")&gt;0,"Yes","No")</f>
        <v>No</v>
      </c>
      <c r="P18">
        <f t="shared" si="0"/>
        <v>85</v>
      </c>
      <c r="Q18" s="9">
        <f>INDEX(Tariff!$I$4:$I$10,MATCH(P18,Tariff!$H$4:$H$10,0))</f>
        <v>1.15</v>
      </c>
      <c r="R18">
        <f>MATCH(L18,Tariff!$B$12:$F$12,1)</f>
        <v>1</v>
      </c>
      <c r="S18" s="9">
        <f>INDEX(Tariff!$B$4:$F$10,MATCH(G18,Tariff!$A$4:$A$10,0),R18)</f>
        <v>58.4</v>
      </c>
      <c r="T18" s="4">
        <f t="shared" si="1"/>
        <v>255.21</v>
      </c>
      <c r="U18" s="4">
        <f>IF(R18&lt;5,ROUND(INDEX(Tariff!$B$12:$F$12,R18+1)/100*INDEX(Tariff!$B$4:$F$10,MATCH(G18,Tariff!$A$4:$A$10,0),R18+1)*Q18,2),T18)</f>
        <v>282.33</v>
      </c>
      <c r="V18" s="4">
        <f t="shared" si="2"/>
        <v>255.21</v>
      </c>
      <c r="W18" s="4">
        <f>ROUND(V18*Terms!$B$4,2)</f>
        <v>158.23</v>
      </c>
      <c r="X18" s="4">
        <f>MAX(V18-W18,Terms!$B$5)</f>
        <v>118.4</v>
      </c>
      <c r="Y18" t="str">
        <f t="shared" si="3"/>
        <v>09/14/2026</v>
      </c>
      <c r="Z18" s="11">
        <f>INDEX('Fuel Index'!$C$4:$C$16,MATCH(Y18,'Fuel Index'!$A$4:$A$16,0))</f>
        <v>0.26</v>
      </c>
      <c r="AA18" s="4">
        <f t="shared" si="4"/>
        <v>30.78</v>
      </c>
      <c r="AB18" t="str">
        <f>IFERROR(INDEX(BOL!$I$4:$I$25,MATCH(C18,BOL!$B$4:$B$25,0)),INDEX(BOL!$V$4:$V$25,MATCH(C18,BOL!$O$4:$O$25,0)))</f>
        <v>N</v>
      </c>
      <c r="AC18" t="str">
        <f>IFERROR(INDEX(BOL!$J$4:$J$25,MATCH(C18,BOL!$B$4:$B$25,0)),INDEX(BOL!$W$4:$W$25,MATCH(C18,BOL!$O$4:$O$25,0)))</f>
        <v>N</v>
      </c>
      <c r="AD18" t="str">
        <f>IFERROR(INDEX(BOL!$K$4:$K$25,MATCH(C18,BOL!$B$4:$B$25,0)),INDEX(BOL!$X$4:$X$25,MATCH(C18,BOL!$O$4:$O$25,0)))</f>
        <v>N</v>
      </c>
      <c r="AE18" t="str">
        <f>IFERROR(INDEX(BOL!$L$4:$L$25,MATCH(C18,BOL!$B$4:$B$25,0)),INDEX(BOL!$Y$4:$Y$25,MATCH(C18,BOL!$O$4:$O$25,0)))</f>
        <v>N</v>
      </c>
      <c r="AF18" s="4">
        <f>(AB18="Y")*Tariff!$O$4+(AC18="Y")*Tariff!$O$5+(AD18="Y")*Tariff!$O$6+(AE18="Y")*Tariff!$O$7</f>
        <v>0</v>
      </c>
      <c r="AG18" s="4">
        <f>SUMIFS(Confirmations!$G$4:$G$7,Confirmations!$A$4:$A$7,C18,Confirmations!$H$4:$H$7,"Yes")</f>
        <v>0</v>
      </c>
      <c r="AH18" s="4">
        <f t="shared" si="5"/>
        <v>0</v>
      </c>
      <c r="AI18" t="str">
        <f>IF(AND(E18="No",COUNTIFS(Invoices!$B$4:$Q$26,B18,Invoices!$A$4:$P$26,"&lt;"&amp;A18)&gt;0),"Yes","No")</f>
        <v>No</v>
      </c>
      <c r="AJ18" s="4">
        <f t="shared" si="6"/>
        <v>149.18</v>
      </c>
      <c r="AK18" s="4">
        <f>Invoices!O18</f>
        <v>149.18</v>
      </c>
      <c r="AL18" s="4">
        <f t="shared" si="7"/>
        <v>0</v>
      </c>
      <c r="AM18" s="4">
        <f>Invoices!H18</f>
        <v>255.21</v>
      </c>
      <c r="AN18" s="4">
        <f>Invoices!J18</f>
        <v>118.4</v>
      </c>
      <c r="AO18" s="11">
        <f>ROUND(Invoices!K18/Terms!$B$9,4)</f>
        <v>0.26</v>
      </c>
      <c r="AP18" s="4">
        <f>Invoices!N18</f>
        <v>0</v>
      </c>
      <c r="AQ18" t="str">
        <f t="shared" si="8"/>
        <v/>
      </c>
      <c r="AR18" t="str">
        <f t="shared" si="9"/>
        <v/>
      </c>
      <c r="AT18" t="str">
        <f>Invoices!P18</f>
        <v>NFL-90353</v>
      </c>
      <c r="AU18">
        <f>Invoices!Q18</f>
        <v>217654</v>
      </c>
      <c r="AV18">
        <f>IFERROR(INDEX('Pro Matches'!$C$4:$C$4,MATCH(AU18,'Pro Matches'!$A$4:$A$4,0)),AU18)</f>
        <v>217654</v>
      </c>
      <c r="AW18" t="str">
        <f>IF(COUNTIF(Corrections!$A$4:$A$4,AT18)&gt;0,"Yes","No")</f>
        <v>No</v>
      </c>
      <c r="AX18" t="str">
        <f>IF(COUNTIF(Corrections!$B$4:$B$4,AT18)&gt;0,"Yes","No")</f>
        <v>No</v>
      </c>
      <c r="AY18" t="str">
        <f>IFERROR(INDEX(BOL!$C$4:$C$25,MATCH(AV18,BOL!$B$4:$B$25,0)),INDEX(BOL!$P$4:$P$25,MATCH(AV18,BOL!$O$4:$O$25,0)))</f>
        <v>09/29/2026</v>
      </c>
      <c r="AZ18" t="str">
        <f>IFERROR(INDEX(BOL!$E$4:$E$25,MATCH(AV18,BOL!$B$4:$B$25,0)),INDEX(BOL!$R$4:$R$25,MATCH(AV18,BOL!$O$4:$O$25,0)))</f>
        <v>IA</v>
      </c>
      <c r="BA18" t="str">
        <f>IFERROR(INDEX(BOL!$F$4:$F$25,MATCH(AV18,BOL!$B$4:$B$25,0)),INDEX(BOL!$S$4:$S$25,MATCH(AV18,BOL!$O$4:$O$25,0)))</f>
        <v>Windows and doors</v>
      </c>
      <c r="BB18">
        <f>IFERROR(INDEX(BOL!$H$4:$H$25,MATCH(AV18,BOL!$B$4:$B$25,0)),INDEX(BOL!$U$4:$U$25,MATCH(AV18,BOL!$O$4:$O$25,0)))</f>
        <v>2650</v>
      </c>
      <c r="BC18">
        <f>Invoices!U18</f>
        <v>2650</v>
      </c>
      <c r="BD18" t="str">
        <f>IF(COUNTIFS('Billing File'!$A$4:$A$15,AV18,'Billing File'!$G$4:$G$15,"4.5 weight",'Billing File'!$F$4:$F$15,"Yes")&gt;0,"Yes","No")</f>
        <v>No</v>
      </c>
      <c r="BE18">
        <f>IF(AND(BD18="Yes",BC18&gt;BB18*(1+Terms!$B$6)),BC18,BB18)</f>
        <v>2650</v>
      </c>
      <c r="BF18">
        <f>INDEX(Tariff!$L$4:$L$9,MATCH(BA18,Tariff!$K$4:$K$9,0))</f>
        <v>100</v>
      </c>
      <c r="BG18">
        <f>Invoices!V18</f>
        <v>100</v>
      </c>
      <c r="BH18" t="str">
        <f>IF(COUNTIFS('Billing File'!$A$4:$A$15,AV18,'Billing File'!$G$4:$G$15,"4.3 class",'Billing File'!$F$4:$F$15,"Yes")&gt;0,"Yes","No")</f>
        <v>No</v>
      </c>
      <c r="BI18">
        <f t="shared" si="10"/>
        <v>100</v>
      </c>
      <c r="BJ18" s="9">
        <f>INDEX(Tariff!$I$4:$I$10,MATCH(BI18,Tariff!$H$4:$H$10,0))</f>
        <v>1.45</v>
      </c>
      <c r="BK18">
        <f>MATCH(BE18,Tariff!$B$12:$F$12,1)</f>
        <v>4</v>
      </c>
      <c r="BL18" s="9">
        <f>INDEX(Tariff!$B$4:$F$10,MATCH(AZ18,Tariff!$A$4:$A$10,0),BK18)</f>
        <v>39.1</v>
      </c>
      <c r="BM18" s="4">
        <f t="shared" si="11"/>
        <v>1502.42</v>
      </c>
      <c r="BN18" s="4">
        <f>IF(BK18&lt;5,ROUND(INDEX(Tariff!$B$12:$F$12,BK18+1)/100*INDEX(Tariff!$B$4:$F$10,MATCH(AZ18,Tariff!$A$4:$A$10,0),BK18+1)*BJ18,2),BM18)</f>
        <v>2309.13</v>
      </c>
      <c r="BO18" s="4">
        <f t="shared" si="12"/>
        <v>1502.42</v>
      </c>
      <c r="BP18" s="4">
        <f>ROUND(BO18*Terms!$B$4,2)</f>
        <v>931.5</v>
      </c>
      <c r="BQ18" s="4">
        <f>MAX(BO18-BP18,Terms!$B$5)</f>
        <v>570.92</v>
      </c>
      <c r="BR18" t="str">
        <f t="shared" si="13"/>
        <v>09/28/2026</v>
      </c>
      <c r="BS18" s="11">
        <f>INDEX('Fuel Index'!$C$4:$C$16,MATCH(BR18,'Fuel Index'!$A$4:$A$16,0))</f>
        <v>0.27</v>
      </c>
      <c r="BT18" s="4">
        <f t="shared" si="14"/>
        <v>154.15</v>
      </c>
      <c r="BU18" t="str">
        <f>IFERROR(INDEX(BOL!$I$4:$I$25,MATCH(AV18,BOL!$B$4:$B$25,0)),INDEX(BOL!$V$4:$V$25,MATCH(AV18,BOL!$O$4:$O$25,0)))</f>
        <v>N</v>
      </c>
      <c r="BV18" t="str">
        <f>IFERROR(INDEX(BOL!$J$4:$J$25,MATCH(AV18,BOL!$B$4:$B$25,0)),INDEX(BOL!$W$4:$W$25,MATCH(AV18,BOL!$O$4:$O$25,0)))</f>
        <v>N</v>
      </c>
      <c r="BW18" t="str">
        <f>IFERROR(INDEX(BOL!$K$4:$K$25,MATCH(AV18,BOL!$B$4:$B$25,0)),INDEX(BOL!$X$4:$X$25,MATCH(AV18,BOL!$O$4:$O$25,0)))</f>
        <v>N</v>
      </c>
      <c r="BX18" t="str">
        <f>IFERROR(INDEX(BOL!$L$4:$L$25,MATCH(AV18,BOL!$B$4:$B$25,0)),INDEX(BOL!$Y$4:$Y$25,MATCH(AV18,BOL!$O$4:$O$25,0)))</f>
        <v>N</v>
      </c>
      <c r="BY18" s="4">
        <f>(BU18="Y")*Tariff!$O$4+(BV18="Y")*Tariff!$O$5+(BW18="Y")*Tariff!$O$6+(BX18="Y")*Tariff!$O$7</f>
        <v>0</v>
      </c>
      <c r="BZ18" s="4">
        <f>SUMIFS(Confirmations!$G$4:$G$7,Confirmations!$A$4:$A$7,AV18,Confirmations!$H$4:$H$7,"Yes")</f>
        <v>0</v>
      </c>
      <c r="CA18" s="4">
        <f t="shared" si="15"/>
        <v>0</v>
      </c>
      <c r="CB18" t="str">
        <f>IF(AND(AX18="No",COUNTIFS(Invoices!$B$4:$Q$26,AU18,Invoices!$A$4:$P$26,"&lt;"&amp;AT18)&gt;0),"Yes","No")</f>
        <v>No</v>
      </c>
      <c r="CC18" s="4">
        <f t="shared" si="16"/>
        <v>725.07</v>
      </c>
      <c r="CD18" s="4">
        <f>Invoices!AD18</f>
        <v>725.07</v>
      </c>
      <c r="CE18" s="4">
        <f t="shared" si="17"/>
        <v>0</v>
      </c>
      <c r="CF18" s="4">
        <f>Invoices!W18</f>
        <v>1502.42</v>
      </c>
      <c r="CG18" s="4">
        <f>Invoices!Y18</f>
        <v>570.92</v>
      </c>
      <c r="CH18" s="11">
        <f>ROUND(Invoices!Z18/Terms!$B$9,4)</f>
        <v>0.27</v>
      </c>
      <c r="CI18" s="4">
        <f>Invoices!AC18</f>
        <v>0</v>
      </c>
      <c r="CJ18" t="str">
        <f t="shared" si="18"/>
        <v/>
      </c>
      <c r="CK18" t="str">
        <f t="shared" si="19"/>
        <v/>
      </c>
    </row>
    <row r="19" spans="1:89" x14ac:dyDescent="0.2">
      <c r="A19" t="str">
        <f>Invoices!A19</f>
        <v>NFL-90328</v>
      </c>
      <c r="B19">
        <f>Invoices!B19</f>
        <v>217792</v>
      </c>
      <c r="C19">
        <f>IFERROR(INDEX('Pro Matches'!$C$4:$C$4,MATCH(B19,'Pro Matches'!$A$4:$A$4,0)),B19)</f>
        <v>217792</v>
      </c>
      <c r="D19" t="str">
        <f>IF(COUNTIF(Corrections!$A$4:$A$4,A19)&gt;0,"Yes","No")</f>
        <v>No</v>
      </c>
      <c r="E19" t="str">
        <f>IF(COUNTIF(Corrections!$B$4:$B$4,A19)&gt;0,"Yes","No")</f>
        <v>No</v>
      </c>
      <c r="F19" t="str">
        <f>IFERROR(INDEX(BOL!$C$4:$C$25,MATCH(C19,BOL!$B$4:$B$25,0)),INDEX(BOL!$P$4:$P$25,MATCH(C19,BOL!$O$4:$O$25,0)))</f>
        <v>09/14/2026</v>
      </c>
      <c r="G19" t="str">
        <f>IFERROR(INDEX(BOL!$E$4:$E$25,MATCH(C19,BOL!$B$4:$B$25,0)),INDEX(BOL!$R$4:$R$25,MATCH(C19,BOL!$O$4:$O$25,0)))</f>
        <v>NE</v>
      </c>
      <c r="H19" t="str">
        <f>IFERROR(INDEX(BOL!$F$4:$F$25,MATCH(C19,BOL!$B$4:$B$25,0)),INDEX(BOL!$S$4:$S$25,MATCH(C19,BOL!$O$4:$O$25,0)))</f>
        <v>Gypsum and cement board</v>
      </c>
      <c r="I19">
        <f>IFERROR(INDEX(BOL!$H$4:$H$25,MATCH(C19,BOL!$B$4:$B$25,0)),INDEX(BOL!$U$4:$U$25,MATCH(C19,BOL!$O$4:$O$25,0)))</f>
        <v>680</v>
      </c>
      <c r="J19">
        <f>Invoices!F19</f>
        <v>680</v>
      </c>
      <c r="K19" t="str">
        <f>IF(COUNTIFS('Billing File'!$A$4:$A$15,C19,'Billing File'!$G$4:$G$15,"4.5 weight",'Billing File'!$F$4:$F$15,"Yes")&gt;0,"Yes","No")</f>
        <v>No</v>
      </c>
      <c r="L19">
        <f>IF(AND(K19="Yes",J19&gt;I19*(1+Terms!$B$6)),J19,I19)</f>
        <v>680</v>
      </c>
      <c r="M19">
        <f>INDEX(Tariff!$L$4:$L$9,MATCH(H19,Tariff!$K$4:$K$9,0))</f>
        <v>55</v>
      </c>
      <c r="N19">
        <f>Invoices!G19</f>
        <v>70</v>
      </c>
      <c r="O19" t="str">
        <f>IF(COUNTIFS('Billing File'!$A$4:$A$15,C19,'Billing File'!$G$4:$G$15,"4.3 class",'Billing File'!$F$4:$F$15,"Yes")&gt;0,"Yes","No")</f>
        <v>Yes</v>
      </c>
      <c r="P19">
        <f t="shared" si="0"/>
        <v>70</v>
      </c>
      <c r="Q19" s="9">
        <f>INDEX(Tariff!$I$4:$I$10,MATCH(P19,Tariff!$H$4:$H$10,0))</f>
        <v>1</v>
      </c>
      <c r="R19">
        <f>MATCH(L19,Tariff!$B$12:$F$12,1)</f>
        <v>2</v>
      </c>
      <c r="S19" s="9">
        <f>INDEX(Tariff!$B$4:$F$10,MATCH(G19,Tariff!$A$4:$A$10,0),R19)</f>
        <v>58.45</v>
      </c>
      <c r="T19" s="4">
        <f t="shared" si="1"/>
        <v>397.46</v>
      </c>
      <c r="U19" s="4">
        <f>IF(R19&lt;5,ROUND(INDEX(Tariff!$B$12:$F$12,R19+1)/100*INDEX(Tariff!$B$4:$F$10,MATCH(G19,Tariff!$A$4:$A$10,0),R19+1)*Q19,2),T19)</f>
        <v>498</v>
      </c>
      <c r="V19" s="4">
        <f t="shared" si="2"/>
        <v>397.46</v>
      </c>
      <c r="W19" s="4">
        <f>ROUND(V19*Terms!$B$4,2)</f>
        <v>246.43</v>
      </c>
      <c r="X19" s="4">
        <f>MAX(V19-W19,Terms!$B$5)</f>
        <v>151.03</v>
      </c>
      <c r="Y19" t="str">
        <f t="shared" si="3"/>
        <v>09/14/2026</v>
      </c>
      <c r="Z19" s="11">
        <f>INDEX('Fuel Index'!$C$4:$C$16,MATCH(Y19,'Fuel Index'!$A$4:$A$16,0))</f>
        <v>0.26</v>
      </c>
      <c r="AA19" s="4">
        <f t="shared" si="4"/>
        <v>39.27</v>
      </c>
      <c r="AB19" t="str">
        <f>IFERROR(INDEX(BOL!$I$4:$I$25,MATCH(C19,BOL!$B$4:$B$25,0)),INDEX(BOL!$V$4:$V$25,MATCH(C19,BOL!$O$4:$O$25,0)))</f>
        <v>N</v>
      </c>
      <c r="AC19" t="str">
        <f>IFERROR(INDEX(BOL!$J$4:$J$25,MATCH(C19,BOL!$B$4:$B$25,0)),INDEX(BOL!$W$4:$W$25,MATCH(C19,BOL!$O$4:$O$25,0)))</f>
        <v>N</v>
      </c>
      <c r="AD19" t="str">
        <f>IFERROR(INDEX(BOL!$K$4:$K$25,MATCH(C19,BOL!$B$4:$B$25,0)),INDEX(BOL!$X$4:$X$25,MATCH(C19,BOL!$O$4:$O$25,0)))</f>
        <v>N</v>
      </c>
      <c r="AE19" t="str">
        <f>IFERROR(INDEX(BOL!$L$4:$L$25,MATCH(C19,BOL!$B$4:$B$25,0)),INDEX(BOL!$Y$4:$Y$25,MATCH(C19,BOL!$O$4:$O$25,0)))</f>
        <v>N</v>
      </c>
      <c r="AF19" s="4">
        <f>(AB19="Y")*Tariff!$O$4+(AC19="Y")*Tariff!$O$5+(AD19="Y")*Tariff!$O$6+(AE19="Y")*Tariff!$O$7</f>
        <v>0</v>
      </c>
      <c r="AG19" s="4">
        <f>SUMIFS(Confirmations!$G$4:$G$7,Confirmations!$A$4:$A$7,C19,Confirmations!$H$4:$H$7,"Yes")</f>
        <v>0</v>
      </c>
      <c r="AH19" s="4">
        <f t="shared" si="5"/>
        <v>0</v>
      </c>
      <c r="AI19" t="str">
        <f>IF(AND(E19="No",COUNTIFS(Invoices!$B$4:$Q$26,B19,Invoices!$A$4:$P$26,"&lt;"&amp;A19)&gt;0),"Yes","No")</f>
        <v>No</v>
      </c>
      <c r="AJ19" s="4">
        <f t="shared" si="6"/>
        <v>190.3</v>
      </c>
      <c r="AK19" s="4">
        <f>Invoices!O19</f>
        <v>190.3</v>
      </c>
      <c r="AL19" s="4">
        <f t="shared" si="7"/>
        <v>0</v>
      </c>
      <c r="AM19" s="4">
        <f>Invoices!H19</f>
        <v>397.46</v>
      </c>
      <c r="AN19" s="4">
        <f>Invoices!J19</f>
        <v>151.03</v>
      </c>
      <c r="AO19" s="11">
        <f>ROUND(Invoices!K19/Terms!$B$9,4)</f>
        <v>0.26</v>
      </c>
      <c r="AP19" s="4">
        <f>Invoices!N19</f>
        <v>0</v>
      </c>
      <c r="AQ19" t="str">
        <f t="shared" si="8"/>
        <v/>
      </c>
      <c r="AR19" t="str">
        <f t="shared" si="9"/>
        <v>4.3 inspection certificate</v>
      </c>
      <c r="AT19" t="str">
        <f>Invoices!P19</f>
        <v>NFL-90354</v>
      </c>
      <c r="AU19">
        <f>Invoices!Q19</f>
        <v>217902</v>
      </c>
      <c r="AV19">
        <f>IFERROR(INDEX('Pro Matches'!$C$4:$C$4,MATCH(AU19,'Pro Matches'!$A$4:$A$4,0)),AU19)</f>
        <v>217902</v>
      </c>
      <c r="AW19" t="str">
        <f>IF(COUNTIF(Corrections!$A$4:$A$4,AT19)&gt;0,"Yes","No")</f>
        <v>No</v>
      </c>
      <c r="AX19" t="str">
        <f>IF(COUNTIF(Corrections!$B$4:$B$4,AT19)&gt;0,"Yes","No")</f>
        <v>No</v>
      </c>
      <c r="AY19" t="str">
        <f>IFERROR(INDEX(BOL!$C$4:$C$25,MATCH(AV19,BOL!$B$4:$B$25,0)),INDEX(BOL!$P$4:$P$25,MATCH(AV19,BOL!$O$4:$O$25,0)))</f>
        <v>09/24/2026</v>
      </c>
      <c r="AZ19" t="str">
        <f>IFERROR(INDEX(BOL!$E$4:$E$25,MATCH(AV19,BOL!$B$4:$B$25,0)),INDEX(BOL!$R$4:$R$25,MATCH(AV19,BOL!$O$4:$O$25,0)))</f>
        <v>WI</v>
      </c>
      <c r="BA19" t="str">
        <f>IFERROR(INDEX(BOL!$F$4:$F$25,MATCH(AV19,BOL!$B$4:$B$25,0)),INDEX(BOL!$S$4:$S$25,MATCH(AV19,BOL!$O$4:$O$25,0)))</f>
        <v>Gypsum and cement board</v>
      </c>
      <c r="BB19">
        <f>IFERROR(INDEX(BOL!$H$4:$H$25,MATCH(AV19,BOL!$B$4:$B$25,0)),INDEX(BOL!$U$4:$U$25,MATCH(AV19,BOL!$O$4:$O$25,0)))</f>
        <v>620</v>
      </c>
      <c r="BC19">
        <f>Invoices!U19</f>
        <v>620</v>
      </c>
      <c r="BD19" t="str">
        <f>IF(COUNTIFS('Billing File'!$A$4:$A$15,AV19,'Billing File'!$G$4:$G$15,"4.5 weight",'Billing File'!$F$4:$F$15,"Yes")&gt;0,"Yes","No")</f>
        <v>No</v>
      </c>
      <c r="BE19">
        <f>IF(AND(BD19="Yes",BC19&gt;BB19*(1+Terms!$B$6)),BC19,BB19)</f>
        <v>620</v>
      </c>
      <c r="BF19">
        <f>INDEX(Tariff!$L$4:$L$9,MATCH(BA19,Tariff!$K$4:$K$9,0))</f>
        <v>55</v>
      </c>
      <c r="BG19">
        <f>Invoices!V19</f>
        <v>55</v>
      </c>
      <c r="BH19" t="str">
        <f>IF(COUNTIFS('Billing File'!$A$4:$A$15,AV19,'Billing File'!$G$4:$G$15,"4.3 class",'Billing File'!$F$4:$F$15,"Yes")&gt;0,"Yes","No")</f>
        <v>No</v>
      </c>
      <c r="BI19">
        <f t="shared" si="10"/>
        <v>55</v>
      </c>
      <c r="BJ19" s="9">
        <f>INDEX(Tariff!$I$4:$I$10,MATCH(BI19,Tariff!$H$4:$H$10,0))</f>
        <v>0.88</v>
      </c>
      <c r="BK19">
        <f>MATCH(BE19,Tariff!$B$12:$F$12,1)</f>
        <v>2</v>
      </c>
      <c r="BL19" s="9">
        <f>INDEX(Tariff!$B$4:$F$10,MATCH(AZ19,Tariff!$A$4:$A$10,0),BK19)</f>
        <v>59.05</v>
      </c>
      <c r="BM19" s="4">
        <f t="shared" si="11"/>
        <v>322.18</v>
      </c>
      <c r="BN19" s="4">
        <f>IF(BK19&lt;5,ROUND(INDEX(Tariff!$B$12:$F$12,BK19+1)/100*INDEX(Tariff!$B$4:$F$10,MATCH(AZ19,Tariff!$A$4:$A$10,0),BK19+1)*BJ19,2),BM19)</f>
        <v>442.64</v>
      </c>
      <c r="BO19" s="4">
        <f t="shared" si="12"/>
        <v>322.18</v>
      </c>
      <c r="BP19" s="4">
        <f>ROUND(BO19*Terms!$B$4,2)</f>
        <v>199.75</v>
      </c>
      <c r="BQ19" s="4">
        <f>MAX(BO19-BP19,Terms!$B$5)</f>
        <v>122.43</v>
      </c>
      <c r="BR19" t="str">
        <f t="shared" si="13"/>
        <v>09/21/2026</v>
      </c>
      <c r="BS19" s="11">
        <f>INDEX('Fuel Index'!$C$4:$C$16,MATCH(BR19,'Fuel Index'!$A$4:$A$16,0))</f>
        <v>0.275</v>
      </c>
      <c r="BT19" s="4">
        <f t="shared" si="14"/>
        <v>33.67</v>
      </c>
      <c r="BU19" t="str">
        <f>IFERROR(INDEX(BOL!$I$4:$I$25,MATCH(AV19,BOL!$B$4:$B$25,0)),INDEX(BOL!$V$4:$V$25,MATCH(AV19,BOL!$O$4:$O$25,0)))</f>
        <v>N</v>
      </c>
      <c r="BV19" t="str">
        <f>IFERROR(INDEX(BOL!$J$4:$J$25,MATCH(AV19,BOL!$B$4:$B$25,0)),INDEX(BOL!$W$4:$W$25,MATCH(AV19,BOL!$O$4:$O$25,0)))</f>
        <v>N</v>
      </c>
      <c r="BW19" t="str">
        <f>IFERROR(INDEX(BOL!$K$4:$K$25,MATCH(AV19,BOL!$B$4:$B$25,0)),INDEX(BOL!$X$4:$X$25,MATCH(AV19,BOL!$O$4:$O$25,0)))</f>
        <v>Y</v>
      </c>
      <c r="BX19" t="str">
        <f>IFERROR(INDEX(BOL!$L$4:$L$25,MATCH(AV19,BOL!$B$4:$B$25,0)),INDEX(BOL!$Y$4:$Y$25,MATCH(AV19,BOL!$O$4:$O$25,0)))</f>
        <v>N</v>
      </c>
      <c r="BY19" s="4">
        <f>(BU19="Y")*Tariff!$O$4+(BV19="Y")*Tariff!$O$5+(BW19="Y")*Tariff!$O$6+(BX19="Y")*Tariff!$O$7</f>
        <v>85</v>
      </c>
      <c r="BZ19" s="4">
        <f>SUMIFS(Confirmations!$G$4:$G$7,Confirmations!$A$4:$A$7,AV19,Confirmations!$H$4:$H$7,"Yes")</f>
        <v>0</v>
      </c>
      <c r="CA19" s="4">
        <f t="shared" si="15"/>
        <v>85</v>
      </c>
      <c r="CB19" t="str">
        <f>IF(AND(AX19="No",COUNTIFS(Invoices!$B$4:$Q$26,AU19,Invoices!$A$4:$P$26,"&lt;"&amp;AT19)&gt;0),"Yes","No")</f>
        <v>No</v>
      </c>
      <c r="CC19" s="4">
        <f t="shared" si="16"/>
        <v>241.1</v>
      </c>
      <c r="CD19" s="4">
        <f>Invoices!AD19</f>
        <v>301.1</v>
      </c>
      <c r="CE19" s="4">
        <f t="shared" si="17"/>
        <v>60</v>
      </c>
      <c r="CF19" s="4">
        <f>Invoices!W19</f>
        <v>322.18</v>
      </c>
      <c r="CG19" s="4">
        <f>Invoices!Y19</f>
        <v>122.43</v>
      </c>
      <c r="CH19" s="11">
        <f>ROUND(Invoices!Z19/Terms!$B$9,4)</f>
        <v>0.275</v>
      </c>
      <c r="CI19" s="4">
        <f>Invoices!AC19</f>
        <v>145</v>
      </c>
      <c r="CJ19" t="str">
        <f t="shared" si="18"/>
        <v>6.1 accessorial overbilled</v>
      </c>
      <c r="CK19" t="str">
        <f t="shared" si="19"/>
        <v/>
      </c>
    </row>
    <row r="20" spans="1:89" x14ac:dyDescent="0.2">
      <c r="A20" t="str">
        <f>Invoices!A20</f>
        <v>NFL-90330</v>
      </c>
      <c r="B20">
        <f>Invoices!B20</f>
        <v>217861</v>
      </c>
      <c r="C20">
        <f>IFERROR(INDEX('Pro Matches'!$C$4:$C$4,MATCH(B20,'Pro Matches'!$A$4:$A$4,0)),B20)</f>
        <v>217861</v>
      </c>
      <c r="D20" t="str">
        <f>IF(COUNTIF(Corrections!$A$4:$A$4,A20)&gt;0,"Yes","No")</f>
        <v>No</v>
      </c>
      <c r="E20" t="str">
        <f>IF(COUNTIF(Corrections!$B$4:$B$4,A20)&gt;0,"Yes","No")</f>
        <v>No</v>
      </c>
      <c r="F20" t="str">
        <f>IFERROR(INDEX(BOL!$C$4:$C$25,MATCH(C20,BOL!$B$4:$B$25,0)),INDEX(BOL!$P$4:$P$25,MATCH(C20,BOL!$O$4:$O$25,0)))</f>
        <v>09/14/2026</v>
      </c>
      <c r="G20" t="str">
        <f>IFERROR(INDEX(BOL!$E$4:$E$25,MATCH(C20,BOL!$B$4:$B$25,0)),INDEX(BOL!$R$4:$R$25,MATCH(C20,BOL!$O$4:$O$25,0)))</f>
        <v>MN</v>
      </c>
      <c r="H20" t="str">
        <f>IFERROR(INDEX(BOL!$F$4:$F$25,MATCH(C20,BOL!$B$4:$B$25,0)),INDEX(BOL!$S$4:$S$25,MATCH(C20,BOL!$O$4:$O$25,0)))</f>
        <v>Vinyl siding</v>
      </c>
      <c r="I20">
        <f>IFERROR(INDEX(BOL!$H$4:$H$25,MATCH(C20,BOL!$B$4:$B$25,0)),INDEX(BOL!$U$4:$U$25,MATCH(C20,BOL!$O$4:$O$25,0)))</f>
        <v>770</v>
      </c>
      <c r="J20">
        <f>Invoices!F20</f>
        <v>770</v>
      </c>
      <c r="K20" t="str">
        <f>IF(COUNTIFS('Billing File'!$A$4:$A$15,C20,'Billing File'!$G$4:$G$15,"4.5 weight",'Billing File'!$F$4:$F$15,"Yes")&gt;0,"Yes","No")</f>
        <v>No</v>
      </c>
      <c r="L20">
        <f>IF(AND(K20="Yes",J20&gt;I20*(1+Terms!$B$6)),J20,I20)</f>
        <v>770</v>
      </c>
      <c r="M20">
        <f>INDEX(Tariff!$L$4:$L$9,MATCH(H20,Tariff!$K$4:$K$9,0))</f>
        <v>92.5</v>
      </c>
      <c r="N20">
        <f>Invoices!G20</f>
        <v>92.5</v>
      </c>
      <c r="O20" t="str">
        <f>IF(COUNTIFS('Billing File'!$A$4:$A$15,C20,'Billing File'!$G$4:$G$15,"4.3 class",'Billing File'!$F$4:$F$15,"Yes")&gt;0,"Yes","No")</f>
        <v>No</v>
      </c>
      <c r="P20">
        <f t="shared" si="0"/>
        <v>92.5</v>
      </c>
      <c r="Q20" s="9">
        <f>INDEX(Tariff!$I$4:$I$10,MATCH(P20,Tariff!$H$4:$H$10,0))</f>
        <v>1.3</v>
      </c>
      <c r="R20">
        <f>MATCH(L20,Tariff!$B$12:$F$12,1)</f>
        <v>2</v>
      </c>
      <c r="S20" s="9">
        <f>INDEX(Tariff!$B$4:$F$10,MATCH(G20,Tariff!$A$4:$A$10,0),R20)</f>
        <v>49.1</v>
      </c>
      <c r="T20" s="4">
        <f t="shared" si="1"/>
        <v>491.49</v>
      </c>
      <c r="U20" s="4">
        <f>IF(R20&lt;5,ROUND(INDEX(Tariff!$B$12:$F$12,R20+1)/100*INDEX(Tariff!$B$4:$F$10,MATCH(G20,Tariff!$A$4:$A$10,0),R20+1)*Q20,2),T20)</f>
        <v>542.75</v>
      </c>
      <c r="V20" s="4">
        <f t="shared" si="2"/>
        <v>491.49</v>
      </c>
      <c r="W20" s="4">
        <f>ROUND(V20*Terms!$B$4,2)</f>
        <v>304.72</v>
      </c>
      <c r="X20" s="4">
        <f>MAX(V20-W20,Terms!$B$5)</f>
        <v>186.77</v>
      </c>
      <c r="Y20" t="str">
        <f t="shared" si="3"/>
        <v>09/14/2026</v>
      </c>
      <c r="Z20" s="11">
        <f>INDEX('Fuel Index'!$C$4:$C$16,MATCH(Y20,'Fuel Index'!$A$4:$A$16,0))</f>
        <v>0.26</v>
      </c>
      <c r="AA20" s="4">
        <f t="shared" si="4"/>
        <v>48.56</v>
      </c>
      <c r="AB20" t="str">
        <f>IFERROR(INDEX(BOL!$I$4:$I$25,MATCH(C20,BOL!$B$4:$B$25,0)),INDEX(BOL!$V$4:$V$25,MATCH(C20,BOL!$O$4:$O$25,0)))</f>
        <v>N</v>
      </c>
      <c r="AC20" t="str">
        <f>IFERROR(INDEX(BOL!$J$4:$J$25,MATCH(C20,BOL!$B$4:$B$25,0)),INDEX(BOL!$W$4:$W$25,MATCH(C20,BOL!$O$4:$O$25,0)))</f>
        <v>N</v>
      </c>
      <c r="AD20" t="str">
        <f>IFERROR(INDEX(BOL!$K$4:$K$25,MATCH(C20,BOL!$B$4:$B$25,0)),INDEX(BOL!$X$4:$X$25,MATCH(C20,BOL!$O$4:$O$25,0)))</f>
        <v>N</v>
      </c>
      <c r="AE20" t="str">
        <f>IFERROR(INDEX(BOL!$L$4:$L$25,MATCH(C20,BOL!$B$4:$B$25,0)),INDEX(BOL!$Y$4:$Y$25,MATCH(C20,BOL!$O$4:$O$25,0)))</f>
        <v>N</v>
      </c>
      <c r="AF20" s="4">
        <f>(AB20="Y")*Tariff!$O$4+(AC20="Y")*Tariff!$O$5+(AD20="Y")*Tariff!$O$6+(AE20="Y")*Tariff!$O$7</f>
        <v>0</v>
      </c>
      <c r="AG20" s="4">
        <f>SUMIFS(Confirmations!$G$4:$G$7,Confirmations!$A$4:$A$7,C20,Confirmations!$H$4:$H$7,"Yes")</f>
        <v>75</v>
      </c>
      <c r="AH20" s="4">
        <f t="shared" si="5"/>
        <v>75</v>
      </c>
      <c r="AI20" t="str">
        <f>IF(AND(E20="No",COUNTIFS(Invoices!$B$4:$Q$26,B20,Invoices!$A$4:$P$26,"&lt;"&amp;A20)&gt;0),"Yes","No")</f>
        <v>No</v>
      </c>
      <c r="AJ20" s="4">
        <f t="shared" si="6"/>
        <v>310.33</v>
      </c>
      <c r="AK20" s="4">
        <f>Invoices!O20</f>
        <v>310.33</v>
      </c>
      <c r="AL20" s="4">
        <f t="shared" si="7"/>
        <v>0</v>
      </c>
      <c r="AM20" s="4">
        <f>Invoices!H20</f>
        <v>491.49</v>
      </c>
      <c r="AN20" s="4">
        <f>Invoices!J20</f>
        <v>186.77</v>
      </c>
      <c r="AO20" s="11">
        <f>ROUND(Invoices!K20/Terms!$B$9,4)</f>
        <v>0.26</v>
      </c>
      <c r="AP20" s="4">
        <f>Invoices!N20</f>
        <v>75</v>
      </c>
      <c r="AQ20" t="str">
        <f t="shared" si="8"/>
        <v/>
      </c>
      <c r="AR20" t="str">
        <f t="shared" si="9"/>
        <v>6.1 written confirmation</v>
      </c>
      <c r="AT20" t="str">
        <f>Invoices!P20</f>
        <v>NFL-90355</v>
      </c>
      <c r="AU20">
        <f>Invoices!Q20</f>
        <v>217712</v>
      </c>
      <c r="AV20">
        <f>IFERROR(INDEX('Pro Matches'!$C$4:$C$4,MATCH(AU20,'Pro Matches'!$A$4:$A$4,0)),AU20)</f>
        <v>217712</v>
      </c>
      <c r="AW20" t="str">
        <f>IF(COUNTIF(Corrections!$A$4:$A$4,AT20)&gt;0,"Yes","No")</f>
        <v>No</v>
      </c>
      <c r="AX20" t="str">
        <f>IF(COUNTIF(Corrections!$B$4:$B$4,AT20)&gt;0,"Yes","No")</f>
        <v>No</v>
      </c>
      <c r="AY20" t="str">
        <f>IFERROR(INDEX(BOL!$C$4:$C$25,MATCH(AV20,BOL!$B$4:$B$25,0)),INDEX(BOL!$P$4:$P$25,MATCH(AV20,BOL!$O$4:$O$25,0)))</f>
        <v>09/29/2026</v>
      </c>
      <c r="AZ20" t="str">
        <f>IFERROR(INDEX(BOL!$E$4:$E$25,MATCH(AV20,BOL!$B$4:$B$25,0)),INDEX(BOL!$R$4:$R$25,MATCH(AV20,BOL!$O$4:$O$25,0)))</f>
        <v>MT</v>
      </c>
      <c r="BA20" t="str">
        <f>IFERROR(INDEX(BOL!$F$4:$F$25,MATCH(AV20,BOL!$B$4:$B$25,0)),INDEX(BOL!$S$4:$S$25,MATCH(AV20,BOL!$O$4:$O$25,0)))</f>
        <v>Vinyl siding</v>
      </c>
      <c r="BB20">
        <f>IFERROR(INDEX(BOL!$H$4:$H$25,MATCH(AV20,BOL!$B$4:$B$25,0)),INDEX(BOL!$U$4:$U$25,MATCH(AV20,BOL!$O$4:$O$25,0)))</f>
        <v>2210</v>
      </c>
      <c r="BC20">
        <f>Invoices!U20</f>
        <v>2312</v>
      </c>
      <c r="BD20" t="str">
        <f>IF(COUNTIFS('Billing File'!$A$4:$A$15,AV20,'Billing File'!$G$4:$G$15,"4.5 weight",'Billing File'!$F$4:$F$15,"Yes")&gt;0,"Yes","No")</f>
        <v>Yes</v>
      </c>
      <c r="BE20">
        <f>IF(AND(BD20="Yes",BC20&gt;BB20*(1+Terms!$B$6)),BC20,BB20)</f>
        <v>2210</v>
      </c>
      <c r="BF20">
        <f>INDEX(Tariff!$L$4:$L$9,MATCH(BA20,Tariff!$K$4:$K$9,0))</f>
        <v>92.5</v>
      </c>
      <c r="BG20">
        <f>Invoices!V20</f>
        <v>92.5</v>
      </c>
      <c r="BH20" t="str">
        <f>IF(COUNTIFS('Billing File'!$A$4:$A$15,AV20,'Billing File'!$G$4:$G$15,"4.3 class",'Billing File'!$F$4:$F$15,"Yes")&gt;0,"Yes","No")</f>
        <v>No</v>
      </c>
      <c r="BI20">
        <f t="shared" si="10"/>
        <v>92.5</v>
      </c>
      <c r="BJ20" s="9">
        <f>INDEX(Tariff!$I$4:$I$10,MATCH(BI20,Tariff!$H$4:$H$10,0))</f>
        <v>1.3</v>
      </c>
      <c r="BK20">
        <f>MATCH(BE20,Tariff!$B$12:$F$12,1)</f>
        <v>4</v>
      </c>
      <c r="BL20" s="9">
        <f>INDEX(Tariff!$B$4:$F$10,MATCH(AZ20,Tariff!$A$4:$A$10,0),BK20)</f>
        <v>49.95</v>
      </c>
      <c r="BM20" s="4">
        <f t="shared" si="11"/>
        <v>1435.06</v>
      </c>
      <c r="BN20" s="4">
        <f>IF(BK20&lt;5,ROUND(INDEX(Tariff!$B$12:$F$12,BK20+1)/100*INDEX(Tariff!$B$4:$F$10,MATCH(AZ20,Tariff!$A$4:$A$10,0),BK20+1)*BJ20,2),BM20)</f>
        <v>2639</v>
      </c>
      <c r="BO20" s="4">
        <f t="shared" si="12"/>
        <v>1435.06</v>
      </c>
      <c r="BP20" s="4">
        <f>ROUND(BO20*Terms!$B$4,2)</f>
        <v>889.74</v>
      </c>
      <c r="BQ20" s="4">
        <f>MAX(BO20-BP20,Terms!$B$5)</f>
        <v>545.32</v>
      </c>
      <c r="BR20" t="str">
        <f t="shared" si="13"/>
        <v>09/28/2026</v>
      </c>
      <c r="BS20" s="11">
        <f>INDEX('Fuel Index'!$C$4:$C$16,MATCH(BR20,'Fuel Index'!$A$4:$A$16,0))</f>
        <v>0.27</v>
      </c>
      <c r="BT20" s="4">
        <f t="shared" si="14"/>
        <v>147.24</v>
      </c>
      <c r="BU20" t="str">
        <f>IFERROR(INDEX(BOL!$I$4:$I$25,MATCH(AV20,BOL!$B$4:$B$25,0)),INDEX(BOL!$V$4:$V$25,MATCH(AV20,BOL!$O$4:$O$25,0)))</f>
        <v>N</v>
      </c>
      <c r="BV20" t="str">
        <f>IFERROR(INDEX(BOL!$J$4:$J$25,MATCH(AV20,BOL!$B$4:$B$25,0)),INDEX(BOL!$W$4:$W$25,MATCH(AV20,BOL!$O$4:$O$25,0)))</f>
        <v>N</v>
      </c>
      <c r="BW20" t="str">
        <f>IFERROR(INDEX(BOL!$K$4:$K$25,MATCH(AV20,BOL!$B$4:$B$25,0)),INDEX(BOL!$X$4:$X$25,MATCH(AV20,BOL!$O$4:$O$25,0)))</f>
        <v>N</v>
      </c>
      <c r="BX20" t="str">
        <f>IFERROR(INDEX(BOL!$L$4:$L$25,MATCH(AV20,BOL!$B$4:$B$25,0)),INDEX(BOL!$Y$4:$Y$25,MATCH(AV20,BOL!$O$4:$O$25,0)))</f>
        <v>N</v>
      </c>
      <c r="BY20" s="4">
        <f>(BU20="Y")*Tariff!$O$4+(BV20="Y")*Tariff!$O$5+(BW20="Y")*Tariff!$O$6+(BX20="Y")*Tariff!$O$7</f>
        <v>0</v>
      </c>
      <c r="BZ20" s="4">
        <f>SUMIFS(Confirmations!$G$4:$G$7,Confirmations!$A$4:$A$7,AV20,Confirmations!$H$4:$H$7,"Yes")</f>
        <v>0</v>
      </c>
      <c r="CA20" s="4">
        <f t="shared" si="15"/>
        <v>0</v>
      </c>
      <c r="CB20" t="str">
        <f>IF(AND(AX20="No",COUNTIFS(Invoices!$B$4:$Q$26,AU20,Invoices!$A$4:$P$26,"&lt;"&amp;AT20)&gt;0),"Yes","No")</f>
        <v>No</v>
      </c>
      <c r="CC20" s="4">
        <f t="shared" si="16"/>
        <v>692.56</v>
      </c>
      <c r="CD20" s="4">
        <f>Invoices!AD20</f>
        <v>724.52</v>
      </c>
      <c r="CE20" s="4">
        <f t="shared" si="17"/>
        <v>31.96</v>
      </c>
      <c r="CF20" s="4">
        <f>Invoices!W20</f>
        <v>1501.3</v>
      </c>
      <c r="CG20" s="4">
        <f>Invoices!Y20</f>
        <v>570.49</v>
      </c>
      <c r="CH20" s="11">
        <f>ROUND(Invoices!Z20/Terms!$B$9,4)</f>
        <v>0.27</v>
      </c>
      <c r="CI20" s="4">
        <f>Invoices!AC20</f>
        <v>0</v>
      </c>
      <c r="CJ20" t="str">
        <f t="shared" si="18"/>
        <v>4.5 reweigh</v>
      </c>
      <c r="CK20" t="str">
        <f t="shared" si="19"/>
        <v/>
      </c>
    </row>
    <row r="21" spans="1:89" x14ac:dyDescent="0.2">
      <c r="A21" t="str">
        <f>Invoices!A21</f>
        <v>NFL-90332</v>
      </c>
      <c r="B21">
        <f>Invoices!B21</f>
        <v>217692</v>
      </c>
      <c r="C21">
        <f>IFERROR(INDEX('Pro Matches'!$C$4:$C$4,MATCH(B21,'Pro Matches'!$A$4:$A$4,0)),B21)</f>
        <v>217692</v>
      </c>
      <c r="D21" t="str">
        <f>IF(COUNTIF(Corrections!$A$4:$A$4,A21)&gt;0,"Yes","No")</f>
        <v>No</v>
      </c>
      <c r="E21" t="str">
        <f>IF(COUNTIF(Corrections!$B$4:$B$4,A21)&gt;0,"Yes","No")</f>
        <v>No</v>
      </c>
      <c r="F21" t="str">
        <f>IFERROR(INDEX(BOL!$C$4:$C$25,MATCH(C21,BOL!$B$4:$B$25,0)),INDEX(BOL!$P$4:$P$25,MATCH(C21,BOL!$O$4:$O$25,0)))</f>
        <v>09/15/2026</v>
      </c>
      <c r="G21" t="str">
        <f>IFERROR(INDEX(BOL!$E$4:$E$25,MATCH(C21,BOL!$B$4:$B$25,0)),INDEX(BOL!$R$4:$R$25,MATCH(C21,BOL!$O$4:$O$25,0)))</f>
        <v>WI</v>
      </c>
      <c r="H21" t="str">
        <f>IFERROR(INDEX(BOL!$F$4:$F$25,MATCH(C21,BOL!$B$4:$B$25,0)),INDEX(BOL!$S$4:$S$25,MATCH(C21,BOL!$O$4:$O$25,0)))</f>
        <v>Metal roofing panels</v>
      </c>
      <c r="I21">
        <f>IFERROR(INDEX(BOL!$H$4:$H$25,MATCH(C21,BOL!$B$4:$B$25,0)),INDEX(BOL!$U$4:$U$25,MATCH(C21,BOL!$O$4:$O$25,0)))</f>
        <v>4650</v>
      </c>
      <c r="J21">
        <f>Invoices!F21</f>
        <v>4650</v>
      </c>
      <c r="K21" t="str">
        <f>IF(COUNTIFS('Billing File'!$A$4:$A$15,C21,'Billing File'!$G$4:$G$15,"4.5 weight",'Billing File'!$F$4:$F$15,"Yes")&gt;0,"Yes","No")</f>
        <v>No</v>
      </c>
      <c r="L21">
        <f>IF(AND(K21="Yes",J21&gt;I21*(1+Terms!$B$6)),J21,I21)</f>
        <v>4650</v>
      </c>
      <c r="M21">
        <f>INDEX(Tariff!$L$4:$L$9,MATCH(H21,Tariff!$K$4:$K$9,0))</f>
        <v>70</v>
      </c>
      <c r="N21">
        <f>Invoices!G21</f>
        <v>70</v>
      </c>
      <c r="O21" t="str">
        <f>IF(COUNTIFS('Billing File'!$A$4:$A$15,C21,'Billing File'!$G$4:$G$15,"4.3 class",'Billing File'!$F$4:$F$15,"Yes")&gt;0,"Yes","No")</f>
        <v>No</v>
      </c>
      <c r="P21">
        <f t="shared" si="0"/>
        <v>70</v>
      </c>
      <c r="Q21" s="9">
        <f>INDEX(Tariff!$I$4:$I$10,MATCH(P21,Tariff!$H$4:$H$10,0))</f>
        <v>1</v>
      </c>
      <c r="R21">
        <f>MATCH(L21,Tariff!$B$12:$F$12,1)</f>
        <v>4</v>
      </c>
      <c r="S21" s="9">
        <f>INDEX(Tariff!$B$4:$F$10,MATCH(G21,Tariff!$A$4:$A$10,0),R21)</f>
        <v>41.3</v>
      </c>
      <c r="T21" s="4">
        <f t="shared" si="1"/>
        <v>1920.45</v>
      </c>
      <c r="U21" s="4">
        <f>IF(R21&lt;5,ROUND(INDEX(Tariff!$B$12:$F$12,R21+1)/100*INDEX(Tariff!$B$4:$F$10,MATCH(G21,Tariff!$A$4:$A$10,0),R21+1)*Q21,2),T21)</f>
        <v>1682.5</v>
      </c>
      <c r="V21" s="4">
        <f t="shared" si="2"/>
        <v>1682.5</v>
      </c>
      <c r="W21" s="4">
        <f>ROUND(V21*Terms!$B$4,2)</f>
        <v>1043.15</v>
      </c>
      <c r="X21" s="4">
        <f>MAX(V21-W21,Terms!$B$5)</f>
        <v>639.35</v>
      </c>
      <c r="Y21" t="str">
        <f t="shared" si="3"/>
        <v>09/14/2026</v>
      </c>
      <c r="Z21" s="11">
        <f>INDEX('Fuel Index'!$C$4:$C$16,MATCH(Y21,'Fuel Index'!$A$4:$A$16,0))</f>
        <v>0.26</v>
      </c>
      <c r="AA21" s="4">
        <f t="shared" si="4"/>
        <v>166.23</v>
      </c>
      <c r="AB21" t="str">
        <f>IFERROR(INDEX(BOL!$I$4:$I$25,MATCH(C21,BOL!$B$4:$B$25,0)),INDEX(BOL!$V$4:$V$25,MATCH(C21,BOL!$O$4:$O$25,0)))</f>
        <v>Y</v>
      </c>
      <c r="AC21" t="str">
        <f>IFERROR(INDEX(BOL!$J$4:$J$25,MATCH(C21,BOL!$B$4:$B$25,0)),INDEX(BOL!$W$4:$W$25,MATCH(C21,BOL!$O$4:$O$25,0)))</f>
        <v>N</v>
      </c>
      <c r="AD21" t="str">
        <f>IFERROR(INDEX(BOL!$K$4:$K$25,MATCH(C21,BOL!$B$4:$B$25,0)),INDEX(BOL!$X$4:$X$25,MATCH(C21,BOL!$O$4:$O$25,0)))</f>
        <v>N</v>
      </c>
      <c r="AE21" t="str">
        <f>IFERROR(INDEX(BOL!$L$4:$L$25,MATCH(C21,BOL!$B$4:$B$25,0)),INDEX(BOL!$Y$4:$Y$25,MATCH(C21,BOL!$O$4:$O$25,0)))</f>
        <v>N</v>
      </c>
      <c r="AF21" s="4">
        <f>(AB21="Y")*Tariff!$O$4+(AC21="Y")*Tariff!$O$5+(AD21="Y")*Tariff!$O$6+(AE21="Y")*Tariff!$O$7</f>
        <v>75</v>
      </c>
      <c r="AG21" s="4">
        <f>SUMIFS(Confirmations!$G$4:$G$7,Confirmations!$A$4:$A$7,C21,Confirmations!$H$4:$H$7,"Yes")</f>
        <v>0</v>
      </c>
      <c r="AH21" s="4">
        <f t="shared" si="5"/>
        <v>75</v>
      </c>
      <c r="AI21" t="str">
        <f>IF(AND(E21="No",COUNTIFS(Invoices!$B$4:$Q$26,B21,Invoices!$A$4:$P$26,"&lt;"&amp;A21)&gt;0),"Yes","No")</f>
        <v>No</v>
      </c>
      <c r="AJ21" s="4">
        <f t="shared" si="6"/>
        <v>880.58</v>
      </c>
      <c r="AK21" s="4">
        <f>Invoices!O21</f>
        <v>994.51</v>
      </c>
      <c r="AL21" s="4">
        <f t="shared" si="7"/>
        <v>113.93</v>
      </c>
      <c r="AM21" s="4">
        <f>Invoices!H21</f>
        <v>1920.45</v>
      </c>
      <c r="AN21" s="4">
        <f>Invoices!J21</f>
        <v>729.77</v>
      </c>
      <c r="AO21" s="11">
        <f>ROUND(Invoices!K21/Terms!$B$9,4)</f>
        <v>0.26</v>
      </c>
      <c r="AP21" s="4">
        <f>Invoices!N21</f>
        <v>75</v>
      </c>
      <c r="AQ21" t="str">
        <f t="shared" si="8"/>
        <v>4.2 deficit weight</v>
      </c>
      <c r="AR21" t="str">
        <f t="shared" si="9"/>
        <v/>
      </c>
      <c r="AT21" t="str">
        <f>Invoices!P21</f>
        <v>NFL-90356</v>
      </c>
      <c r="AU21">
        <f>Invoices!Q21</f>
        <v>217888</v>
      </c>
      <c r="AV21">
        <f>IFERROR(INDEX('Pro Matches'!$C$4:$C$4,MATCH(AU21,'Pro Matches'!$A$4:$A$4,0)),AU21)</f>
        <v>217888</v>
      </c>
      <c r="AW21" t="str">
        <f>IF(COUNTIF(Corrections!$A$4:$A$4,AT21)&gt;0,"Yes","No")</f>
        <v>No</v>
      </c>
      <c r="AX21" t="str">
        <f>IF(COUNTIF(Corrections!$B$4:$B$4,AT21)&gt;0,"Yes","No")</f>
        <v>No</v>
      </c>
      <c r="AY21" t="str">
        <f>IFERROR(INDEX(BOL!$C$4:$C$25,MATCH(AV21,BOL!$B$4:$B$25,0)),INDEX(BOL!$P$4:$P$25,MATCH(AV21,BOL!$O$4:$O$25,0)))</f>
        <v>09/29/2026</v>
      </c>
      <c r="AZ21" t="str">
        <f>IFERROR(INDEX(BOL!$E$4:$E$25,MATCH(AV21,BOL!$B$4:$B$25,0)),INDEX(BOL!$R$4:$R$25,MATCH(AV21,BOL!$O$4:$O$25,0)))</f>
        <v>SD</v>
      </c>
      <c r="BA21" t="str">
        <f>IFERROR(INDEX(BOL!$F$4:$F$25,MATCH(AV21,BOL!$B$4:$B$25,0)),INDEX(BOL!$S$4:$S$25,MATCH(AV21,BOL!$O$4:$O$25,0)))</f>
        <v>Vinyl siding</v>
      </c>
      <c r="BB21">
        <f>IFERROR(INDEX(BOL!$H$4:$H$25,MATCH(AV21,BOL!$B$4:$B$25,0)),INDEX(BOL!$U$4:$U$25,MATCH(AV21,BOL!$O$4:$O$25,0)))</f>
        <v>3380</v>
      </c>
      <c r="BC21">
        <f>Invoices!U21</f>
        <v>3380</v>
      </c>
      <c r="BD21" t="str">
        <f>IF(COUNTIFS('Billing File'!$A$4:$A$15,AV21,'Billing File'!$G$4:$G$15,"4.5 weight",'Billing File'!$F$4:$F$15,"Yes")&gt;0,"Yes","No")</f>
        <v>No</v>
      </c>
      <c r="BE21">
        <f>IF(AND(BD21="Yes",BC21&gt;BB21*(1+Terms!$B$6)),BC21,BB21)</f>
        <v>3380</v>
      </c>
      <c r="BF21">
        <f>INDEX(Tariff!$L$4:$L$9,MATCH(BA21,Tariff!$K$4:$K$9,0))</f>
        <v>92.5</v>
      </c>
      <c r="BG21">
        <f>Invoices!V21</f>
        <v>92.5</v>
      </c>
      <c r="BH21" t="str">
        <f>IF(COUNTIFS('Billing File'!$A$4:$A$15,AV21,'Billing File'!$G$4:$G$15,"4.3 class",'Billing File'!$F$4:$F$15,"Yes")&gt;0,"Yes","No")</f>
        <v>No</v>
      </c>
      <c r="BI21">
        <f t="shared" si="10"/>
        <v>92.5</v>
      </c>
      <c r="BJ21" s="9">
        <f>INDEX(Tariff!$I$4:$I$10,MATCH(BI21,Tariff!$H$4:$H$10,0))</f>
        <v>1.3</v>
      </c>
      <c r="BK21">
        <f>MATCH(BE21,Tariff!$B$12:$F$12,1)</f>
        <v>4</v>
      </c>
      <c r="BL21" s="9">
        <f>INDEX(Tariff!$B$4:$F$10,MATCH(AZ21,Tariff!$A$4:$A$10,0),BK21)</f>
        <v>36.05</v>
      </c>
      <c r="BM21" s="4">
        <f t="shared" si="11"/>
        <v>1584.04</v>
      </c>
      <c r="BN21" s="4">
        <f>IF(BK21&lt;5,ROUND(INDEX(Tariff!$B$12:$F$12,BK21+1)/100*INDEX(Tariff!$B$4:$F$10,MATCH(AZ21,Tariff!$A$4:$A$10,0),BK21+1)*BJ21,2),BM21)</f>
        <v>1911</v>
      </c>
      <c r="BO21" s="4">
        <f t="shared" si="12"/>
        <v>1584.04</v>
      </c>
      <c r="BP21" s="4">
        <f>ROUND(BO21*Terms!$B$4,2)</f>
        <v>982.1</v>
      </c>
      <c r="BQ21" s="4">
        <f>MAX(BO21-BP21,Terms!$B$5)</f>
        <v>601.94</v>
      </c>
      <c r="BR21" t="str">
        <f t="shared" si="13"/>
        <v>09/28/2026</v>
      </c>
      <c r="BS21" s="11">
        <f>INDEX('Fuel Index'!$C$4:$C$16,MATCH(BR21,'Fuel Index'!$A$4:$A$16,0))</f>
        <v>0.27</v>
      </c>
      <c r="BT21" s="4">
        <f t="shared" si="14"/>
        <v>162.52</v>
      </c>
      <c r="BU21" t="str">
        <f>IFERROR(INDEX(BOL!$I$4:$I$25,MATCH(AV21,BOL!$B$4:$B$25,0)),INDEX(BOL!$V$4:$V$25,MATCH(AV21,BOL!$O$4:$O$25,0)))</f>
        <v>N</v>
      </c>
      <c r="BV21" t="str">
        <f>IFERROR(INDEX(BOL!$J$4:$J$25,MATCH(AV21,BOL!$B$4:$B$25,0)),INDEX(BOL!$W$4:$W$25,MATCH(AV21,BOL!$O$4:$O$25,0)))</f>
        <v>Y</v>
      </c>
      <c r="BW21" t="str">
        <f>IFERROR(INDEX(BOL!$K$4:$K$25,MATCH(AV21,BOL!$B$4:$B$25,0)),INDEX(BOL!$X$4:$X$25,MATCH(AV21,BOL!$O$4:$O$25,0)))</f>
        <v>N</v>
      </c>
      <c r="BX21" t="str">
        <f>IFERROR(INDEX(BOL!$L$4:$L$25,MATCH(AV21,BOL!$B$4:$B$25,0)),INDEX(BOL!$Y$4:$Y$25,MATCH(AV21,BOL!$O$4:$O$25,0)))</f>
        <v>N</v>
      </c>
      <c r="BY21" s="4">
        <f>(BU21="Y")*Tariff!$O$4+(BV21="Y")*Tariff!$O$5+(BW21="Y")*Tariff!$O$6+(BX21="Y")*Tariff!$O$7</f>
        <v>95</v>
      </c>
      <c r="BZ21" s="4">
        <f>SUMIFS(Confirmations!$G$4:$G$7,Confirmations!$A$4:$A$7,AV21,Confirmations!$H$4:$H$7,"Yes")</f>
        <v>0</v>
      </c>
      <c r="CA21" s="4">
        <f t="shared" si="15"/>
        <v>95</v>
      </c>
      <c r="CB21" t="str">
        <f>IF(AND(AX21="No",COUNTIFS(Invoices!$B$4:$Q$26,AU21,Invoices!$A$4:$P$26,"&lt;"&amp;AT21)&gt;0),"Yes","No")</f>
        <v>No</v>
      </c>
      <c r="CC21" s="4">
        <f t="shared" si="16"/>
        <v>859.46</v>
      </c>
      <c r="CD21" s="4">
        <f>Invoices!AD21</f>
        <v>862.47</v>
      </c>
      <c r="CE21" s="4">
        <f t="shared" si="17"/>
        <v>3.01</v>
      </c>
      <c r="CF21" s="4">
        <f>Invoices!W21</f>
        <v>1584.04</v>
      </c>
      <c r="CG21" s="4">
        <f>Invoices!Y21</f>
        <v>601.94</v>
      </c>
      <c r="CH21" s="11">
        <f>ROUND(Invoices!Z21/Terms!$B$9,4)</f>
        <v>0.275</v>
      </c>
      <c r="CI21" s="4">
        <f>Invoices!AC21</f>
        <v>95</v>
      </c>
      <c r="CJ21" t="str">
        <f t="shared" si="18"/>
        <v>5.2 fuel week</v>
      </c>
      <c r="CK21" t="str">
        <f t="shared" si="19"/>
        <v/>
      </c>
    </row>
    <row r="22" spans="1:89" x14ac:dyDescent="0.2">
      <c r="A22" t="str">
        <f>Invoices!A22</f>
        <v>NFL-90333</v>
      </c>
      <c r="B22">
        <f>Invoices!B22</f>
        <v>217766</v>
      </c>
      <c r="C22">
        <f>IFERROR(INDEX('Pro Matches'!$C$4:$C$4,MATCH(B22,'Pro Matches'!$A$4:$A$4,0)),B22)</f>
        <v>217766</v>
      </c>
      <c r="D22" t="str">
        <f>IF(COUNTIF(Corrections!$A$4:$A$4,A22)&gt;0,"Yes","No")</f>
        <v>No</v>
      </c>
      <c r="E22" t="str">
        <f>IF(COUNTIF(Corrections!$B$4:$B$4,A22)&gt;0,"Yes","No")</f>
        <v>No</v>
      </c>
      <c r="F22" t="str">
        <f>IFERROR(INDEX(BOL!$C$4:$C$25,MATCH(C22,BOL!$B$4:$B$25,0)),INDEX(BOL!$P$4:$P$25,MATCH(C22,BOL!$O$4:$O$25,0)))</f>
        <v>09/16/2026</v>
      </c>
      <c r="G22" t="str">
        <f>IFERROR(INDEX(BOL!$E$4:$E$25,MATCH(C22,BOL!$B$4:$B$25,0)),INDEX(BOL!$R$4:$R$25,MATCH(C22,BOL!$O$4:$O$25,0)))</f>
        <v>MT</v>
      </c>
      <c r="H22" t="str">
        <f>IFERROR(INDEX(BOL!$F$4:$F$25,MATCH(C22,BOL!$B$4:$B$25,0)),INDEX(BOL!$S$4:$S$25,MATCH(C22,BOL!$O$4:$O$25,0)))</f>
        <v>Fasteners and hardware</v>
      </c>
      <c r="I22">
        <f>IFERROR(INDEX(BOL!$H$4:$H$25,MATCH(C22,BOL!$B$4:$B$25,0)),INDEX(BOL!$U$4:$U$25,MATCH(C22,BOL!$O$4:$O$25,0)))</f>
        <v>5960</v>
      </c>
      <c r="J22">
        <f>Invoices!F22</f>
        <v>5960</v>
      </c>
      <c r="K22" t="str">
        <f>IF(COUNTIFS('Billing File'!$A$4:$A$15,C22,'Billing File'!$G$4:$G$15,"4.5 weight",'Billing File'!$F$4:$F$15,"Yes")&gt;0,"Yes","No")</f>
        <v>No</v>
      </c>
      <c r="L22">
        <f>IF(AND(K22="Yes",J22&gt;I22*(1+Terms!$B$6)),J22,I22)</f>
        <v>5960</v>
      </c>
      <c r="M22">
        <f>INDEX(Tariff!$L$4:$L$9,MATCH(H22,Tariff!$K$4:$K$9,0))</f>
        <v>60</v>
      </c>
      <c r="N22">
        <f>Invoices!G22</f>
        <v>60</v>
      </c>
      <c r="O22" t="str">
        <f>IF(COUNTIFS('Billing File'!$A$4:$A$15,C22,'Billing File'!$G$4:$G$15,"4.3 class",'Billing File'!$F$4:$F$15,"Yes")&gt;0,"Yes","No")</f>
        <v>No</v>
      </c>
      <c r="P22">
        <f t="shared" si="0"/>
        <v>60</v>
      </c>
      <c r="Q22" s="9">
        <f>INDEX(Tariff!$I$4:$I$10,MATCH(P22,Tariff!$H$4:$H$10,0))</f>
        <v>0.94</v>
      </c>
      <c r="R22">
        <f>MATCH(L22,Tariff!$B$12:$F$12,1)</f>
        <v>5</v>
      </c>
      <c r="S22" s="9">
        <f>INDEX(Tariff!$B$4:$F$10,MATCH(G22,Tariff!$A$4:$A$10,0),R22)</f>
        <v>40.6</v>
      </c>
      <c r="T22" s="4">
        <f t="shared" si="1"/>
        <v>2274.57</v>
      </c>
      <c r="U22" s="4">
        <f>IF(R22&lt;5,ROUND(INDEX(Tariff!$B$12:$F$12,R22+1)/100*INDEX(Tariff!$B$4:$F$10,MATCH(G22,Tariff!$A$4:$A$10,0),R22+1)*Q22,2),T22)</f>
        <v>2274.57</v>
      </c>
      <c r="V22" s="4">
        <f t="shared" si="2"/>
        <v>2274.57</v>
      </c>
      <c r="W22" s="4">
        <f>ROUND(V22*Terms!$B$4,2)</f>
        <v>1410.23</v>
      </c>
      <c r="X22" s="4">
        <f>MAX(V22-W22,Terms!$B$5)</f>
        <v>864.34</v>
      </c>
      <c r="Y22" t="str">
        <f t="shared" si="3"/>
        <v>09/14/2026</v>
      </c>
      <c r="Z22" s="11">
        <f>INDEX('Fuel Index'!$C$4:$C$16,MATCH(Y22,'Fuel Index'!$A$4:$A$16,0))</f>
        <v>0.26</v>
      </c>
      <c r="AA22" s="4">
        <f t="shared" si="4"/>
        <v>224.73</v>
      </c>
      <c r="AB22" t="str">
        <f>IFERROR(INDEX(BOL!$I$4:$I$25,MATCH(C22,BOL!$B$4:$B$25,0)),INDEX(BOL!$V$4:$V$25,MATCH(C22,BOL!$O$4:$O$25,0)))</f>
        <v>N</v>
      </c>
      <c r="AC22" t="str">
        <f>IFERROR(INDEX(BOL!$J$4:$J$25,MATCH(C22,BOL!$B$4:$B$25,0)),INDEX(BOL!$W$4:$W$25,MATCH(C22,BOL!$O$4:$O$25,0)))</f>
        <v>N</v>
      </c>
      <c r="AD22" t="str">
        <f>IFERROR(INDEX(BOL!$K$4:$K$25,MATCH(C22,BOL!$B$4:$B$25,0)),INDEX(BOL!$X$4:$X$25,MATCH(C22,BOL!$O$4:$O$25,0)))</f>
        <v>N</v>
      </c>
      <c r="AE22" t="str">
        <f>IFERROR(INDEX(BOL!$L$4:$L$25,MATCH(C22,BOL!$B$4:$B$25,0)),INDEX(BOL!$Y$4:$Y$25,MATCH(C22,BOL!$O$4:$O$25,0)))</f>
        <v>N</v>
      </c>
      <c r="AF22" s="4">
        <f>(AB22="Y")*Tariff!$O$4+(AC22="Y")*Tariff!$O$5+(AD22="Y")*Tariff!$O$6+(AE22="Y")*Tariff!$O$7</f>
        <v>0</v>
      </c>
      <c r="AG22" s="4">
        <f>SUMIFS(Confirmations!$G$4:$G$7,Confirmations!$A$4:$A$7,C22,Confirmations!$H$4:$H$7,"Yes")</f>
        <v>0</v>
      </c>
      <c r="AH22" s="4">
        <f t="shared" si="5"/>
        <v>0</v>
      </c>
      <c r="AI22" t="str">
        <f>IF(AND(E22="No",COUNTIFS(Invoices!$B$4:$Q$26,B22,Invoices!$A$4:$P$26,"&lt;"&amp;A22)&gt;0),"Yes","No")</f>
        <v>No</v>
      </c>
      <c r="AJ22" s="4">
        <f t="shared" si="6"/>
        <v>1089.07</v>
      </c>
      <c r="AK22" s="4">
        <f>Invoices!O22</f>
        <v>1089.07</v>
      </c>
      <c r="AL22" s="4">
        <f t="shared" si="7"/>
        <v>0</v>
      </c>
      <c r="AM22" s="4">
        <f>Invoices!H22</f>
        <v>2274.57</v>
      </c>
      <c r="AN22" s="4">
        <f>Invoices!J22</f>
        <v>864.34</v>
      </c>
      <c r="AO22" s="11">
        <f>ROUND(Invoices!K22/Terms!$B$9,4)</f>
        <v>0.26</v>
      </c>
      <c r="AP22" s="4">
        <f>Invoices!N22</f>
        <v>0</v>
      </c>
      <c r="AQ22" t="str">
        <f t="shared" si="8"/>
        <v/>
      </c>
      <c r="AR22" t="str">
        <f t="shared" si="9"/>
        <v/>
      </c>
      <c r="AT22" t="str">
        <f>Invoices!P22</f>
        <v>NFL-90357</v>
      </c>
      <c r="AU22">
        <f>Invoices!Q22</f>
        <v>217720</v>
      </c>
      <c r="AV22">
        <f>IFERROR(INDEX('Pro Matches'!$C$4:$C$4,MATCH(AU22,'Pro Matches'!$A$4:$A$4,0)),AU22)</f>
        <v>217720</v>
      </c>
      <c r="AW22" t="str">
        <f>IF(COUNTIF(Corrections!$A$4:$A$4,AT22)&gt;0,"Yes","No")</f>
        <v>No</v>
      </c>
      <c r="AX22" t="str">
        <f>IF(COUNTIF(Corrections!$B$4:$B$4,AT22)&gt;0,"Yes","No")</f>
        <v>No</v>
      </c>
      <c r="AY22" t="str">
        <f>IFERROR(INDEX(BOL!$C$4:$C$25,MATCH(AV22,BOL!$B$4:$B$25,0)),INDEX(BOL!$P$4:$P$25,MATCH(AV22,BOL!$O$4:$O$25,0)))</f>
        <v>09/30/2026</v>
      </c>
      <c r="AZ22" t="str">
        <f>IFERROR(INDEX(BOL!$E$4:$E$25,MATCH(AV22,BOL!$B$4:$B$25,0)),INDEX(BOL!$R$4:$R$25,MATCH(AV22,BOL!$O$4:$O$25,0)))</f>
        <v>WI</v>
      </c>
      <c r="BA22" t="str">
        <f>IFERROR(INDEX(BOL!$F$4:$F$25,MATCH(AV22,BOL!$B$4:$B$25,0)),INDEX(BOL!$S$4:$S$25,MATCH(AV22,BOL!$O$4:$O$25,0)))</f>
        <v>Metal roofing panels</v>
      </c>
      <c r="BB22">
        <f>IFERROR(INDEX(BOL!$H$4:$H$25,MATCH(AV22,BOL!$B$4:$B$25,0)),INDEX(BOL!$U$4:$U$25,MATCH(AV22,BOL!$O$4:$O$25,0)))</f>
        <v>4890</v>
      </c>
      <c r="BC22">
        <f>Invoices!U22</f>
        <v>4890</v>
      </c>
      <c r="BD22" t="str">
        <f>IF(COUNTIFS('Billing File'!$A$4:$A$15,AV22,'Billing File'!$G$4:$G$15,"4.5 weight",'Billing File'!$F$4:$F$15,"Yes")&gt;0,"Yes","No")</f>
        <v>No</v>
      </c>
      <c r="BE22">
        <f>IF(AND(BD22="Yes",BC22&gt;BB22*(1+Terms!$B$6)),BC22,BB22)</f>
        <v>4890</v>
      </c>
      <c r="BF22">
        <f>INDEX(Tariff!$L$4:$L$9,MATCH(BA22,Tariff!$K$4:$K$9,0))</f>
        <v>70</v>
      </c>
      <c r="BG22">
        <f>Invoices!V22</f>
        <v>70</v>
      </c>
      <c r="BH22" t="str">
        <f>IF(COUNTIFS('Billing File'!$A$4:$A$15,AV22,'Billing File'!$G$4:$G$15,"4.3 class",'Billing File'!$F$4:$F$15,"Yes")&gt;0,"Yes","No")</f>
        <v>No</v>
      </c>
      <c r="BI22">
        <f t="shared" si="10"/>
        <v>70</v>
      </c>
      <c r="BJ22" s="9">
        <f>INDEX(Tariff!$I$4:$I$10,MATCH(BI22,Tariff!$H$4:$H$10,0))</f>
        <v>1</v>
      </c>
      <c r="BK22">
        <f>MATCH(BE22,Tariff!$B$12:$F$12,1)</f>
        <v>4</v>
      </c>
      <c r="BL22" s="9">
        <f>INDEX(Tariff!$B$4:$F$10,MATCH(AZ22,Tariff!$A$4:$A$10,0),BK22)</f>
        <v>41.3</v>
      </c>
      <c r="BM22" s="4">
        <f t="shared" si="11"/>
        <v>2019.57</v>
      </c>
      <c r="BN22" s="4">
        <f>IF(BK22&lt;5,ROUND(INDEX(Tariff!$B$12:$F$12,BK22+1)/100*INDEX(Tariff!$B$4:$F$10,MATCH(AZ22,Tariff!$A$4:$A$10,0),BK22+1)*BJ22,2),BM22)</f>
        <v>1682.5</v>
      </c>
      <c r="BO22" s="4">
        <f t="shared" si="12"/>
        <v>1682.5</v>
      </c>
      <c r="BP22" s="4">
        <f>ROUND(BO22*Terms!$B$4,2)</f>
        <v>1043.15</v>
      </c>
      <c r="BQ22" s="4">
        <f>MAX(BO22-BP22,Terms!$B$5)</f>
        <v>639.35</v>
      </c>
      <c r="BR22" t="str">
        <f t="shared" si="13"/>
        <v>09/28/2026</v>
      </c>
      <c r="BS22" s="11">
        <f>INDEX('Fuel Index'!$C$4:$C$16,MATCH(BR22,'Fuel Index'!$A$4:$A$16,0))</f>
        <v>0.27</v>
      </c>
      <c r="BT22" s="4">
        <f t="shared" si="14"/>
        <v>172.62</v>
      </c>
      <c r="BU22" t="str">
        <f>IFERROR(INDEX(BOL!$I$4:$I$25,MATCH(AV22,BOL!$B$4:$B$25,0)),INDEX(BOL!$V$4:$V$25,MATCH(AV22,BOL!$O$4:$O$25,0)))</f>
        <v>N</v>
      </c>
      <c r="BV22" t="str">
        <f>IFERROR(INDEX(BOL!$J$4:$J$25,MATCH(AV22,BOL!$B$4:$B$25,0)),INDEX(BOL!$W$4:$W$25,MATCH(AV22,BOL!$O$4:$O$25,0)))</f>
        <v>N</v>
      </c>
      <c r="BW22" t="str">
        <f>IFERROR(INDEX(BOL!$K$4:$K$25,MATCH(AV22,BOL!$B$4:$B$25,0)),INDEX(BOL!$X$4:$X$25,MATCH(AV22,BOL!$O$4:$O$25,0)))</f>
        <v>N</v>
      </c>
      <c r="BX22" t="str">
        <f>IFERROR(INDEX(BOL!$L$4:$L$25,MATCH(AV22,BOL!$B$4:$B$25,0)),INDEX(BOL!$Y$4:$Y$25,MATCH(AV22,BOL!$O$4:$O$25,0)))</f>
        <v>N</v>
      </c>
      <c r="BY22" s="4">
        <f>(BU22="Y")*Tariff!$O$4+(BV22="Y")*Tariff!$O$5+(BW22="Y")*Tariff!$O$6+(BX22="Y")*Tariff!$O$7</f>
        <v>0</v>
      </c>
      <c r="BZ22" s="4">
        <f>SUMIFS(Confirmations!$G$4:$G$7,Confirmations!$A$4:$A$7,AV22,Confirmations!$H$4:$H$7,"Yes")</f>
        <v>0</v>
      </c>
      <c r="CA22" s="4">
        <f t="shared" si="15"/>
        <v>0</v>
      </c>
      <c r="CB22" t="str">
        <f>IF(AND(AX22="No",COUNTIFS(Invoices!$B$4:$Q$26,AU22,Invoices!$A$4:$P$26,"&lt;"&amp;AT22)&gt;0),"Yes","No")</f>
        <v>No</v>
      </c>
      <c r="CC22" s="4">
        <f t="shared" si="16"/>
        <v>811.97</v>
      </c>
      <c r="CD22" s="4">
        <f>Invoices!AD22</f>
        <v>811.97</v>
      </c>
      <c r="CE22" s="4">
        <f t="shared" si="17"/>
        <v>0</v>
      </c>
      <c r="CF22" s="4">
        <f>Invoices!W22</f>
        <v>1682.5</v>
      </c>
      <c r="CG22" s="4">
        <f>Invoices!Y22</f>
        <v>639.35</v>
      </c>
      <c r="CH22" s="11">
        <f>ROUND(Invoices!Z22/Terms!$B$9,4)</f>
        <v>0.27</v>
      </c>
      <c r="CI22" s="4">
        <f>Invoices!AC22</f>
        <v>0</v>
      </c>
      <c r="CJ22" t="str">
        <f t="shared" si="18"/>
        <v/>
      </c>
      <c r="CK22" t="str">
        <f t="shared" si="19"/>
        <v/>
      </c>
    </row>
    <row r="23" spans="1:89" x14ac:dyDescent="0.2">
      <c r="A23" t="str">
        <f>Invoices!A23</f>
        <v>NFL-90334</v>
      </c>
      <c r="B23">
        <f>Invoices!B23</f>
        <v>217858</v>
      </c>
      <c r="C23">
        <f>IFERROR(INDEX('Pro Matches'!$C$4:$C$4,MATCH(B23,'Pro Matches'!$A$4:$A$4,0)),B23)</f>
        <v>217858</v>
      </c>
      <c r="D23" t="str">
        <f>IF(COUNTIF(Corrections!$A$4:$A$4,A23)&gt;0,"Yes","No")</f>
        <v>No</v>
      </c>
      <c r="E23" t="str">
        <f>IF(COUNTIF(Corrections!$B$4:$B$4,A23)&gt;0,"Yes","No")</f>
        <v>No</v>
      </c>
      <c r="F23" t="str">
        <f>IFERROR(INDEX(BOL!$C$4:$C$25,MATCH(C23,BOL!$B$4:$B$25,0)),INDEX(BOL!$P$4:$P$25,MATCH(C23,BOL!$O$4:$O$25,0)))</f>
        <v>09/16/2026</v>
      </c>
      <c r="G23" t="str">
        <f>IFERROR(INDEX(BOL!$E$4:$E$25,MATCH(C23,BOL!$B$4:$B$25,0)),INDEX(BOL!$R$4:$R$25,MATCH(C23,BOL!$O$4:$O$25,0)))</f>
        <v>SD</v>
      </c>
      <c r="H23" t="str">
        <f>IFERROR(INDEX(BOL!$F$4:$F$25,MATCH(C23,BOL!$B$4:$B$25,0)),INDEX(BOL!$S$4:$S$25,MATCH(C23,BOL!$O$4:$O$25,0)))</f>
        <v>Fasteners and hardware</v>
      </c>
      <c r="I23">
        <f>IFERROR(INDEX(BOL!$H$4:$H$25,MATCH(C23,BOL!$B$4:$B$25,0)),INDEX(BOL!$U$4:$U$25,MATCH(C23,BOL!$O$4:$O$25,0)))</f>
        <v>1540</v>
      </c>
      <c r="J23">
        <f>Invoices!F23</f>
        <v>1540</v>
      </c>
      <c r="K23" t="str">
        <f>IF(COUNTIFS('Billing File'!$A$4:$A$15,C23,'Billing File'!$G$4:$G$15,"4.5 weight",'Billing File'!$F$4:$F$15,"Yes")&gt;0,"Yes","No")</f>
        <v>No</v>
      </c>
      <c r="L23">
        <f>IF(AND(K23="Yes",J23&gt;I23*(1+Terms!$B$6)),J23,I23)</f>
        <v>1540</v>
      </c>
      <c r="M23">
        <f>INDEX(Tariff!$L$4:$L$9,MATCH(H23,Tariff!$K$4:$K$9,0))</f>
        <v>60</v>
      </c>
      <c r="N23">
        <f>Invoices!G23</f>
        <v>60</v>
      </c>
      <c r="O23" t="str">
        <f>IF(COUNTIFS('Billing File'!$A$4:$A$15,C23,'Billing File'!$G$4:$G$15,"4.3 class",'Billing File'!$F$4:$F$15,"Yes")&gt;0,"Yes","No")</f>
        <v>No</v>
      </c>
      <c r="P23">
        <f t="shared" si="0"/>
        <v>60</v>
      </c>
      <c r="Q23" s="9">
        <f>INDEX(Tariff!$I$4:$I$10,MATCH(P23,Tariff!$H$4:$H$10,0))</f>
        <v>0.94</v>
      </c>
      <c r="R23">
        <f>MATCH(L23,Tariff!$B$12:$F$12,1)</f>
        <v>3</v>
      </c>
      <c r="S23" s="9">
        <f>INDEX(Tariff!$B$4:$F$10,MATCH(G23,Tariff!$A$4:$A$10,0),R23)</f>
        <v>43.9</v>
      </c>
      <c r="T23" s="4">
        <f t="shared" si="1"/>
        <v>635.5</v>
      </c>
      <c r="U23" s="4">
        <f>IF(R23&lt;5,ROUND(INDEX(Tariff!$B$12:$F$12,R23+1)/100*INDEX(Tariff!$B$4:$F$10,MATCH(G23,Tariff!$A$4:$A$10,0),R23+1)*Q23,2),T23)</f>
        <v>677.74</v>
      </c>
      <c r="V23" s="4">
        <f t="shared" si="2"/>
        <v>635.5</v>
      </c>
      <c r="W23" s="4">
        <f>ROUND(V23*Terms!$B$4,2)</f>
        <v>394.01</v>
      </c>
      <c r="X23" s="4">
        <f>MAX(V23-W23,Terms!$B$5)</f>
        <v>241.49</v>
      </c>
      <c r="Y23" t="str">
        <f t="shared" si="3"/>
        <v>09/14/2026</v>
      </c>
      <c r="Z23" s="11">
        <f>INDEX('Fuel Index'!$C$4:$C$16,MATCH(Y23,'Fuel Index'!$A$4:$A$16,0))</f>
        <v>0.26</v>
      </c>
      <c r="AA23" s="4">
        <f t="shared" si="4"/>
        <v>62.79</v>
      </c>
      <c r="AB23" t="str">
        <f>IFERROR(INDEX(BOL!$I$4:$I$25,MATCH(C23,BOL!$B$4:$B$25,0)),INDEX(BOL!$V$4:$V$25,MATCH(C23,BOL!$O$4:$O$25,0)))</f>
        <v>N</v>
      </c>
      <c r="AC23" t="str">
        <f>IFERROR(INDEX(BOL!$J$4:$J$25,MATCH(C23,BOL!$B$4:$B$25,0)),INDEX(BOL!$W$4:$W$25,MATCH(C23,BOL!$O$4:$O$25,0)))</f>
        <v>N</v>
      </c>
      <c r="AD23" t="str">
        <f>IFERROR(INDEX(BOL!$K$4:$K$25,MATCH(C23,BOL!$B$4:$B$25,0)),INDEX(BOL!$X$4:$X$25,MATCH(C23,BOL!$O$4:$O$25,0)))</f>
        <v>N</v>
      </c>
      <c r="AE23" t="str">
        <f>IFERROR(INDEX(BOL!$L$4:$L$25,MATCH(C23,BOL!$B$4:$B$25,0)),INDEX(BOL!$Y$4:$Y$25,MATCH(C23,BOL!$O$4:$O$25,0)))</f>
        <v>N</v>
      </c>
      <c r="AF23" s="4">
        <f>(AB23="Y")*Tariff!$O$4+(AC23="Y")*Tariff!$O$5+(AD23="Y")*Tariff!$O$6+(AE23="Y")*Tariff!$O$7</f>
        <v>0</v>
      </c>
      <c r="AG23" s="4">
        <f>SUMIFS(Confirmations!$G$4:$G$7,Confirmations!$A$4:$A$7,C23,Confirmations!$H$4:$H$7,"Yes")</f>
        <v>88</v>
      </c>
      <c r="AH23" s="4">
        <f t="shared" si="5"/>
        <v>88</v>
      </c>
      <c r="AI23" t="str">
        <f>IF(AND(E23="No",COUNTIFS(Invoices!$B$4:$Q$26,B23,Invoices!$A$4:$P$26,"&lt;"&amp;A23)&gt;0),"Yes","No")</f>
        <v>No</v>
      </c>
      <c r="AJ23" s="4">
        <f t="shared" si="6"/>
        <v>392.28</v>
      </c>
      <c r="AK23" s="4">
        <f>Invoices!O23</f>
        <v>392.28</v>
      </c>
      <c r="AL23" s="4">
        <f t="shared" si="7"/>
        <v>0</v>
      </c>
      <c r="AM23" s="4">
        <f>Invoices!H23</f>
        <v>635.5</v>
      </c>
      <c r="AN23" s="4">
        <f>Invoices!J23</f>
        <v>241.49</v>
      </c>
      <c r="AO23" s="11">
        <f>ROUND(Invoices!K23/Terms!$B$9,4)</f>
        <v>0.26</v>
      </c>
      <c r="AP23" s="4">
        <f>Invoices!N23</f>
        <v>88</v>
      </c>
      <c r="AQ23" t="str">
        <f t="shared" si="8"/>
        <v/>
      </c>
      <c r="AR23" t="str">
        <f t="shared" si="9"/>
        <v>6.1 written confirmation</v>
      </c>
      <c r="AT23" t="str">
        <f>Invoices!P23</f>
        <v>NFL-90358</v>
      </c>
      <c r="AU23">
        <f>Invoices!Q23</f>
        <v>217810</v>
      </c>
      <c r="AV23">
        <f>IFERROR(INDEX('Pro Matches'!$C$4:$C$4,MATCH(AU23,'Pro Matches'!$A$4:$A$4,0)),AU23)</f>
        <v>217810</v>
      </c>
      <c r="AW23" t="str">
        <f>IF(COUNTIF(Corrections!$A$4:$A$4,AT23)&gt;0,"Yes","No")</f>
        <v>No</v>
      </c>
      <c r="AX23" t="str">
        <f>IF(COUNTIF(Corrections!$B$4:$B$4,AT23)&gt;0,"Yes","No")</f>
        <v>No</v>
      </c>
      <c r="AY23" t="str">
        <f>IFERROR(INDEX(BOL!$C$4:$C$25,MATCH(AV23,BOL!$B$4:$B$25,0)),INDEX(BOL!$P$4:$P$25,MATCH(AV23,BOL!$O$4:$O$25,0)))</f>
        <v>09/30/2026</v>
      </c>
      <c r="AZ23" t="str">
        <f>IFERROR(INDEX(BOL!$E$4:$E$25,MATCH(AV23,BOL!$B$4:$B$25,0)),INDEX(BOL!$R$4:$R$25,MATCH(AV23,BOL!$O$4:$O$25,0)))</f>
        <v>MT</v>
      </c>
      <c r="BA23" t="str">
        <f>IFERROR(INDEX(BOL!$F$4:$F$25,MATCH(AV23,BOL!$B$4:$B$25,0)),INDEX(BOL!$S$4:$S$25,MATCH(AV23,BOL!$O$4:$O$25,0)))</f>
        <v>Fasteners and hardware</v>
      </c>
      <c r="BB23">
        <f>IFERROR(INDEX(BOL!$H$4:$H$25,MATCH(AV23,BOL!$B$4:$B$25,0)),INDEX(BOL!$U$4:$U$25,MATCH(AV23,BOL!$O$4:$O$25,0)))</f>
        <v>510</v>
      </c>
      <c r="BC23">
        <f>Invoices!U23</f>
        <v>510</v>
      </c>
      <c r="BD23" t="str">
        <f>IF(COUNTIFS('Billing File'!$A$4:$A$15,AV23,'Billing File'!$G$4:$G$15,"4.5 weight",'Billing File'!$F$4:$F$15,"Yes")&gt;0,"Yes","No")</f>
        <v>No</v>
      </c>
      <c r="BE23">
        <f>IF(AND(BD23="Yes",BC23&gt;BB23*(1+Terms!$B$6)),BC23,BB23)</f>
        <v>510</v>
      </c>
      <c r="BF23">
        <f>INDEX(Tariff!$L$4:$L$9,MATCH(BA23,Tariff!$K$4:$K$9,0))</f>
        <v>60</v>
      </c>
      <c r="BG23">
        <f>Invoices!V23</f>
        <v>60</v>
      </c>
      <c r="BH23" t="str">
        <f>IF(COUNTIFS('Billing File'!$A$4:$A$15,AV23,'Billing File'!$G$4:$G$15,"4.3 class",'Billing File'!$F$4:$F$15,"Yes")&gt;0,"Yes","No")</f>
        <v>No</v>
      </c>
      <c r="BI23">
        <f t="shared" si="10"/>
        <v>60</v>
      </c>
      <c r="BJ23" s="9">
        <f>INDEX(Tariff!$I$4:$I$10,MATCH(BI23,Tariff!$H$4:$H$10,0))</f>
        <v>0.94</v>
      </c>
      <c r="BK23">
        <f>MATCH(BE23,Tariff!$B$12:$F$12,1)</f>
        <v>2</v>
      </c>
      <c r="BL23" s="9">
        <f>INDEX(Tariff!$B$4:$F$10,MATCH(AZ23,Tariff!$A$4:$A$10,0),BK23)</f>
        <v>71.3</v>
      </c>
      <c r="BM23" s="4">
        <f t="shared" si="11"/>
        <v>341.81</v>
      </c>
      <c r="BN23" s="4">
        <f>IF(BK23&lt;5,ROUND(INDEX(Tariff!$B$12:$F$12,BK23+1)/100*INDEX(Tariff!$B$4:$F$10,MATCH(AZ23,Tariff!$A$4:$A$10,0),BK23+1)*BJ23,2),BM23)</f>
        <v>571.99</v>
      </c>
      <c r="BO23" s="4">
        <f t="shared" si="12"/>
        <v>341.81</v>
      </c>
      <c r="BP23" s="4">
        <f>ROUND(BO23*Terms!$B$4,2)</f>
        <v>211.92</v>
      </c>
      <c r="BQ23" s="4">
        <f>MAX(BO23-BP23,Terms!$B$5)</f>
        <v>129.89</v>
      </c>
      <c r="BR23" t="str">
        <f t="shared" si="13"/>
        <v>09/28/2026</v>
      </c>
      <c r="BS23" s="11">
        <f>INDEX('Fuel Index'!$C$4:$C$16,MATCH(BR23,'Fuel Index'!$A$4:$A$16,0))</f>
        <v>0.27</v>
      </c>
      <c r="BT23" s="4">
        <f t="shared" si="14"/>
        <v>35.07</v>
      </c>
      <c r="BU23" t="str">
        <f>IFERROR(INDEX(BOL!$I$4:$I$25,MATCH(AV23,BOL!$B$4:$B$25,0)),INDEX(BOL!$V$4:$V$25,MATCH(AV23,BOL!$O$4:$O$25,0)))</f>
        <v>Y</v>
      </c>
      <c r="BV23" t="str">
        <f>IFERROR(INDEX(BOL!$J$4:$J$25,MATCH(AV23,BOL!$B$4:$B$25,0)),INDEX(BOL!$W$4:$W$25,MATCH(AV23,BOL!$O$4:$O$25,0)))</f>
        <v>Y</v>
      </c>
      <c r="BW23" t="str">
        <f>IFERROR(INDEX(BOL!$K$4:$K$25,MATCH(AV23,BOL!$B$4:$B$25,0)),INDEX(BOL!$X$4:$X$25,MATCH(AV23,BOL!$O$4:$O$25,0)))</f>
        <v>N</v>
      </c>
      <c r="BX23" t="str">
        <f>IFERROR(INDEX(BOL!$L$4:$L$25,MATCH(AV23,BOL!$B$4:$B$25,0)),INDEX(BOL!$Y$4:$Y$25,MATCH(AV23,BOL!$O$4:$O$25,0)))</f>
        <v>N</v>
      </c>
      <c r="BY23" s="4">
        <f>(BU23="Y")*Tariff!$O$4+(BV23="Y")*Tariff!$O$5+(BW23="Y")*Tariff!$O$6+(BX23="Y")*Tariff!$O$7</f>
        <v>170</v>
      </c>
      <c r="BZ23" s="4">
        <f>SUMIFS(Confirmations!$G$4:$G$7,Confirmations!$A$4:$A$7,AV23,Confirmations!$H$4:$H$7,"Yes")</f>
        <v>0</v>
      </c>
      <c r="CA23" s="4">
        <f t="shared" si="15"/>
        <v>170</v>
      </c>
      <c r="CB23" t="str">
        <f>IF(AND(AX23="No",COUNTIFS(Invoices!$B$4:$Q$26,AU23,Invoices!$A$4:$P$26,"&lt;"&amp;AT23)&gt;0),"Yes","No")</f>
        <v>No</v>
      </c>
      <c r="CC23" s="4">
        <f t="shared" si="16"/>
        <v>334.96</v>
      </c>
      <c r="CD23" s="4">
        <f>Invoices!AD23</f>
        <v>334.96</v>
      </c>
      <c r="CE23" s="4">
        <f t="shared" si="17"/>
        <v>0</v>
      </c>
      <c r="CF23" s="4">
        <f>Invoices!W23</f>
        <v>341.81</v>
      </c>
      <c r="CG23" s="4">
        <f>Invoices!Y23</f>
        <v>129.89</v>
      </c>
      <c r="CH23" s="11">
        <f>ROUND(Invoices!Z23/Terms!$B$9,4)</f>
        <v>0.27</v>
      </c>
      <c r="CI23" s="4">
        <f>Invoices!AC23</f>
        <v>170</v>
      </c>
      <c r="CJ23" t="str">
        <f t="shared" si="18"/>
        <v/>
      </c>
      <c r="CK23" t="str">
        <f t="shared" si="19"/>
        <v/>
      </c>
    </row>
    <row r="24" spans="1:89" x14ac:dyDescent="0.2">
      <c r="A24" t="str">
        <f>Invoices!A24</f>
        <v>NFL-90335</v>
      </c>
      <c r="B24">
        <f>Invoices!B24</f>
        <v>217798</v>
      </c>
      <c r="C24">
        <f>IFERROR(INDEX('Pro Matches'!$C$4:$C$4,MATCH(B24,'Pro Matches'!$A$4:$A$4,0)),B24)</f>
        <v>217798</v>
      </c>
      <c r="D24" t="str">
        <f>IF(COUNTIF(Corrections!$A$4:$A$4,A24)&gt;0,"Yes","No")</f>
        <v>No</v>
      </c>
      <c r="E24" t="str">
        <f>IF(COUNTIF(Corrections!$B$4:$B$4,A24)&gt;0,"Yes","No")</f>
        <v>No</v>
      </c>
      <c r="F24" t="str">
        <f>IFERROR(INDEX(BOL!$C$4:$C$25,MATCH(C24,BOL!$B$4:$B$25,0)),INDEX(BOL!$P$4:$P$25,MATCH(C24,BOL!$O$4:$O$25,0)))</f>
        <v>09/17/2026</v>
      </c>
      <c r="G24" t="str">
        <f>IFERROR(INDEX(BOL!$E$4:$E$25,MATCH(C24,BOL!$B$4:$B$25,0)),INDEX(BOL!$R$4:$R$25,MATCH(C24,BOL!$O$4:$O$25,0)))</f>
        <v>ND</v>
      </c>
      <c r="H24" t="str">
        <f>IFERROR(INDEX(BOL!$F$4:$F$25,MATCH(C24,BOL!$B$4:$B$25,0)),INDEX(BOL!$S$4:$S$25,MATCH(C24,BOL!$O$4:$O$25,0)))</f>
        <v>Windows and doors</v>
      </c>
      <c r="I24">
        <f>IFERROR(INDEX(BOL!$H$4:$H$25,MATCH(C24,BOL!$B$4:$B$25,0)),INDEX(BOL!$U$4:$U$25,MATCH(C24,BOL!$O$4:$O$25,0)))</f>
        <v>1860</v>
      </c>
      <c r="J24">
        <f>Invoices!F24</f>
        <v>1860</v>
      </c>
      <c r="K24" t="str">
        <f>IF(COUNTIFS('Billing File'!$A$4:$A$15,C24,'Billing File'!$G$4:$G$15,"4.5 weight",'Billing File'!$F$4:$F$15,"Yes")&gt;0,"Yes","No")</f>
        <v>No</v>
      </c>
      <c r="L24">
        <f>IF(AND(K24="Yes",J24&gt;I24*(1+Terms!$B$6)),J24,I24)</f>
        <v>1860</v>
      </c>
      <c r="M24">
        <f>INDEX(Tariff!$L$4:$L$9,MATCH(H24,Tariff!$K$4:$K$9,0))</f>
        <v>100</v>
      </c>
      <c r="N24">
        <f>Invoices!G24</f>
        <v>100</v>
      </c>
      <c r="O24" t="str">
        <f>IF(COUNTIFS('Billing File'!$A$4:$A$15,C24,'Billing File'!$G$4:$G$15,"4.3 class",'Billing File'!$F$4:$F$15,"Yes")&gt;0,"Yes","No")</f>
        <v>No</v>
      </c>
      <c r="P24">
        <f t="shared" si="0"/>
        <v>100</v>
      </c>
      <c r="Q24" s="9">
        <f>INDEX(Tariff!$I$4:$I$10,MATCH(P24,Tariff!$H$4:$H$10,0))</f>
        <v>1.45</v>
      </c>
      <c r="R24">
        <f>MATCH(L24,Tariff!$B$12:$F$12,1)</f>
        <v>3</v>
      </c>
      <c r="S24" s="9">
        <f>INDEX(Tariff!$B$4:$F$10,MATCH(G24,Tariff!$A$4:$A$10,0),R24)</f>
        <v>32.15</v>
      </c>
      <c r="T24" s="4">
        <f t="shared" si="1"/>
        <v>867.09</v>
      </c>
      <c r="U24" s="4">
        <f>IF(R24&lt;5,ROUND(INDEX(Tariff!$B$12:$F$12,R24+1)/100*INDEX(Tariff!$B$4:$F$10,MATCH(G24,Tariff!$A$4:$A$10,0),R24+1)*Q24,2),T24)</f>
        <v>765.6</v>
      </c>
      <c r="V24" s="4">
        <f t="shared" si="2"/>
        <v>765.6</v>
      </c>
      <c r="W24" s="4">
        <f>ROUND(V24*Terms!$B$4,2)</f>
        <v>474.67</v>
      </c>
      <c r="X24" s="4">
        <f>MAX(V24-W24,Terms!$B$5)</f>
        <v>290.93</v>
      </c>
      <c r="Y24" t="str">
        <f t="shared" si="3"/>
        <v>09/14/2026</v>
      </c>
      <c r="Z24" s="11">
        <f>INDEX('Fuel Index'!$C$4:$C$16,MATCH(Y24,'Fuel Index'!$A$4:$A$16,0))</f>
        <v>0.26</v>
      </c>
      <c r="AA24" s="4">
        <f t="shared" si="4"/>
        <v>75.64</v>
      </c>
      <c r="AB24" t="str">
        <f>IFERROR(INDEX(BOL!$I$4:$I$25,MATCH(C24,BOL!$B$4:$B$25,0)),INDEX(BOL!$V$4:$V$25,MATCH(C24,BOL!$O$4:$O$25,0)))</f>
        <v>N</v>
      </c>
      <c r="AC24" t="str">
        <f>IFERROR(INDEX(BOL!$J$4:$J$25,MATCH(C24,BOL!$B$4:$B$25,0)),INDEX(BOL!$W$4:$W$25,MATCH(C24,BOL!$O$4:$O$25,0)))</f>
        <v>Y</v>
      </c>
      <c r="AD24" t="str">
        <f>IFERROR(INDEX(BOL!$K$4:$K$25,MATCH(C24,BOL!$B$4:$B$25,0)),INDEX(BOL!$X$4:$X$25,MATCH(C24,BOL!$O$4:$O$25,0)))</f>
        <v>N</v>
      </c>
      <c r="AE24" t="str">
        <f>IFERROR(INDEX(BOL!$L$4:$L$25,MATCH(C24,BOL!$B$4:$B$25,0)),INDEX(BOL!$Y$4:$Y$25,MATCH(C24,BOL!$O$4:$O$25,0)))</f>
        <v>N</v>
      </c>
      <c r="AF24" s="4">
        <f>(AB24="Y")*Tariff!$O$4+(AC24="Y")*Tariff!$O$5+(AD24="Y")*Tariff!$O$6+(AE24="Y")*Tariff!$O$7</f>
        <v>95</v>
      </c>
      <c r="AG24" s="4">
        <f>SUMIFS(Confirmations!$G$4:$G$7,Confirmations!$A$4:$A$7,C24,Confirmations!$H$4:$H$7,"Yes")</f>
        <v>0</v>
      </c>
      <c r="AH24" s="4">
        <f t="shared" si="5"/>
        <v>95</v>
      </c>
      <c r="AI24" t="str">
        <f>IF(AND(E24="No",COUNTIFS(Invoices!$B$4:$Q$26,B24,Invoices!$A$4:$P$26,"&lt;"&amp;A24)&gt;0),"Yes","No")</f>
        <v>No</v>
      </c>
      <c r="AJ24" s="4">
        <f t="shared" si="6"/>
        <v>461.57</v>
      </c>
      <c r="AK24" s="4">
        <f>Invoices!O24</f>
        <v>510.16</v>
      </c>
      <c r="AL24" s="4">
        <f t="shared" si="7"/>
        <v>48.59</v>
      </c>
      <c r="AM24" s="4">
        <f>Invoices!H24</f>
        <v>867.09</v>
      </c>
      <c r="AN24" s="4">
        <f>Invoices!J24</f>
        <v>329.49</v>
      </c>
      <c r="AO24" s="11">
        <f>ROUND(Invoices!K24/Terms!$B$9,4)</f>
        <v>0.26</v>
      </c>
      <c r="AP24" s="4">
        <f>Invoices!N24</f>
        <v>95</v>
      </c>
      <c r="AQ24" t="str">
        <f t="shared" si="8"/>
        <v>4.2 deficit weight</v>
      </c>
      <c r="AR24" t="str">
        <f t="shared" si="9"/>
        <v/>
      </c>
      <c r="AT24" t="str">
        <f>Invoices!P24</f>
        <v>NFL-90359</v>
      </c>
      <c r="AU24">
        <f>Invoices!Q24</f>
        <v>217915</v>
      </c>
      <c r="AV24">
        <f>IFERROR(INDEX('Pro Matches'!$C$4:$C$4,MATCH(AU24,'Pro Matches'!$A$4:$A$4,0)),AU24)</f>
        <v>217915</v>
      </c>
      <c r="AW24" t="str">
        <f>IF(COUNTIF(Corrections!$A$4:$A$4,AT24)&gt;0,"Yes","No")</f>
        <v>No</v>
      </c>
      <c r="AX24" t="str">
        <f>IF(COUNTIF(Corrections!$B$4:$B$4,AT24)&gt;0,"Yes","No")</f>
        <v>No</v>
      </c>
      <c r="AY24" t="str">
        <f>IFERROR(INDEX(BOL!$C$4:$C$25,MATCH(AV24,BOL!$B$4:$B$25,0)),INDEX(BOL!$P$4:$P$25,MATCH(AV24,BOL!$O$4:$O$25,0)))</f>
        <v>09/30/2026</v>
      </c>
      <c r="AZ24" t="str">
        <f>IFERROR(INDEX(BOL!$E$4:$E$25,MATCH(AV24,BOL!$B$4:$B$25,0)),INDEX(BOL!$R$4:$R$25,MATCH(AV24,BOL!$O$4:$O$25,0)))</f>
        <v>NE</v>
      </c>
      <c r="BA24" t="str">
        <f>IFERROR(INDEX(BOL!$F$4:$F$25,MATCH(AV24,BOL!$B$4:$B$25,0)),INDEX(BOL!$S$4:$S$25,MATCH(AV24,BOL!$O$4:$O$25,0)))</f>
        <v>Metal roofing panels</v>
      </c>
      <c r="BB24">
        <f>IFERROR(INDEX(BOL!$H$4:$H$25,MATCH(AV24,BOL!$B$4:$B$25,0)),INDEX(BOL!$U$4:$U$25,MATCH(AV24,BOL!$O$4:$O$25,0)))</f>
        <v>4120</v>
      </c>
      <c r="BC24">
        <f>Invoices!U24</f>
        <v>4120</v>
      </c>
      <c r="BD24" t="str">
        <f>IF(COUNTIFS('Billing File'!$A$4:$A$15,AV24,'Billing File'!$G$4:$G$15,"4.5 weight",'Billing File'!$F$4:$F$15,"Yes")&gt;0,"Yes","No")</f>
        <v>No</v>
      </c>
      <c r="BE24">
        <f>IF(AND(BD24="Yes",BC24&gt;BB24*(1+Terms!$B$6)),BC24,BB24)</f>
        <v>4120</v>
      </c>
      <c r="BF24">
        <f>INDEX(Tariff!$L$4:$L$9,MATCH(BA24,Tariff!$K$4:$K$9,0))</f>
        <v>70</v>
      </c>
      <c r="BG24">
        <f>Invoices!V24</f>
        <v>70</v>
      </c>
      <c r="BH24" t="str">
        <f>IF(COUNTIFS('Billing File'!$A$4:$A$15,AV24,'Billing File'!$G$4:$G$15,"4.3 class",'Billing File'!$F$4:$F$15,"Yes")&gt;0,"Yes","No")</f>
        <v>No</v>
      </c>
      <c r="BI24">
        <f t="shared" si="10"/>
        <v>70</v>
      </c>
      <c r="BJ24" s="9">
        <f>INDEX(Tariff!$I$4:$I$10,MATCH(BI24,Tariff!$H$4:$H$10,0))</f>
        <v>1</v>
      </c>
      <c r="BK24">
        <f>MATCH(BE24,Tariff!$B$12:$F$12,1)</f>
        <v>4</v>
      </c>
      <c r="BL24" s="9">
        <f>INDEX(Tariff!$B$4:$F$10,MATCH(AZ24,Tariff!$A$4:$A$10,0),BK24)</f>
        <v>40.9</v>
      </c>
      <c r="BM24" s="4">
        <f t="shared" si="11"/>
        <v>1685.08</v>
      </c>
      <c r="BN24" s="4">
        <f>IF(BK24&lt;5,ROUND(INDEX(Tariff!$B$12:$F$12,BK24+1)/100*INDEX(Tariff!$B$4:$F$10,MATCH(AZ24,Tariff!$A$4:$A$10,0),BK24+1)*BJ24,2),BM24)</f>
        <v>1665</v>
      </c>
      <c r="BO24" s="4">
        <f t="shared" si="12"/>
        <v>1665</v>
      </c>
      <c r="BP24" s="4">
        <f>ROUND(BO24*Terms!$B$4,2)</f>
        <v>1032.3</v>
      </c>
      <c r="BQ24" s="4">
        <f>MAX(BO24-BP24,Terms!$B$5)</f>
        <v>632.7</v>
      </c>
      <c r="BR24" t="str">
        <f t="shared" si="13"/>
        <v>09/28/2026</v>
      </c>
      <c r="BS24" s="11">
        <f>INDEX('Fuel Index'!$C$4:$C$16,MATCH(BR24,'Fuel Index'!$A$4:$A$16,0))</f>
        <v>0.27</v>
      </c>
      <c r="BT24" s="4">
        <f t="shared" si="14"/>
        <v>170.83</v>
      </c>
      <c r="BU24" t="str">
        <f>IFERROR(INDEX(BOL!$I$4:$I$25,MATCH(AV24,BOL!$B$4:$B$25,0)),INDEX(BOL!$V$4:$V$25,MATCH(AV24,BOL!$O$4:$O$25,0)))</f>
        <v>N</v>
      </c>
      <c r="BV24" t="str">
        <f>IFERROR(INDEX(BOL!$J$4:$J$25,MATCH(AV24,BOL!$B$4:$B$25,0)),INDEX(BOL!$W$4:$W$25,MATCH(AV24,BOL!$O$4:$O$25,0)))</f>
        <v>N</v>
      </c>
      <c r="BW24" t="str">
        <f>IFERROR(INDEX(BOL!$K$4:$K$25,MATCH(AV24,BOL!$B$4:$B$25,0)),INDEX(BOL!$X$4:$X$25,MATCH(AV24,BOL!$O$4:$O$25,0)))</f>
        <v>N</v>
      </c>
      <c r="BX24" t="str">
        <f>IFERROR(INDEX(BOL!$L$4:$L$25,MATCH(AV24,BOL!$B$4:$B$25,0)),INDEX(BOL!$Y$4:$Y$25,MATCH(AV24,BOL!$O$4:$O$25,0)))</f>
        <v>N</v>
      </c>
      <c r="BY24" s="4">
        <f>(BU24="Y")*Tariff!$O$4+(BV24="Y")*Tariff!$O$5+(BW24="Y")*Tariff!$O$6+(BX24="Y")*Tariff!$O$7</f>
        <v>0</v>
      </c>
      <c r="BZ24" s="4">
        <f>SUMIFS(Confirmations!$G$4:$G$7,Confirmations!$A$4:$A$7,AV24,Confirmations!$H$4:$H$7,"Yes")</f>
        <v>0</v>
      </c>
      <c r="CA24" s="4">
        <f t="shared" si="15"/>
        <v>0</v>
      </c>
      <c r="CB24" t="str">
        <f>IF(AND(AX24="No",COUNTIFS(Invoices!$B$4:$Q$26,AU24,Invoices!$A$4:$P$26,"&lt;"&amp;AT24)&gt;0),"Yes","No")</f>
        <v>No</v>
      </c>
      <c r="CC24" s="4">
        <f t="shared" si="16"/>
        <v>803.53</v>
      </c>
      <c r="CD24" s="4">
        <f>Invoices!AD24</f>
        <v>803.53</v>
      </c>
      <c r="CE24" s="4">
        <f t="shared" si="17"/>
        <v>0</v>
      </c>
      <c r="CF24" s="4">
        <f>Invoices!W24</f>
        <v>1665</v>
      </c>
      <c r="CG24" s="4">
        <f>Invoices!Y24</f>
        <v>632.7</v>
      </c>
      <c r="CH24" s="11">
        <f>ROUND(Invoices!Z24/Terms!$B$9,4)</f>
        <v>0.27</v>
      </c>
      <c r="CI24" s="4">
        <f>Invoices!AC24</f>
        <v>0</v>
      </c>
      <c r="CJ24" t="str">
        <f t="shared" si="18"/>
        <v/>
      </c>
      <c r="CK24" t="str">
        <f t="shared" si="19"/>
        <v/>
      </c>
    </row>
    <row r="25" spans="1:89" x14ac:dyDescent="0.2">
      <c r="A25" t="str">
        <f>Invoices!A25</f>
        <v>NFL-90336</v>
      </c>
      <c r="B25">
        <f>Invoices!B25</f>
        <v>217873</v>
      </c>
      <c r="C25">
        <f>IFERROR(INDEX('Pro Matches'!$C$4:$C$4,MATCH(B25,'Pro Matches'!$A$4:$A$4,0)),B25)</f>
        <v>217873</v>
      </c>
      <c r="D25" t="str">
        <f>IF(COUNTIF(Corrections!$A$4:$A$4,A25)&gt;0,"Yes","No")</f>
        <v>No</v>
      </c>
      <c r="E25" t="str">
        <f>IF(COUNTIF(Corrections!$B$4:$B$4,A25)&gt;0,"Yes","No")</f>
        <v>No</v>
      </c>
      <c r="F25" t="str">
        <f>IFERROR(INDEX(BOL!$C$4:$C$25,MATCH(C25,BOL!$B$4:$B$25,0)),INDEX(BOL!$P$4:$P$25,MATCH(C25,BOL!$O$4:$O$25,0)))</f>
        <v>09/17/2026</v>
      </c>
      <c r="G25" t="str">
        <f>IFERROR(INDEX(BOL!$E$4:$E$25,MATCH(C25,BOL!$B$4:$B$25,0)),INDEX(BOL!$R$4:$R$25,MATCH(C25,BOL!$O$4:$O$25,0)))</f>
        <v>MT</v>
      </c>
      <c r="H25" t="str">
        <f>IFERROR(INDEX(BOL!$F$4:$F$25,MATCH(C25,BOL!$B$4:$B$25,0)),INDEX(BOL!$S$4:$S$25,MATCH(C25,BOL!$O$4:$O$25,0)))</f>
        <v>Windows and doors</v>
      </c>
      <c r="I25">
        <f>IFERROR(INDEX(BOL!$H$4:$H$25,MATCH(C25,BOL!$B$4:$B$25,0)),INDEX(BOL!$U$4:$U$25,MATCH(C25,BOL!$O$4:$O$25,0)))</f>
        <v>2790</v>
      </c>
      <c r="J25">
        <f>Invoices!F25</f>
        <v>3010</v>
      </c>
      <c r="K25" t="str">
        <f>IF(COUNTIFS('Billing File'!$A$4:$A$15,C25,'Billing File'!$G$4:$G$15,"4.5 weight",'Billing File'!$F$4:$F$15,"Yes")&gt;0,"Yes","No")</f>
        <v>Yes</v>
      </c>
      <c r="L25">
        <f>IF(AND(K25="Yes",J25&gt;I25*(1+Terms!$B$6)),J25,I25)</f>
        <v>3010</v>
      </c>
      <c r="M25">
        <f>INDEX(Tariff!$L$4:$L$9,MATCH(H25,Tariff!$K$4:$K$9,0))</f>
        <v>100</v>
      </c>
      <c r="N25">
        <f>Invoices!G25</f>
        <v>100</v>
      </c>
      <c r="O25" t="str">
        <f>IF(COUNTIFS('Billing File'!$A$4:$A$15,C25,'Billing File'!$G$4:$G$15,"4.3 class",'Billing File'!$F$4:$F$15,"Yes")&gt;0,"Yes","No")</f>
        <v>No</v>
      </c>
      <c r="P25">
        <f t="shared" si="0"/>
        <v>100</v>
      </c>
      <c r="Q25" s="9">
        <f>INDEX(Tariff!$I$4:$I$10,MATCH(P25,Tariff!$H$4:$H$10,0))</f>
        <v>1.45</v>
      </c>
      <c r="R25">
        <f>MATCH(L25,Tariff!$B$12:$F$12,1)</f>
        <v>4</v>
      </c>
      <c r="S25" s="9">
        <f>INDEX(Tariff!$B$4:$F$10,MATCH(G25,Tariff!$A$4:$A$10,0),R25)</f>
        <v>49.95</v>
      </c>
      <c r="T25" s="4">
        <f t="shared" si="1"/>
        <v>2180.07</v>
      </c>
      <c r="U25" s="4">
        <f>IF(R25&lt;5,ROUND(INDEX(Tariff!$B$12:$F$12,R25+1)/100*INDEX(Tariff!$B$4:$F$10,MATCH(G25,Tariff!$A$4:$A$10,0),R25+1)*Q25,2),T25)</f>
        <v>2943.5</v>
      </c>
      <c r="V25" s="4">
        <f t="shared" si="2"/>
        <v>2180.07</v>
      </c>
      <c r="W25" s="4">
        <f>ROUND(V25*Terms!$B$4,2)</f>
        <v>1351.64</v>
      </c>
      <c r="X25" s="4">
        <f>MAX(V25-W25,Terms!$B$5)</f>
        <v>828.43</v>
      </c>
      <c r="Y25" t="str">
        <f t="shared" si="3"/>
        <v>09/14/2026</v>
      </c>
      <c r="Z25" s="11">
        <f>INDEX('Fuel Index'!$C$4:$C$16,MATCH(Y25,'Fuel Index'!$A$4:$A$16,0))</f>
        <v>0.26</v>
      </c>
      <c r="AA25" s="4">
        <f t="shared" si="4"/>
        <v>215.39</v>
      </c>
      <c r="AB25" t="str">
        <f>IFERROR(INDEX(BOL!$I$4:$I$25,MATCH(C25,BOL!$B$4:$B$25,0)),INDEX(BOL!$V$4:$V$25,MATCH(C25,BOL!$O$4:$O$25,0)))</f>
        <v>Y</v>
      </c>
      <c r="AC25" t="str">
        <f>IFERROR(INDEX(BOL!$J$4:$J$25,MATCH(C25,BOL!$B$4:$B$25,0)),INDEX(BOL!$W$4:$W$25,MATCH(C25,BOL!$O$4:$O$25,0)))</f>
        <v>N</v>
      </c>
      <c r="AD25" t="str">
        <f>IFERROR(INDEX(BOL!$K$4:$K$25,MATCH(C25,BOL!$B$4:$B$25,0)),INDEX(BOL!$X$4:$X$25,MATCH(C25,BOL!$O$4:$O$25,0)))</f>
        <v>N</v>
      </c>
      <c r="AE25" t="str">
        <f>IFERROR(INDEX(BOL!$L$4:$L$25,MATCH(C25,BOL!$B$4:$B$25,0)),INDEX(BOL!$Y$4:$Y$25,MATCH(C25,BOL!$O$4:$O$25,0)))</f>
        <v>Y</v>
      </c>
      <c r="AF25" s="4">
        <f>(AB25="Y")*Tariff!$O$4+(AC25="Y")*Tariff!$O$5+(AD25="Y")*Tariff!$O$6+(AE25="Y")*Tariff!$O$7</f>
        <v>135</v>
      </c>
      <c r="AG25" s="4">
        <f>SUMIFS(Confirmations!$G$4:$G$7,Confirmations!$A$4:$A$7,C25,Confirmations!$H$4:$H$7,"Yes")</f>
        <v>0</v>
      </c>
      <c r="AH25" s="4">
        <f t="shared" si="5"/>
        <v>135</v>
      </c>
      <c r="AI25" t="str">
        <f>IF(AND(E25="No",COUNTIFS(Invoices!$B$4:$Q$26,B25,Invoices!$A$4:$P$26,"&lt;"&amp;A25)&gt;0),"Yes","No")</f>
        <v>No</v>
      </c>
      <c r="AJ25" s="4">
        <f t="shared" si="6"/>
        <v>1178.82</v>
      </c>
      <c r="AK25" s="4">
        <f>Invoices!O25</f>
        <v>1178.82</v>
      </c>
      <c r="AL25" s="4">
        <f t="shared" si="7"/>
        <v>0</v>
      </c>
      <c r="AM25" s="4">
        <f>Invoices!H25</f>
        <v>2180.07</v>
      </c>
      <c r="AN25" s="4">
        <f>Invoices!J25</f>
        <v>828.43</v>
      </c>
      <c r="AO25" s="11">
        <f>ROUND(Invoices!K25/Terms!$B$9,4)</f>
        <v>0.26</v>
      </c>
      <c r="AP25" s="4">
        <f>Invoices!N25</f>
        <v>135</v>
      </c>
      <c r="AQ25" t="str">
        <f t="shared" si="8"/>
        <v/>
      </c>
      <c r="AR25" t="str">
        <f t="shared" si="9"/>
        <v>4.5 certified scale ticket</v>
      </c>
      <c r="AT25" t="str">
        <f>Invoices!P25</f>
        <v>NFL-90360</v>
      </c>
      <c r="AU25">
        <f>Invoices!Q25</f>
        <v>217841</v>
      </c>
      <c r="AV25">
        <f>IFERROR(INDEX('Pro Matches'!$C$4:$C$4,MATCH(AU25,'Pro Matches'!$A$4:$A$4,0)),AU25)</f>
        <v>217841</v>
      </c>
      <c r="AW25" t="str">
        <f>IF(COUNTIF(Corrections!$A$4:$A$4,AT25)&gt;0,"Yes","No")</f>
        <v>No</v>
      </c>
      <c r="AX25" t="str">
        <f>IF(COUNTIF(Corrections!$B$4:$B$4,AT25)&gt;0,"Yes","No")</f>
        <v>No</v>
      </c>
      <c r="AY25" t="str">
        <f>IFERROR(INDEX(BOL!$C$4:$C$25,MATCH(AV25,BOL!$B$4:$B$25,0)),INDEX(BOL!$P$4:$P$25,MATCH(AV25,BOL!$O$4:$O$25,0)))</f>
        <v>09/24/2026</v>
      </c>
      <c r="AZ25" t="str">
        <f>IFERROR(INDEX(BOL!$E$4:$E$25,MATCH(AV25,BOL!$B$4:$B$25,0)),INDEX(BOL!$R$4:$R$25,MATCH(AV25,BOL!$O$4:$O$25,0)))</f>
        <v>MT</v>
      </c>
      <c r="BA25" t="str">
        <f>IFERROR(INDEX(BOL!$F$4:$F$25,MATCH(AV25,BOL!$B$4:$B$25,0)),INDEX(BOL!$S$4:$S$25,MATCH(AV25,BOL!$O$4:$O$25,0)))</f>
        <v>Fasteners and hardware</v>
      </c>
      <c r="BB25">
        <f>IFERROR(INDEX(BOL!$H$4:$H$25,MATCH(AV25,BOL!$B$4:$B$25,0)),INDEX(BOL!$U$4:$U$25,MATCH(AV25,BOL!$O$4:$O$25,0)))</f>
        <v>2060</v>
      </c>
      <c r="BC25">
        <f>Invoices!U25</f>
        <v>2060</v>
      </c>
      <c r="BD25" t="str">
        <f>IF(COUNTIFS('Billing File'!$A$4:$A$15,AV25,'Billing File'!$G$4:$G$15,"4.5 weight",'Billing File'!$F$4:$F$15,"Yes")&gt;0,"Yes","No")</f>
        <v>No</v>
      </c>
      <c r="BE25">
        <f>IF(AND(BD25="Yes",BC25&gt;BB25*(1+Terms!$B$6)),BC25,BB25)</f>
        <v>2060</v>
      </c>
      <c r="BF25">
        <f>INDEX(Tariff!$L$4:$L$9,MATCH(BA25,Tariff!$K$4:$K$9,0))</f>
        <v>60</v>
      </c>
      <c r="BG25">
        <f>Invoices!V25</f>
        <v>60</v>
      </c>
      <c r="BH25" t="str">
        <f>IF(COUNTIFS('Billing File'!$A$4:$A$15,AV25,'Billing File'!$G$4:$G$15,"4.3 class",'Billing File'!$F$4:$F$15,"Yes")&gt;0,"Yes","No")</f>
        <v>No</v>
      </c>
      <c r="BI25">
        <f t="shared" si="10"/>
        <v>60</v>
      </c>
      <c r="BJ25" s="9">
        <f>INDEX(Tariff!$I$4:$I$10,MATCH(BI25,Tariff!$H$4:$H$10,0))</f>
        <v>0.94</v>
      </c>
      <c r="BK25">
        <f>MATCH(BE25,Tariff!$B$12:$F$12,1)</f>
        <v>4</v>
      </c>
      <c r="BL25" s="9">
        <f>INDEX(Tariff!$B$4:$F$10,MATCH(AZ25,Tariff!$A$4:$A$10,0),BK25)</f>
        <v>49.95</v>
      </c>
      <c r="BM25" s="4">
        <f t="shared" si="11"/>
        <v>967.23</v>
      </c>
      <c r="BN25" s="4">
        <f>IF(BK25&lt;5,ROUND(INDEX(Tariff!$B$12:$F$12,BK25+1)/100*INDEX(Tariff!$B$4:$F$10,MATCH(AZ25,Tariff!$A$4:$A$10,0),BK25+1)*BJ25,2),BM25)</f>
        <v>1908.2</v>
      </c>
      <c r="BO25" s="4">
        <f t="shared" si="12"/>
        <v>967.23</v>
      </c>
      <c r="BP25" s="4">
        <f>ROUND(BO25*Terms!$B$4,2)</f>
        <v>599.68</v>
      </c>
      <c r="BQ25" s="4">
        <f>MAX(BO25-BP25,Terms!$B$5)</f>
        <v>367.55</v>
      </c>
      <c r="BR25" t="str">
        <f t="shared" si="13"/>
        <v>09/21/2026</v>
      </c>
      <c r="BS25" s="11">
        <f>INDEX('Fuel Index'!$C$4:$C$16,MATCH(BR25,'Fuel Index'!$A$4:$A$16,0))</f>
        <v>0.275</v>
      </c>
      <c r="BT25" s="4">
        <f t="shared" si="14"/>
        <v>101.08</v>
      </c>
      <c r="BU25" t="str">
        <f>IFERROR(INDEX(BOL!$I$4:$I$25,MATCH(AV25,BOL!$B$4:$B$25,0)),INDEX(BOL!$V$4:$V$25,MATCH(AV25,BOL!$O$4:$O$25,0)))</f>
        <v>Y</v>
      </c>
      <c r="BV25" t="str">
        <f>IFERROR(INDEX(BOL!$J$4:$J$25,MATCH(AV25,BOL!$B$4:$B$25,0)),INDEX(BOL!$W$4:$W$25,MATCH(AV25,BOL!$O$4:$O$25,0)))</f>
        <v>N</v>
      </c>
      <c r="BW25" t="str">
        <f>IFERROR(INDEX(BOL!$K$4:$K$25,MATCH(AV25,BOL!$B$4:$B$25,0)),INDEX(BOL!$X$4:$X$25,MATCH(AV25,BOL!$O$4:$O$25,0)))</f>
        <v>N</v>
      </c>
      <c r="BX25" t="str">
        <f>IFERROR(INDEX(BOL!$L$4:$L$25,MATCH(AV25,BOL!$B$4:$B$25,0)),INDEX(BOL!$Y$4:$Y$25,MATCH(AV25,BOL!$O$4:$O$25,0)))</f>
        <v>Y</v>
      </c>
      <c r="BY25" s="4">
        <f>(BU25="Y")*Tariff!$O$4+(BV25="Y")*Tariff!$O$5+(BW25="Y")*Tariff!$O$6+(BX25="Y")*Tariff!$O$7</f>
        <v>135</v>
      </c>
      <c r="BZ25" s="4">
        <f>SUMIFS(Confirmations!$G$4:$G$7,Confirmations!$A$4:$A$7,AV25,Confirmations!$H$4:$H$7,"Yes")</f>
        <v>0</v>
      </c>
      <c r="CA25" s="4">
        <f t="shared" si="15"/>
        <v>135</v>
      </c>
      <c r="CB25" t="str">
        <f>IF(AND(AX25="No",COUNTIFS(Invoices!$B$4:$Q$26,AU25,Invoices!$A$4:$P$26,"&lt;"&amp;AT25)&gt;0),"Yes","No")</f>
        <v>Yes</v>
      </c>
      <c r="CC25" s="4">
        <f t="shared" si="16"/>
        <v>0</v>
      </c>
      <c r="CD25" s="4">
        <f>Invoices!AD25</f>
        <v>603.63</v>
      </c>
      <c r="CE25" s="4">
        <f t="shared" si="17"/>
        <v>603.63</v>
      </c>
      <c r="CF25" s="4">
        <f>Invoices!W25</f>
        <v>967.23</v>
      </c>
      <c r="CG25" s="4">
        <f>Invoices!Y25</f>
        <v>367.55</v>
      </c>
      <c r="CH25" s="11">
        <f>ROUND(Invoices!Z25/Terms!$B$9,4)</f>
        <v>0.275</v>
      </c>
      <c r="CI25" s="4">
        <f>Invoices!AC25</f>
        <v>135</v>
      </c>
      <c r="CJ25" t="str">
        <f t="shared" si="18"/>
        <v>7.1 duplicate bill</v>
      </c>
      <c r="CK25" t="str">
        <f t="shared" si="19"/>
        <v/>
      </c>
    </row>
    <row r="26" spans="1:89" x14ac:dyDescent="0.2">
      <c r="A26" t="str">
        <f>Invoices!A26</f>
        <v>NFL-90337</v>
      </c>
      <c r="B26">
        <f>Invoices!B26</f>
        <v>217833</v>
      </c>
      <c r="C26">
        <f>IFERROR(INDEX('Pro Matches'!$C$4:$C$4,MATCH(B26,'Pro Matches'!$A$4:$A$4,0)),B26)</f>
        <v>217833</v>
      </c>
      <c r="D26" t="str">
        <f>IF(COUNTIF(Corrections!$A$4:$A$4,A26)&gt;0,"Yes","No")</f>
        <v>No</v>
      </c>
      <c r="E26" t="str">
        <f>IF(COUNTIF(Corrections!$B$4:$B$4,A26)&gt;0,"Yes","No")</f>
        <v>No</v>
      </c>
      <c r="F26" t="str">
        <f>IFERROR(INDEX(BOL!$C$4:$C$25,MATCH(C26,BOL!$B$4:$B$25,0)),INDEX(BOL!$P$4:$P$25,MATCH(C26,BOL!$O$4:$O$25,0)))</f>
        <v>09/18/2026</v>
      </c>
      <c r="G26" t="str">
        <f>IFERROR(INDEX(BOL!$E$4:$E$25,MATCH(C26,BOL!$B$4:$B$25,0)),INDEX(BOL!$R$4:$R$25,MATCH(C26,BOL!$O$4:$O$25,0)))</f>
        <v>MN</v>
      </c>
      <c r="H26" t="str">
        <f>IFERROR(INDEX(BOL!$F$4:$F$25,MATCH(C26,BOL!$B$4:$B$25,0)),INDEX(BOL!$S$4:$S$25,MATCH(C26,BOL!$O$4:$O$25,0)))</f>
        <v>Vinyl siding</v>
      </c>
      <c r="I26">
        <f>IFERROR(INDEX(BOL!$H$4:$H$25,MATCH(C26,BOL!$B$4:$B$25,0)),INDEX(BOL!$U$4:$U$25,MATCH(C26,BOL!$O$4:$O$25,0)))</f>
        <v>1070</v>
      </c>
      <c r="J26">
        <f>Invoices!F26</f>
        <v>1070</v>
      </c>
      <c r="K26" t="str">
        <f>IF(COUNTIFS('Billing File'!$A$4:$A$15,C26,'Billing File'!$G$4:$G$15,"4.5 weight",'Billing File'!$F$4:$F$15,"Yes")&gt;0,"Yes","No")</f>
        <v>No</v>
      </c>
      <c r="L26">
        <f>IF(AND(K26="Yes",J26&gt;I26*(1+Terms!$B$6)),J26,I26)</f>
        <v>1070</v>
      </c>
      <c r="M26">
        <f>INDEX(Tariff!$L$4:$L$9,MATCH(H26,Tariff!$K$4:$K$9,0))</f>
        <v>92.5</v>
      </c>
      <c r="N26">
        <f>Invoices!G26</f>
        <v>92.5</v>
      </c>
      <c r="O26" t="str">
        <f>IF(COUNTIFS('Billing File'!$A$4:$A$15,C26,'Billing File'!$G$4:$G$15,"4.3 class",'Billing File'!$F$4:$F$15,"Yes")&gt;0,"Yes","No")</f>
        <v>No</v>
      </c>
      <c r="P26">
        <f t="shared" si="0"/>
        <v>92.5</v>
      </c>
      <c r="Q26" s="9">
        <f>INDEX(Tariff!$I$4:$I$10,MATCH(P26,Tariff!$H$4:$H$10,0))</f>
        <v>1.3</v>
      </c>
      <c r="R26">
        <f>MATCH(L26,Tariff!$B$12:$F$12,1)</f>
        <v>3</v>
      </c>
      <c r="S26" s="9">
        <f>INDEX(Tariff!$B$4:$F$10,MATCH(G26,Tariff!$A$4:$A$10,0),R26)</f>
        <v>41.75</v>
      </c>
      <c r="T26" s="4">
        <f t="shared" si="1"/>
        <v>580.74</v>
      </c>
      <c r="U26" s="4">
        <f>IF(R26&lt;5,ROUND(INDEX(Tariff!$B$12:$F$12,R26+1)/100*INDEX(Tariff!$B$4:$F$10,MATCH(G26,Tariff!$A$4:$A$10,0),R26+1)*Q26,2),T26)</f>
        <v>889.2</v>
      </c>
      <c r="V26" s="4">
        <f t="shared" si="2"/>
        <v>580.74</v>
      </c>
      <c r="W26" s="4">
        <f>ROUND(V26*Terms!$B$4,2)</f>
        <v>360.06</v>
      </c>
      <c r="X26" s="4">
        <f>MAX(V26-W26,Terms!$B$5)</f>
        <v>220.68</v>
      </c>
      <c r="Y26" t="str">
        <f t="shared" si="3"/>
        <v>09/14/2026</v>
      </c>
      <c r="Z26" s="11">
        <f>INDEX('Fuel Index'!$C$4:$C$16,MATCH(Y26,'Fuel Index'!$A$4:$A$16,0))</f>
        <v>0.26</v>
      </c>
      <c r="AA26" s="4">
        <f t="shared" si="4"/>
        <v>57.38</v>
      </c>
      <c r="AB26" t="str">
        <f>IFERROR(INDEX(BOL!$I$4:$I$25,MATCH(C26,BOL!$B$4:$B$25,0)),INDEX(BOL!$V$4:$V$25,MATCH(C26,BOL!$O$4:$O$25,0)))</f>
        <v>Y</v>
      </c>
      <c r="AC26" t="str">
        <f>IFERROR(INDEX(BOL!$J$4:$J$25,MATCH(C26,BOL!$B$4:$B$25,0)),INDEX(BOL!$W$4:$W$25,MATCH(C26,BOL!$O$4:$O$25,0)))</f>
        <v>Y</v>
      </c>
      <c r="AD26" t="str">
        <f>IFERROR(INDEX(BOL!$K$4:$K$25,MATCH(C26,BOL!$B$4:$B$25,0)),INDEX(BOL!$X$4:$X$25,MATCH(C26,BOL!$O$4:$O$25,0)))</f>
        <v>N</v>
      </c>
      <c r="AE26" t="str">
        <f>IFERROR(INDEX(BOL!$L$4:$L$25,MATCH(C26,BOL!$B$4:$B$25,0)),INDEX(BOL!$Y$4:$Y$25,MATCH(C26,BOL!$O$4:$O$25,0)))</f>
        <v>N</v>
      </c>
      <c r="AF26" s="4">
        <f>(AB26="Y")*Tariff!$O$4+(AC26="Y")*Tariff!$O$5+(AD26="Y")*Tariff!$O$6+(AE26="Y")*Tariff!$O$7</f>
        <v>170</v>
      </c>
      <c r="AG26" s="4">
        <f>SUMIFS(Confirmations!$G$4:$G$7,Confirmations!$A$4:$A$7,C26,Confirmations!$H$4:$H$7,"Yes")</f>
        <v>0</v>
      </c>
      <c r="AH26" s="4">
        <f t="shared" si="5"/>
        <v>170</v>
      </c>
      <c r="AI26" t="str">
        <f>IF(AND(E26="No",COUNTIFS(Invoices!$B$4:$Q$26,B26,Invoices!$A$4:$P$26,"&lt;"&amp;A26)&gt;0),"Yes","No")</f>
        <v>No</v>
      </c>
      <c r="AJ26" s="4">
        <f t="shared" si="6"/>
        <v>448.06</v>
      </c>
      <c r="AK26" s="4">
        <f>Invoices!O26</f>
        <v>448.06</v>
      </c>
      <c r="AL26" s="4">
        <f t="shared" si="7"/>
        <v>0</v>
      </c>
      <c r="AM26" s="4">
        <f>Invoices!H26</f>
        <v>580.74</v>
      </c>
      <c r="AN26" s="4">
        <f>Invoices!J26</f>
        <v>220.68</v>
      </c>
      <c r="AO26" s="11">
        <f>ROUND(Invoices!K26/Terms!$B$9,4)</f>
        <v>0.26</v>
      </c>
      <c r="AP26" s="4">
        <f>Invoices!N26</f>
        <v>170</v>
      </c>
      <c r="AQ26" t="str">
        <f t="shared" si="8"/>
        <v/>
      </c>
      <c r="AR26" t="str">
        <f t="shared" si="9"/>
        <v/>
      </c>
      <c r="AT26" t="str">
        <f>Invoices!P26</f>
        <v>NFL-90362</v>
      </c>
      <c r="AU26">
        <f>Invoices!Q26</f>
        <v>217846</v>
      </c>
      <c r="AV26">
        <f>IFERROR(INDEX('Pro Matches'!$C$4:$C$4,MATCH(AU26,'Pro Matches'!$A$4:$A$4,0)),AU26)</f>
        <v>217846</v>
      </c>
      <c r="AW26" t="str">
        <f>IF(COUNTIF(Corrections!$A$4:$A$4,AT26)&gt;0,"Yes","No")</f>
        <v>No</v>
      </c>
      <c r="AX26" t="str">
        <f>IF(COUNTIF(Corrections!$B$4:$B$4,AT26)&gt;0,"Yes","No")</f>
        <v>Yes</v>
      </c>
      <c r="AY26" t="str">
        <f>IFERROR(INDEX(BOL!$C$4:$C$25,MATCH(AV26,BOL!$B$4:$B$25,0)),INDEX(BOL!$P$4:$P$25,MATCH(AV26,BOL!$O$4:$O$25,0)))</f>
        <v>09/09/2026</v>
      </c>
      <c r="AZ26" t="str">
        <f>IFERROR(INDEX(BOL!$E$4:$E$25,MATCH(AV26,BOL!$B$4:$B$25,0)),INDEX(BOL!$R$4:$R$25,MATCH(AV26,BOL!$O$4:$O$25,0)))</f>
        <v>WI</v>
      </c>
      <c r="BA26" t="str">
        <f>IFERROR(INDEX(BOL!$F$4:$F$25,MATCH(AV26,BOL!$B$4:$B$25,0)),INDEX(BOL!$S$4:$S$25,MATCH(AV26,BOL!$O$4:$O$25,0)))</f>
        <v>Windows and doors</v>
      </c>
      <c r="BB26">
        <f>IFERROR(INDEX(BOL!$H$4:$H$25,MATCH(AV26,BOL!$B$4:$B$25,0)),INDEX(BOL!$U$4:$U$25,MATCH(AV26,BOL!$O$4:$O$25,0)))</f>
        <v>1590</v>
      </c>
      <c r="BC26">
        <f>Invoices!U26</f>
        <v>1590</v>
      </c>
      <c r="BD26" t="str">
        <f>IF(COUNTIFS('Billing File'!$A$4:$A$15,AV26,'Billing File'!$G$4:$G$15,"4.5 weight",'Billing File'!$F$4:$F$15,"Yes")&gt;0,"Yes","No")</f>
        <v>No</v>
      </c>
      <c r="BE26">
        <f>IF(AND(BD26="Yes",BC26&gt;BB26*(1+Terms!$B$6)),BC26,BB26)</f>
        <v>1590</v>
      </c>
      <c r="BF26">
        <f>INDEX(Tariff!$L$4:$L$9,MATCH(BA26,Tariff!$K$4:$K$9,0))</f>
        <v>100</v>
      </c>
      <c r="BG26">
        <f>Invoices!V26</f>
        <v>100</v>
      </c>
      <c r="BH26" t="str">
        <f>IF(COUNTIFS('Billing File'!$A$4:$A$15,AV26,'Billing File'!$G$4:$G$15,"4.3 class",'Billing File'!$F$4:$F$15,"Yes")&gt;0,"Yes","No")</f>
        <v>No</v>
      </c>
      <c r="BI26">
        <f t="shared" si="10"/>
        <v>100</v>
      </c>
      <c r="BJ26" s="9">
        <f>INDEX(Tariff!$I$4:$I$10,MATCH(BI26,Tariff!$H$4:$H$10,0))</f>
        <v>1.45</v>
      </c>
      <c r="BK26">
        <f>MATCH(BE26,Tariff!$B$12:$F$12,1)</f>
        <v>3</v>
      </c>
      <c r="BL26" s="9">
        <f>INDEX(Tariff!$B$4:$F$10,MATCH(AZ26,Tariff!$A$4:$A$10,0),BK26)</f>
        <v>50.3</v>
      </c>
      <c r="BM26" s="4">
        <f t="shared" si="11"/>
        <v>1159.67</v>
      </c>
      <c r="BN26" s="4">
        <f>IF(BK26&lt;5,ROUND(INDEX(Tariff!$B$12:$F$12,BK26+1)/100*INDEX(Tariff!$B$4:$F$10,MATCH(AZ26,Tariff!$A$4:$A$10,0),BK26+1)*BJ26,2),BM26)</f>
        <v>1197.7</v>
      </c>
      <c r="BO26" s="4">
        <f t="shared" si="12"/>
        <v>1159.67</v>
      </c>
      <c r="BP26" s="4">
        <f>ROUND(BO26*Terms!$B$4,2)</f>
        <v>719</v>
      </c>
      <c r="BQ26" s="4">
        <f>MAX(BO26-BP26,Terms!$B$5)</f>
        <v>440.67</v>
      </c>
      <c r="BR26" t="str">
        <f t="shared" si="13"/>
        <v>09/07/2026</v>
      </c>
      <c r="BS26" s="11">
        <f>INDEX('Fuel Index'!$C$4:$C$16,MATCH(BR26,'Fuel Index'!$A$4:$A$16,0))</f>
        <v>0.265</v>
      </c>
      <c r="BT26" s="4">
        <f t="shared" si="14"/>
        <v>116.78</v>
      </c>
      <c r="BU26" t="str">
        <f>IFERROR(INDEX(BOL!$I$4:$I$25,MATCH(AV26,BOL!$B$4:$B$25,0)),INDEX(BOL!$V$4:$V$25,MATCH(AV26,BOL!$O$4:$O$25,0)))</f>
        <v>Y</v>
      </c>
      <c r="BV26" t="str">
        <f>IFERROR(INDEX(BOL!$J$4:$J$25,MATCH(AV26,BOL!$B$4:$B$25,0)),INDEX(BOL!$W$4:$W$25,MATCH(AV26,BOL!$O$4:$O$25,0)))</f>
        <v>N</v>
      </c>
      <c r="BW26" t="str">
        <f>IFERROR(INDEX(BOL!$K$4:$K$25,MATCH(AV26,BOL!$B$4:$B$25,0)),INDEX(BOL!$X$4:$X$25,MATCH(AV26,BOL!$O$4:$O$25,0)))</f>
        <v>N</v>
      </c>
      <c r="BX26" t="str">
        <f>IFERROR(INDEX(BOL!$L$4:$L$25,MATCH(AV26,BOL!$B$4:$B$25,0)),INDEX(BOL!$Y$4:$Y$25,MATCH(AV26,BOL!$O$4:$O$25,0)))</f>
        <v>N</v>
      </c>
      <c r="BY26" s="4">
        <f>(BU26="Y")*Tariff!$O$4+(BV26="Y")*Tariff!$O$5+(BW26="Y")*Tariff!$O$6+(BX26="Y")*Tariff!$O$7</f>
        <v>75</v>
      </c>
      <c r="BZ26" s="4">
        <f>SUMIFS(Confirmations!$G$4:$G$7,Confirmations!$A$4:$A$7,AV26,Confirmations!$H$4:$H$7,"Yes")</f>
        <v>0</v>
      </c>
      <c r="CA26" s="4">
        <f t="shared" si="15"/>
        <v>75</v>
      </c>
      <c r="CB26" t="str">
        <f>IF(AND(AX26="No",COUNTIFS(Invoices!$B$4:$Q$26,AU26,Invoices!$A$4:$P$26,"&lt;"&amp;AT26)&gt;0),"Yes","No")</f>
        <v>No</v>
      </c>
      <c r="CC26" s="4">
        <f t="shared" si="16"/>
        <v>632.45</v>
      </c>
      <c r="CD26" s="4">
        <f>Invoices!AD26</f>
        <v>632.45</v>
      </c>
      <c r="CE26" s="4">
        <f t="shared" si="17"/>
        <v>0</v>
      </c>
      <c r="CF26" s="4">
        <f>Invoices!W26</f>
        <v>1159.67</v>
      </c>
      <c r="CG26" s="4">
        <f>Invoices!Y26</f>
        <v>440.67</v>
      </c>
      <c r="CH26" s="11">
        <f>ROUND(Invoices!Z26/Terms!$B$9,4)</f>
        <v>0.265</v>
      </c>
      <c r="CI26" s="4">
        <f>Invoices!AC26</f>
        <v>75</v>
      </c>
      <c r="CJ26" t="str">
        <f t="shared" si="18"/>
        <v/>
      </c>
      <c r="CK26" t="str">
        <f t="shared" si="19"/>
        <v>7.1 corrected freight bill</v>
      </c>
    </row>
    <row r="27" spans="1:89" x14ac:dyDescent="0.2">
      <c r="A27" t="s">
        <v>446</v>
      </c>
      <c r="AJ27" s="4">
        <f>ROUND(SUM(AJ4:AJ26),2)</f>
        <v>11557.91</v>
      </c>
      <c r="AK27" s="4">
        <f>ROUND(SUM(AK4:AK26),2)</f>
        <v>12259.35</v>
      </c>
      <c r="AL27" s="4">
        <f>ROUND(SUM(AL4:AL26),2)</f>
        <v>701.44</v>
      </c>
      <c r="AR27">
        <f>COUNTIFS(AR4:AR26,"?*",AR4:AR26,"&lt;&gt;corrected pro number")</f>
        <v>6</v>
      </c>
      <c r="AT27" t="s">
        <v>447</v>
      </c>
      <c r="CC27" s="4">
        <f>ROUND(SUM(CC4:CC26),2)</f>
        <v>11033.65</v>
      </c>
      <c r="CD27" s="4">
        <f>ROUND(SUM(CD4:CD26),2)</f>
        <v>12445.19</v>
      </c>
      <c r="CE27" s="4">
        <f>ROUND(SUM(CE4:CE26),2)</f>
        <v>1411.54</v>
      </c>
      <c r="CK27">
        <f>COUNTIFS(CK4:CK26,"?*",CK4:CK26,"&lt;&gt;corrected pro number")</f>
        <v>1</v>
      </c>
    </row>
    <row r="28" spans="1:89" x14ac:dyDescent="0.2">
      <c r="A28" t="s">
        <v>448</v>
      </c>
      <c r="B28" s="4">
        <f>ROUND(AJ27+CC27,2)</f>
        <v>22591.56</v>
      </c>
    </row>
    <row r="29" spans="1:89" x14ac:dyDescent="0.2">
      <c r="A29" t="s">
        <v>449</v>
      </c>
      <c r="B29" s="4">
        <f>ROUND(AK27+CD27,2)</f>
        <v>24704.54</v>
      </c>
    </row>
    <row r="30" spans="1:89" x14ac:dyDescent="0.2">
      <c r="A30" t="s">
        <v>450</v>
      </c>
      <c r="B30">
        <f>AR27+CK27</f>
        <v>7</v>
      </c>
    </row>
    <row r="32" spans="1:89" x14ac:dyDescent="0.2">
      <c r="A32" t="s">
        <v>451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26"/>
  <sheetViews>
    <sheetView workbookViewId="0"/>
  </sheetViews>
  <sheetFormatPr baseColWidth="10" defaultColWidth="8.83203125" defaultRowHeight="15" x14ac:dyDescent="0.2"/>
  <cols>
    <col min="1" max="1" width="13" customWidth="1"/>
    <col min="2" max="2" width="10" customWidth="1"/>
    <col min="3" max="3" width="30" customWidth="1"/>
    <col min="4" max="6" width="12" customWidth="1"/>
    <col min="7" max="7" width="18" customWidth="1"/>
  </cols>
  <sheetData>
    <row r="1" spans="1:7" ht="17" x14ac:dyDescent="0.2">
      <c r="A1" s="1" t="s">
        <v>452</v>
      </c>
    </row>
    <row r="3" spans="1:7" x14ac:dyDescent="0.2">
      <c r="A3" s="2" t="s">
        <v>326</v>
      </c>
      <c r="B3" s="2" t="s">
        <v>131</v>
      </c>
      <c r="C3" s="2" t="s">
        <v>413</v>
      </c>
      <c r="D3" s="2" t="s">
        <v>453</v>
      </c>
      <c r="E3" s="2" t="s">
        <v>454</v>
      </c>
      <c r="F3" s="2" t="s">
        <v>408</v>
      </c>
      <c r="G3" s="2" t="s">
        <v>455</v>
      </c>
    </row>
    <row r="4" spans="1:7" x14ac:dyDescent="0.2">
      <c r="A4" t="s">
        <v>265</v>
      </c>
      <c r="B4">
        <f>IFERROR(INDEX(Audit!$C$4:$C$26,MATCH(A4,Audit!$A$4:$A$26,0)),INDEX(Audit!$AV$4:$AV$26,MATCH(A4,Audit!$AT$4:$AT$26,0)))</f>
        <v>217402</v>
      </c>
      <c r="C4" t="str">
        <f>IFERROR(INDEX(Audit!$AQ$4:$AQ$26,MATCH(A4,Audit!$A$4:$A$26,0)),INDEX(Audit!$CJ$4:$CJ$26,MATCH(A4,Audit!$AT$4:$AT$26,0)))</f>
        <v>6.1 accessorial omitted</v>
      </c>
      <c r="D4" s="4">
        <f>IFERROR(INDEX(Audit!$AK$4:$AK$26,MATCH(A4,Audit!$A$4:$A$26,0)),INDEX(Audit!$CD$4:$CD$26,MATCH(A4,Audit!$AT$4:$AT$26,0)))</f>
        <v>323.35</v>
      </c>
      <c r="E4" s="4">
        <f>IFERROR(INDEX(Audit!$AJ$4:$AJ$26,MATCH(A4,Audit!$A$4:$A$26,0)),INDEX(Audit!$CC$4:$CC$26,MATCH(A4,Audit!$AT$4:$AT$26,0)))</f>
        <v>418.35</v>
      </c>
      <c r="F4" s="4">
        <f t="shared" ref="F4:F23" si="0">ROUND(D4-E4,2)</f>
        <v>-95</v>
      </c>
      <c r="G4" t="str">
        <f t="shared" ref="G4:G23" si="1">IF(F4&gt;0,"Claim",IF(F4&lt;0,"Report undercharge","None"))</f>
        <v>Report undercharge</v>
      </c>
    </row>
    <row r="5" spans="1:7" x14ac:dyDescent="0.2">
      <c r="A5" t="s">
        <v>268</v>
      </c>
      <c r="B5">
        <f>IFERROR(INDEX(Audit!$C$4:$C$26,MATCH(A5,Audit!$A$4:$A$26,0)),INDEX(Audit!$AV$4:$AV$26,MATCH(A5,Audit!$AT$4:$AT$26,0)))</f>
        <v>217598</v>
      </c>
      <c r="C5" t="str">
        <f>IFERROR(INDEX(Audit!$AQ$4:$AQ$26,MATCH(A5,Audit!$A$4:$A$26,0)),INDEX(Audit!$CJ$4:$CJ$26,MATCH(A5,Audit!$AT$4:$AT$26,0)))</f>
        <v>5.2 fuel week</v>
      </c>
      <c r="D5" s="4">
        <f>IFERROR(INDEX(Audit!$AK$4:$AK$26,MATCH(A5,Audit!$A$4:$A$26,0)),INDEX(Audit!$CD$4:$CD$26,MATCH(A5,Audit!$AT$4:$AT$26,0)))</f>
        <v>625.37</v>
      </c>
      <c r="E5" s="4">
        <f>IFERROR(INDEX(Audit!$AJ$4:$AJ$26,MATCH(A5,Audit!$A$4:$A$26,0)),INDEX(Audit!$CC$4:$CC$26,MATCH(A5,Audit!$AT$4:$AT$26,0)))</f>
        <v>622.89</v>
      </c>
      <c r="F5" s="4">
        <f t="shared" si="0"/>
        <v>2.48</v>
      </c>
      <c r="G5" t="str">
        <f t="shared" si="1"/>
        <v>Claim</v>
      </c>
    </row>
    <row r="6" spans="1:7" x14ac:dyDescent="0.2">
      <c r="A6" t="s">
        <v>274</v>
      </c>
      <c r="B6">
        <f>IFERROR(INDEX(Audit!$C$4:$C$26,MATCH(A6,Audit!$A$4:$A$26,0)),INDEX(Audit!$AV$4:$AV$26,MATCH(A6,Audit!$AT$4:$AT$26,0)))</f>
        <v>217645</v>
      </c>
      <c r="C6" t="str">
        <f>IFERROR(INDEX(Audit!$AQ$4:$AQ$26,MATCH(A6,Audit!$A$4:$A$26,0)),INDEX(Audit!$CJ$4:$CJ$26,MATCH(A6,Audit!$AT$4:$AT$26,0)))</f>
        <v>4.6 rounding</v>
      </c>
      <c r="D6" s="4">
        <f>IFERROR(INDEX(Audit!$AK$4:$AK$26,MATCH(A6,Audit!$A$4:$A$26,0)),INDEX(Audit!$CD$4:$CD$26,MATCH(A6,Audit!$AT$4:$AT$26,0)))</f>
        <v>387.01</v>
      </c>
      <c r="E6" s="4">
        <f>IFERROR(INDEX(Audit!$AJ$4:$AJ$26,MATCH(A6,Audit!$A$4:$A$26,0)),INDEX(Audit!$CC$4:$CC$26,MATCH(A6,Audit!$AT$4:$AT$26,0)))</f>
        <v>386.99</v>
      </c>
      <c r="F6" s="4">
        <f t="shared" si="0"/>
        <v>0.02</v>
      </c>
      <c r="G6" t="str">
        <f t="shared" si="1"/>
        <v>Claim</v>
      </c>
    </row>
    <row r="7" spans="1:7" x14ac:dyDescent="0.2">
      <c r="A7" t="s">
        <v>283</v>
      </c>
      <c r="B7">
        <f>IFERROR(INDEX(Audit!$C$4:$C$26,MATCH(A7,Audit!$A$4:$A$26,0)),INDEX(Audit!$AV$4:$AV$26,MATCH(A7,Audit!$AT$4:$AT$26,0)))</f>
        <v>217738</v>
      </c>
      <c r="C7" t="str">
        <f>IFERROR(INDEX(Audit!$AQ$4:$AQ$26,MATCH(A7,Audit!$A$4:$A$26,0)),INDEX(Audit!$CJ$4:$CJ$26,MATCH(A7,Audit!$AT$4:$AT$26,0)))</f>
        <v>6.1 accessorial omitted</v>
      </c>
      <c r="D7" s="4">
        <f>IFERROR(INDEX(Audit!$AK$4:$AK$26,MATCH(A7,Audit!$A$4:$A$26,0)),INDEX(Audit!$CD$4:$CD$26,MATCH(A7,Audit!$AT$4:$AT$26,0)))</f>
        <v>213.18</v>
      </c>
      <c r="E7" s="4">
        <f>IFERROR(INDEX(Audit!$AJ$4:$AJ$26,MATCH(A7,Audit!$A$4:$A$26,0)),INDEX(Audit!$CC$4:$CC$26,MATCH(A7,Audit!$AT$4:$AT$26,0)))</f>
        <v>288.18</v>
      </c>
      <c r="F7" s="4">
        <f t="shared" si="0"/>
        <v>-75</v>
      </c>
      <c r="G7" t="str">
        <f t="shared" si="1"/>
        <v>Report undercharge</v>
      </c>
    </row>
    <row r="8" spans="1:7" x14ac:dyDescent="0.2">
      <c r="A8" t="s">
        <v>287</v>
      </c>
      <c r="B8">
        <f>IFERROR(INDEX(Audit!$C$4:$C$26,MATCH(A8,Audit!$A$4:$A$26,0)),INDEX(Audit!$AV$4:$AV$26,MATCH(A8,Audit!$AT$4:$AT$26,0)))</f>
        <v>217846</v>
      </c>
      <c r="C8" t="str">
        <f>IFERROR(INDEX(Audit!$AQ$4:$AQ$26,MATCH(A8,Audit!$A$4:$A$26,0)),INDEX(Audit!$CJ$4:$CJ$26,MATCH(A8,Audit!$AT$4:$AT$26,0)))</f>
        <v>7.1 withdrawn bill</v>
      </c>
      <c r="D8" s="4">
        <f>IFERROR(INDEX(Audit!$AK$4:$AK$26,MATCH(A8,Audit!$A$4:$A$26,0)),INDEX(Audit!$CD$4:$CD$26,MATCH(A8,Audit!$AT$4:$AT$26,0)))</f>
        <v>650.74</v>
      </c>
      <c r="E8" s="4">
        <f>IFERROR(INDEX(Audit!$AJ$4:$AJ$26,MATCH(A8,Audit!$A$4:$A$26,0)),INDEX(Audit!$CC$4:$CC$26,MATCH(A8,Audit!$AT$4:$AT$26,0)))</f>
        <v>0</v>
      </c>
      <c r="F8" s="4">
        <f t="shared" si="0"/>
        <v>650.74</v>
      </c>
      <c r="G8" t="str">
        <f t="shared" si="1"/>
        <v>Claim</v>
      </c>
    </row>
    <row r="9" spans="1:7" x14ac:dyDescent="0.2">
      <c r="A9" t="s">
        <v>289</v>
      </c>
      <c r="B9">
        <f>IFERROR(INDEX(Audit!$C$4:$C$26,MATCH(A9,Audit!$A$4:$A$26,0)),INDEX(Audit!$AV$4:$AV$26,MATCH(A9,Audit!$AT$4:$AT$26,0)))</f>
        <v>217703</v>
      </c>
      <c r="C9" t="str">
        <f>IFERROR(INDEX(Audit!$AQ$4:$AQ$26,MATCH(A9,Audit!$A$4:$A$26,0)),INDEX(Audit!$CJ$4:$CJ$26,MATCH(A9,Audit!$AT$4:$AT$26,0)))</f>
        <v>5.2 fuel week</v>
      </c>
      <c r="D9" s="4">
        <f>IFERROR(INDEX(Audit!$AK$4:$AK$26,MATCH(A9,Audit!$A$4:$A$26,0)),INDEX(Audit!$CD$4:$CD$26,MATCH(A9,Audit!$AT$4:$AT$26,0)))</f>
        <v>354.66</v>
      </c>
      <c r="E9" s="4">
        <f>IFERROR(INDEX(Audit!$AJ$4:$AJ$26,MATCH(A9,Audit!$A$4:$A$26,0)),INDEX(Audit!$CC$4:$CC$26,MATCH(A9,Audit!$AT$4:$AT$26,0)))</f>
        <v>355.43</v>
      </c>
      <c r="F9" s="4">
        <f t="shared" si="0"/>
        <v>-0.77</v>
      </c>
      <c r="G9" t="str">
        <f t="shared" si="1"/>
        <v>Report undercharge</v>
      </c>
    </row>
    <row r="10" spans="1:7" x14ac:dyDescent="0.2">
      <c r="A10" t="s">
        <v>293</v>
      </c>
      <c r="B10">
        <f>IFERROR(INDEX(Audit!$C$4:$C$26,MATCH(A10,Audit!$A$4:$A$26,0)),INDEX(Audit!$AV$4:$AV$26,MATCH(A10,Audit!$AT$4:$AT$26,0)))</f>
        <v>217836</v>
      </c>
      <c r="C10" t="str">
        <f>IFERROR(INDEX(Audit!$AQ$4:$AQ$26,MATCH(A10,Audit!$A$4:$A$26,0)),INDEX(Audit!$CJ$4:$CJ$26,MATCH(A10,Audit!$AT$4:$AT$26,0)))</f>
        <v>6.1 accessorial overbilled</v>
      </c>
      <c r="D10" s="4">
        <f>IFERROR(INDEX(Audit!$AK$4:$AK$26,MATCH(A10,Audit!$A$4:$A$26,0)),INDEX(Audit!$CD$4:$CD$26,MATCH(A10,Audit!$AT$4:$AT$26,0)))</f>
        <v>757.79</v>
      </c>
      <c r="E10" s="4">
        <f>IFERROR(INDEX(Audit!$AJ$4:$AJ$26,MATCH(A10,Audit!$A$4:$A$26,0)),INDEX(Audit!$CC$4:$CC$26,MATCH(A10,Audit!$AT$4:$AT$26,0)))</f>
        <v>747.79</v>
      </c>
      <c r="F10" s="4">
        <f t="shared" si="0"/>
        <v>10</v>
      </c>
      <c r="G10" t="str">
        <f t="shared" si="1"/>
        <v>Claim</v>
      </c>
    </row>
    <row r="11" spans="1:7" x14ac:dyDescent="0.2">
      <c r="A11" t="s">
        <v>297</v>
      </c>
      <c r="B11">
        <f>IFERROR(INDEX(Audit!$C$4:$C$26,MATCH(A11,Audit!$A$4:$A$26,0)),INDEX(Audit!$AV$4:$AV$26,MATCH(A11,Audit!$AT$4:$AT$26,0)))</f>
        <v>217784</v>
      </c>
      <c r="C11" t="str">
        <f>IFERROR(INDEX(Audit!$AQ$4:$AQ$26,MATCH(A11,Audit!$A$4:$A$26,0)),INDEX(Audit!$CJ$4:$CJ$26,MATCH(A11,Audit!$AT$4:$AT$26,0)))</f>
        <v>4.3 class</v>
      </c>
      <c r="D11" s="4">
        <f>IFERROR(INDEX(Audit!$AK$4:$AK$26,MATCH(A11,Audit!$A$4:$A$26,0)),INDEX(Audit!$CD$4:$CD$26,MATCH(A11,Audit!$AT$4:$AT$26,0)))</f>
        <v>487.55</v>
      </c>
      <c r="E11" s="4">
        <f>IFERROR(INDEX(Audit!$AJ$4:$AJ$26,MATCH(A11,Audit!$A$4:$A$26,0)),INDEX(Audit!$CC$4:$CC$26,MATCH(A11,Audit!$AT$4:$AT$26,0)))</f>
        <v>441.1</v>
      </c>
      <c r="F11" s="4">
        <f t="shared" si="0"/>
        <v>46.45</v>
      </c>
      <c r="G11" t="str">
        <f t="shared" si="1"/>
        <v>Claim</v>
      </c>
    </row>
    <row r="12" spans="1:7" x14ac:dyDescent="0.2">
      <c r="A12" t="s">
        <v>312</v>
      </c>
      <c r="B12">
        <f>IFERROR(INDEX(Audit!$C$4:$C$26,MATCH(A12,Audit!$A$4:$A$26,0)),INDEX(Audit!$AV$4:$AV$26,MATCH(A12,Audit!$AT$4:$AT$26,0)))</f>
        <v>217692</v>
      </c>
      <c r="C12" t="str">
        <f>IFERROR(INDEX(Audit!$AQ$4:$AQ$26,MATCH(A12,Audit!$A$4:$A$26,0)),INDEX(Audit!$CJ$4:$CJ$26,MATCH(A12,Audit!$AT$4:$AT$26,0)))</f>
        <v>4.2 deficit weight</v>
      </c>
      <c r="D12" s="4">
        <f>IFERROR(INDEX(Audit!$AK$4:$AK$26,MATCH(A12,Audit!$A$4:$A$26,0)),INDEX(Audit!$CD$4:$CD$26,MATCH(A12,Audit!$AT$4:$AT$26,0)))</f>
        <v>994.51</v>
      </c>
      <c r="E12" s="4">
        <f>IFERROR(INDEX(Audit!$AJ$4:$AJ$26,MATCH(A12,Audit!$A$4:$A$26,0)),INDEX(Audit!$CC$4:$CC$26,MATCH(A12,Audit!$AT$4:$AT$26,0)))</f>
        <v>880.58</v>
      </c>
      <c r="F12" s="4">
        <f t="shared" si="0"/>
        <v>113.93</v>
      </c>
      <c r="G12" t="str">
        <f t="shared" si="1"/>
        <v>Claim</v>
      </c>
    </row>
    <row r="13" spans="1:7" x14ac:dyDescent="0.2">
      <c r="A13" t="s">
        <v>319</v>
      </c>
      <c r="B13">
        <f>IFERROR(INDEX(Audit!$C$4:$C$26,MATCH(A13,Audit!$A$4:$A$26,0)),INDEX(Audit!$AV$4:$AV$26,MATCH(A13,Audit!$AT$4:$AT$26,0)))</f>
        <v>217798</v>
      </c>
      <c r="C13" t="str">
        <f>IFERROR(INDEX(Audit!$AQ$4:$AQ$26,MATCH(A13,Audit!$A$4:$A$26,0)),INDEX(Audit!$CJ$4:$CJ$26,MATCH(A13,Audit!$AT$4:$AT$26,0)))</f>
        <v>4.2 deficit weight</v>
      </c>
      <c r="D13" s="4">
        <f>IFERROR(INDEX(Audit!$AK$4:$AK$26,MATCH(A13,Audit!$A$4:$A$26,0)),INDEX(Audit!$CD$4:$CD$26,MATCH(A13,Audit!$AT$4:$AT$26,0)))</f>
        <v>510.16</v>
      </c>
      <c r="E13" s="4">
        <f>IFERROR(INDEX(Audit!$AJ$4:$AJ$26,MATCH(A13,Audit!$A$4:$A$26,0)),INDEX(Audit!$CC$4:$CC$26,MATCH(A13,Audit!$AT$4:$AT$26,0)))</f>
        <v>461.57</v>
      </c>
      <c r="F13" s="4">
        <f t="shared" si="0"/>
        <v>48.59</v>
      </c>
      <c r="G13" t="str">
        <f t="shared" si="1"/>
        <v>Claim</v>
      </c>
    </row>
    <row r="14" spans="1:7" x14ac:dyDescent="0.2">
      <c r="A14" t="s">
        <v>270</v>
      </c>
      <c r="B14">
        <f>IFERROR(INDEX(Audit!$C$4:$C$26,MATCH(A14,Audit!$A$4:$A$26,0)),INDEX(Audit!$AV$4:$AV$26,MATCH(A14,Audit!$AT$4:$AT$26,0)))</f>
        <v>217724</v>
      </c>
      <c r="C14" t="str">
        <f>IFERROR(INDEX(Audit!$AQ$4:$AQ$26,MATCH(A14,Audit!$A$4:$A$26,0)),INDEX(Audit!$CJ$4:$CJ$26,MATCH(A14,Audit!$AT$4:$AT$26,0)))</f>
        <v>6.1 accessorial overbilled</v>
      </c>
      <c r="D14" s="4">
        <f>IFERROR(INDEX(Audit!$AK$4:$AK$26,MATCH(A14,Audit!$A$4:$A$26,0)),INDEX(Audit!$CD$4:$CD$26,MATCH(A14,Audit!$AT$4:$AT$26,0)))</f>
        <v>426.42</v>
      </c>
      <c r="E14" s="4">
        <f>IFERROR(INDEX(Audit!$AJ$4:$AJ$26,MATCH(A14,Audit!$A$4:$A$26,0)),INDEX(Audit!$CC$4:$CC$26,MATCH(A14,Audit!$AT$4:$AT$26,0)))</f>
        <v>351.42</v>
      </c>
      <c r="F14" s="4">
        <f t="shared" si="0"/>
        <v>75</v>
      </c>
      <c r="G14" t="str">
        <f t="shared" si="1"/>
        <v>Claim</v>
      </c>
    </row>
    <row r="15" spans="1:7" x14ac:dyDescent="0.2">
      <c r="A15" t="s">
        <v>279</v>
      </c>
      <c r="B15">
        <f>IFERROR(INDEX(Audit!$C$4:$C$26,MATCH(A15,Audit!$A$4:$A$26,0)),INDEX(Audit!$AV$4:$AV$26,MATCH(A15,Audit!$AT$4:$AT$26,0)))</f>
        <v>217894</v>
      </c>
      <c r="C15" t="str">
        <f>IFERROR(INDEX(Audit!$AQ$4:$AQ$26,MATCH(A15,Audit!$A$4:$A$26,0)),INDEX(Audit!$CJ$4:$CJ$26,MATCH(A15,Audit!$AT$4:$AT$26,0)))</f>
        <v>6.1 accessorial overbilled</v>
      </c>
      <c r="D15" s="4">
        <f>IFERROR(INDEX(Audit!$AK$4:$AK$26,MATCH(A15,Audit!$A$4:$A$26,0)),INDEX(Audit!$CD$4:$CD$26,MATCH(A15,Audit!$AT$4:$AT$26,0)))</f>
        <v>353.21</v>
      </c>
      <c r="E15" s="4">
        <f>IFERROR(INDEX(Audit!$AJ$4:$AJ$26,MATCH(A15,Audit!$A$4:$A$26,0)),INDEX(Audit!$CC$4:$CC$26,MATCH(A15,Audit!$AT$4:$AT$26,0)))</f>
        <v>265.21</v>
      </c>
      <c r="F15" s="4">
        <f t="shared" si="0"/>
        <v>88</v>
      </c>
      <c r="G15" t="str">
        <f t="shared" si="1"/>
        <v>Claim</v>
      </c>
    </row>
    <row r="16" spans="1:7" x14ac:dyDescent="0.2">
      <c r="A16" t="s">
        <v>281</v>
      </c>
      <c r="B16">
        <f>IFERROR(INDEX(Audit!$C$4:$C$26,MATCH(A16,Audit!$A$4:$A$26,0)),INDEX(Audit!$AV$4:$AV$26,MATCH(A16,Audit!$AT$4:$AT$26,0)))</f>
        <v>217757</v>
      </c>
      <c r="C16" t="str">
        <f>IFERROR(INDEX(Audit!$AQ$4:$AQ$26,MATCH(A16,Audit!$A$4:$A$26,0)),INDEX(Audit!$CJ$4:$CJ$26,MATCH(A16,Audit!$AT$4:$AT$26,0)))</f>
        <v>4.2 deficit weight</v>
      </c>
      <c r="D16" s="4">
        <f>IFERROR(INDEX(Audit!$AK$4:$AK$26,MATCH(A16,Audit!$A$4:$A$26,0)),INDEX(Audit!$CD$4:$CD$26,MATCH(A16,Audit!$AT$4:$AT$26,0)))</f>
        <v>385.8</v>
      </c>
      <c r="E16" s="4">
        <f>IFERROR(INDEX(Audit!$AJ$4:$AJ$26,MATCH(A16,Audit!$A$4:$A$26,0)),INDEX(Audit!$CC$4:$CC$26,MATCH(A16,Audit!$AT$4:$AT$26,0)))</f>
        <v>353.37</v>
      </c>
      <c r="F16" s="4">
        <f t="shared" si="0"/>
        <v>32.43</v>
      </c>
      <c r="G16" t="str">
        <f t="shared" si="1"/>
        <v>Claim</v>
      </c>
    </row>
    <row r="17" spans="1:7" x14ac:dyDescent="0.2">
      <c r="A17" t="s">
        <v>288</v>
      </c>
      <c r="B17">
        <f>IFERROR(INDEX(Audit!$C$4:$C$26,MATCH(A17,Audit!$A$4:$A$26,0)),INDEX(Audit!$AV$4:$AV$26,MATCH(A17,Audit!$AT$4:$AT$26,0)))</f>
        <v>217864</v>
      </c>
      <c r="C17" t="str">
        <f>IFERROR(INDEX(Audit!$AQ$4:$AQ$26,MATCH(A17,Audit!$A$4:$A$26,0)),INDEX(Audit!$CJ$4:$CJ$26,MATCH(A17,Audit!$AT$4:$AT$26,0)))</f>
        <v>5.2 fuel week</v>
      </c>
      <c r="D17" s="4">
        <f>IFERROR(INDEX(Audit!$AK$4:$AK$26,MATCH(A17,Audit!$A$4:$A$26,0)),INDEX(Audit!$CD$4:$CD$26,MATCH(A17,Audit!$AT$4:$AT$26,0)))</f>
        <v>358.27</v>
      </c>
      <c r="E17" s="4">
        <f>IFERROR(INDEX(Audit!$AJ$4:$AJ$26,MATCH(A17,Audit!$A$4:$A$26,0)),INDEX(Audit!$CC$4:$CC$26,MATCH(A17,Audit!$AT$4:$AT$26,0)))</f>
        <v>359.68</v>
      </c>
      <c r="F17" s="4">
        <f t="shared" si="0"/>
        <v>-1.41</v>
      </c>
      <c r="G17" t="str">
        <f t="shared" si="1"/>
        <v>Report undercharge</v>
      </c>
    </row>
    <row r="18" spans="1:7" x14ac:dyDescent="0.2">
      <c r="A18" t="s">
        <v>296</v>
      </c>
      <c r="B18">
        <f>IFERROR(INDEX(Audit!$C$4:$C$26,MATCH(A18,Audit!$A$4:$A$26,0)),INDEX(Audit!$AV$4:$AV$26,MATCH(A18,Audit!$AT$4:$AT$26,0)))</f>
        <v>217883</v>
      </c>
      <c r="C18" t="str">
        <f>IFERROR(INDEX(Audit!$AQ$4:$AQ$26,MATCH(A18,Audit!$A$4:$A$26,0)),INDEX(Audit!$CJ$4:$CJ$26,MATCH(A18,Audit!$AT$4:$AT$26,0)))</f>
        <v>7.1 duplicate bill</v>
      </c>
      <c r="D18" s="4">
        <f>IFERROR(INDEX(Audit!$AK$4:$AK$26,MATCH(A18,Audit!$A$4:$A$26,0)),INDEX(Audit!$CD$4:$CD$26,MATCH(A18,Audit!$AT$4:$AT$26,0)))</f>
        <v>447.7</v>
      </c>
      <c r="E18" s="4">
        <f>IFERROR(INDEX(Audit!$AJ$4:$AJ$26,MATCH(A18,Audit!$A$4:$A$26,0)),INDEX(Audit!$CC$4:$CC$26,MATCH(A18,Audit!$AT$4:$AT$26,0)))</f>
        <v>0</v>
      </c>
      <c r="F18" s="4">
        <f t="shared" si="0"/>
        <v>447.7</v>
      </c>
      <c r="G18" t="str">
        <f t="shared" si="1"/>
        <v>Claim</v>
      </c>
    </row>
    <row r="19" spans="1:7" x14ac:dyDescent="0.2">
      <c r="A19" t="s">
        <v>300</v>
      </c>
      <c r="B19">
        <f>IFERROR(INDEX(Audit!$C$4:$C$26,MATCH(A19,Audit!$A$4:$A$26,0)),INDEX(Audit!$AV$4:$AV$26,MATCH(A19,Audit!$AT$4:$AT$26,0)))</f>
        <v>217820</v>
      </c>
      <c r="C19" t="str">
        <f>IFERROR(INDEX(Audit!$AQ$4:$AQ$26,MATCH(A19,Audit!$A$4:$A$26,0)),INDEX(Audit!$CJ$4:$CJ$26,MATCH(A19,Audit!$AT$4:$AT$26,0)))</f>
        <v>4.5 reweigh</v>
      </c>
      <c r="D19" s="4">
        <f>IFERROR(INDEX(Audit!$AK$4:$AK$26,MATCH(A19,Audit!$A$4:$A$26,0)),INDEX(Audit!$CD$4:$CD$26,MATCH(A19,Audit!$AT$4:$AT$26,0)))</f>
        <v>372.15</v>
      </c>
      <c r="E19" s="4">
        <f>IFERROR(INDEX(Audit!$AJ$4:$AJ$26,MATCH(A19,Audit!$A$4:$A$26,0)),INDEX(Audit!$CC$4:$CC$26,MATCH(A19,Audit!$AT$4:$AT$26,0)))</f>
        <v>300.93</v>
      </c>
      <c r="F19" s="4">
        <f t="shared" si="0"/>
        <v>71.22</v>
      </c>
      <c r="G19" t="str">
        <f t="shared" si="1"/>
        <v>Claim</v>
      </c>
    </row>
    <row r="20" spans="1:7" x14ac:dyDescent="0.2">
      <c r="A20" t="s">
        <v>307</v>
      </c>
      <c r="B20">
        <f>IFERROR(INDEX(Audit!$C$4:$C$26,MATCH(A20,Audit!$A$4:$A$26,0)),INDEX(Audit!$AV$4:$AV$26,MATCH(A20,Audit!$AT$4:$AT$26,0)))</f>
        <v>217902</v>
      </c>
      <c r="C20" t="str">
        <f>IFERROR(INDEX(Audit!$AQ$4:$AQ$26,MATCH(A20,Audit!$A$4:$A$26,0)),INDEX(Audit!$CJ$4:$CJ$26,MATCH(A20,Audit!$AT$4:$AT$26,0)))</f>
        <v>6.1 accessorial overbilled</v>
      </c>
      <c r="D20" s="4">
        <f>IFERROR(INDEX(Audit!$AK$4:$AK$26,MATCH(A20,Audit!$A$4:$A$26,0)),INDEX(Audit!$CD$4:$CD$26,MATCH(A20,Audit!$AT$4:$AT$26,0)))</f>
        <v>301.1</v>
      </c>
      <c r="E20" s="4">
        <f>IFERROR(INDEX(Audit!$AJ$4:$AJ$26,MATCH(A20,Audit!$A$4:$A$26,0)),INDEX(Audit!$CC$4:$CC$26,MATCH(A20,Audit!$AT$4:$AT$26,0)))</f>
        <v>241.1</v>
      </c>
      <c r="F20" s="4">
        <f t="shared" si="0"/>
        <v>60</v>
      </c>
      <c r="G20" t="str">
        <f t="shared" si="1"/>
        <v>Claim</v>
      </c>
    </row>
    <row r="21" spans="1:7" x14ac:dyDescent="0.2">
      <c r="A21" t="s">
        <v>311</v>
      </c>
      <c r="B21">
        <f>IFERROR(INDEX(Audit!$C$4:$C$26,MATCH(A21,Audit!$A$4:$A$26,0)),INDEX(Audit!$AV$4:$AV$26,MATCH(A21,Audit!$AT$4:$AT$26,0)))</f>
        <v>217712</v>
      </c>
      <c r="C21" t="str">
        <f>IFERROR(INDEX(Audit!$AQ$4:$AQ$26,MATCH(A21,Audit!$A$4:$A$26,0)),INDEX(Audit!$CJ$4:$CJ$26,MATCH(A21,Audit!$AT$4:$AT$26,0)))</f>
        <v>4.5 reweigh</v>
      </c>
      <c r="D21" s="4">
        <f>IFERROR(INDEX(Audit!$AK$4:$AK$26,MATCH(A21,Audit!$A$4:$A$26,0)),INDEX(Audit!$CD$4:$CD$26,MATCH(A21,Audit!$AT$4:$AT$26,0)))</f>
        <v>724.52</v>
      </c>
      <c r="E21" s="4">
        <f>IFERROR(INDEX(Audit!$AJ$4:$AJ$26,MATCH(A21,Audit!$A$4:$A$26,0)),INDEX(Audit!$CC$4:$CC$26,MATCH(A21,Audit!$AT$4:$AT$26,0)))</f>
        <v>692.56</v>
      </c>
      <c r="F21" s="4">
        <f t="shared" si="0"/>
        <v>31.96</v>
      </c>
      <c r="G21" t="str">
        <f t="shared" si="1"/>
        <v>Claim</v>
      </c>
    </row>
    <row r="22" spans="1:7" x14ac:dyDescent="0.2">
      <c r="A22" t="s">
        <v>313</v>
      </c>
      <c r="B22">
        <f>IFERROR(INDEX(Audit!$C$4:$C$26,MATCH(A22,Audit!$A$4:$A$26,0)),INDEX(Audit!$AV$4:$AV$26,MATCH(A22,Audit!$AT$4:$AT$26,0)))</f>
        <v>217888</v>
      </c>
      <c r="C22" t="str">
        <f>IFERROR(INDEX(Audit!$AQ$4:$AQ$26,MATCH(A22,Audit!$A$4:$A$26,0)),INDEX(Audit!$CJ$4:$CJ$26,MATCH(A22,Audit!$AT$4:$AT$26,0)))</f>
        <v>5.2 fuel week</v>
      </c>
      <c r="D22" s="4">
        <f>IFERROR(INDEX(Audit!$AK$4:$AK$26,MATCH(A22,Audit!$A$4:$A$26,0)),INDEX(Audit!$CD$4:$CD$26,MATCH(A22,Audit!$AT$4:$AT$26,0)))</f>
        <v>862.47</v>
      </c>
      <c r="E22" s="4">
        <f>IFERROR(INDEX(Audit!$AJ$4:$AJ$26,MATCH(A22,Audit!$A$4:$A$26,0)),INDEX(Audit!$CC$4:$CC$26,MATCH(A22,Audit!$AT$4:$AT$26,0)))</f>
        <v>859.46</v>
      </c>
      <c r="F22" s="4">
        <f t="shared" si="0"/>
        <v>3.01</v>
      </c>
      <c r="G22" t="str">
        <f t="shared" si="1"/>
        <v>Claim</v>
      </c>
    </row>
    <row r="23" spans="1:7" x14ac:dyDescent="0.2">
      <c r="A23" t="s">
        <v>322</v>
      </c>
      <c r="B23">
        <f>IFERROR(INDEX(Audit!$C$4:$C$26,MATCH(A23,Audit!$A$4:$A$26,0)),INDEX(Audit!$AV$4:$AV$26,MATCH(A23,Audit!$AT$4:$AT$26,0)))</f>
        <v>217841</v>
      </c>
      <c r="C23" t="str">
        <f>IFERROR(INDEX(Audit!$AQ$4:$AQ$26,MATCH(A23,Audit!$A$4:$A$26,0)),INDEX(Audit!$CJ$4:$CJ$26,MATCH(A23,Audit!$AT$4:$AT$26,0)))</f>
        <v>7.1 duplicate bill</v>
      </c>
      <c r="D23" s="4">
        <f>IFERROR(INDEX(Audit!$AK$4:$AK$26,MATCH(A23,Audit!$A$4:$A$26,0)),INDEX(Audit!$CD$4:$CD$26,MATCH(A23,Audit!$AT$4:$AT$26,0)))</f>
        <v>603.63</v>
      </c>
      <c r="E23" s="4">
        <f>IFERROR(INDEX(Audit!$AJ$4:$AJ$26,MATCH(A23,Audit!$A$4:$A$26,0)),INDEX(Audit!$CC$4:$CC$26,MATCH(A23,Audit!$AT$4:$AT$26,0)))</f>
        <v>0</v>
      </c>
      <c r="F23" s="4">
        <f t="shared" si="0"/>
        <v>603.63</v>
      </c>
      <c r="G23" t="str">
        <f t="shared" si="1"/>
        <v>Claim</v>
      </c>
    </row>
    <row r="24" spans="1:7" x14ac:dyDescent="0.2">
      <c r="A24" t="s">
        <v>446</v>
      </c>
      <c r="D24" s="4">
        <f>ROUND(SUM(D4:D23),2)</f>
        <v>10139.59</v>
      </c>
      <c r="E24" s="4">
        <f>ROUND(SUM(E4:E23),2)</f>
        <v>8026.61</v>
      </c>
      <c r="F24" s="4">
        <f>ROUND(SUM(F4:F23),2)</f>
        <v>2112.98</v>
      </c>
    </row>
    <row r="26" spans="1:7" x14ac:dyDescent="0.2">
      <c r="A26" t="s">
        <v>456</v>
      </c>
      <c r="B26">
        <f>COUNTA(A4:A23)</f>
        <v>20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3"/>
  <sheetViews>
    <sheetView workbookViewId="0"/>
  </sheetViews>
  <sheetFormatPr baseColWidth="10" defaultColWidth="8.83203125" defaultRowHeight="15" x14ac:dyDescent="0.2"/>
  <cols>
    <col min="1" max="1" width="10" customWidth="1"/>
    <col min="2" max="2" width="13" customWidth="1"/>
    <col min="3" max="3" width="14" customWidth="1"/>
    <col min="4" max="5" width="12" customWidth="1"/>
    <col min="6" max="6" width="9" customWidth="1"/>
    <col min="7" max="7" width="60" customWidth="1"/>
  </cols>
  <sheetData>
    <row r="1" spans="1:7" ht="17" x14ac:dyDescent="0.2">
      <c r="A1" s="1" t="s">
        <v>457</v>
      </c>
    </row>
    <row r="3" spans="1:7" x14ac:dyDescent="0.2">
      <c r="A3" s="2" t="s">
        <v>131</v>
      </c>
      <c r="B3" s="2" t="s">
        <v>326</v>
      </c>
      <c r="C3" s="2" t="s">
        <v>458</v>
      </c>
      <c r="D3" s="2" t="s">
        <v>459</v>
      </c>
      <c r="E3" s="2" t="s">
        <v>460</v>
      </c>
      <c r="F3" s="2" t="s">
        <v>461</v>
      </c>
      <c r="G3" s="2" t="s">
        <v>376</v>
      </c>
    </row>
    <row r="4" spans="1:7" x14ac:dyDescent="0.2">
      <c r="A4">
        <f>IFERROR(INDEX(Audit!$C$4:$C$26,MATCH(B4,Audit!$A$4:$A$26,0)),INDEX(Audit!$AV$4:$AV$26,MATCH(B4,Audit!$AT$4:$AT$26,0)))</f>
        <v>217598</v>
      </c>
      <c r="B4" t="s">
        <v>268</v>
      </c>
      <c r="C4" s="4">
        <f>IFERROR(INDEX(Audit!$AK$4:$AK$26,MATCH(B4,Audit!$A$4:$A$26,0)),INDEX(Audit!$CD$4:$CD$26,MATCH(B4,Audit!$AT$4:$AT$26,0)))</f>
        <v>625.37</v>
      </c>
      <c r="D4" s="4">
        <f>IFERROR(INDEX(Audit!$AJ$4:$AJ$26,MATCH(B4,Audit!$A$4:$A$26,0)),INDEX(Audit!$CC$4:$CC$26,MATCH(B4,Audit!$AT$4:$AT$26,0)))</f>
        <v>622.89</v>
      </c>
      <c r="E4" s="4">
        <f t="shared" ref="E4:E19" si="0">ROUND(C4-D4,2)</f>
        <v>2.48</v>
      </c>
      <c r="F4" t="str">
        <f>LEFT(IFERROR(INDEX(Audit!$AQ$4:$AQ$26,MATCH(B4,Audit!$A$4:$A$26,0)),INDEX(Audit!$CJ$4:$CJ$26,MATCH(B4,Audit!$AT$4:$AT$26,0))),3)</f>
        <v>5.2</v>
      </c>
      <c r="G4" t="str">
        <f t="shared" ref="G4:G19" si="1">INDEX($B$27:$B$33,MATCH(F4,$A$27:$A$33,0))</f>
        <v>Fuel surcharge taken from a week other than the pickup week</v>
      </c>
    </row>
    <row r="5" spans="1:7" x14ac:dyDescent="0.2">
      <c r="A5">
        <f>IFERROR(INDEX(Audit!$C$4:$C$26,MATCH(B5,Audit!$A$4:$A$26,0)),INDEX(Audit!$AV$4:$AV$26,MATCH(B5,Audit!$AT$4:$AT$26,0)))</f>
        <v>217645</v>
      </c>
      <c r="B5" t="s">
        <v>274</v>
      </c>
      <c r="C5" s="4">
        <f>IFERROR(INDEX(Audit!$AK$4:$AK$26,MATCH(B5,Audit!$A$4:$A$26,0)),INDEX(Audit!$CD$4:$CD$26,MATCH(B5,Audit!$AT$4:$AT$26,0)))</f>
        <v>387.01</v>
      </c>
      <c r="D5" s="4">
        <f>IFERROR(INDEX(Audit!$AJ$4:$AJ$26,MATCH(B5,Audit!$A$4:$A$26,0)),INDEX(Audit!$CC$4:$CC$26,MATCH(B5,Audit!$AT$4:$AT$26,0)))</f>
        <v>386.99</v>
      </c>
      <c r="E5" s="4">
        <f t="shared" si="0"/>
        <v>0.02</v>
      </c>
      <c r="F5" t="str">
        <f>LEFT(IFERROR(INDEX(Audit!$AQ$4:$AQ$26,MATCH(B5,Audit!$A$4:$A$26,0)),INDEX(Audit!$CJ$4:$CJ$26,MATCH(B5,Audit!$AT$4:$AT$26,0))),3)</f>
        <v>4.6</v>
      </c>
      <c r="G5" t="str">
        <f t="shared" si="1"/>
        <v>Discount rounded down on a half cent where section 4.6 rounds half a cent upward</v>
      </c>
    </row>
    <row r="6" spans="1:7" x14ac:dyDescent="0.2">
      <c r="A6">
        <f>IFERROR(INDEX(Audit!$C$4:$C$26,MATCH(B6,Audit!$A$4:$A$26,0)),INDEX(Audit!$AV$4:$AV$26,MATCH(B6,Audit!$AT$4:$AT$26,0)))</f>
        <v>217846</v>
      </c>
      <c r="B6" t="s">
        <v>287</v>
      </c>
      <c r="C6" s="4">
        <f>IFERROR(INDEX(Audit!$AK$4:$AK$26,MATCH(B6,Audit!$A$4:$A$26,0)),INDEX(Audit!$CD$4:$CD$26,MATCH(B6,Audit!$AT$4:$AT$26,0)))</f>
        <v>650.74</v>
      </c>
      <c r="D6" s="4">
        <f>IFERROR(INDEX(Audit!$AJ$4:$AJ$26,MATCH(B6,Audit!$A$4:$A$26,0)),INDEX(Audit!$CC$4:$CC$26,MATCH(B6,Audit!$AT$4:$AT$26,0)))</f>
        <v>0</v>
      </c>
      <c r="E6" s="4">
        <f t="shared" si="0"/>
        <v>650.74</v>
      </c>
      <c r="F6" t="str">
        <f>LEFT(IFERROR(INDEX(Audit!$AQ$4:$AQ$26,MATCH(B6,Audit!$A$4:$A$26,0)),INDEX(Audit!$CJ$4:$CJ$26,MATCH(B6,Audit!$AT$4:$AT$26,0))),3)</f>
        <v>7.1</v>
      </c>
      <c r="G6" t="str">
        <f t="shared" si="1"/>
        <v>Second freight bill on a pro number already billed, void under section 7.1, or a bill withdrawn by a corrected bill; return unpaid or claim if paid</v>
      </c>
    </row>
    <row r="7" spans="1:7" x14ac:dyDescent="0.2">
      <c r="A7">
        <f>IFERROR(INDEX(Audit!$C$4:$C$26,MATCH(B7,Audit!$A$4:$A$26,0)),INDEX(Audit!$AV$4:$AV$26,MATCH(B7,Audit!$AT$4:$AT$26,0)))</f>
        <v>217836</v>
      </c>
      <c r="B7" t="s">
        <v>293</v>
      </c>
      <c r="C7" s="4">
        <f>IFERROR(INDEX(Audit!$AK$4:$AK$26,MATCH(B7,Audit!$A$4:$A$26,0)),INDEX(Audit!$CD$4:$CD$26,MATCH(B7,Audit!$AT$4:$AT$26,0)))</f>
        <v>757.79</v>
      </c>
      <c r="D7" s="4">
        <f>IFERROR(INDEX(Audit!$AJ$4:$AJ$26,MATCH(B7,Audit!$A$4:$A$26,0)),INDEX(Audit!$CC$4:$CC$26,MATCH(B7,Audit!$AT$4:$AT$26,0)))</f>
        <v>747.79</v>
      </c>
      <c r="E7" s="4">
        <f t="shared" si="0"/>
        <v>10</v>
      </c>
      <c r="F7" t="str">
        <f>LEFT(IFERROR(INDEX(Audit!$AQ$4:$AQ$26,MATCH(B7,Audit!$A$4:$A$26,0)),INDEX(Audit!$CJ$4:$CJ$26,MATCH(B7,Audit!$AT$4:$AT$26,0))),3)</f>
        <v>6.1</v>
      </c>
      <c r="G7" t="str">
        <f t="shared" si="1"/>
        <v>Accessorial billed above the Exhibit B schedule: a service with no request on the bill of lading and no confirmation in writing by the shipper before delivery, or a charge above the flat rate</v>
      </c>
    </row>
    <row r="8" spans="1:7" x14ac:dyDescent="0.2">
      <c r="A8">
        <f>IFERROR(INDEX(Audit!$C$4:$C$26,MATCH(B8,Audit!$A$4:$A$26,0)),INDEX(Audit!$AV$4:$AV$26,MATCH(B8,Audit!$AT$4:$AT$26,0)))</f>
        <v>217784</v>
      </c>
      <c r="B8" t="s">
        <v>297</v>
      </c>
      <c r="C8" s="4">
        <f>IFERROR(INDEX(Audit!$AK$4:$AK$26,MATCH(B8,Audit!$A$4:$A$26,0)),INDEX(Audit!$CD$4:$CD$26,MATCH(B8,Audit!$AT$4:$AT$26,0)))</f>
        <v>487.55</v>
      </c>
      <c r="D8" s="4">
        <f>IFERROR(INDEX(Audit!$AJ$4:$AJ$26,MATCH(B8,Audit!$A$4:$A$26,0)),INDEX(Audit!$CC$4:$CC$26,MATCH(B8,Audit!$AT$4:$AT$26,0)))</f>
        <v>441.1</v>
      </c>
      <c r="E8" s="4">
        <f t="shared" si="0"/>
        <v>46.45</v>
      </c>
      <c r="F8" t="str">
        <f>LEFT(IFERROR(INDEX(Audit!$AQ$4:$AQ$26,MATCH(B8,Audit!$A$4:$A$26,0)),INDEX(Audit!$CJ$4:$CJ$26,MATCH(B8,Audit!$AT$4:$AT$26,0))),3)</f>
        <v>4.3</v>
      </c>
      <c r="G8" t="str">
        <f t="shared" si="1"/>
        <v>Billed at a class other than the product group class with no signed inspection certificate in the billing file</v>
      </c>
    </row>
    <row r="9" spans="1:7" x14ac:dyDescent="0.2">
      <c r="A9">
        <f>IFERROR(INDEX(Audit!$C$4:$C$26,MATCH(B9,Audit!$A$4:$A$26,0)),INDEX(Audit!$AV$4:$AV$26,MATCH(B9,Audit!$AT$4:$AT$26,0)))</f>
        <v>217692</v>
      </c>
      <c r="B9" t="s">
        <v>312</v>
      </c>
      <c r="C9" s="4">
        <f>IFERROR(INDEX(Audit!$AK$4:$AK$26,MATCH(B9,Audit!$A$4:$A$26,0)),INDEX(Audit!$CD$4:$CD$26,MATCH(B9,Audit!$AT$4:$AT$26,0)))</f>
        <v>994.51</v>
      </c>
      <c r="D9" s="4">
        <f>IFERROR(INDEX(Audit!$AJ$4:$AJ$26,MATCH(B9,Audit!$A$4:$A$26,0)),INDEX(Audit!$CC$4:$CC$26,MATCH(B9,Audit!$AT$4:$AT$26,0)))</f>
        <v>880.58</v>
      </c>
      <c r="E9" s="4">
        <f t="shared" si="0"/>
        <v>113.93</v>
      </c>
      <c r="F9" t="str">
        <f>LEFT(IFERROR(INDEX(Audit!$AQ$4:$AQ$26,MATCH(B9,Audit!$A$4:$A$26,0)),INDEX(Audit!$CJ$4:$CJ$26,MATCH(B9,Audit!$AT$4:$AT$26,0))),3)</f>
        <v>4.2</v>
      </c>
      <c r="G9" t="str">
        <f t="shared" si="1"/>
        <v>Rated at the shipment's own break where the next break's minimum weight rates lower</v>
      </c>
    </row>
    <row r="10" spans="1:7" x14ac:dyDescent="0.2">
      <c r="A10">
        <f>IFERROR(INDEX(Audit!$C$4:$C$26,MATCH(B10,Audit!$A$4:$A$26,0)),INDEX(Audit!$AV$4:$AV$26,MATCH(B10,Audit!$AT$4:$AT$26,0)))</f>
        <v>217798</v>
      </c>
      <c r="B10" t="s">
        <v>319</v>
      </c>
      <c r="C10" s="4">
        <f>IFERROR(INDEX(Audit!$AK$4:$AK$26,MATCH(B10,Audit!$A$4:$A$26,0)),INDEX(Audit!$CD$4:$CD$26,MATCH(B10,Audit!$AT$4:$AT$26,0)))</f>
        <v>510.16</v>
      </c>
      <c r="D10" s="4">
        <f>IFERROR(INDEX(Audit!$AJ$4:$AJ$26,MATCH(B10,Audit!$A$4:$A$26,0)),INDEX(Audit!$CC$4:$CC$26,MATCH(B10,Audit!$AT$4:$AT$26,0)))</f>
        <v>461.57</v>
      </c>
      <c r="E10" s="4">
        <f t="shared" si="0"/>
        <v>48.59</v>
      </c>
      <c r="F10" t="str">
        <f>LEFT(IFERROR(INDEX(Audit!$AQ$4:$AQ$26,MATCH(B10,Audit!$A$4:$A$26,0)),INDEX(Audit!$CJ$4:$CJ$26,MATCH(B10,Audit!$AT$4:$AT$26,0))),3)</f>
        <v>4.2</v>
      </c>
      <c r="G10" t="str">
        <f t="shared" si="1"/>
        <v>Rated at the shipment's own break where the next break's minimum weight rates lower</v>
      </c>
    </row>
    <row r="11" spans="1:7" x14ac:dyDescent="0.2">
      <c r="A11">
        <f>IFERROR(INDEX(Audit!$C$4:$C$26,MATCH(B11,Audit!$A$4:$A$26,0)),INDEX(Audit!$AV$4:$AV$26,MATCH(B11,Audit!$AT$4:$AT$26,0)))</f>
        <v>217724</v>
      </c>
      <c r="B11" t="s">
        <v>270</v>
      </c>
      <c r="C11" s="4">
        <f>IFERROR(INDEX(Audit!$AK$4:$AK$26,MATCH(B11,Audit!$A$4:$A$26,0)),INDEX(Audit!$CD$4:$CD$26,MATCH(B11,Audit!$AT$4:$AT$26,0)))</f>
        <v>426.42</v>
      </c>
      <c r="D11" s="4">
        <f>IFERROR(INDEX(Audit!$AJ$4:$AJ$26,MATCH(B11,Audit!$A$4:$A$26,0)),INDEX(Audit!$CC$4:$CC$26,MATCH(B11,Audit!$AT$4:$AT$26,0)))</f>
        <v>351.42</v>
      </c>
      <c r="E11" s="4">
        <f t="shared" si="0"/>
        <v>75</v>
      </c>
      <c r="F11" t="str">
        <f>LEFT(IFERROR(INDEX(Audit!$AQ$4:$AQ$26,MATCH(B11,Audit!$A$4:$A$26,0)),INDEX(Audit!$CJ$4:$CJ$26,MATCH(B11,Audit!$AT$4:$AT$26,0))),3)</f>
        <v>6.1</v>
      </c>
      <c r="G11" t="str">
        <f t="shared" si="1"/>
        <v>Accessorial billed above the Exhibit B schedule: a service with no request on the bill of lading and no confirmation in writing by the shipper before delivery, or a charge above the flat rate</v>
      </c>
    </row>
    <row r="12" spans="1:7" x14ac:dyDescent="0.2">
      <c r="A12">
        <f>IFERROR(INDEX(Audit!$C$4:$C$26,MATCH(B12,Audit!$A$4:$A$26,0)),INDEX(Audit!$AV$4:$AV$26,MATCH(B12,Audit!$AT$4:$AT$26,0)))</f>
        <v>217894</v>
      </c>
      <c r="B12" t="s">
        <v>279</v>
      </c>
      <c r="C12" s="4">
        <f>IFERROR(INDEX(Audit!$AK$4:$AK$26,MATCH(B12,Audit!$A$4:$A$26,0)),INDEX(Audit!$CD$4:$CD$26,MATCH(B12,Audit!$AT$4:$AT$26,0)))</f>
        <v>353.21</v>
      </c>
      <c r="D12" s="4">
        <f>IFERROR(INDEX(Audit!$AJ$4:$AJ$26,MATCH(B12,Audit!$A$4:$A$26,0)),INDEX(Audit!$CC$4:$CC$26,MATCH(B12,Audit!$AT$4:$AT$26,0)))</f>
        <v>265.21</v>
      </c>
      <c r="E12" s="4">
        <f t="shared" si="0"/>
        <v>88</v>
      </c>
      <c r="F12" t="str">
        <f>LEFT(IFERROR(INDEX(Audit!$AQ$4:$AQ$26,MATCH(B12,Audit!$A$4:$A$26,0)),INDEX(Audit!$CJ$4:$CJ$26,MATCH(B12,Audit!$AT$4:$AT$26,0))),3)</f>
        <v>6.1</v>
      </c>
      <c r="G12" t="str">
        <f t="shared" si="1"/>
        <v>Accessorial billed above the Exhibit B schedule: a service with no request on the bill of lading and no confirmation in writing by the shipper before delivery, or a charge above the flat rate</v>
      </c>
    </row>
    <row r="13" spans="1:7" x14ac:dyDescent="0.2">
      <c r="A13">
        <f>IFERROR(INDEX(Audit!$C$4:$C$26,MATCH(B13,Audit!$A$4:$A$26,0)),INDEX(Audit!$AV$4:$AV$26,MATCH(B13,Audit!$AT$4:$AT$26,0)))</f>
        <v>217757</v>
      </c>
      <c r="B13" t="s">
        <v>281</v>
      </c>
      <c r="C13" s="4">
        <f>IFERROR(INDEX(Audit!$AK$4:$AK$26,MATCH(B13,Audit!$A$4:$A$26,0)),INDEX(Audit!$CD$4:$CD$26,MATCH(B13,Audit!$AT$4:$AT$26,0)))</f>
        <v>385.8</v>
      </c>
      <c r="D13" s="4">
        <f>IFERROR(INDEX(Audit!$AJ$4:$AJ$26,MATCH(B13,Audit!$A$4:$A$26,0)),INDEX(Audit!$CC$4:$CC$26,MATCH(B13,Audit!$AT$4:$AT$26,0)))</f>
        <v>353.37</v>
      </c>
      <c r="E13" s="4">
        <f t="shared" si="0"/>
        <v>32.43</v>
      </c>
      <c r="F13" t="str">
        <f>LEFT(IFERROR(INDEX(Audit!$AQ$4:$AQ$26,MATCH(B13,Audit!$A$4:$A$26,0)),INDEX(Audit!$CJ$4:$CJ$26,MATCH(B13,Audit!$AT$4:$AT$26,0))),3)</f>
        <v>4.2</v>
      </c>
      <c r="G13" t="str">
        <f t="shared" si="1"/>
        <v>Rated at the shipment's own break where the next break's minimum weight rates lower</v>
      </c>
    </row>
    <row r="14" spans="1:7" x14ac:dyDescent="0.2">
      <c r="A14">
        <f>IFERROR(INDEX(Audit!$C$4:$C$26,MATCH(B14,Audit!$A$4:$A$26,0)),INDEX(Audit!$AV$4:$AV$26,MATCH(B14,Audit!$AT$4:$AT$26,0)))</f>
        <v>217883</v>
      </c>
      <c r="B14" t="s">
        <v>296</v>
      </c>
      <c r="C14" s="4">
        <f>IFERROR(INDEX(Audit!$AK$4:$AK$26,MATCH(B14,Audit!$A$4:$A$26,0)),INDEX(Audit!$CD$4:$CD$26,MATCH(B14,Audit!$AT$4:$AT$26,0)))</f>
        <v>447.7</v>
      </c>
      <c r="D14" s="4">
        <f>IFERROR(INDEX(Audit!$AJ$4:$AJ$26,MATCH(B14,Audit!$A$4:$A$26,0)),INDEX(Audit!$CC$4:$CC$26,MATCH(B14,Audit!$AT$4:$AT$26,0)))</f>
        <v>0</v>
      </c>
      <c r="E14" s="4">
        <f t="shared" si="0"/>
        <v>447.7</v>
      </c>
      <c r="F14" t="str">
        <f>LEFT(IFERROR(INDEX(Audit!$AQ$4:$AQ$26,MATCH(B14,Audit!$A$4:$A$26,0)),INDEX(Audit!$CJ$4:$CJ$26,MATCH(B14,Audit!$AT$4:$AT$26,0))),3)</f>
        <v>7.1</v>
      </c>
      <c r="G14" t="str">
        <f t="shared" si="1"/>
        <v>Second freight bill on a pro number already billed, void under section 7.1, or a bill withdrawn by a corrected bill; return unpaid or claim if paid</v>
      </c>
    </row>
    <row r="15" spans="1:7" x14ac:dyDescent="0.2">
      <c r="A15">
        <f>IFERROR(INDEX(Audit!$C$4:$C$26,MATCH(B15,Audit!$A$4:$A$26,0)),INDEX(Audit!$AV$4:$AV$26,MATCH(B15,Audit!$AT$4:$AT$26,0)))</f>
        <v>217820</v>
      </c>
      <c r="B15" t="s">
        <v>300</v>
      </c>
      <c r="C15" s="4">
        <f>IFERROR(INDEX(Audit!$AK$4:$AK$26,MATCH(B15,Audit!$A$4:$A$26,0)),INDEX(Audit!$CD$4:$CD$26,MATCH(B15,Audit!$AT$4:$AT$26,0)))</f>
        <v>372.15</v>
      </c>
      <c r="D15" s="4">
        <f>IFERROR(INDEX(Audit!$AJ$4:$AJ$26,MATCH(B15,Audit!$A$4:$A$26,0)),INDEX(Audit!$CC$4:$CC$26,MATCH(B15,Audit!$AT$4:$AT$26,0)))</f>
        <v>300.93</v>
      </c>
      <c r="E15" s="4">
        <f t="shared" si="0"/>
        <v>71.22</v>
      </c>
      <c r="F15" t="str">
        <f>LEFT(IFERROR(INDEX(Audit!$AQ$4:$AQ$26,MATCH(B15,Audit!$A$4:$A$26,0)),INDEX(Audit!$CJ$4:$CJ$26,MATCH(B15,Audit!$AT$4:$AT$26,0))),3)</f>
        <v>4.5</v>
      </c>
      <c r="G15" t="str">
        <f t="shared" si="1"/>
        <v>Billed weight above the bill of lading weight with no certified scale ticket, or with a ticket inside the five percent tolerance</v>
      </c>
    </row>
    <row r="16" spans="1:7" x14ac:dyDescent="0.2">
      <c r="A16">
        <f>IFERROR(INDEX(Audit!$C$4:$C$26,MATCH(B16,Audit!$A$4:$A$26,0)),INDEX(Audit!$AV$4:$AV$26,MATCH(B16,Audit!$AT$4:$AT$26,0)))</f>
        <v>217902</v>
      </c>
      <c r="B16" t="s">
        <v>307</v>
      </c>
      <c r="C16" s="4">
        <f>IFERROR(INDEX(Audit!$AK$4:$AK$26,MATCH(B16,Audit!$A$4:$A$26,0)),INDEX(Audit!$CD$4:$CD$26,MATCH(B16,Audit!$AT$4:$AT$26,0)))</f>
        <v>301.1</v>
      </c>
      <c r="D16" s="4">
        <f>IFERROR(INDEX(Audit!$AJ$4:$AJ$26,MATCH(B16,Audit!$A$4:$A$26,0)),INDEX(Audit!$CC$4:$CC$26,MATCH(B16,Audit!$AT$4:$AT$26,0)))</f>
        <v>241.1</v>
      </c>
      <c r="E16" s="4">
        <f t="shared" si="0"/>
        <v>60</v>
      </c>
      <c r="F16" t="str">
        <f>LEFT(IFERROR(INDEX(Audit!$AQ$4:$AQ$26,MATCH(B16,Audit!$A$4:$A$26,0)),INDEX(Audit!$CJ$4:$CJ$26,MATCH(B16,Audit!$AT$4:$AT$26,0))),3)</f>
        <v>6.1</v>
      </c>
      <c r="G16" t="str">
        <f t="shared" si="1"/>
        <v>Accessorial billed above the Exhibit B schedule: a service with no request on the bill of lading and no confirmation in writing by the shipper before delivery, or a charge above the flat rate</v>
      </c>
    </row>
    <row r="17" spans="1:7" x14ac:dyDescent="0.2">
      <c r="A17">
        <f>IFERROR(INDEX(Audit!$C$4:$C$26,MATCH(B17,Audit!$A$4:$A$26,0)),INDEX(Audit!$AV$4:$AV$26,MATCH(B17,Audit!$AT$4:$AT$26,0)))</f>
        <v>217712</v>
      </c>
      <c r="B17" t="s">
        <v>311</v>
      </c>
      <c r="C17" s="4">
        <f>IFERROR(INDEX(Audit!$AK$4:$AK$26,MATCH(B17,Audit!$A$4:$A$26,0)),INDEX(Audit!$CD$4:$CD$26,MATCH(B17,Audit!$AT$4:$AT$26,0)))</f>
        <v>724.52</v>
      </c>
      <c r="D17" s="4">
        <f>IFERROR(INDEX(Audit!$AJ$4:$AJ$26,MATCH(B17,Audit!$A$4:$A$26,0)),INDEX(Audit!$CC$4:$CC$26,MATCH(B17,Audit!$AT$4:$AT$26,0)))</f>
        <v>692.56</v>
      </c>
      <c r="E17" s="4">
        <f t="shared" si="0"/>
        <v>31.96</v>
      </c>
      <c r="F17" t="str">
        <f>LEFT(IFERROR(INDEX(Audit!$AQ$4:$AQ$26,MATCH(B17,Audit!$A$4:$A$26,0)),INDEX(Audit!$CJ$4:$CJ$26,MATCH(B17,Audit!$AT$4:$AT$26,0))),3)</f>
        <v>4.5</v>
      </c>
      <c r="G17" t="str">
        <f t="shared" si="1"/>
        <v>Billed weight above the bill of lading weight with no certified scale ticket, or with a ticket inside the five percent tolerance</v>
      </c>
    </row>
    <row r="18" spans="1:7" x14ac:dyDescent="0.2">
      <c r="A18">
        <f>IFERROR(INDEX(Audit!$C$4:$C$26,MATCH(B18,Audit!$A$4:$A$26,0)),INDEX(Audit!$AV$4:$AV$26,MATCH(B18,Audit!$AT$4:$AT$26,0)))</f>
        <v>217888</v>
      </c>
      <c r="B18" t="s">
        <v>313</v>
      </c>
      <c r="C18" s="4">
        <f>IFERROR(INDEX(Audit!$AK$4:$AK$26,MATCH(B18,Audit!$A$4:$A$26,0)),INDEX(Audit!$CD$4:$CD$26,MATCH(B18,Audit!$AT$4:$AT$26,0)))</f>
        <v>862.47</v>
      </c>
      <c r="D18" s="4">
        <f>IFERROR(INDEX(Audit!$AJ$4:$AJ$26,MATCH(B18,Audit!$A$4:$A$26,0)),INDEX(Audit!$CC$4:$CC$26,MATCH(B18,Audit!$AT$4:$AT$26,0)))</f>
        <v>859.46</v>
      </c>
      <c r="E18" s="4">
        <f t="shared" si="0"/>
        <v>3.01</v>
      </c>
      <c r="F18" t="str">
        <f>LEFT(IFERROR(INDEX(Audit!$AQ$4:$AQ$26,MATCH(B18,Audit!$A$4:$A$26,0)),INDEX(Audit!$CJ$4:$CJ$26,MATCH(B18,Audit!$AT$4:$AT$26,0))),3)</f>
        <v>5.2</v>
      </c>
      <c r="G18" t="str">
        <f t="shared" si="1"/>
        <v>Fuel surcharge taken from a week other than the pickup week</v>
      </c>
    </row>
    <row r="19" spans="1:7" x14ac:dyDescent="0.2">
      <c r="A19">
        <f>IFERROR(INDEX(Audit!$C$4:$C$26,MATCH(B19,Audit!$A$4:$A$26,0)),INDEX(Audit!$AV$4:$AV$26,MATCH(B19,Audit!$AT$4:$AT$26,0)))</f>
        <v>217841</v>
      </c>
      <c r="B19" t="s">
        <v>322</v>
      </c>
      <c r="C19" s="4">
        <f>IFERROR(INDEX(Audit!$AK$4:$AK$26,MATCH(B19,Audit!$A$4:$A$26,0)),INDEX(Audit!$CD$4:$CD$26,MATCH(B19,Audit!$AT$4:$AT$26,0)))</f>
        <v>603.63</v>
      </c>
      <c r="D19" s="4">
        <f>IFERROR(INDEX(Audit!$AJ$4:$AJ$26,MATCH(B19,Audit!$A$4:$A$26,0)),INDEX(Audit!$CC$4:$CC$26,MATCH(B19,Audit!$AT$4:$AT$26,0)))</f>
        <v>0</v>
      </c>
      <c r="E19" s="4">
        <f t="shared" si="0"/>
        <v>603.63</v>
      </c>
      <c r="F19" t="str">
        <f>LEFT(IFERROR(INDEX(Audit!$AQ$4:$AQ$26,MATCH(B19,Audit!$A$4:$A$26,0)),INDEX(Audit!$CJ$4:$CJ$26,MATCH(B19,Audit!$AT$4:$AT$26,0))),3)</f>
        <v>7.1</v>
      </c>
      <c r="G19" t="str">
        <f t="shared" si="1"/>
        <v>Second freight bill on a pro number already billed, void under section 7.1, or a bill withdrawn by a corrected bill; return unpaid or claim if paid</v>
      </c>
    </row>
    <row r="20" spans="1:7" x14ac:dyDescent="0.2">
      <c r="A20" t="s">
        <v>462</v>
      </c>
      <c r="C20" s="4">
        <f>ROUND(SUM(C4:C19),2)</f>
        <v>8890.13</v>
      </c>
      <c r="D20" s="4">
        <f>ROUND(SUM(D4:D19),2)</f>
        <v>6604.97</v>
      </c>
      <c r="E20" s="4">
        <f>ROUND(SUM(E4:E19),2)</f>
        <v>2285.16</v>
      </c>
    </row>
    <row r="26" spans="1:7" x14ac:dyDescent="0.2">
      <c r="A26" t="s">
        <v>463</v>
      </c>
    </row>
    <row r="27" spans="1:7" x14ac:dyDescent="0.2">
      <c r="A27" t="s">
        <v>464</v>
      </c>
      <c r="B27" t="s">
        <v>465</v>
      </c>
    </row>
    <row r="28" spans="1:7" x14ac:dyDescent="0.2">
      <c r="A28" t="s">
        <v>466</v>
      </c>
      <c r="B28" t="s">
        <v>467</v>
      </c>
    </row>
    <row r="29" spans="1:7" x14ac:dyDescent="0.2">
      <c r="A29" t="s">
        <v>54</v>
      </c>
      <c r="B29" t="s">
        <v>468</v>
      </c>
    </row>
    <row r="30" spans="1:7" x14ac:dyDescent="0.2">
      <c r="A30" t="s">
        <v>469</v>
      </c>
      <c r="B30" t="s">
        <v>470</v>
      </c>
    </row>
    <row r="31" spans="1:7" x14ac:dyDescent="0.2">
      <c r="A31" t="s">
        <v>69</v>
      </c>
      <c r="B31" t="s">
        <v>471</v>
      </c>
    </row>
    <row r="32" spans="1:7" x14ac:dyDescent="0.2">
      <c r="A32" t="s">
        <v>472</v>
      </c>
      <c r="B32" t="s">
        <v>473</v>
      </c>
    </row>
    <row r="33" spans="1:2" x14ac:dyDescent="0.2">
      <c r="A33" t="s">
        <v>474</v>
      </c>
      <c r="B33" t="s">
        <v>475</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16"/>
  <sheetViews>
    <sheetView workbookViewId="0"/>
  </sheetViews>
  <sheetFormatPr baseColWidth="10" defaultColWidth="8.83203125" defaultRowHeight="15" x14ac:dyDescent="0.2"/>
  <cols>
    <col min="1" max="1" width="10" customWidth="1"/>
    <col min="2" max="2" width="13" customWidth="1"/>
    <col min="3" max="3" width="12" customWidth="1"/>
    <col min="4" max="4" width="14" customWidth="1"/>
    <col min="5" max="6" width="12" customWidth="1"/>
    <col min="7" max="7" width="9" customWidth="1"/>
    <col min="8" max="8" width="52" customWidth="1"/>
    <col min="9" max="9" width="16" customWidth="1"/>
    <col min="10" max="10" width="10" customWidth="1"/>
  </cols>
  <sheetData>
    <row r="1" spans="1:10" ht="17" x14ac:dyDescent="0.2">
      <c r="A1" s="1" t="s">
        <v>476</v>
      </c>
    </row>
    <row r="3" spans="1:10" x14ac:dyDescent="0.2">
      <c r="A3" s="2" t="s">
        <v>131</v>
      </c>
      <c r="B3" s="2" t="s">
        <v>326</v>
      </c>
      <c r="C3" s="2" t="s">
        <v>477</v>
      </c>
      <c r="D3" s="2" t="s">
        <v>458</v>
      </c>
      <c r="E3" s="2" t="s">
        <v>459</v>
      </c>
      <c r="F3" s="2" t="s">
        <v>478</v>
      </c>
      <c r="G3" s="2" t="s">
        <v>461</v>
      </c>
      <c r="H3" s="2" t="s">
        <v>376</v>
      </c>
      <c r="I3" s="2" t="s">
        <v>479</v>
      </c>
      <c r="J3" s="2" t="s">
        <v>480</v>
      </c>
    </row>
    <row r="4" spans="1:10" x14ac:dyDescent="0.2">
      <c r="A4">
        <f>IFERROR(INDEX(Audit!$C$4:$C$26,MATCH(B4,Audit!$A$4:$A$26,0)),INDEX(Audit!$AV$4:$AV$26,MATCH(B4,Audit!$AT$4:$AT$26,0)))</f>
        <v>217402</v>
      </c>
      <c r="B4" t="s">
        <v>265</v>
      </c>
      <c r="C4" t="str">
        <f>IFERROR(INDEX(Invoices!$C$4:$C$26,MATCH(B4,Invoices!$A$4:$A$26,0)),INDEX(Invoices!$R$4:$R$26,MATCH(B4,Invoices!$P$4:$P$26,0)))</f>
        <v>07/14/2026</v>
      </c>
      <c r="D4" s="4">
        <f>IFERROR(INDEX(Audit!$AK$4:$AK$26,MATCH(B4,Audit!$A$4:$A$26,0)),INDEX(Audit!$CD$4:$CD$26,MATCH(B4,Audit!$AT$4:$AT$26,0)))</f>
        <v>323.35</v>
      </c>
      <c r="E4" s="4">
        <f>IFERROR(INDEX(Audit!$AJ$4:$AJ$26,MATCH(B4,Audit!$A$4:$A$26,0)),INDEX(Audit!$CC$4:$CC$26,MATCH(B4,Audit!$AT$4:$AT$26,0)))</f>
        <v>418.35</v>
      </c>
      <c r="F4" s="4">
        <f>ROUND(E4-D4,2)</f>
        <v>95</v>
      </c>
      <c r="G4" t="str">
        <f>LEFT(IFERROR(INDEX(Audit!$AQ$4:$AQ$26,MATCH(B4,Audit!$A$4:$A$26,0)),INDEX(Audit!$CJ$4:$CJ$26,MATCH(B4,Audit!$AT$4:$AT$26,0))),3)</f>
        <v>6.1</v>
      </c>
      <c r="H4" t="str">
        <f>INDEX($B$13:$B$14,MATCH(G4,$A$13:$A$14,0))</f>
        <v>Accessorial the bill of lading requested was not billed</v>
      </c>
      <c r="I4">
        <f>DATEVALUE(C4)+Terms!$B$8-DATEVALUE(Terms!$B$11)</f>
        <v>-4</v>
      </c>
      <c r="J4" t="str">
        <f>IF(I4&gt;=0,"Open","Closed")</f>
        <v>Closed</v>
      </c>
    </row>
    <row r="5" spans="1:10" x14ac:dyDescent="0.2">
      <c r="A5">
        <f>IFERROR(INDEX(Audit!$C$4:$C$26,MATCH(B5,Audit!$A$4:$A$26,0)),INDEX(Audit!$AV$4:$AV$26,MATCH(B5,Audit!$AT$4:$AT$26,0)))</f>
        <v>217738</v>
      </c>
      <c r="B5" t="s">
        <v>283</v>
      </c>
      <c r="C5" t="str">
        <f>IFERROR(INDEX(Invoices!$C$4:$C$26,MATCH(B5,Invoices!$A$4:$A$26,0)),INDEX(Invoices!$R$4:$R$26,MATCH(B5,Invoices!$P$4:$P$26,0)))</f>
        <v>09/13/2026</v>
      </c>
      <c r="D5" s="4">
        <f>IFERROR(INDEX(Audit!$AK$4:$AK$26,MATCH(B5,Audit!$A$4:$A$26,0)),INDEX(Audit!$CD$4:$CD$26,MATCH(B5,Audit!$AT$4:$AT$26,0)))</f>
        <v>213.18</v>
      </c>
      <c r="E5" s="4">
        <f>IFERROR(INDEX(Audit!$AJ$4:$AJ$26,MATCH(B5,Audit!$A$4:$A$26,0)),INDEX(Audit!$CC$4:$CC$26,MATCH(B5,Audit!$AT$4:$AT$26,0)))</f>
        <v>288.18</v>
      </c>
      <c r="F5" s="4">
        <f>ROUND(E5-D5,2)</f>
        <v>75</v>
      </c>
      <c r="G5" t="str">
        <f>LEFT(IFERROR(INDEX(Audit!$AQ$4:$AQ$26,MATCH(B5,Audit!$A$4:$A$26,0)),INDEX(Audit!$CJ$4:$CJ$26,MATCH(B5,Audit!$AT$4:$AT$26,0))),3)</f>
        <v>6.1</v>
      </c>
      <c r="H5" t="str">
        <f>INDEX($B$13:$B$14,MATCH(G5,$A$13:$A$14,0))</f>
        <v>Accessorial the bill of lading requested was not billed</v>
      </c>
      <c r="I5">
        <f>DATEVALUE(C5)+Terms!$B$8-DATEVALUE(Terms!$B$11)</f>
        <v>57</v>
      </c>
      <c r="J5" t="str">
        <f>IF(I5&gt;=0,"Open","Closed")</f>
        <v>Open</v>
      </c>
    </row>
    <row r="6" spans="1:10" x14ac:dyDescent="0.2">
      <c r="A6">
        <f>IFERROR(INDEX(Audit!$C$4:$C$26,MATCH(B6,Audit!$A$4:$A$26,0)),INDEX(Audit!$AV$4:$AV$26,MATCH(B6,Audit!$AT$4:$AT$26,0)))</f>
        <v>217703</v>
      </c>
      <c r="B6" t="s">
        <v>289</v>
      </c>
      <c r="C6" t="str">
        <f>IFERROR(INDEX(Invoices!$C$4:$C$26,MATCH(B6,Invoices!$A$4:$A$26,0)),INDEX(Invoices!$R$4:$R$26,MATCH(B6,Invoices!$P$4:$P$26,0)))</f>
        <v>09/15/2026</v>
      </c>
      <c r="D6" s="4">
        <f>IFERROR(INDEX(Audit!$AK$4:$AK$26,MATCH(B6,Audit!$A$4:$A$26,0)),INDEX(Audit!$CD$4:$CD$26,MATCH(B6,Audit!$AT$4:$AT$26,0)))</f>
        <v>354.66</v>
      </c>
      <c r="E6" s="4">
        <f>IFERROR(INDEX(Audit!$AJ$4:$AJ$26,MATCH(B6,Audit!$A$4:$A$26,0)),INDEX(Audit!$CC$4:$CC$26,MATCH(B6,Audit!$AT$4:$AT$26,0)))</f>
        <v>355.43</v>
      </c>
      <c r="F6" s="4">
        <f>ROUND(E6-D6,2)</f>
        <v>0.77</v>
      </c>
      <c r="G6" t="str">
        <f>LEFT(IFERROR(INDEX(Audit!$AQ$4:$AQ$26,MATCH(B6,Audit!$A$4:$A$26,0)),INDEX(Audit!$CJ$4:$CJ$26,MATCH(B6,Audit!$AT$4:$AT$26,0))),3)</f>
        <v>5.2</v>
      </c>
      <c r="H6" t="str">
        <f>INDEX($B$13:$B$14,MATCH(G6,$A$13:$A$14,0))</f>
        <v>Fuel surcharge taken from a week other than the pickup week</v>
      </c>
      <c r="I6">
        <f>DATEVALUE(C6)+Terms!$B$8-DATEVALUE(Terms!$B$11)</f>
        <v>59</v>
      </c>
      <c r="J6" t="str">
        <f>IF(I6&gt;=0,"Open","Closed")</f>
        <v>Open</v>
      </c>
    </row>
    <row r="7" spans="1:10" x14ac:dyDescent="0.2">
      <c r="A7">
        <f>IFERROR(INDEX(Audit!$C$4:$C$26,MATCH(B7,Audit!$A$4:$A$26,0)),INDEX(Audit!$AV$4:$AV$26,MATCH(B7,Audit!$AT$4:$AT$26,0)))</f>
        <v>217864</v>
      </c>
      <c r="B7" t="s">
        <v>288</v>
      </c>
      <c r="C7" t="str">
        <f>IFERROR(INDEX(Invoices!$C$4:$C$26,MATCH(B7,Invoices!$A$4:$A$26,0)),INDEX(Invoices!$R$4:$R$26,MATCH(B7,Invoices!$P$4:$P$26,0)))</f>
        <v>09/30/2026</v>
      </c>
      <c r="D7" s="4">
        <f>IFERROR(INDEX(Audit!$AK$4:$AK$26,MATCH(B7,Audit!$A$4:$A$26,0)),INDEX(Audit!$CD$4:$CD$26,MATCH(B7,Audit!$AT$4:$AT$26,0)))</f>
        <v>358.27</v>
      </c>
      <c r="E7" s="4">
        <f>IFERROR(INDEX(Audit!$AJ$4:$AJ$26,MATCH(B7,Audit!$A$4:$A$26,0)),INDEX(Audit!$CC$4:$CC$26,MATCH(B7,Audit!$AT$4:$AT$26,0)))</f>
        <v>359.68</v>
      </c>
      <c r="F7" s="4">
        <f>ROUND(E7-D7,2)</f>
        <v>1.41</v>
      </c>
      <c r="G7" t="str">
        <f>LEFT(IFERROR(INDEX(Audit!$AQ$4:$AQ$26,MATCH(B7,Audit!$A$4:$A$26,0)),INDEX(Audit!$CJ$4:$CJ$26,MATCH(B7,Audit!$AT$4:$AT$26,0))),3)</f>
        <v>5.2</v>
      </c>
      <c r="H7" t="str">
        <f>INDEX($B$13:$B$14,MATCH(G7,$A$13:$A$14,0))</f>
        <v>Fuel surcharge taken from a week other than the pickup week</v>
      </c>
      <c r="I7">
        <f>DATEVALUE(C7)+Terms!$B$8-DATEVALUE(Terms!$B$11)</f>
        <v>74</v>
      </c>
      <c r="J7" t="str">
        <f>IF(I7&gt;=0,"Open","Closed")</f>
        <v>Open</v>
      </c>
    </row>
    <row r="8" spans="1:10" x14ac:dyDescent="0.2">
      <c r="A8" t="s">
        <v>481</v>
      </c>
      <c r="D8" s="4">
        <f>ROUND(SUM(D4:D7),2)</f>
        <v>1249.46</v>
      </c>
      <c r="E8" s="4">
        <f>ROUND(SUM(E4:E7),2)</f>
        <v>1421.64</v>
      </c>
      <c r="F8" s="4">
        <f>ROUND(SUM(F4:F7),2)</f>
        <v>172.18</v>
      </c>
    </row>
    <row r="12" spans="1:10" x14ac:dyDescent="0.2">
      <c r="A12" t="s">
        <v>463</v>
      </c>
    </row>
    <row r="13" spans="1:10" x14ac:dyDescent="0.2">
      <c r="A13" t="s">
        <v>474</v>
      </c>
      <c r="B13" t="s">
        <v>482</v>
      </c>
    </row>
    <row r="14" spans="1:10" x14ac:dyDescent="0.2">
      <c r="A14" t="s">
        <v>472</v>
      </c>
      <c r="B14" t="s">
        <v>473</v>
      </c>
    </row>
    <row r="16" spans="1:10" x14ac:dyDescent="0.2">
      <c r="A16" t="s">
        <v>483</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14"/>
  <sheetViews>
    <sheetView workbookViewId="0"/>
  </sheetViews>
  <sheetFormatPr baseColWidth="10" defaultColWidth="8.83203125" defaultRowHeight="15" x14ac:dyDescent="0.2"/>
  <cols>
    <col min="1" max="1" width="120" customWidth="1"/>
  </cols>
  <sheetData>
    <row r="1" spans="1:1" ht="17" x14ac:dyDescent="0.2">
      <c r="A1" s="1" t="s">
        <v>484</v>
      </c>
    </row>
    <row r="3" spans="1:1" ht="120" customHeight="1" x14ac:dyDescent="0.2">
      <c r="A3" s="8" t="s">
        <v>485</v>
      </c>
    </row>
    <row r="4" spans="1:1" ht="75" customHeight="1" x14ac:dyDescent="0.2">
      <c r="A4" s="8" t="s">
        <v>486</v>
      </c>
    </row>
    <row r="5" spans="1:1" ht="150" customHeight="1" x14ac:dyDescent="0.2">
      <c r="A5" s="8" t="s">
        <v>487</v>
      </c>
    </row>
    <row r="6" spans="1:1" ht="195" customHeight="1" x14ac:dyDescent="0.2">
      <c r="A6" s="8" t="s">
        <v>488</v>
      </c>
    </row>
    <row r="7" spans="1:1" ht="105" customHeight="1" x14ac:dyDescent="0.2">
      <c r="A7" s="8" t="s">
        <v>489</v>
      </c>
    </row>
    <row r="8" spans="1:1" ht="180" customHeight="1" x14ac:dyDescent="0.2">
      <c r="A8" s="8" t="s">
        <v>490</v>
      </c>
    </row>
    <row r="9" spans="1:1" ht="75" customHeight="1" x14ac:dyDescent="0.2">
      <c r="A9" s="8" t="s">
        <v>491</v>
      </c>
    </row>
    <row r="10" spans="1:1" ht="105" customHeight="1" x14ac:dyDescent="0.2">
      <c r="A10" s="8" t="s">
        <v>492</v>
      </c>
    </row>
    <row r="11" spans="1:1" ht="120" customHeight="1" x14ac:dyDescent="0.2">
      <c r="A11" s="8" t="s">
        <v>493</v>
      </c>
    </row>
    <row r="12" spans="1:1" ht="105" customHeight="1" x14ac:dyDescent="0.2">
      <c r="A12" s="8" t="s">
        <v>494</v>
      </c>
    </row>
    <row r="13" spans="1:1" ht="75" customHeight="1" x14ac:dyDescent="0.2">
      <c r="A13" s="8" t="s">
        <v>495</v>
      </c>
    </row>
    <row r="14" spans="1:1" ht="105" customHeight="1" x14ac:dyDescent="0.2">
      <c r="A14" s="8" t="s">
        <v>496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Terms</vt:lpstr>
      <vt:lpstr>Tariff</vt:lpstr>
      <vt:lpstr>Fuel Index</vt:lpstr>
      <vt:lpstr>BOL</vt:lpstr>
      <vt:lpstr>Invoices</vt:lpstr>
      <vt:lpstr>Billing File</vt:lpstr>
      <vt:lpstr>Confirmations</vt:lpstr>
      <vt:lpstr>Corrections</vt:lpstr>
      <vt:lpstr>Pro Matches</vt:lpstr>
      <vt:lpstr>Audit</vt:lpstr>
      <vt:lpstr>Exceptions</vt:lpstr>
      <vt:lpstr>Claim Schedule</vt:lpstr>
      <vt:lpstr>Undercharges</vt:lpstr>
      <vt:lpstr>Note to Ingrid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Halvorsen Building Products</dc:creator>
  <dc:title xmlns:dc="http://purl.org/dc/elements/1.1/">Northline freight bill audit, September 2026</dc:title>
  <dcterms:created xmlns:dcterms="http://purl.org/dc/terms/" xmlns:xsi="http://www.w3.org/2001/XMLSchema-instance" xsi:type="dcterms:W3CDTF">2026-10-12T07:48:15Z</dcterms:created>
  <dcterms:modified xmlns:dcterms="http://purl.org/dc/terms/" xmlns:xsi="http://www.w3.org/2001/XMLSchema-instance" xsi:type="dcterms:W3CDTF">2026-10-16T09:31:42Z</dcterms:modified>
  <cp:lastModifiedBy>Halvorsen Building Products</cp:lastModifiedBy>
</cp:coreProperties>
</file>