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xr:revisionPtr revIDLastSave="0" documentId="13_ncr:1_{F216D61B-3241-1C4B-ADC9-810691AE66B4}" xr6:coauthVersionLast="47" xr6:coauthVersionMax="47" xr10:uidLastSave="{00000000-0000-0000-0000-000000000000}"/>
  <bookViews>
    <workbookView xWindow="0" yWindow="0" windowWidth="21600" windowHeight="38400" xr2:uid="{00000000-000D-0000-FFFF-FFFF00000000}"/>
  </bookViews>
  <sheets>
    <sheet name="Summary" sheetId="1" r:id="rId1"/>
    <sheet name="Terms" sheetId="2" r:id="rId2"/>
    <sheet name="Tariff" sheetId="3" r:id="rId3"/>
    <sheet name="Fuel Index" sheetId="4" r:id="rId4"/>
    <sheet name="BOL" sheetId="5" r:id="rId5"/>
    <sheet name="Invoices" sheetId="6" r:id="rId6"/>
    <sheet name="Billing File" sheetId="7" r:id="rId7"/>
    <sheet name="Confirmations" sheetId="8" r:id="rId8"/>
    <sheet name="Audit" sheetId="9" r:id="rId9"/>
    <sheet name="Exceptions" sheetId="10" r:id="rId10"/>
    <sheet name="Claim Schedule" sheetId="11" r:id="rId11"/>
    <sheet name="Undercharges" sheetId="12" r:id="rId12"/>
    <sheet name="Note to Ingrid"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2" l="1"/>
  <c r="A5" i="12"/>
  <c r="C4" i="12"/>
  <c r="A4" i="12"/>
  <c r="A12" i="11"/>
  <c r="C11" i="11"/>
  <c r="A11" i="11"/>
  <c r="C10" i="11"/>
  <c r="A10" i="11"/>
  <c r="C9" i="11"/>
  <c r="A9" i="11"/>
  <c r="C8" i="11"/>
  <c r="A8" i="11"/>
  <c r="C7" i="11"/>
  <c r="A7" i="11"/>
  <c r="C6" i="11"/>
  <c r="A6" i="11"/>
  <c r="C5" i="11"/>
  <c r="A5" i="11"/>
  <c r="C4" i="11"/>
  <c r="A4" i="11"/>
  <c r="B18" i="10"/>
  <c r="B15" i="10"/>
  <c r="D14" i="10"/>
  <c r="B14" i="10"/>
  <c r="D13" i="10"/>
  <c r="B13" i="10"/>
  <c r="D12" i="10"/>
  <c r="B12" i="10"/>
  <c r="D11" i="10"/>
  <c r="B11" i="10"/>
  <c r="D10" i="10"/>
  <c r="B10" i="10"/>
  <c r="D9" i="10"/>
  <c r="B9" i="10"/>
  <c r="D8" i="10"/>
  <c r="B8" i="10"/>
  <c r="D7" i="10"/>
  <c r="B7" i="10"/>
  <c r="D6" i="10"/>
  <c r="B6" i="10"/>
  <c r="D5" i="10"/>
  <c r="B5" i="10"/>
  <c r="D4" i="10"/>
  <c r="B4" i="10"/>
  <c r="AC23" i="9"/>
  <c r="BQ22" i="9"/>
  <c r="BP22" i="9"/>
  <c r="BO22" i="9"/>
  <c r="BM22" i="9"/>
  <c r="BK22" i="9"/>
  <c r="BI22" i="9"/>
  <c r="BH22" i="9"/>
  <c r="BJ22" i="9" s="1"/>
  <c r="AV22" i="9"/>
  <c r="AU22" i="9"/>
  <c r="AQ22" i="9"/>
  <c r="AL22" i="9"/>
  <c r="AK22" i="9"/>
  <c r="AG22" i="9"/>
  <c r="AF22" i="9"/>
  <c r="AE22" i="9"/>
  <c r="AC22" i="9"/>
  <c r="K22" i="9"/>
  <c r="G22" i="9"/>
  <c r="B22" i="9"/>
  <c r="A22" i="9"/>
  <c r="BQ21" i="9"/>
  <c r="BP21" i="9"/>
  <c r="BO21" i="9"/>
  <c r="BM21" i="9"/>
  <c r="AU21" i="9"/>
  <c r="AQ21" i="9"/>
  <c r="AL21" i="9"/>
  <c r="AK21" i="9"/>
  <c r="AG21" i="9"/>
  <c r="AF21" i="9"/>
  <c r="AE21" i="9"/>
  <c r="AC21" i="9"/>
  <c r="K21" i="9"/>
  <c r="G21" i="9"/>
  <c r="B21" i="9"/>
  <c r="A21" i="9"/>
  <c r="BQ20" i="9"/>
  <c r="BP20" i="9"/>
  <c r="BO20" i="9"/>
  <c r="BM20" i="9"/>
  <c r="AU20" i="9"/>
  <c r="AQ20" i="9"/>
  <c r="AL20" i="9"/>
  <c r="AK20" i="9"/>
  <c r="AG20" i="9"/>
  <c r="AF20" i="9"/>
  <c r="AE20" i="9"/>
  <c r="AC20" i="9"/>
  <c r="K20" i="9"/>
  <c r="G20" i="9"/>
  <c r="B20" i="9"/>
  <c r="A20" i="9"/>
  <c r="BQ19" i="9"/>
  <c r="BP19" i="9"/>
  <c r="BO19" i="9"/>
  <c r="BM19" i="9"/>
  <c r="BK19" i="9"/>
  <c r="AU19" i="9"/>
  <c r="AQ19" i="9"/>
  <c r="AL19" i="9"/>
  <c r="AK19" i="9"/>
  <c r="AG19" i="9"/>
  <c r="AF19" i="9"/>
  <c r="AE19" i="9"/>
  <c r="AC19" i="9"/>
  <c r="K19" i="9"/>
  <c r="G19" i="9"/>
  <c r="B19" i="9"/>
  <c r="A19" i="9"/>
  <c r="BQ18" i="9"/>
  <c r="BP18" i="9"/>
  <c r="BO18" i="9"/>
  <c r="BM18" i="9"/>
  <c r="AU18" i="9"/>
  <c r="AQ18" i="9"/>
  <c r="AL18" i="9"/>
  <c r="AK18" i="9"/>
  <c r="AG18" i="9"/>
  <c r="AF18" i="9"/>
  <c r="AE18" i="9"/>
  <c r="AC18" i="9"/>
  <c r="K18" i="9"/>
  <c r="G18" i="9"/>
  <c r="B18" i="9"/>
  <c r="A18" i="9"/>
  <c r="BQ17" i="9"/>
  <c r="BP17" i="9"/>
  <c r="BO17" i="9"/>
  <c r="BM17" i="9"/>
  <c r="AU17" i="9"/>
  <c r="AQ17" i="9"/>
  <c r="AL17" i="9"/>
  <c r="AK17" i="9"/>
  <c r="AG17" i="9"/>
  <c r="AF17" i="9"/>
  <c r="AE17" i="9"/>
  <c r="AC17" i="9"/>
  <c r="AA17" i="9"/>
  <c r="X17" i="9"/>
  <c r="L17" i="9"/>
  <c r="K17" i="9"/>
  <c r="G17" i="9"/>
  <c r="B17" i="9"/>
  <c r="A17" i="9"/>
  <c r="BQ16" i="9"/>
  <c r="BP16" i="9"/>
  <c r="BO16" i="9"/>
  <c r="BM16" i="9"/>
  <c r="AU16" i="9"/>
  <c r="AQ16" i="9"/>
  <c r="AL16" i="9"/>
  <c r="AK16" i="9"/>
  <c r="AG16" i="9"/>
  <c r="AF16" i="9"/>
  <c r="AE16" i="9"/>
  <c r="AC16" i="9"/>
  <c r="K16" i="9"/>
  <c r="G16" i="9"/>
  <c r="B16" i="9"/>
  <c r="A16" i="9"/>
  <c r="BQ15" i="9"/>
  <c r="BP15" i="9"/>
  <c r="BO15" i="9"/>
  <c r="BM15" i="9"/>
  <c r="AU15" i="9"/>
  <c r="AQ15" i="9"/>
  <c r="AL15" i="9"/>
  <c r="AK15" i="9"/>
  <c r="AG15" i="9"/>
  <c r="AF15" i="9"/>
  <c r="AE15" i="9"/>
  <c r="AC15" i="9"/>
  <c r="K15" i="9"/>
  <c r="G15" i="9"/>
  <c r="B15" i="9"/>
  <c r="A15" i="9"/>
  <c r="BQ14" i="9"/>
  <c r="BP14" i="9"/>
  <c r="BO14" i="9"/>
  <c r="BM14" i="9"/>
  <c r="AU14" i="9"/>
  <c r="AQ14" i="9"/>
  <c r="AL14" i="9"/>
  <c r="AK14" i="9"/>
  <c r="AG14" i="9"/>
  <c r="AF14" i="9"/>
  <c r="AE14" i="9"/>
  <c r="AC14" i="9"/>
  <c r="K14" i="9"/>
  <c r="G14" i="9"/>
  <c r="B14" i="9"/>
  <c r="A14" i="9"/>
  <c r="BQ13" i="9"/>
  <c r="BP13" i="9"/>
  <c r="BO13" i="9"/>
  <c r="BM13" i="9"/>
  <c r="AU13" i="9"/>
  <c r="AQ13" i="9"/>
  <c r="AL13" i="9"/>
  <c r="AK13" i="9"/>
  <c r="AG13" i="9"/>
  <c r="AF13" i="9"/>
  <c r="AE13" i="9"/>
  <c r="AC13" i="9"/>
  <c r="K13" i="9"/>
  <c r="G13" i="9"/>
  <c r="B13" i="9"/>
  <c r="A13" i="9"/>
  <c r="BQ12" i="9"/>
  <c r="BP12" i="9"/>
  <c r="BO12" i="9"/>
  <c r="BM12" i="9"/>
  <c r="AU12" i="9"/>
  <c r="AQ12" i="9"/>
  <c r="AL12" i="9"/>
  <c r="AK12" i="9"/>
  <c r="AG12" i="9"/>
  <c r="AF12" i="9"/>
  <c r="AE12" i="9"/>
  <c r="AC12" i="9"/>
  <c r="K12" i="9"/>
  <c r="G12" i="9"/>
  <c r="B12" i="9"/>
  <c r="A12" i="9"/>
  <c r="BQ11" i="9"/>
  <c r="BP11" i="9"/>
  <c r="BO11" i="9"/>
  <c r="BM11" i="9"/>
  <c r="BK11" i="9"/>
  <c r="BI11" i="9"/>
  <c r="BH11" i="9"/>
  <c r="BJ11" i="9" s="1"/>
  <c r="AV11" i="9"/>
  <c r="AU11" i="9"/>
  <c r="AQ11" i="9"/>
  <c r="AL11" i="9"/>
  <c r="AK11" i="9"/>
  <c r="AG11" i="9"/>
  <c r="AF11" i="9"/>
  <c r="AE11" i="9"/>
  <c r="AC11" i="9"/>
  <c r="K11" i="9"/>
  <c r="G11" i="9"/>
  <c r="B11" i="9"/>
  <c r="A11" i="9"/>
  <c r="BQ10" i="9"/>
  <c r="BP10" i="9"/>
  <c r="BO10" i="9"/>
  <c r="BM10" i="9"/>
  <c r="AU10" i="9"/>
  <c r="AQ10" i="9"/>
  <c r="AL10" i="9"/>
  <c r="AK10" i="9"/>
  <c r="AG10" i="9"/>
  <c r="AF10" i="9"/>
  <c r="AE10" i="9"/>
  <c r="AC10" i="9"/>
  <c r="K10" i="9"/>
  <c r="G10" i="9"/>
  <c r="B10" i="9"/>
  <c r="A10" i="9"/>
  <c r="BQ9" i="9"/>
  <c r="BP9" i="9"/>
  <c r="BO9" i="9"/>
  <c r="BM9" i="9"/>
  <c r="AU9" i="9"/>
  <c r="AQ9" i="9"/>
  <c r="AL9" i="9"/>
  <c r="AK9" i="9"/>
  <c r="AG9" i="9"/>
  <c r="AF9" i="9"/>
  <c r="AE9" i="9"/>
  <c r="AC9" i="9"/>
  <c r="K9" i="9"/>
  <c r="G9" i="9"/>
  <c r="B9" i="9"/>
  <c r="A9" i="9"/>
  <c r="BQ8" i="9"/>
  <c r="BP8" i="9"/>
  <c r="BO8" i="9"/>
  <c r="BM8" i="9"/>
  <c r="AU8" i="9"/>
  <c r="AQ8" i="9"/>
  <c r="AL8" i="9"/>
  <c r="AK8" i="9"/>
  <c r="AG8" i="9"/>
  <c r="AF8" i="9"/>
  <c r="AE8" i="9"/>
  <c r="AC8" i="9"/>
  <c r="K8" i="9"/>
  <c r="G8" i="9"/>
  <c r="B8" i="9"/>
  <c r="A8" i="9"/>
  <c r="BQ7" i="9"/>
  <c r="BP7" i="9"/>
  <c r="BO7" i="9"/>
  <c r="BM7" i="9"/>
  <c r="AU7" i="9"/>
  <c r="AQ7" i="9"/>
  <c r="AL7" i="9"/>
  <c r="AK7" i="9"/>
  <c r="AG7" i="9"/>
  <c r="AF7" i="9"/>
  <c r="AE7" i="9"/>
  <c r="AC7" i="9"/>
  <c r="K7" i="9"/>
  <c r="G7" i="9"/>
  <c r="B7" i="9"/>
  <c r="A7" i="9"/>
  <c r="BQ6" i="9"/>
  <c r="BP6" i="9"/>
  <c r="BO6" i="9"/>
  <c r="BM6" i="9"/>
  <c r="AU6" i="9"/>
  <c r="AQ6" i="9"/>
  <c r="AL6" i="9"/>
  <c r="AK6" i="9"/>
  <c r="AG6" i="9"/>
  <c r="AF6" i="9"/>
  <c r="AE6" i="9"/>
  <c r="AC6" i="9"/>
  <c r="AA6" i="9"/>
  <c r="Y6" i="9"/>
  <c r="X6" i="9"/>
  <c r="Z6" i="9" s="1"/>
  <c r="L6" i="9"/>
  <c r="K6" i="9"/>
  <c r="G6" i="9"/>
  <c r="B6" i="9"/>
  <c r="A6" i="9"/>
  <c r="BQ5" i="9"/>
  <c r="BP5" i="9"/>
  <c r="BO5" i="9"/>
  <c r="BM5" i="9"/>
  <c r="AU5" i="9"/>
  <c r="AQ5" i="9"/>
  <c r="AL5" i="9"/>
  <c r="AK5" i="9"/>
  <c r="AG5" i="9"/>
  <c r="AF5" i="9"/>
  <c r="AE5" i="9"/>
  <c r="AC5" i="9"/>
  <c r="K5" i="9"/>
  <c r="G5" i="9"/>
  <c r="B5" i="9"/>
  <c r="A5" i="9"/>
  <c r="BQ4" i="9"/>
  <c r="BP4" i="9"/>
  <c r="BO4" i="9"/>
  <c r="BM4" i="9"/>
  <c r="AU4" i="9"/>
  <c r="AQ4" i="9"/>
  <c r="AL4" i="9"/>
  <c r="AK4" i="9"/>
  <c r="AG4" i="9"/>
  <c r="AF4" i="9"/>
  <c r="AE4" i="9"/>
  <c r="AC4" i="9"/>
  <c r="K4" i="9"/>
  <c r="G4" i="9"/>
  <c r="B4" i="9"/>
  <c r="A4" i="9"/>
  <c r="G5" i="8"/>
  <c r="F5" i="8"/>
  <c r="H5" i="8" s="1"/>
  <c r="G4" i="8"/>
  <c r="F4" i="8"/>
  <c r="H4" i="8" s="1"/>
  <c r="Y17" i="9" s="1"/>
  <c r="C12" i="4"/>
  <c r="C11" i="4"/>
  <c r="C10" i="4"/>
  <c r="C9" i="4"/>
  <c r="C8" i="4"/>
  <c r="C7" i="4"/>
  <c r="C6" i="4"/>
  <c r="C5" i="4"/>
  <c r="C4" i="4"/>
  <c r="B15" i="1"/>
  <c r="B14" i="1"/>
  <c r="B13" i="1"/>
  <c r="B7" i="1"/>
  <c r="B6" i="1"/>
  <c r="B16" i="1" s="1"/>
  <c r="C12" i="11" l="1"/>
  <c r="C13" i="11" s="1"/>
  <c r="D15" i="10"/>
  <c r="D16" i="10" s="1"/>
  <c r="BM23" i="9"/>
  <c r="B25" i="9" s="1"/>
  <c r="BL22" i="9"/>
  <c r="BN22" i="9" s="1"/>
  <c r="BR22" i="9"/>
  <c r="AR22" i="9"/>
  <c r="AN22" i="9"/>
  <c r="AM22" i="9"/>
  <c r="BE22" i="9" s="1"/>
  <c r="BF22" i="9" s="1"/>
  <c r="AP22" i="9"/>
  <c r="AO22" i="9"/>
  <c r="AT22" i="9" s="1"/>
  <c r="L22" i="9"/>
  <c r="H22" i="9"/>
  <c r="F22" i="9"/>
  <c r="E22" i="9"/>
  <c r="J22" i="9" s="1"/>
  <c r="D22" i="9"/>
  <c r="C22" i="9"/>
  <c r="U22" i="9" s="1"/>
  <c r="V22" i="9" s="1"/>
  <c r="AA22" i="9"/>
  <c r="Y22" i="9"/>
  <c r="X22" i="9"/>
  <c r="Z22" i="9" s="1"/>
  <c r="AN21" i="9"/>
  <c r="AM21" i="9"/>
  <c r="BE21" i="9" s="1"/>
  <c r="BF21" i="9" s="1"/>
  <c r="AO21" i="9"/>
  <c r="AT21" i="9" s="1"/>
  <c r="AP21" i="9"/>
  <c r="AR21" i="9"/>
  <c r="AS21" i="9" s="1"/>
  <c r="AV21" i="9"/>
  <c r="BH21" i="9"/>
  <c r="BI21" i="9"/>
  <c r="BK21" i="9"/>
  <c r="AA21" i="9"/>
  <c r="Y21" i="9"/>
  <c r="X21" i="9"/>
  <c r="Z21" i="9" s="1"/>
  <c r="L21" i="9"/>
  <c r="H21" i="9"/>
  <c r="F21" i="9"/>
  <c r="E21" i="9"/>
  <c r="J21" i="9" s="1"/>
  <c r="D21" i="9"/>
  <c r="C21" i="9"/>
  <c r="U21" i="9" s="1"/>
  <c r="V21" i="9" s="1"/>
  <c r="AV20" i="9"/>
  <c r="AN20" i="9"/>
  <c r="BH20" i="9"/>
  <c r="AR20" i="9"/>
  <c r="BK20" i="9"/>
  <c r="BI20" i="9"/>
  <c r="AP20" i="9"/>
  <c r="AO20" i="9"/>
  <c r="AT20" i="9" s="1"/>
  <c r="AM20" i="9"/>
  <c r="BE20" i="9" s="1"/>
  <c r="BF20" i="9" s="1"/>
  <c r="D20" i="9"/>
  <c r="E20" i="9"/>
  <c r="J20" i="9" s="1"/>
  <c r="AA20" i="9"/>
  <c r="Y20" i="9"/>
  <c r="X20" i="9"/>
  <c r="Z20" i="9" s="1"/>
  <c r="L20" i="9"/>
  <c r="H20" i="9"/>
  <c r="F20" i="9"/>
  <c r="C20" i="9"/>
  <c r="U20" i="9" s="1"/>
  <c r="V20" i="9" s="1"/>
  <c r="BI19" i="9"/>
  <c r="BH19" i="9"/>
  <c r="BJ19" i="9" s="1"/>
  <c r="AV19" i="9"/>
  <c r="AR19" i="9"/>
  <c r="AP19" i="9"/>
  <c r="AO19" i="9"/>
  <c r="AT19" i="9" s="1"/>
  <c r="AN19" i="9"/>
  <c r="AM19" i="9"/>
  <c r="BE19" i="9" s="1"/>
  <c r="BF19" i="9" s="1"/>
  <c r="D19" i="9"/>
  <c r="C19" i="9"/>
  <c r="U19" i="9" s="1"/>
  <c r="V19" i="9" s="1"/>
  <c r="AA19" i="9"/>
  <c r="Y19" i="9"/>
  <c r="E19" i="9"/>
  <c r="J19" i="9" s="1"/>
  <c r="X19" i="9"/>
  <c r="Z19" i="9" s="1"/>
  <c r="L19" i="9"/>
  <c r="H19" i="9"/>
  <c r="F19" i="9"/>
  <c r="BH18" i="9"/>
  <c r="AM18" i="9"/>
  <c r="BE18" i="9" s="1"/>
  <c r="BF18" i="9" s="1"/>
  <c r="AN18" i="9"/>
  <c r="AO18" i="9"/>
  <c r="AT18" i="9" s="1"/>
  <c r="AP18" i="9"/>
  <c r="AR18" i="9"/>
  <c r="AS18" i="9" s="1"/>
  <c r="AV18" i="9"/>
  <c r="BI18" i="9"/>
  <c r="BK18" i="9"/>
  <c r="AA18" i="9"/>
  <c r="Y18" i="9"/>
  <c r="L18" i="9"/>
  <c r="H18" i="9"/>
  <c r="F18" i="9"/>
  <c r="E18" i="9"/>
  <c r="J18" i="9" s="1"/>
  <c r="D18" i="9"/>
  <c r="C18" i="9"/>
  <c r="U18" i="9" s="1"/>
  <c r="V18" i="9" s="1"/>
  <c r="X18" i="9"/>
  <c r="Z18" i="9" s="1"/>
  <c r="BI17" i="9"/>
  <c r="AM17" i="9"/>
  <c r="BE17" i="9" s="1"/>
  <c r="BF17" i="9" s="1"/>
  <c r="BK17" i="9"/>
  <c r="AV17" i="9"/>
  <c r="AR17" i="9"/>
  <c r="AP17" i="9"/>
  <c r="AO17" i="9"/>
  <c r="AT17" i="9" s="1"/>
  <c r="AN17" i="9"/>
  <c r="BH17" i="9"/>
  <c r="BJ17" i="9" s="1"/>
  <c r="E17" i="9"/>
  <c r="J17" i="9" s="1"/>
  <c r="D17" i="9"/>
  <c r="F17" i="9"/>
  <c r="C17" i="9"/>
  <c r="U17" i="9" s="1"/>
  <c r="V17" i="9" s="1"/>
  <c r="H17" i="9"/>
  <c r="I17" i="9" s="1"/>
  <c r="BH16" i="9"/>
  <c r="AV16" i="9"/>
  <c r="AM16" i="9"/>
  <c r="BE16" i="9" s="1"/>
  <c r="BF16" i="9" s="1"/>
  <c r="AN16" i="9"/>
  <c r="AO16" i="9"/>
  <c r="AT16" i="9" s="1"/>
  <c r="AP16" i="9"/>
  <c r="BK16" i="9"/>
  <c r="AR16" i="9"/>
  <c r="AS16" i="9" s="1"/>
  <c r="BI16" i="9"/>
  <c r="AA16" i="9"/>
  <c r="Y16" i="9"/>
  <c r="X16" i="9"/>
  <c r="Z16" i="9" s="1"/>
  <c r="L16" i="9"/>
  <c r="H16" i="9"/>
  <c r="F16" i="9"/>
  <c r="D16" i="9"/>
  <c r="C16" i="9"/>
  <c r="U16" i="9" s="1"/>
  <c r="V16" i="9" s="1"/>
  <c r="E16" i="9"/>
  <c r="J16" i="9" s="1"/>
  <c r="AO15" i="9"/>
  <c r="AT15" i="9" s="1"/>
  <c r="AM15" i="9"/>
  <c r="BE15" i="9" s="1"/>
  <c r="BF15" i="9" s="1"/>
  <c r="AN15" i="9"/>
  <c r="AP15" i="9"/>
  <c r="AR15" i="9"/>
  <c r="AS15" i="9" s="1"/>
  <c r="BH15" i="9"/>
  <c r="BI15" i="9"/>
  <c r="BK15" i="9"/>
  <c r="AV15" i="9"/>
  <c r="AA15" i="9"/>
  <c r="Y15" i="9"/>
  <c r="X15" i="9"/>
  <c r="Z15" i="9" s="1"/>
  <c r="L15" i="9"/>
  <c r="H15" i="9"/>
  <c r="F15" i="9"/>
  <c r="E15" i="9"/>
  <c r="J15" i="9" s="1"/>
  <c r="D15" i="9"/>
  <c r="C15" i="9"/>
  <c r="U15" i="9" s="1"/>
  <c r="V15" i="9" s="1"/>
  <c r="AM14" i="9"/>
  <c r="BE14" i="9" s="1"/>
  <c r="BF14" i="9" s="1"/>
  <c r="AO14" i="9"/>
  <c r="AT14" i="9" s="1"/>
  <c r="BK14" i="9"/>
  <c r="AN14" i="9"/>
  <c r="BI14" i="9"/>
  <c r="BH14" i="9"/>
  <c r="BJ14" i="9" s="1"/>
  <c r="AV14" i="9"/>
  <c r="AR14" i="9"/>
  <c r="AS14" i="9" s="1"/>
  <c r="AP14" i="9"/>
  <c r="Y14" i="9"/>
  <c r="E14" i="9"/>
  <c r="J14" i="9" s="1"/>
  <c r="C14" i="9"/>
  <c r="U14" i="9" s="1"/>
  <c r="V14" i="9" s="1"/>
  <c r="D14" i="9"/>
  <c r="AA14" i="9"/>
  <c r="X14" i="9"/>
  <c r="Z14" i="9" s="1"/>
  <c r="L14" i="9"/>
  <c r="H14" i="9"/>
  <c r="I14" i="9" s="1"/>
  <c r="F14" i="9"/>
  <c r="BK13" i="9"/>
  <c r="BI13" i="9"/>
  <c r="BH13" i="9"/>
  <c r="BJ13" i="9" s="1"/>
  <c r="AV13" i="9"/>
  <c r="AR13" i="9"/>
  <c r="AS13" i="9" s="1"/>
  <c r="AP13" i="9"/>
  <c r="AN13" i="9"/>
  <c r="AO13" i="9"/>
  <c r="AT13" i="9" s="1"/>
  <c r="AM13" i="9"/>
  <c r="BE13" i="9" s="1"/>
  <c r="BF13" i="9" s="1"/>
  <c r="C13" i="9"/>
  <c r="U13" i="9" s="1"/>
  <c r="V13" i="9" s="1"/>
  <c r="AA13" i="9"/>
  <c r="Y13" i="9"/>
  <c r="X13" i="9"/>
  <c r="Z13" i="9" s="1"/>
  <c r="D13" i="9"/>
  <c r="L13" i="9"/>
  <c r="H13" i="9"/>
  <c r="F13" i="9"/>
  <c r="E13" i="9"/>
  <c r="J13" i="9" s="1"/>
  <c r="AV12" i="9"/>
  <c r="AM12" i="9"/>
  <c r="BE12" i="9" s="1"/>
  <c r="BF12" i="9" s="1"/>
  <c r="AN12" i="9"/>
  <c r="AO12" i="9"/>
  <c r="AT12" i="9" s="1"/>
  <c r="AP12" i="9"/>
  <c r="AR12" i="9"/>
  <c r="AS12" i="9" s="1"/>
  <c r="BH12" i="9"/>
  <c r="BI12" i="9"/>
  <c r="BK12" i="9"/>
  <c r="AA12" i="9"/>
  <c r="Y12" i="9"/>
  <c r="X12" i="9"/>
  <c r="Z12" i="9" s="1"/>
  <c r="H12" i="9"/>
  <c r="I12" i="9" s="1"/>
  <c r="F12" i="9"/>
  <c r="E12" i="9"/>
  <c r="J12" i="9" s="1"/>
  <c r="D12" i="9"/>
  <c r="C12" i="9"/>
  <c r="U12" i="9" s="1"/>
  <c r="V12" i="9" s="1"/>
  <c r="L12" i="9"/>
  <c r="C6" i="12"/>
  <c r="C7" i="12" s="1"/>
  <c r="A6" i="12"/>
  <c r="AN11" i="9"/>
  <c r="AO11" i="9"/>
  <c r="AT11" i="9" s="1"/>
  <c r="AM11" i="9"/>
  <c r="BE11" i="9" s="1"/>
  <c r="BF11" i="9" s="1"/>
  <c r="AR11" i="9"/>
  <c r="AP11" i="9"/>
  <c r="D11" i="9"/>
  <c r="Y11" i="9"/>
  <c r="X11" i="9"/>
  <c r="Z11" i="9" s="1"/>
  <c r="L11" i="9"/>
  <c r="H11" i="9"/>
  <c r="F11" i="9"/>
  <c r="C11" i="9"/>
  <c r="U11" i="9" s="1"/>
  <c r="V11" i="9" s="1"/>
  <c r="E11" i="9"/>
  <c r="J11" i="9" s="1"/>
  <c r="AA11" i="9"/>
  <c r="BK10" i="9"/>
  <c r="AP10" i="9"/>
  <c r="AM10" i="9"/>
  <c r="BE10" i="9" s="1"/>
  <c r="BF10" i="9" s="1"/>
  <c r="AN10" i="9"/>
  <c r="BI10" i="9"/>
  <c r="AO10" i="9"/>
  <c r="AT10" i="9" s="1"/>
  <c r="AR10" i="9"/>
  <c r="AS10" i="9" s="1"/>
  <c r="AV10" i="9"/>
  <c r="BH10" i="9"/>
  <c r="BJ10" i="9" s="1"/>
  <c r="L10" i="9"/>
  <c r="H10" i="9"/>
  <c r="F10" i="9"/>
  <c r="E10" i="9"/>
  <c r="J10" i="9" s="1"/>
  <c r="D10" i="9"/>
  <c r="C10" i="9"/>
  <c r="U10" i="9" s="1"/>
  <c r="V10" i="9" s="1"/>
  <c r="X10" i="9"/>
  <c r="Y10" i="9"/>
  <c r="AA10" i="9"/>
  <c r="AR9" i="9"/>
  <c r="AM9" i="9"/>
  <c r="BE9" i="9" s="1"/>
  <c r="BF9" i="9" s="1"/>
  <c r="AN9" i="9"/>
  <c r="AO9" i="9"/>
  <c r="AT9" i="9" s="1"/>
  <c r="AP9" i="9"/>
  <c r="AV9" i="9"/>
  <c r="BH9" i="9"/>
  <c r="BK9" i="9"/>
  <c r="BI9" i="9"/>
  <c r="E9" i="9"/>
  <c r="J9" i="9" s="1"/>
  <c r="AA9" i="9"/>
  <c r="Y9" i="9"/>
  <c r="X9" i="9"/>
  <c r="Z9" i="9" s="1"/>
  <c r="L9" i="9"/>
  <c r="H9" i="9"/>
  <c r="F9" i="9"/>
  <c r="D9" i="9"/>
  <c r="C9" i="9"/>
  <c r="U9" i="9" s="1"/>
  <c r="V9" i="9" s="1"/>
  <c r="AR8" i="9"/>
  <c r="AS8" i="9" s="1"/>
  <c r="AM8" i="9"/>
  <c r="BE8" i="9" s="1"/>
  <c r="BF8" i="9" s="1"/>
  <c r="AV8" i="9"/>
  <c r="AP8" i="9"/>
  <c r="AO8" i="9"/>
  <c r="AT8" i="9" s="1"/>
  <c r="AN8" i="9"/>
  <c r="BK8" i="9"/>
  <c r="BI8" i="9"/>
  <c r="BH8" i="9"/>
  <c r="BJ8" i="9" s="1"/>
  <c r="C8" i="9"/>
  <c r="U8" i="9" s="1"/>
  <c r="V8" i="9" s="1"/>
  <c r="D8" i="9"/>
  <c r="E8" i="9"/>
  <c r="J8" i="9" s="1"/>
  <c r="F8" i="9"/>
  <c r="H8" i="9"/>
  <c r="I8" i="9" s="1"/>
  <c r="L8" i="9"/>
  <c r="X8" i="9"/>
  <c r="Y8" i="9"/>
  <c r="AA8" i="9"/>
  <c r="AM7" i="9"/>
  <c r="BE7" i="9" s="1"/>
  <c r="BF7" i="9" s="1"/>
  <c r="AO7" i="9"/>
  <c r="AT7" i="9" s="1"/>
  <c r="AP7" i="9"/>
  <c r="AR7" i="9"/>
  <c r="AS7" i="9" s="1"/>
  <c r="AV7" i="9"/>
  <c r="BH7" i="9"/>
  <c r="BI7" i="9"/>
  <c r="BK7" i="9"/>
  <c r="AN7" i="9"/>
  <c r="E7" i="9"/>
  <c r="J7" i="9" s="1"/>
  <c r="AA7" i="9"/>
  <c r="Y7" i="9"/>
  <c r="X7" i="9"/>
  <c r="Z7" i="9" s="1"/>
  <c r="L7" i="9"/>
  <c r="H7" i="9"/>
  <c r="I7" i="9" s="1"/>
  <c r="F7" i="9"/>
  <c r="D7" i="9"/>
  <c r="C7" i="9"/>
  <c r="U7" i="9" s="1"/>
  <c r="V7" i="9" s="1"/>
  <c r="AM6" i="9"/>
  <c r="BE6" i="9" s="1"/>
  <c r="BF6" i="9" s="1"/>
  <c r="BH6" i="9"/>
  <c r="BI6" i="9"/>
  <c r="BK6" i="9"/>
  <c r="AV6" i="9"/>
  <c r="AR6" i="9"/>
  <c r="AP6" i="9"/>
  <c r="AO6" i="9"/>
  <c r="AT6" i="9" s="1"/>
  <c r="AN6" i="9"/>
  <c r="C6" i="9"/>
  <c r="U6" i="9" s="1"/>
  <c r="V6" i="9" s="1"/>
  <c r="H6" i="9"/>
  <c r="F6" i="9"/>
  <c r="E6" i="9"/>
  <c r="J6" i="9" s="1"/>
  <c r="D6" i="9"/>
  <c r="AP5" i="9"/>
  <c r="BI5" i="9"/>
  <c r="BH5" i="9"/>
  <c r="BJ5" i="9" s="1"/>
  <c r="AV5" i="9"/>
  <c r="AR5" i="9"/>
  <c r="AS5" i="9" s="1"/>
  <c r="BK5" i="9"/>
  <c r="AO5" i="9"/>
  <c r="AT5" i="9" s="1"/>
  <c r="AN5" i="9"/>
  <c r="AM5" i="9"/>
  <c r="BE5" i="9" s="1"/>
  <c r="BF5" i="9" s="1"/>
  <c r="AA5" i="9"/>
  <c r="Y5" i="9"/>
  <c r="X5" i="9"/>
  <c r="Z5" i="9" s="1"/>
  <c r="L5" i="9"/>
  <c r="H5" i="9"/>
  <c r="I5" i="9" s="1"/>
  <c r="F5" i="9"/>
  <c r="E5" i="9"/>
  <c r="J5" i="9" s="1"/>
  <c r="D5" i="9"/>
  <c r="C5" i="9"/>
  <c r="U5" i="9" s="1"/>
  <c r="V5" i="9" s="1"/>
  <c r="BI4" i="9"/>
  <c r="BK4" i="9"/>
  <c r="BH4" i="9"/>
  <c r="BJ4" i="9" s="1"/>
  <c r="AV4" i="9"/>
  <c r="AR4" i="9"/>
  <c r="AS4" i="9" s="1"/>
  <c r="AP4" i="9"/>
  <c r="AO4" i="9"/>
  <c r="AT4" i="9" s="1"/>
  <c r="AN4" i="9"/>
  <c r="AM4" i="9"/>
  <c r="BE4" i="9" s="1"/>
  <c r="BF4" i="9" s="1"/>
  <c r="AA4" i="9"/>
  <c r="Y4" i="9"/>
  <c r="X4" i="9"/>
  <c r="Z4" i="9" s="1"/>
  <c r="L4" i="9"/>
  <c r="H4" i="9"/>
  <c r="I4" i="9" s="1"/>
  <c r="F4" i="9"/>
  <c r="E4" i="9"/>
  <c r="J4" i="9" s="1"/>
  <c r="D4" i="9"/>
  <c r="C4" i="9"/>
  <c r="U4" i="9" s="1"/>
  <c r="V4" i="9" s="1"/>
  <c r="Z17" i="9"/>
  <c r="E15" i="10" l="1"/>
  <c r="F15" i="10" s="1"/>
  <c r="G15" i="10" s="1"/>
  <c r="D12" i="11"/>
  <c r="E12" i="11" s="1"/>
  <c r="C15" i="10"/>
  <c r="F12" i="11"/>
  <c r="G12" i="11" s="1"/>
  <c r="M22" i="9"/>
  <c r="N22" i="9" s="1"/>
  <c r="AI22" i="9"/>
  <c r="AY21" i="9"/>
  <c r="AW21" i="9"/>
  <c r="AX21" i="9" s="1"/>
  <c r="BS21" i="9"/>
  <c r="M21" i="9"/>
  <c r="AI21" i="9"/>
  <c r="AW20" i="9"/>
  <c r="AX20" i="9" s="1"/>
  <c r="BS20" i="9"/>
  <c r="M20" i="9"/>
  <c r="AI20" i="9"/>
  <c r="AW19" i="9"/>
  <c r="BS19" i="9"/>
  <c r="M19" i="9"/>
  <c r="AI19" i="9"/>
  <c r="AY18" i="9"/>
  <c r="AW18" i="9"/>
  <c r="AX18" i="9" s="1"/>
  <c r="BS18" i="9"/>
  <c r="BR18" i="9"/>
  <c r="M18" i="9"/>
  <c r="AI18" i="9"/>
  <c r="AW17" i="9"/>
  <c r="BS17" i="9"/>
  <c r="O17" i="9"/>
  <c r="AW16" i="9"/>
  <c r="AX16" i="9" s="1"/>
  <c r="BS16" i="9"/>
  <c r="BR16" i="9"/>
  <c r="AY16" i="9"/>
  <c r="M16" i="9"/>
  <c r="AI16" i="9"/>
  <c r="AY15" i="9"/>
  <c r="AW15" i="9"/>
  <c r="BS15" i="9"/>
  <c r="M15" i="9"/>
  <c r="AI15" i="9"/>
  <c r="BL14" i="9"/>
  <c r="BR14" i="9"/>
  <c r="AW14" i="9"/>
  <c r="AX14" i="9" s="1"/>
  <c r="BS14" i="9"/>
  <c r="AY14" i="9"/>
  <c r="M14" i="9"/>
  <c r="AI14" i="9"/>
  <c r="O14" i="9"/>
  <c r="AW13" i="9"/>
  <c r="BS13" i="9"/>
  <c r="AY13" i="9"/>
  <c r="M13" i="9"/>
  <c r="AI13" i="9"/>
  <c r="AW12" i="9"/>
  <c r="AX12" i="9" s="1"/>
  <c r="BS12" i="9"/>
  <c r="AY12" i="9"/>
  <c r="O12" i="9"/>
  <c r="M12" i="9"/>
  <c r="AI12" i="9"/>
  <c r="M11" i="9"/>
  <c r="N11" i="9" s="1"/>
  <c r="AI11" i="9"/>
  <c r="AY10" i="9"/>
  <c r="AW10" i="9"/>
  <c r="BS10" i="9"/>
  <c r="M10" i="9"/>
  <c r="N10" i="9" s="1"/>
  <c r="AI10" i="9"/>
  <c r="AW9" i="9"/>
  <c r="AX9" i="9" s="1"/>
  <c r="BS9" i="9"/>
  <c r="M9" i="9"/>
  <c r="AI9" i="9"/>
  <c r="AY8" i="9"/>
  <c r="AW8" i="9"/>
  <c r="AX8" i="9" s="1"/>
  <c r="BS8" i="9"/>
  <c r="O8" i="9"/>
  <c r="M8" i="9"/>
  <c r="N8" i="9" s="1"/>
  <c r="AI8" i="9"/>
  <c r="AY7" i="9"/>
  <c r="AW7" i="9"/>
  <c r="AX7" i="9" s="1"/>
  <c r="BS7" i="9"/>
  <c r="M7" i="9"/>
  <c r="AI7" i="9"/>
  <c r="O7" i="9"/>
  <c r="AW6" i="9"/>
  <c r="BS6" i="9"/>
  <c r="AW5" i="9"/>
  <c r="AX5" i="9" s="1"/>
  <c r="BS5" i="9"/>
  <c r="AY5" i="9"/>
  <c r="M5" i="9"/>
  <c r="AI5" i="9"/>
  <c r="O5" i="9"/>
  <c r="AW4" i="9"/>
  <c r="BS4" i="9"/>
  <c r="AY4" i="9"/>
  <c r="M4" i="9"/>
  <c r="AI4" i="9"/>
  <c r="O4" i="9"/>
  <c r="AS22" i="9"/>
  <c r="I22" i="9"/>
  <c r="BJ21" i="9"/>
  <c r="I21" i="9"/>
  <c r="AS19" i="9"/>
  <c r="I19" i="9"/>
  <c r="BJ18" i="9"/>
  <c r="BJ20" i="9"/>
  <c r="AS20" i="9"/>
  <c r="I20" i="9"/>
  <c r="I18" i="9"/>
  <c r="AS17" i="9"/>
  <c r="BJ16" i="9"/>
  <c r="I16" i="9"/>
  <c r="BJ15" i="9"/>
  <c r="I15" i="9"/>
  <c r="BJ12" i="9"/>
  <c r="AS11" i="9"/>
  <c r="I13" i="9"/>
  <c r="I11" i="9"/>
  <c r="I10" i="9"/>
  <c r="Z10" i="9"/>
  <c r="AS9" i="9"/>
  <c r="BJ9" i="9"/>
  <c r="I9" i="9"/>
  <c r="Z8" i="9"/>
  <c r="BJ7" i="9"/>
  <c r="BJ6" i="9"/>
  <c r="AS6" i="9"/>
  <c r="I6" i="9"/>
  <c r="BS22" i="9"/>
  <c r="AW22" i="9"/>
  <c r="AX22" i="9" s="1"/>
  <c r="M17" i="9"/>
  <c r="AI17" i="9"/>
  <c r="BS11" i="9"/>
  <c r="AW11" i="9"/>
  <c r="AI6" i="9"/>
  <c r="M6" i="9"/>
  <c r="AZ21" i="9" l="1"/>
  <c r="BA21" i="9" s="1"/>
  <c r="BB21" i="9"/>
  <c r="AX19" i="9"/>
  <c r="AZ18" i="9"/>
  <c r="BA18" i="9" s="1"/>
  <c r="BC18" i="9" s="1"/>
  <c r="BD18" i="9" s="1"/>
  <c r="BB18" i="9"/>
  <c r="C13" i="10"/>
  <c r="F10" i="11"/>
  <c r="G10" i="11" s="1"/>
  <c r="P17" i="9"/>
  <c r="Q17" i="9" s="1"/>
  <c r="R17" i="9"/>
  <c r="C12" i="10"/>
  <c r="F9" i="11"/>
  <c r="G9" i="11" s="1"/>
  <c r="AZ16" i="9"/>
  <c r="BA16" i="9" s="1"/>
  <c r="BC16" i="9" s="1"/>
  <c r="BD16" i="9" s="1"/>
  <c r="BB16" i="9"/>
  <c r="AZ15" i="9"/>
  <c r="BA15" i="9" s="1"/>
  <c r="BB15" i="9"/>
  <c r="BN14" i="9"/>
  <c r="E11" i="10"/>
  <c r="F11" i="10" s="1"/>
  <c r="G11" i="10" s="1"/>
  <c r="D8" i="11"/>
  <c r="E8" i="11" s="1"/>
  <c r="F8" i="11"/>
  <c r="G8" i="11" s="1"/>
  <c r="C11" i="10"/>
  <c r="AZ14" i="9"/>
  <c r="BA14" i="9" s="1"/>
  <c r="BB14" i="9"/>
  <c r="P14" i="9"/>
  <c r="Q14" i="9" s="1"/>
  <c r="R14" i="9" s="1"/>
  <c r="S14" i="9" s="1"/>
  <c r="AZ13" i="9"/>
  <c r="BA13" i="9" s="1"/>
  <c r="BB13" i="9"/>
  <c r="AZ12" i="9"/>
  <c r="BA12" i="9" s="1"/>
  <c r="BB12" i="9"/>
  <c r="P12" i="9"/>
  <c r="Q12" i="9" s="1"/>
  <c r="R12" i="9"/>
  <c r="AZ10" i="9"/>
  <c r="BA10" i="9" s="1"/>
  <c r="BB10" i="9"/>
  <c r="AZ8" i="9"/>
  <c r="BA8" i="9" s="1"/>
  <c r="BB8" i="9"/>
  <c r="P8" i="9"/>
  <c r="Q8" i="9" s="1"/>
  <c r="R8" i="9"/>
  <c r="AZ7" i="9"/>
  <c r="BA7" i="9" s="1"/>
  <c r="BB7" i="9"/>
  <c r="P7" i="9"/>
  <c r="Q7" i="9" s="1"/>
  <c r="S7" i="9" s="1"/>
  <c r="R7" i="9"/>
  <c r="AZ5" i="9"/>
  <c r="BA5" i="9" s="1"/>
  <c r="BB5" i="9"/>
  <c r="P5" i="9"/>
  <c r="Q5" i="9" s="1"/>
  <c r="R5" i="9"/>
  <c r="AZ4" i="9"/>
  <c r="BA4" i="9" s="1"/>
  <c r="BB4" i="9"/>
  <c r="P4" i="9"/>
  <c r="Q4" i="9" s="1"/>
  <c r="R4" i="9"/>
  <c r="AY22" i="9"/>
  <c r="O22" i="9"/>
  <c r="O21" i="9"/>
  <c r="AY19" i="9"/>
  <c r="O19" i="9"/>
  <c r="AY20" i="9"/>
  <c r="O20" i="9"/>
  <c r="O18" i="9"/>
  <c r="AY17" i="9"/>
  <c r="O16" i="9"/>
  <c r="O15" i="9"/>
  <c r="AY11" i="9"/>
  <c r="O13" i="9"/>
  <c r="O11" i="9"/>
  <c r="O10" i="9"/>
  <c r="AY9" i="9"/>
  <c r="O9" i="9"/>
  <c r="AY6" i="9"/>
  <c r="O6" i="9"/>
  <c r="N17" i="9"/>
  <c r="AX11" i="9"/>
  <c r="N6" i="9"/>
  <c r="BS23" i="9"/>
  <c r="AI23" i="9"/>
  <c r="B26" i="9" s="1"/>
  <c r="B17" i="1" s="1"/>
  <c r="N21" i="9"/>
  <c r="N20" i="9"/>
  <c r="N19" i="9"/>
  <c r="N18" i="9"/>
  <c r="AX17" i="9"/>
  <c r="N16" i="9"/>
  <c r="AX15" i="9"/>
  <c r="N15" i="9"/>
  <c r="N14" i="9"/>
  <c r="AX13" i="9"/>
  <c r="N13" i="9"/>
  <c r="N12" i="9"/>
  <c r="AH12" i="9"/>
  <c r="AX10" i="9"/>
  <c r="N9" i="9"/>
  <c r="N7" i="9"/>
  <c r="AX6" i="9"/>
  <c r="N5" i="9"/>
  <c r="AX4" i="9"/>
  <c r="N4" i="9"/>
  <c r="BG18" i="9" l="1"/>
  <c r="BL18" i="9" s="1"/>
  <c r="BG16" i="9"/>
  <c r="BL16" i="9" s="1"/>
  <c r="AZ22" i="9"/>
  <c r="BA22" i="9" s="1"/>
  <c r="BB22" i="9"/>
  <c r="P22" i="9"/>
  <c r="Q22" i="9" s="1"/>
  <c r="S22" i="9" s="1"/>
  <c r="R22" i="9"/>
  <c r="P21" i="9"/>
  <c r="Q21" i="9" s="1"/>
  <c r="R21" i="9"/>
  <c r="AZ19" i="9"/>
  <c r="BA19" i="9" s="1"/>
  <c r="BB19" i="9"/>
  <c r="P19" i="9"/>
  <c r="Q19" i="9" s="1"/>
  <c r="R19" i="9"/>
  <c r="AZ20" i="9"/>
  <c r="BA20" i="9" s="1"/>
  <c r="BB20" i="9"/>
  <c r="P20" i="9"/>
  <c r="Q20" i="9" s="1"/>
  <c r="R20" i="9"/>
  <c r="P18" i="9"/>
  <c r="Q18" i="9" s="1"/>
  <c r="R18" i="9"/>
  <c r="AZ17" i="9"/>
  <c r="BA17" i="9" s="1"/>
  <c r="BC17" i="9" s="1"/>
  <c r="BB17" i="9"/>
  <c r="P16" i="9"/>
  <c r="Q16" i="9" s="1"/>
  <c r="R16" i="9"/>
  <c r="P15" i="9"/>
  <c r="Q15" i="9" s="1"/>
  <c r="R15" i="9"/>
  <c r="AZ11" i="9"/>
  <c r="BA11" i="9" s="1"/>
  <c r="BC11" i="9" s="1"/>
  <c r="BB11" i="9"/>
  <c r="P13" i="9"/>
  <c r="Q13" i="9" s="1"/>
  <c r="R13" i="9"/>
  <c r="P11" i="9"/>
  <c r="Q11" i="9" s="1"/>
  <c r="R11" i="9"/>
  <c r="P10" i="9"/>
  <c r="Q10" i="9" s="1"/>
  <c r="R10" i="9"/>
  <c r="AZ9" i="9"/>
  <c r="BA9" i="9" s="1"/>
  <c r="BB9" i="9"/>
  <c r="P9" i="9"/>
  <c r="Q9" i="9" s="1"/>
  <c r="R9" i="9"/>
  <c r="AZ6" i="9"/>
  <c r="BA6" i="9" s="1"/>
  <c r="BB6" i="9"/>
  <c r="P6" i="9"/>
  <c r="Q6" i="9" s="1"/>
  <c r="R6" i="9"/>
  <c r="C6" i="10"/>
  <c r="F4" i="11"/>
  <c r="BC21" i="9"/>
  <c r="BC14" i="9"/>
  <c r="BD14" i="9" s="1"/>
  <c r="BG14" i="9" s="1"/>
  <c r="BC13" i="9"/>
  <c r="S8" i="9"/>
  <c r="S5" i="9"/>
  <c r="S4" i="9"/>
  <c r="BC15" i="9"/>
  <c r="BC12" i="9"/>
  <c r="BC10" i="9"/>
  <c r="BC5" i="9"/>
  <c r="BC4" i="9"/>
  <c r="S17" i="9"/>
  <c r="S12" i="9"/>
  <c r="T12" i="9" s="1"/>
  <c r="BC8" i="9"/>
  <c r="BC7" i="9"/>
  <c r="AH14" i="9"/>
  <c r="T14" i="9"/>
  <c r="T7" i="9"/>
  <c r="AH7" i="9"/>
  <c r="D10" i="11" l="1"/>
  <c r="E10" i="11" s="1"/>
  <c r="E13" i="10"/>
  <c r="F13" i="10" s="1"/>
  <c r="G13" i="10" s="1"/>
  <c r="BN18" i="9"/>
  <c r="D9" i="11"/>
  <c r="E9" i="11" s="1"/>
  <c r="E12" i="10"/>
  <c r="F12" i="10" s="1"/>
  <c r="G12" i="10" s="1"/>
  <c r="BN16" i="9"/>
  <c r="T22" i="9"/>
  <c r="AH22" i="9"/>
  <c r="BR17" i="9"/>
  <c r="BD17" i="9"/>
  <c r="BR11" i="9"/>
  <c r="BD11" i="9"/>
  <c r="G4" i="11"/>
  <c r="BD21" i="9"/>
  <c r="BR21" i="9"/>
  <c r="BR13" i="9"/>
  <c r="BD13" i="9"/>
  <c r="T8" i="9"/>
  <c r="AH8" i="9"/>
  <c r="AH5" i="9"/>
  <c r="T5" i="9"/>
  <c r="AH4" i="9"/>
  <c r="T4" i="9"/>
  <c r="BR15" i="9"/>
  <c r="BD15" i="9"/>
  <c r="BD12" i="9"/>
  <c r="BR12" i="9"/>
  <c r="BR10" i="9"/>
  <c r="BD10" i="9"/>
  <c r="BD5" i="9"/>
  <c r="BR5" i="9"/>
  <c r="BR4" i="9"/>
  <c r="BD4" i="9"/>
  <c r="AH17" i="9"/>
  <c r="T17" i="9"/>
  <c r="W12" i="9"/>
  <c r="AB12" i="9"/>
  <c r="BD8" i="9"/>
  <c r="BR8" i="9"/>
  <c r="BD7" i="9"/>
  <c r="BR7" i="9"/>
  <c r="W14" i="9"/>
  <c r="AB14" i="9"/>
  <c r="AD14" i="9" s="1"/>
  <c r="W7" i="9"/>
  <c r="AB7" i="9" s="1"/>
  <c r="AD7" i="9" s="1"/>
  <c r="S21" i="9"/>
  <c r="BC19" i="9"/>
  <c r="S19" i="9"/>
  <c r="BC20" i="9"/>
  <c r="S20" i="9"/>
  <c r="S18" i="9"/>
  <c r="S16" i="9"/>
  <c r="S15" i="9"/>
  <c r="S13" i="9"/>
  <c r="S11" i="9"/>
  <c r="S10" i="9"/>
  <c r="BC9" i="9"/>
  <c r="S9" i="9"/>
  <c r="BC6" i="9"/>
  <c r="S6" i="9"/>
  <c r="BC22" i="9"/>
  <c r="BD22" i="9" s="1"/>
  <c r="BG22" i="9" s="1"/>
  <c r="W22" i="9" l="1"/>
  <c r="AB22" i="9" s="1"/>
  <c r="AD22" i="9" s="1"/>
  <c r="BG17" i="9"/>
  <c r="BL17" i="9"/>
  <c r="BN17" i="9" s="1"/>
  <c r="C10" i="10"/>
  <c r="F6" i="12"/>
  <c r="G6" i="12" s="1"/>
  <c r="BG11" i="9"/>
  <c r="BL11" i="9"/>
  <c r="BG21" i="9"/>
  <c r="BL21" i="9" s="1"/>
  <c r="BN21" i="9" s="1"/>
  <c r="BG13" i="9"/>
  <c r="BL13" i="9" s="1"/>
  <c r="BN13" i="9" s="1"/>
  <c r="W8" i="9"/>
  <c r="AB8" i="9" s="1"/>
  <c r="C4" i="10"/>
  <c r="F4" i="12"/>
  <c r="G4" i="12" s="1"/>
  <c r="W5" i="9"/>
  <c r="AB5" i="9"/>
  <c r="AD5" i="9" s="1"/>
  <c r="W4" i="9"/>
  <c r="AB4" i="9"/>
  <c r="BG15" i="9"/>
  <c r="BL15" i="9"/>
  <c r="BN15" i="9" s="1"/>
  <c r="BG12" i="9"/>
  <c r="BL12" i="9" s="1"/>
  <c r="BN12" i="9" s="1"/>
  <c r="BG10" i="9"/>
  <c r="BL10" i="9"/>
  <c r="BN10" i="9" s="1"/>
  <c r="BG5" i="9"/>
  <c r="BL5" i="9" s="1"/>
  <c r="F7" i="11"/>
  <c r="G7" i="11" s="1"/>
  <c r="C9" i="10"/>
  <c r="BG4" i="9"/>
  <c r="BL4" i="9"/>
  <c r="W17" i="9"/>
  <c r="AB17" i="9"/>
  <c r="AD17" i="9" s="1"/>
  <c r="E6" i="10"/>
  <c r="F6" i="10" s="1"/>
  <c r="G6" i="10" s="1"/>
  <c r="D4" i="11"/>
  <c r="AD12" i="9"/>
  <c r="BG8" i="9"/>
  <c r="BL8" i="9" s="1"/>
  <c r="BN8" i="9" s="1"/>
  <c r="BG7" i="9"/>
  <c r="BL7" i="9" s="1"/>
  <c r="BN7" i="9" s="1"/>
  <c r="T21" i="9"/>
  <c r="AH21" i="9"/>
  <c r="BD19" i="9"/>
  <c r="BR19" i="9"/>
  <c r="T19" i="9"/>
  <c r="AH19" i="9"/>
  <c r="BR20" i="9"/>
  <c r="BD20" i="9"/>
  <c r="T20" i="9"/>
  <c r="AH20" i="9"/>
  <c r="T18" i="9"/>
  <c r="AH18" i="9"/>
  <c r="T16" i="9"/>
  <c r="AH16" i="9"/>
  <c r="T15" i="9"/>
  <c r="AH15" i="9"/>
  <c r="T13" i="9"/>
  <c r="AH13" i="9"/>
  <c r="AH11" i="9"/>
  <c r="T11" i="9"/>
  <c r="AH10" i="9"/>
  <c r="T10" i="9"/>
  <c r="BR9" i="9"/>
  <c r="BD9" i="9"/>
  <c r="T9" i="9"/>
  <c r="AH9" i="9"/>
  <c r="BD6" i="9"/>
  <c r="BR6" i="9"/>
  <c r="T6" i="9"/>
  <c r="AH6" i="9"/>
  <c r="E10" i="10" l="1"/>
  <c r="F10" i="10" s="1"/>
  <c r="G10" i="10" s="1"/>
  <c r="BN11" i="9"/>
  <c r="D6" i="12"/>
  <c r="E6" i="12" s="1"/>
  <c r="E4" i="10"/>
  <c r="D4" i="12"/>
  <c r="AD8" i="9"/>
  <c r="AD4" i="9"/>
  <c r="D7" i="11"/>
  <c r="E7" i="11" s="1"/>
  <c r="E9" i="10"/>
  <c r="F9" i="10" s="1"/>
  <c r="G9" i="10" s="1"/>
  <c r="BN5" i="9"/>
  <c r="BN4" i="9"/>
  <c r="E4" i="11"/>
  <c r="W21" i="9"/>
  <c r="AB21" i="9"/>
  <c r="AD21" i="9" s="1"/>
  <c r="BG19" i="9"/>
  <c r="BL19" i="9"/>
  <c r="C14" i="10"/>
  <c r="F11" i="11"/>
  <c r="G11" i="11" s="1"/>
  <c r="W19" i="9"/>
  <c r="AB19" i="9"/>
  <c r="AD19" i="9" s="1"/>
  <c r="BG20" i="9"/>
  <c r="BL20" i="9" s="1"/>
  <c r="BN20" i="9" s="1"/>
  <c r="W20" i="9"/>
  <c r="AB20" i="9"/>
  <c r="F6" i="11"/>
  <c r="G6" i="11" s="1"/>
  <c r="C8" i="10"/>
  <c r="W18" i="9"/>
  <c r="AB18" i="9" s="1"/>
  <c r="F5" i="11"/>
  <c r="C7" i="10"/>
  <c r="W16" i="9"/>
  <c r="AB16" i="9"/>
  <c r="AD16" i="9" s="1"/>
  <c r="W15" i="9"/>
  <c r="AB15" i="9"/>
  <c r="AD15" i="9" s="1"/>
  <c r="W13" i="9"/>
  <c r="AB13" i="9"/>
  <c r="AD13" i="9" s="1"/>
  <c r="W11" i="9"/>
  <c r="AB11" i="9" s="1"/>
  <c r="AD11" i="9" s="1"/>
  <c r="C5" i="10"/>
  <c r="F5" i="12"/>
  <c r="G5" i="12" s="1"/>
  <c r="W10" i="9"/>
  <c r="AB10" i="9" s="1"/>
  <c r="BL9" i="9"/>
  <c r="BG9" i="9"/>
  <c r="W9" i="9"/>
  <c r="AB9" i="9"/>
  <c r="AD9" i="9" s="1"/>
  <c r="BG6" i="9"/>
  <c r="BL6" i="9"/>
  <c r="BN6" i="9" s="1"/>
  <c r="W6" i="9"/>
  <c r="AB6" i="9"/>
  <c r="AD6" i="9" s="1"/>
  <c r="F4" i="10" l="1"/>
  <c r="E4" i="12"/>
  <c r="B28" i="1"/>
  <c r="D11" i="11"/>
  <c r="E11" i="11" s="1"/>
  <c r="E14" i="10"/>
  <c r="F14" i="10" s="1"/>
  <c r="G14" i="10" s="1"/>
  <c r="BN19" i="9"/>
  <c r="E8" i="10"/>
  <c r="F8" i="10" s="1"/>
  <c r="G8" i="10" s="1"/>
  <c r="D6" i="11"/>
  <c r="E6" i="11" s="1"/>
  <c r="AD20" i="9"/>
  <c r="E7" i="10"/>
  <c r="F7" i="10" s="1"/>
  <c r="G7" i="10" s="1"/>
  <c r="D5" i="11"/>
  <c r="AD18" i="9"/>
  <c r="B29" i="1"/>
  <c r="B30" i="1"/>
  <c r="B31" i="1"/>
  <c r="B26" i="1"/>
  <c r="G5" i="11"/>
  <c r="E5" i="10"/>
  <c r="D5" i="12"/>
  <c r="AD10" i="9"/>
  <c r="AD23" i="9" s="1"/>
  <c r="B20" i="1"/>
  <c r="B23" i="1"/>
  <c r="B19" i="1"/>
  <c r="B22" i="1"/>
  <c r="B21" i="1"/>
  <c r="B24" i="1"/>
  <c r="BN9" i="9"/>
  <c r="BL23" i="9"/>
  <c r="AB23" i="9"/>
  <c r="B24" i="9" s="1"/>
  <c r="B8" i="1" s="1"/>
  <c r="B9" i="1" s="1"/>
  <c r="F16" i="10" l="1"/>
  <c r="G4" i="10"/>
  <c r="D13" i="11"/>
  <c r="E5" i="11"/>
  <c r="BN23" i="9"/>
  <c r="F5" i="10"/>
  <c r="G5" i="10" s="1"/>
  <c r="E16" i="10"/>
  <c r="E5" i="12"/>
  <c r="E7" i="12" s="1"/>
  <c r="B11" i="1" s="1"/>
  <c r="D7" i="12"/>
  <c r="B27" i="1" l="1"/>
  <c r="E13" i="11"/>
  <c r="B10" i="1" s="1"/>
  <c r="B12" i="1" s="1"/>
  <c r="B33" i="1"/>
  <c r="B34" i="1" s="1"/>
</calcChain>
</file>

<file path=xl/sharedStrings.xml><?xml version="1.0" encoding="utf-8"?>
<sst xmlns="http://schemas.openxmlformats.org/spreadsheetml/2006/main" count="957" uniqueCount="406">
  <si>
    <t>Northline freight bill audit, September 2026 pickups, Halvorsen Building Products</t>
  </si>
  <si>
    <t>Prepared for Ingrid Solheim, controller; report prepared October 16, 2026</t>
  </si>
  <si>
    <t>Agreement NFL-2026-HBP; Northline freight bills for September pickups</t>
  </si>
  <si>
    <t>Finding</t>
  </si>
  <si>
    <t>Value</t>
  </si>
  <si>
    <t>Read from</t>
  </si>
  <si>
    <t>Freight bills in the file</t>
  </si>
  <si>
    <t>Invoices</t>
  </si>
  <si>
    <t>Total billed by Northline</t>
  </si>
  <si>
    <t>Total due under the contract</t>
  </si>
  <si>
    <t>Audit</t>
  </si>
  <si>
    <t>Net difference, billed less due</t>
  </si>
  <si>
    <t>Summary</t>
  </si>
  <si>
    <t>Overcharges claimed</t>
  </si>
  <si>
    <t>Claim Schedule</t>
  </si>
  <si>
    <t>Undercharges reported, not netted</t>
  </si>
  <si>
    <t>Undercharges</t>
  </si>
  <si>
    <t>Overcharges as a share of billings</t>
  </si>
  <si>
    <t>Freight bills claimed</t>
  </si>
  <si>
    <t>Freight bills underbilled</t>
  </si>
  <si>
    <t>Freight bills with an exception</t>
  </si>
  <si>
    <t>Exceptions</t>
  </si>
  <si>
    <t>Freight bills billed as the contract provides</t>
  </si>
  <si>
    <t>Billed items accepted on a document or a written confirmation</t>
  </si>
  <si>
    <t>Exceptions by contract term</t>
  </si>
  <si>
    <t>Duplicate freight bills (7.1)</t>
  </si>
  <si>
    <t>Class not the product group class (4.3)</t>
  </si>
  <si>
    <t>Reweigh that does not hold (4.5)</t>
  </si>
  <si>
    <t>Deficit weight rule not applied (4.2)</t>
  </si>
  <si>
    <t>Fuel surcharge on the wrong week (5.2)</t>
  </si>
  <si>
    <t>Accessorial not requested or omitted (6.1)</t>
  </si>
  <si>
    <t>Overcharges claimed by contract term</t>
  </si>
  <si>
    <t>Claimed under section 7.1, duplicate freight bills</t>
  </si>
  <si>
    <t>Claimed under section 4.2, deficit weight</t>
  </si>
  <si>
    <t>Claimed under section 4.3, class</t>
  </si>
  <si>
    <t>Claimed under section 4.5, reweigh</t>
  </si>
  <si>
    <t>Claimed under section 5.2, fuel week</t>
  </si>
  <si>
    <t>Claimed under section 6.1, accessorial not requested</t>
  </si>
  <si>
    <t>Largest single exception</t>
  </si>
  <si>
    <t>Largest overcharge on one freight bill</t>
  </si>
  <si>
    <t>Freight bill carrying it</t>
  </si>
  <si>
    <t>Every value on this page reads from the tab named beside it; the Audit tab rates each freight bill from the BOL, Invoices, Tariff, Fuel Index, Billing File and Confirmations tabs, which copy the files in the folder or record the audit's reading of them.</t>
  </si>
  <si>
    <t>Contract terms the audit applies, agreement NFL-2026-HBP</t>
  </si>
  <si>
    <t>Term</t>
  </si>
  <si>
    <t>Section</t>
  </si>
  <si>
    <t>Discount off the class-rated linehaul</t>
  </si>
  <si>
    <t>4.4</t>
  </si>
  <si>
    <t>Minimum charge, net of discount ($)</t>
  </si>
  <si>
    <t>Reweigh tolerance over declared weight</t>
  </si>
  <si>
    <t>4.5</t>
  </si>
  <si>
    <t>Overcharge claim window (days from bill date)</t>
  </si>
  <si>
    <t>7.2</t>
  </si>
  <si>
    <t>Carrier balance-due window on undercharges (days)</t>
  </si>
  <si>
    <t>7.3</t>
  </si>
  <si>
    <t>Percent divisor for the billed surcharge column</t>
  </si>
  <si>
    <t>Invoice file, FSC_PCT in percent</t>
  </si>
  <si>
    <t>Fuel percentage where the bulletin and the table disagree</t>
  </si>
  <si>
    <t>table governs</t>
  </si>
  <si>
    <t>5.3</t>
  </si>
  <si>
    <t>Rating method. The linehaul is the class 70 lane rate for the destination state at the shipment's weight break, times the class factor for the contract class, at the contract weight. The contract weight is the bill of lading weight, and the billed weight stands only on a certified scale ticket more than five percent over the declared weight; a reweigh with no certified ticket, or inside the tolerance, reverts to the bill of lading weight. The contract class is the product group class, and a billed class stands only on a signed inspection certificate in the billing file. The gross charge is the lesser of the own-break figure and the next break's minimum weight at the next break's rate. The net linehaul is the gross less the discount, rounded to the cent, with the minimum charge as a floor. The fuel surcharge is the net linehaul times the percentage the tariff table gives for the DOE index in force on the pickup date, rounded to the cent; where the bulletin disagrees with the table, the table governs. Accessorials are added at the flat rate where the bill of lading requests the service or the shipping desk confirmed it in writing before delivery. A second bill on a pro already billed is due at zero under section 7.1. Undercharges are reported and not netted under section 7.3.</t>
  </si>
  <si>
    <t>Exhibit B tariff tables, copied from northline_contract_rates_2026.xlsx</t>
  </si>
  <si>
    <t>DEST_STATE</t>
  </si>
  <si>
    <t>L5C</t>
  </si>
  <si>
    <t>5C</t>
  </si>
  <si>
    <t>1M</t>
  </si>
  <si>
    <t>2M</t>
  </si>
  <si>
    <t>5M</t>
  </si>
  <si>
    <t>NMFC_CLASS</t>
  </si>
  <si>
    <t>FACTOR</t>
  </si>
  <si>
    <t>PRODUCT_GROUP</t>
  </si>
  <si>
    <t>SERVICE</t>
  </si>
  <si>
    <t>BOL_FLAG</t>
  </si>
  <si>
    <t>CHARGE</t>
  </si>
  <si>
    <t>PRICE_AT_LEAST</t>
  </si>
  <si>
    <t>FSC_PCT</t>
  </si>
  <si>
    <t>MN</t>
  </si>
  <si>
    <t>Gypsum and cement board</t>
  </si>
  <si>
    <t>Liftgate delivery</t>
  </si>
  <si>
    <t>LIFTGATE</t>
  </si>
  <si>
    <t>SD</t>
  </si>
  <si>
    <t>Fasteners and hardware</t>
  </si>
  <si>
    <t>Residential delivery</t>
  </si>
  <si>
    <t>RESIDENTIAL</t>
  </si>
  <si>
    <t>MT</t>
  </si>
  <si>
    <t>Metal roofing panels</t>
  </si>
  <si>
    <t>Limited access delivery</t>
  </si>
  <si>
    <t>LIMITED_ACCESS</t>
  </si>
  <si>
    <t>IA</t>
  </si>
  <si>
    <t>Sealants and coatings</t>
  </si>
  <si>
    <t>Inside delivery</t>
  </si>
  <si>
    <t>INSIDE_DELIVERY</t>
  </si>
  <si>
    <t>WI</t>
  </si>
  <si>
    <t>Vinyl siding</t>
  </si>
  <si>
    <t>Redelivery</t>
  </si>
  <si>
    <t>None</t>
  </si>
  <si>
    <t>NE</t>
  </si>
  <si>
    <t>Windows and doors</t>
  </si>
  <si>
    <t>Reconsignment</t>
  </si>
  <si>
    <t>ND</t>
  </si>
  <si>
    <t>Minimum weight (lb)</t>
  </si>
  <si>
    <t>DOE index by week from the September bulletin, the surcharge percentage the tariff table gives it, and the percentage the bulletin printed</t>
  </si>
  <si>
    <t>INDEX_MONDAY</t>
  </si>
  <si>
    <t>DOE_PRICE</t>
  </si>
  <si>
    <t>BULLETIN_PCT</t>
  </si>
  <si>
    <t>08/03/2026</t>
  </si>
  <si>
    <t>08/10/2026</t>
  </si>
  <si>
    <t>08/17/2026</t>
  </si>
  <si>
    <t>08/24/2026</t>
  </si>
  <si>
    <t>08/31/2026</t>
  </si>
  <si>
    <t>09/07/2026</t>
  </si>
  <si>
    <t>09/14/2026</t>
  </si>
  <si>
    <t>09/21/2026</t>
  </si>
  <si>
    <t>09/28/2026</t>
  </si>
  <si>
    <t>FSC_PCT reads the tariff table at each week's DOE price and is the percentage the audit applies; BULLETIN_PCT is the figure printed in the bulletin, which is informational under section 5.3.</t>
  </si>
  <si>
    <t>Bills of lading, bills_of_lading_sept_2026.csv, copied line for line</t>
  </si>
  <si>
    <t>BOL_NO</t>
  </si>
  <si>
    <t>PRO_NO</t>
  </si>
  <si>
    <t>PICKUP_DATE</t>
  </si>
  <si>
    <t>CONSIGNEE_CITY</t>
  </si>
  <si>
    <t>PIECES</t>
  </si>
  <si>
    <t>WEIGHT_LB</t>
  </si>
  <si>
    <t>DELIVERED_DATE</t>
  </si>
  <si>
    <t>HBP-44817</t>
  </si>
  <si>
    <t>09/01/2026</t>
  </si>
  <si>
    <t>Superior</t>
  </si>
  <si>
    <t>N</t>
  </si>
  <si>
    <t>Y</t>
  </si>
  <si>
    <t>09/04/2026</t>
  </si>
  <si>
    <t>HBP-44868</t>
  </si>
  <si>
    <t>Sioux City</t>
  </si>
  <si>
    <t>HBP-44843</t>
  </si>
  <si>
    <t>09/03/2026</t>
  </si>
  <si>
    <t>Moorhead</t>
  </si>
  <si>
    <t>HBP-44895</t>
  </si>
  <si>
    <t>Hudson</t>
  </si>
  <si>
    <t>09/09/2026</t>
  </si>
  <si>
    <t>HBP-44832</t>
  </si>
  <si>
    <t>09/08/2026</t>
  </si>
  <si>
    <t>Miles City</t>
  </si>
  <si>
    <t>HBP-44839</t>
  </si>
  <si>
    <t>Aberdeen</t>
  </si>
  <si>
    <t>09/10/2026</t>
  </si>
  <si>
    <t>HBP-44875</t>
  </si>
  <si>
    <t>Minot</t>
  </si>
  <si>
    <t>HBP-44902</t>
  </si>
  <si>
    <t>HBP-44858</t>
  </si>
  <si>
    <t>Brainerd</t>
  </si>
  <si>
    <t>09/11/2026</t>
  </si>
  <si>
    <t>HBP-44820</t>
  </si>
  <si>
    <t>Alexandria</t>
  </si>
  <si>
    <t>09/17/2026</t>
  </si>
  <si>
    <t>HBP-44856</t>
  </si>
  <si>
    <t>Norfolk</t>
  </si>
  <si>
    <t>09/18/2026</t>
  </si>
  <si>
    <t>HBP-44879</t>
  </si>
  <si>
    <t>09/15/2026</t>
  </si>
  <si>
    <t>HBP-44908</t>
  </si>
  <si>
    <t>Detroit Lakes</t>
  </si>
  <si>
    <t>HBP-44828</t>
  </si>
  <si>
    <t>HBP-44838</t>
  </si>
  <si>
    <t>Eau Claire</t>
  </si>
  <si>
    <t>HBP-44870</t>
  </si>
  <si>
    <t>09/16/2026</t>
  </si>
  <si>
    <t>Glendive</t>
  </si>
  <si>
    <t>HBP-44883</t>
  </si>
  <si>
    <t>Jamestown</t>
  </si>
  <si>
    <t>HBP-44915</t>
  </si>
  <si>
    <t>HBP-44826</t>
  </si>
  <si>
    <t>HBP-44853</t>
  </si>
  <si>
    <t>Bismarck</t>
  </si>
  <si>
    <t>09/22/2026</t>
  </si>
  <si>
    <t>HBP-44896</t>
  </si>
  <si>
    <t>Fergus Falls</t>
  </si>
  <si>
    <t>HBP-44918</t>
  </si>
  <si>
    <t>HBP-44906</t>
  </si>
  <si>
    <t>09/25/2026</t>
  </si>
  <si>
    <t>HBP-44913</t>
  </si>
  <si>
    <t>09/23/2026</t>
  </si>
  <si>
    <t>HBP-44863</t>
  </si>
  <si>
    <t>HBP-44885</t>
  </si>
  <si>
    <t>Mason City</t>
  </si>
  <si>
    <t>09/24/2026</t>
  </si>
  <si>
    <t>HBP-44874</t>
  </si>
  <si>
    <t>Grand Island</t>
  </si>
  <si>
    <t>HBP-44901</t>
  </si>
  <si>
    <t>HBP-44862</t>
  </si>
  <si>
    <t>09/29/2026</t>
  </si>
  <si>
    <t>HBP-44833</t>
  </si>
  <si>
    <t>Williston</t>
  </si>
  <si>
    <t>10/02/2026</t>
  </si>
  <si>
    <t>HBP-44891</t>
  </si>
  <si>
    <t>10/01/2026</t>
  </si>
  <si>
    <t>HBP-44822</t>
  </si>
  <si>
    <t>HBP-44847</t>
  </si>
  <si>
    <t>HBP-44921</t>
  </si>
  <si>
    <t>Watertown</t>
  </si>
  <si>
    <t>HBP-44849</t>
  </si>
  <si>
    <t>09/30/2026</t>
  </si>
  <si>
    <t>HBP-44887</t>
  </si>
  <si>
    <t>Billings</t>
  </si>
  <si>
    <t>Northline freight bills, northline_invoices_sept_2026.csv, copied line for line</t>
  </si>
  <si>
    <t>INVOICE_NO</t>
  </si>
  <si>
    <t>INVOICE_DATE</t>
  </si>
  <si>
    <t>SHIP_DATE</t>
  </si>
  <si>
    <t>BILLED_WEIGHT</t>
  </si>
  <si>
    <t>BILLED_CLASS</t>
  </si>
  <si>
    <t>BASE_CHARGE</t>
  </si>
  <si>
    <t>DISCOUNT_AMT</t>
  </si>
  <si>
    <t>NET_LINEHAUL</t>
  </si>
  <si>
    <t>FSC_AMT</t>
  </si>
  <si>
    <t>ACCESSORIAL_DESC</t>
  </si>
  <si>
    <t>ACCESSORIAL_AMT</t>
  </si>
  <si>
    <t>INVOICE_TOTAL</t>
  </si>
  <si>
    <t>NFL-90311</t>
  </si>
  <si>
    <t>09/05/2026</t>
  </si>
  <si>
    <t>NFL-90313</t>
  </si>
  <si>
    <t>NFL-90314</t>
  </si>
  <si>
    <t>09/12/2026</t>
  </si>
  <si>
    <t>NFL-90316</t>
  </si>
  <si>
    <t>NFL-90317</t>
  </si>
  <si>
    <t>09/13/2026</t>
  </si>
  <si>
    <t>NFL-90318</t>
  </si>
  <si>
    <t>NFL-90319</t>
  </si>
  <si>
    <t>Liftgate delivery/Limited access delivery</t>
  </si>
  <si>
    <t>NFL-90321</t>
  </si>
  <si>
    <t>NFL-90322</t>
  </si>
  <si>
    <t>NFL-90324</t>
  </si>
  <si>
    <t>NFL-90326</t>
  </si>
  <si>
    <t>NFL-90327</t>
  </si>
  <si>
    <t>09/19/2026</t>
  </si>
  <si>
    <t>NFL-90328</t>
  </si>
  <si>
    <t>NFL-90330</t>
  </si>
  <si>
    <t>09/20/2026</t>
  </si>
  <si>
    <t>NFL-90332</t>
  </si>
  <si>
    <t>NFL-90333</t>
  </si>
  <si>
    <t>NFL-90335</t>
  </si>
  <si>
    <t>NFL-90336</t>
  </si>
  <si>
    <t>Liftgate delivery/Inside delivery</t>
  </si>
  <si>
    <t>NFL-90337</t>
  </si>
  <si>
    <t>Liftgate delivery/Residential delivery</t>
  </si>
  <si>
    <t>NFL-90338</t>
  </si>
  <si>
    <t>NFL-90339</t>
  </si>
  <si>
    <t>Residential delivery/Inside delivery/Liftgate delivery</t>
  </si>
  <si>
    <t>NFL-90340</t>
  </si>
  <si>
    <t>NFL-90341</t>
  </si>
  <si>
    <t>NFL-90343</t>
  </si>
  <si>
    <t>09/26/2026</t>
  </si>
  <si>
    <t>NFL-90344</t>
  </si>
  <si>
    <t>09/27/2026</t>
  </si>
  <si>
    <t>NFL-90345</t>
  </si>
  <si>
    <t>NFL-90346</t>
  </si>
  <si>
    <t>NFL-90347</t>
  </si>
  <si>
    <t>NFL-90348</t>
  </si>
  <si>
    <t>NFL-90349</t>
  </si>
  <si>
    <t>NFL-90350</t>
  </si>
  <si>
    <t>NFL-90351</t>
  </si>
  <si>
    <t>NFL-90353</t>
  </si>
  <si>
    <t>NFL-90355</t>
  </si>
  <si>
    <t>NFL-90356</t>
  </si>
  <si>
    <t>NFL-90357</t>
  </si>
  <si>
    <t>NFL-90358</t>
  </si>
  <si>
    <t>NFL-90360</t>
  </si>
  <si>
    <t>Documents Northline lists in its billing file, northline_billing_file_sept_2026.docx, with the audit's reading of each one</t>
  </si>
  <si>
    <t>FREIGHT_BILL</t>
  </si>
  <si>
    <t>DOCUMENT</t>
  </si>
  <si>
    <t>PARTICULARS</t>
  </si>
  <si>
    <t>READ_AS</t>
  </si>
  <si>
    <t>QUALIFIES</t>
  </si>
  <si>
    <t>APPLIES_TO</t>
  </si>
  <si>
    <t>Delivery receipt notation</t>
  </si>
  <si>
    <t>Gated yard, 48 minutes on site</t>
  </si>
  <si>
    <t>Delivery receipt</t>
  </si>
  <si>
    <t>No</t>
  </si>
  <si>
    <t>none</t>
  </si>
  <si>
    <t>Liftgate at a gated site, both services on the bill of lading</t>
  </si>
  <si>
    <t>Reclass notice</t>
  </si>
  <si>
    <t>Rating system entry from a density figure, no inspector named</t>
  </si>
  <si>
    <t>Not an inspection certificate</t>
  </si>
  <si>
    <t>4.3 class</t>
  </si>
  <si>
    <t>Inspection certificate</t>
  </si>
  <si>
    <t>Certificate 0931 signed by the Northline freight inspector, class 70</t>
  </si>
  <si>
    <t>Signed inspection certificate</t>
  </si>
  <si>
    <t>Yes</t>
  </si>
  <si>
    <t>Scale ticket</t>
  </si>
  <si>
    <t>Fargo Public Scale ticket 88213, net 3,010 lb, weighmaster signed</t>
  </si>
  <si>
    <t>Certified scale ticket</t>
  </si>
  <si>
    <t>4.5 weight</t>
  </si>
  <si>
    <t>Dock scale readout</t>
  </si>
  <si>
    <t>Forklift scale printout, 1,620 lb, unsigned, no certification number</t>
  </si>
  <si>
    <t>Not a certified scale ticket</t>
  </si>
  <si>
    <t>Glendive platform scale ticket 4471, net 2,290 lb, weighmaster signed</t>
  </si>
  <si>
    <t>Residential address, service on the bill of lading</t>
  </si>
  <si>
    <t>Liftgate and inside delivery, both services on the bill of lading</t>
  </si>
  <si>
    <t>QUALIFIES reads Yes where the document is a certified scale ticket under section 4.5 or an inspection certificate signed by the carrier's inspector under section 4.3; a certified ticket inside the five percent tolerance still reverts to the bill of lading weight on the Audit tab.</t>
  </si>
  <si>
    <t>Services the shipping desk confirmed to Northline in writing, shipping_desk_correspondence_sept_2026.docx</t>
  </si>
  <si>
    <t>CONFIRMED_BY</t>
  </si>
  <si>
    <t>CONFIRMED_DATE</t>
  </si>
  <si>
    <t>DUE_UNDER_6_1</t>
  </si>
  <si>
    <t>Shipping lead's email to Northline customer service</t>
  </si>
  <si>
    <t>Section 6.1 makes a service billable where the bill of lading requests it or the shipper confirmed it in writing before delivery; the liftgate Northline asked about on the Bismarck delivery after the fact was declined and is not listed.</t>
  </si>
  <si>
    <t>Every freight bill rated under the contract beside what Northline billed; bills 1 to 19 in the left panel, 20 to 38 in the right</t>
  </si>
  <si>
    <t>BOL_WEIGHT</t>
  </si>
  <si>
    <t>CERTIFIED_TICKET</t>
  </si>
  <si>
    <t>CONTRACT_WEIGHT</t>
  </si>
  <si>
    <t>GROUP_CLASS</t>
  </si>
  <si>
    <t>INSPECTION_CERT</t>
  </si>
  <si>
    <t>CONTRACT_CLASS</t>
  </si>
  <si>
    <t>CLASS_FACTOR</t>
  </si>
  <si>
    <t>BREAK</t>
  </si>
  <si>
    <t>RATE_CWT</t>
  </si>
  <si>
    <t>OWN_BREAK_CHARGE</t>
  </si>
  <si>
    <t>NEXT_BREAK_CHARGE</t>
  </si>
  <si>
    <t>GROSS_LINEHAUL</t>
  </si>
  <si>
    <t>FSC_MONDAY</t>
  </si>
  <si>
    <t>FSC_DUE</t>
  </si>
  <si>
    <t>BOL_ACCESSORIALS</t>
  </si>
  <si>
    <t>CONFIRMED_ACCESSORIALS</t>
  </si>
  <si>
    <t>ACCESSORIALS_DUE</t>
  </si>
  <si>
    <t>DUPLICATE</t>
  </si>
  <si>
    <t>CONTRACT_TOTAL</t>
  </si>
  <si>
    <t>BILLED_TOTAL</t>
  </si>
  <si>
    <t>VARIANCE</t>
  </si>
  <si>
    <t>BILLED_BASE</t>
  </si>
  <si>
    <t>BILLED_FSC_PCT</t>
  </si>
  <si>
    <t>BILLED_ACCESSORIALS</t>
  </si>
  <si>
    <t>EXCEPTION</t>
  </si>
  <si>
    <t>SETTLED_BY</t>
  </si>
  <si>
    <t>INVOICE_NO_2</t>
  </si>
  <si>
    <t>PRO_NO_2</t>
  </si>
  <si>
    <t>PICKUP_DATE_2</t>
  </si>
  <si>
    <t>DEST_STATE_2</t>
  </si>
  <si>
    <t>PRODUCT_GROUP_2</t>
  </si>
  <si>
    <t>BOL_WEIGHT_2</t>
  </si>
  <si>
    <t>BILLED_WEIGHT_2</t>
  </si>
  <si>
    <t>CERTIFIED_TICKET_2</t>
  </si>
  <si>
    <t>CONTRACT_WEIGHT_2</t>
  </si>
  <si>
    <t>GROUP_CLASS_2</t>
  </si>
  <si>
    <t>BILLED_CLASS_2</t>
  </si>
  <si>
    <t>INSPECTION_CERT_2</t>
  </si>
  <si>
    <t>CONTRACT_CLASS_2</t>
  </si>
  <si>
    <t>CLASS_FACTOR_2</t>
  </si>
  <si>
    <t>BREAK_2</t>
  </si>
  <si>
    <t>RATE_CWT_2</t>
  </si>
  <si>
    <t>OWN_BREAK_CHARGE_2</t>
  </si>
  <si>
    <t>NEXT_BREAK_CHARGE_2</t>
  </si>
  <si>
    <t>GROSS_LINEHAUL_2</t>
  </si>
  <si>
    <t>NET_LINEHAUL_2</t>
  </si>
  <si>
    <t>FSC_MONDAY_2</t>
  </si>
  <si>
    <t>FSC_PCT_2</t>
  </si>
  <si>
    <t>FSC_DUE_2</t>
  </si>
  <si>
    <t>BOL_ACCESSORIALS_2</t>
  </si>
  <si>
    <t>CONFIRMED_ACCESSORIALS_2</t>
  </si>
  <si>
    <t>ACCESSORIALS_DUE_2</t>
  </si>
  <si>
    <t>DUPLICATE_2</t>
  </si>
  <si>
    <t>CONTRACT_TOTAL_2</t>
  </si>
  <si>
    <t>BILLED_TOTAL_2</t>
  </si>
  <si>
    <t>VARIANCE_2</t>
  </si>
  <si>
    <t>BILLED_BASE_2</t>
  </si>
  <si>
    <t>BILLED_FSC_PCT_2</t>
  </si>
  <si>
    <t>BILLED_ACCESSORIALS_2</t>
  </si>
  <si>
    <t>EXCEPTION_2</t>
  </si>
  <si>
    <t>SETTLED_BY_2</t>
  </si>
  <si>
    <t>Totals</t>
  </si>
  <si>
    <t>Totals_2</t>
  </si>
  <si>
    <t>Total due under the contract, both panels</t>
  </si>
  <si>
    <t>Total billed, both panels</t>
  </si>
  <si>
    <t>Billed items accepted on a document or a written confirmation, both panels</t>
  </si>
  <si>
    <t>Terms B9 is the percent divisor for the invoice file's FSC_PCT column, which Northline states in whole percent. SETTLED_BY names the document or written confirmation on which a billed item that disagrees with the bill of lading is accepted as billed.</t>
  </si>
  <si>
    <t>Freight bills that do not match the contract, with the section each exception rests on</t>
  </si>
  <si>
    <t>BILLED</t>
  </si>
  <si>
    <t>DUE</t>
  </si>
  <si>
    <t>DISPOSITION</t>
  </si>
  <si>
    <t>Exceptions listed</t>
  </si>
  <si>
    <t>Overcharge claim schedule under section 7.2, Halvorsen Building Products to Northline Freight Lines, September 2026 freight bills</t>
  </si>
  <si>
    <t>AMOUNT_BILLED</t>
  </si>
  <si>
    <t>AMOUNT_DUE</t>
  </si>
  <si>
    <t>DIFFERENCE</t>
  </si>
  <si>
    <t>SECTION</t>
  </si>
  <si>
    <t>BASIS</t>
  </si>
  <si>
    <t>Total claimed</t>
  </si>
  <si>
    <t>Basis text by section</t>
  </si>
  <si>
    <t>7.1</t>
  </si>
  <si>
    <t>Second freight bill on a pro number already billed, void under section 7.1</t>
  </si>
  <si>
    <t>4.3</t>
  </si>
  <si>
    <t>Billed at a class other than the product group class with no signed inspection certificate in the billing file</t>
  </si>
  <si>
    <t>Billed weight above the bill of lading weight with no certified scale ticket, or with a ticket inside the five percent tolerance</t>
  </si>
  <si>
    <t>4.2</t>
  </si>
  <si>
    <t>Rated at the shipment's own break where the next break's minimum weight rates lower</t>
  </si>
  <si>
    <t>5.2</t>
  </si>
  <si>
    <t>Fuel surcharge taken from a week other than the pickup week</t>
  </si>
  <si>
    <t>6.1</t>
  </si>
  <si>
    <t>Accessorial billed with no request on the bill of lading and no written confirmation from the shipper before delivery</t>
  </si>
  <si>
    <t>Freight bills where Northline billed less than the contract, reported under section 7.3 and not netted against the claim</t>
  </si>
  <si>
    <t>SHORTFALL</t>
  </si>
  <si>
    <t>Total reported</t>
  </si>
  <si>
    <t>Accessorial the bill of lading requested was not billed</t>
  </si>
  <si>
    <t>Note to Ingrid Solheim on the September Northline audit</t>
  </si>
  <si>
    <t>Ingrid, this is the September audit of the Northline freight bills. Every figure on the summary reads from the tabs behind it, and the tabs behind read from the BOL and Invoices tabs, which copy the two files line for line, so nothing on the summary is typed in. The contract terms the audit applies are on the Terms and Tariff tabs with the section of the agreement each one comes from. The Billing File tab is my reading of the documents Northline listed in its transmittal, and the Confirmations tab holds the two services the shipping desk confirmed to Northline in writing.</t>
  </si>
  <si>
    <t>Northline billed $20,556.90 on 38 freight bills for September pickups. Rated under the agreement the same shipments come to $19,199.68, so Northline billed $1,357.22 more than the contract allows on a net basis. That net figure is not the claim. The agreement does not let us net an undercharge against an overcharge, so the claim is the overcharges alone, $1,434.40 on 9 freight bills, and the undercharges go on their own list, $77.18 on 3 freight bills, reported to Northline and not deducted.</t>
  </si>
  <si>
    <t>The two duplicate freight bills are most of the claim, $1,051.33 between them. Northline billed pro 217883 twice, on NFL-90340 and again on NFL-90349, and pro 217841 twice, on NFL-90347 and again on NFL-90360. Section 7.1 makes the second bill on a pro void. If accounts payable has already paid either second bill, it stays on the claim; if not, return it unpaid and take it off the claim schedule before you file, because the schedule assumes payment.</t>
  </si>
  <si>
    <t>Four billed items disagree with the bill of lading and are accepted as billed, because a document in the file supports each one, so they are on no schedule. Northline's billing file holds a signed inspection certificate for the Norfolk gypsum board on NFL-90328, so the class 70 on that bill stands under section 4.3, and the bill is rated at $190.30 as billed. The file holds a certified scale ticket for the Glendive windows on NFL-90336 at 3,010 pounds against 2,790 declared, which is 7.9 percent over and outside the five percent tolerance, so the reweigh holds under section 4.5, and the bill is rated at $1,178.82 as billed. The shipping desk confirmed the liftgate on the Detroit Lakes siding, NFL-90330, to Northline in writing on September 16, two days before delivery, and asked in writing on September 15 for the reconsignment of the Norfolk sealants on NFL-90324, so both charges are due under section 6.1 as confirmed in writing before delivery.</t>
  </si>
  <si>
    <t>Two reweighs do not hold. NFL-90351 bills the Mason City roofing at 1,620 pounds against 1,310 on the bill of lading, and the only document behind it is a dock scale readout with no weighmaster signature, which is not a certified scale ticket, so the audit reverts to the bill of lading weight, $71.22 over. NFL-90355 bills the Glendive vinyl siding at 2,290 pounds on a certified ticket, but 2,290 is 3.6 percent over the 2,210 declared and inside the five percent tolerance, so section 4.5 sends that one back to the bill of lading weight as well, $25.07 over. If Northline produces a certified scale ticket for the Mason City shipment, that item comes off the claim, because 1,620 is 23.7 percent over the declared weight.</t>
  </si>
  <si>
    <t>NFL-90322 bills the Minot sealants at class 92.5 where the tariff puts sealants and coatings at class 85, $46.25 over. The billing file shows only a reclass notice from the rating system with no inspector named, and Northline customer service confirmed to accounts payable on September 30 that no inspection was made, so section 4.3 does not let the reclass stand. Two bills were rated without the deficit weight rule in section 4.2, $162.52 together: on NFL-90332 the 4,650-pound Eau Claire shipment rates cheaper as 5,000 pounds at the 5M rate, and on NFL-90335 the 1,860-pound Jamestown shipment rates cheaper as 2,000 pounds at the 2M rate. Northline's own rating system is supposed to apply the rule, so these are worth raising with the pricing desk as a system question as well as a claim.</t>
  </si>
  <si>
    <t>One accessorial is claimed, the liftgate on NFL-90339 to Bismarck at $75.00, which the bill of lading did not request and which the shipping desk declined to confirm when Northline asked the day after delivery. Three bills carry a fuel surcharge from the wrong week. NFL-90356 was rated on the September 21 index instead of the September 28 index for its September 29 pickup, $3.01 over, and NFL-90319 and NFL-90346 were rated on the week of their invoice date instead of the week of pickup, which undercharged us $0.77 and $1.41. Section 5.2 keys the surcharge to the pickup week regardless of the invoice date. NFL-90317 omitted the liftgate the Brainerd bill of lading requested, $75.00 under.</t>
  </si>
  <si>
    <t>One thing to know on fuel before Northline raises it. The bulletin prints 27.0 percent for the week of September 21, but the index of 3.803 falls in the 3.80 to 3.85 band of the tariff table at 27.5 percent, and the bills for that week carry 27.5 percent. Under section 5.3 the table governs, so those bills are correct. There is no fuel claim on that week.</t>
  </si>
  <si>
    <t>Three things the file does not settle. First, whether the two second bills on the duplicate pros were paid, which decides whether they are claimed or returned. Second, whether Northline holds a certified scale ticket for the Mason City reweigh; the claim letter should ask for it, because that document would take the item off the claim. Third, the agreement lets Northline issue a balance-due bill on the three undercharges within ninety days of each original bill, so accounts payable should expect a small bill on the Brainerd liftgate rather than paying it unasked. The claim window under section 7.2 is 180 days from each freight bill date, so there is time on every item. The duplicates are the cleanest to claim 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</si>
</sst>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3" x14ac:knownFonts="1">
    <font>
      <sz val="11"/>
      <color theme="1"/>
      <name val="Calibri"/>
      <family val="2"/>
      <scheme val="minor"/>
    </font>
    <font>
      <b/>
      <sz val="13"/>
      <name val="Calibri"/>
      <family val="2"/>
    </font>
    <font>
      <b/>
      <sz val="11"/>
      <name val="Calibri"/>
      <family val="2"/>
    </font>
  </fonts>
  <fills count="3">
    <fill>
      <patternFill patternType="none"/>
    </fill>
    <fill>
      <patternFill patternType="gray125"/>
    </fill>
    <fill>
      <patternFill patternType="solid">
        <fgColor rgb="FFDCE6F0"/>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xf numFmtId="0" fontId="2" fillId="2" borderId="0" xfId="0" applyFont="1" applyFill="1"/>
    <xf numFmtId="1" fontId="0" fillId="0" borderId="0" xfId="0" applyNumberFormat="1"/>
    <xf numFmtId="4" fontId="0" fillId="0" borderId="0" xfId="0" applyNumberFormat="1"/>
    <xf numFmtId="10" fontId="0" fillId="0" borderId="0" xfId="0" applyNumberFormat="1"/>
    <xf numFmtId="0" fontId="2" fillId="0" borderId="0" xfId="0" applyFont="1"/>
    <xf numFmtId="9" fontId="0" fillId="0" borderId="0" xfId="0" applyNumberFormat="1"/>
    <xf numFmtId="0" fontId="0" fillId="0" borderId="0" xfId="0" applyAlignment="1">
      <alignment vertical="top" wrapText="1"/>
    </xf>
    <xf numFmtId="2" fontId="0" fillId="0" borderId="0" xfId="0" applyNumberFormat="1"/>
    <xf numFmtId="164" fontId="0" fillId="0" borderId="0" xfId="0" applyNumberFormat="1"/>
    <xf numFmtId="165"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7"/>
  <sheetViews>
    <sheetView tabSelected="1" workbookViewId="0"/>
  </sheetViews>
  <sheetFormatPr baseColWidth="10" defaultColWidth="8.83203125" defaultRowHeight="15" x14ac:dyDescent="0.2"/>
  <cols>
    <col min="1" max="1" width="58" customWidth="1"/>
    <col min="2" max="2" width="16" customWidth="1"/>
    <col min="3" max="3" width="22" customWidth="1"/>
  </cols>
  <sheetData>
    <row r="1" spans="1:3" ht="17" x14ac:dyDescent="0.2">
      <c r="A1" s="1" t="s">
        <v>0</v>
      </c>
    </row>
    <row r="2" spans="1:3" x14ac:dyDescent="0.2">
      <c r="A2" t="s">
        <v>1</v>
      </c>
    </row>
    <row r="3" spans="1:3" x14ac:dyDescent="0.2">
      <c r="A3" t="s">
        <v>2</v>
      </c>
    </row>
    <row r="5" spans="1:3" x14ac:dyDescent="0.2">
      <c r="A5" s="2" t="s">
        <v>3</v>
      </c>
      <c r="B5" s="2" t="s">
        <v>4</v>
      </c>
      <c r="C5" s="2" t="s">
        <v>5</v>
      </c>
    </row>
    <row r="6" spans="1:3" x14ac:dyDescent="0.2">
      <c r="A6" t="s">
        <v>6</v>
      </c>
      <c r="B6" s="3">
        <f>COUNTA(Invoices!A4:A41)</f>
        <v>38</v>
      </c>
      <c r="C6" t="s">
        <v>7</v>
      </c>
    </row>
    <row r="7" spans="1:3" x14ac:dyDescent="0.2">
      <c r="A7" t="s">
        <v>8</v>
      </c>
      <c r="B7" s="4">
        <f>ROUND(SUM(Invoices!O4:O41),2)</f>
        <v>20556.9</v>
      </c>
      <c r="C7" t="s">
        <v>7</v>
      </c>
    </row>
    <row r="8" spans="1:3" x14ac:dyDescent="0.2">
      <c r="A8" t="s">
        <v>9</v>
      </c>
      <c r="B8" s="4">
        <f>Audit!B24</f>
        <v>19199.68</v>
      </c>
      <c r="C8" t="s">
        <v>10</v>
      </c>
    </row>
    <row r="9" spans="1:3" x14ac:dyDescent="0.2">
      <c r="A9" t="s">
        <v>11</v>
      </c>
      <c r="B9" s="4">
        <f>ROUND(B7-B8,2)</f>
        <v>1357.22</v>
      </c>
      <c r="C9" t="s">
        <v>12</v>
      </c>
    </row>
    <row r="10" spans="1:3" x14ac:dyDescent="0.2">
      <c r="A10" t="s">
        <v>13</v>
      </c>
      <c r="B10" s="4">
        <f>'Claim Schedule'!E13</f>
        <v>1434.4</v>
      </c>
      <c r="C10" t="s">
        <v>14</v>
      </c>
    </row>
    <row r="11" spans="1:3" x14ac:dyDescent="0.2">
      <c r="A11" t="s">
        <v>15</v>
      </c>
      <c r="B11" s="4">
        <f>Undercharges!E7</f>
        <v>77.18</v>
      </c>
      <c r="C11" t="s">
        <v>16</v>
      </c>
    </row>
    <row r="12" spans="1:3" x14ac:dyDescent="0.2">
      <c r="A12" t="s">
        <v>17</v>
      </c>
      <c r="B12" s="5">
        <f>ROUND(B10/B7,4)</f>
        <v>0.0698</v>
      </c>
      <c r="C12" t="s">
        <v>12</v>
      </c>
    </row>
    <row r="13" spans="1:3" x14ac:dyDescent="0.2">
      <c r="A13" t="s">
        <v>18</v>
      </c>
      <c r="B13" s="3">
        <f>COUNTA('Claim Schedule'!B4:B12)</f>
        <v>9</v>
      </c>
      <c r="C13" t="s">
        <v>14</v>
      </c>
    </row>
    <row r="14" spans="1:3" x14ac:dyDescent="0.2">
      <c r="A14" t="s">
        <v>19</v>
      </c>
      <c r="B14" s="3">
        <f>COUNTA(Undercharges!B4:B6)</f>
        <v>3</v>
      </c>
      <c r="C14" t="s">
        <v>16</v>
      </c>
    </row>
    <row r="15" spans="1:3" x14ac:dyDescent="0.2">
      <c r="A15" t="s">
        <v>20</v>
      </c>
      <c r="B15" s="3">
        <f>COUNTA(Exceptions!A4:A15)</f>
        <v>12</v>
      </c>
      <c r="C15" t="s">
        <v>21</v>
      </c>
    </row>
    <row r="16" spans="1:3" x14ac:dyDescent="0.2">
      <c r="A16" t="s">
        <v>22</v>
      </c>
      <c r="B16" s="3">
        <f>B6-B15</f>
        <v>26</v>
      </c>
      <c r="C16" t="s">
        <v>12</v>
      </c>
    </row>
    <row r="17" spans="1:3" x14ac:dyDescent="0.2">
      <c r="A17" t="s">
        <v>23</v>
      </c>
      <c r="B17" s="3">
        <f>Audit!B26</f>
        <v>4</v>
      </c>
      <c r="C17" t="s">
        <v>10</v>
      </c>
    </row>
    <row r="18" spans="1:3" x14ac:dyDescent="0.2">
      <c r="A18" s="6" t="s">
        <v>24</v>
      </c>
    </row>
    <row r="19" spans="1:3" x14ac:dyDescent="0.2">
      <c r="A19" t="s">
        <v>25</v>
      </c>
      <c r="B19" s="3">
        <f>COUNTIF(Exceptions!C4:C15,"7.1*")</f>
        <v>2</v>
      </c>
      <c r="C19" t="s">
        <v>21</v>
      </c>
    </row>
    <row r="20" spans="1:3" x14ac:dyDescent="0.2">
      <c r="A20" t="s">
        <v>26</v>
      </c>
      <c r="B20" s="3">
        <f>COUNTIF(Exceptions!C4:C15,"4.3*")</f>
        <v>1</v>
      </c>
      <c r="C20" t="s">
        <v>21</v>
      </c>
    </row>
    <row r="21" spans="1:3" x14ac:dyDescent="0.2">
      <c r="A21" t="s">
        <v>27</v>
      </c>
      <c r="B21" s="3">
        <f>COUNTIF(Exceptions!C4:C15,"4.5*")</f>
        <v>2</v>
      </c>
      <c r="C21" t="s">
        <v>21</v>
      </c>
    </row>
    <row r="22" spans="1:3" x14ac:dyDescent="0.2">
      <c r="A22" t="s">
        <v>28</v>
      </c>
      <c r="B22" s="3">
        <f>COUNTIF(Exceptions!C4:C15,"4.2*")</f>
        <v>2</v>
      </c>
      <c r="C22" t="s">
        <v>21</v>
      </c>
    </row>
    <row r="23" spans="1:3" x14ac:dyDescent="0.2">
      <c r="A23" t="s">
        <v>29</v>
      </c>
      <c r="B23" s="3">
        <f>COUNTIF(Exceptions!C4:C15,"5.2*")</f>
        <v>3</v>
      </c>
      <c r="C23" t="s">
        <v>21</v>
      </c>
    </row>
    <row r="24" spans="1:3" x14ac:dyDescent="0.2">
      <c r="A24" t="s">
        <v>30</v>
      </c>
      <c r="B24" s="3">
        <f>COUNTIF(Exceptions!C4:C15,"6.1*")</f>
        <v>2</v>
      </c>
      <c r="C24" t="s">
        <v>21</v>
      </c>
    </row>
    <row r="25" spans="1:3" x14ac:dyDescent="0.2">
      <c r="A25" s="6" t="s">
        <v>31</v>
      </c>
    </row>
    <row r="26" spans="1:3" x14ac:dyDescent="0.2">
      <c r="A26" t="s">
        <v>32</v>
      </c>
      <c r="B26" s="4">
        <f>ROUND(SUMIF('Claim Schedule'!F4:F12,"7.1",'Claim Schedule'!E4:E12),2)</f>
        <v>1051.33</v>
      </c>
      <c r="C26" t="s">
        <v>14</v>
      </c>
    </row>
    <row r="27" spans="1:3" x14ac:dyDescent="0.2">
      <c r="A27" t="s">
        <v>33</v>
      </c>
      <c r="B27" s="4">
        <f>ROUND(SUMIF('Claim Schedule'!F4:F12,"4.2",'Claim Schedule'!E4:E12),2)</f>
        <v>162.52</v>
      </c>
      <c r="C27" t="s">
        <v>14</v>
      </c>
    </row>
    <row r="28" spans="1:3" x14ac:dyDescent="0.2">
      <c r="A28" t="s">
        <v>34</v>
      </c>
      <c r="B28" s="4">
        <f>ROUND(SUMIF('Claim Schedule'!F4:F12,"4.3",'Claim Schedule'!E4:E12),2)</f>
        <v>46.25</v>
      </c>
      <c r="C28" t="s">
        <v>14</v>
      </c>
    </row>
    <row r="29" spans="1:3" x14ac:dyDescent="0.2">
      <c r="A29" t="s">
        <v>35</v>
      </c>
      <c r="B29" s="4">
        <f>ROUND(SUMIF('Claim Schedule'!F4:F12,"4.5",'Claim Schedule'!E4:E12),2)</f>
        <v>96.29</v>
      </c>
      <c r="C29" t="s">
        <v>14</v>
      </c>
    </row>
    <row r="30" spans="1:3" x14ac:dyDescent="0.2">
      <c r="A30" t="s">
        <v>36</v>
      </c>
      <c r="B30" s="4">
        <f>ROUND(SUMIF('Claim Schedule'!F4:F12,"5.2",'Claim Schedule'!E4:E12),2)</f>
        <v>3.01</v>
      </c>
      <c r="C30" t="s">
        <v>14</v>
      </c>
    </row>
    <row r="31" spans="1:3" x14ac:dyDescent="0.2">
      <c r="A31" t="s">
        <v>37</v>
      </c>
      <c r="B31" s="4">
        <f>ROUND(SUMIF('Claim Schedule'!F4:F12,"6.1",'Claim Schedule'!E4:E12),2)</f>
        <v>75</v>
      </c>
      <c r="C31" t="s">
        <v>14</v>
      </c>
    </row>
    <row r="32" spans="1:3" x14ac:dyDescent="0.2">
      <c r="A32" s="6" t="s">
        <v>38</v>
      </c>
    </row>
    <row r="33" spans="1:3" x14ac:dyDescent="0.2">
      <c r="A33" t="s">
        <v>39</v>
      </c>
      <c r="B33" s="4">
        <f>MAX('Claim Schedule'!E4:E12)</f>
        <v>603.63</v>
      </c>
      <c r="C33" t="s">
        <v>14</v>
      </c>
    </row>
    <row r="34" spans="1:3" x14ac:dyDescent="0.2">
      <c r="A34" t="s">
        <v>40</v>
      </c>
      <c r="B34" t="str">
        <f>INDEX('Claim Schedule'!B4:B12,MATCH(B33,'Claim Schedule'!E4:E12,0))</f>
        <v>NFL-90360</v>
      </c>
      <c r="C34" t="s">
        <v>14</v>
      </c>
    </row>
    <row r="37" spans="1:3" x14ac:dyDescent="0.2">
      <c r="A37" t="s">
        <v>41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2"/>
  <sheetViews>
    <sheetView workbookViewId="0"/>
  </sheetViews>
  <sheetFormatPr baseColWidth="10" defaultColWidth="8.83203125" defaultRowHeight="15" x14ac:dyDescent="0.2"/>
  <cols>
    <col min="1" max="1" width="52" customWidth="1"/>
    <col min="2" max="2" width="14" customWidth="1"/>
    <col min="3" max="3" width="44" customWidth="1"/>
  </cols>
  <sheetData>
    <row r="1" spans="1:3" ht="17" x14ac:dyDescent="0.2">
      <c r="A1" s="1" t="s">
        <v>42</v>
      </c>
    </row>
    <row r="3" spans="1:3" x14ac:dyDescent="0.2">
      <c r="A3" s="2" t="s">
        <v>43</v>
      </c>
      <c r="B3" s="2" t="s">
        <v>4</v>
      </c>
      <c r="C3" s="2" t="s">
        <v>44</v>
      </c>
    </row>
    <row r="4" spans="1:3" x14ac:dyDescent="0.2">
      <c r="A4" t="s">
        <v>45</v>
      </c>
      <c r="B4" s="7">
        <v>0.62</v>
      </c>
      <c r="C4" t="s">
        <v>46</v>
      </c>
    </row>
    <row r="5" spans="1:3" x14ac:dyDescent="0.2">
      <c r="A5" t="s">
        <v>47</v>
      </c>
      <c r="B5" s="4">
        <v>118.4</v>
      </c>
      <c r="C5" t="s">
        <v>46</v>
      </c>
    </row>
    <row r="6" spans="1:3" x14ac:dyDescent="0.2">
      <c r="A6" t="s">
        <v>48</v>
      </c>
      <c r="B6" s="7">
        <v>0.05</v>
      </c>
      <c r="C6" t="s">
        <v>49</v>
      </c>
    </row>
    <row r="7" spans="1:3" x14ac:dyDescent="0.2">
      <c r="A7" t="s">
        <v>50</v>
      </c>
      <c r="B7" s="3">
        <v>180</v>
      </c>
      <c r="C7" t="s">
        <v>51</v>
      </c>
    </row>
    <row r="8" spans="1:3" x14ac:dyDescent="0.2">
      <c r="A8" t="s">
        <v>52</v>
      </c>
      <c r="B8" s="3">
        <v>90</v>
      </c>
      <c r="C8" t="s">
        <v>53</v>
      </c>
    </row>
    <row r="9" spans="1:3" x14ac:dyDescent="0.2">
      <c r="A9" t="s">
        <v>54</v>
      </c>
      <c r="B9" s="3">
        <v>100</v>
      </c>
      <c r="C9" t="s">
        <v>55</v>
      </c>
    </row>
    <row r="10" spans="1:3" x14ac:dyDescent="0.2">
      <c r="A10" t="s">
        <v>56</v>
      </c>
      <c r="B10" t="s">
        <v>57</v>
      </c>
      <c r="C10" t="s">
        <v>58</v>
      </c>
    </row>
    <row r="12" spans="1:3" ht="150" customHeight="1" x14ac:dyDescent="0.2">
      <c r="A12" s="8" t="s">
        <v>59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21"/>
  <sheetViews>
    <sheetView workbookViewId="0"/>
  </sheetViews>
  <sheetFormatPr baseColWidth="10" defaultColWidth="8.83203125" defaultRowHeight="15" x14ac:dyDescent="0.2"/>
  <cols>
    <col min="1" max="1" width="12" customWidth="1"/>
    <col min="2" max="2" width="9" customWidth="1"/>
    <col min="8" max="8" width="12" customWidth="1"/>
    <col min="9" max="9" width="9" customWidth="1"/>
    <col min="11" max="11" width="26" customWidth="1"/>
    <col min="12" max="12" width="12" customWidth="1"/>
    <col min="13" max="13" width="24" customWidth="1"/>
    <col min="14" max="14" width="16" customWidth="1"/>
    <col min="15" max="15" width="9" customWidth="1"/>
    <col min="17" max="17" width="15" customWidth="1"/>
    <col min="18" max="18" width="9" customWidth="1"/>
  </cols>
  <sheetData>
    <row r="1" spans="1:18" ht="17" x14ac:dyDescent="0.2">
      <c r="A1" s="1" t="s">
        <v>60</v>
      </c>
    </row>
    <row r="3" spans="1:18" x14ac:dyDescent="0.2">
      <c r="A3" s="2" t="s">
        <v>61</v>
      </c>
      <c r="B3" s="2" t="s">
        <v>62</v>
      </c>
      <c r="C3" s="2" t="s">
        <v>63</v>
      </c>
      <c r="D3" s="2" t="s">
        <v>64</v>
      </c>
      <c r="E3" s="2" t="s">
        <v>65</v>
      </c>
      <c r="F3" s="2" t="s">
        <v>66</v>
      </c>
      <c r="H3" s="2" t="s">
        <v>67</v>
      </c>
      <c r="I3" s="2" t="s">
        <v>68</v>
      </c>
      <c r="K3" s="2" t="s">
        <v>69</v>
      </c>
      <c r="L3" s="2" t="s">
        <v>67</v>
      </c>
      <c r="M3" s="2" t="s">
        <v>70</v>
      </c>
      <c r="N3" s="2" t="s">
        <v>71</v>
      </c>
      <c r="O3" s="2" t="s">
        <v>72</v>
      </c>
      <c r="Q3" s="2" t="s">
        <v>73</v>
      </c>
      <c r="R3" s="2" t="s">
        <v>74</v>
      </c>
    </row>
    <row r="4" spans="1:18" x14ac:dyDescent="0.2">
      <c r="A4" t="s">
        <v>75</v>
      </c>
      <c r="B4" s="9">
        <v>58.4</v>
      </c>
      <c r="C4" s="9">
        <v>49.1</v>
      </c>
      <c r="D4" s="9">
        <v>41.75</v>
      </c>
      <c r="E4" s="9">
        <v>34.2</v>
      </c>
      <c r="F4" s="9">
        <v>27.85</v>
      </c>
      <c r="H4">
        <v>50</v>
      </c>
      <c r="I4" s="9">
        <v>0.8</v>
      </c>
      <c r="K4" t="s">
        <v>76</v>
      </c>
      <c r="L4">
        <v>55</v>
      </c>
      <c r="M4" t="s">
        <v>77</v>
      </c>
      <c r="N4" t="s">
        <v>78</v>
      </c>
      <c r="O4" s="4">
        <v>75</v>
      </c>
      <c r="Q4" s="10">
        <v>3</v>
      </c>
      <c r="R4" s="11">
        <v>0.195</v>
      </c>
    </row>
    <row r="5" spans="1:18" x14ac:dyDescent="0.2">
      <c r="A5" t="s">
        <v>79</v>
      </c>
      <c r="B5" s="9">
        <v>61.2</v>
      </c>
      <c r="C5" s="9">
        <v>51.65</v>
      </c>
      <c r="D5" s="9">
        <v>43.9</v>
      </c>
      <c r="E5" s="9">
        <v>36.05</v>
      </c>
      <c r="F5" s="9">
        <v>29.4</v>
      </c>
      <c r="H5">
        <v>55</v>
      </c>
      <c r="I5" s="9">
        <v>0.88</v>
      </c>
      <c r="K5" t="s">
        <v>80</v>
      </c>
      <c r="L5">
        <v>60</v>
      </c>
      <c r="M5" t="s">
        <v>81</v>
      </c>
      <c r="N5" t="s">
        <v>82</v>
      </c>
      <c r="O5" s="4">
        <v>95</v>
      </c>
      <c r="Q5" s="10">
        <v>3.1</v>
      </c>
      <c r="R5" s="11">
        <v>0.205</v>
      </c>
    </row>
    <row r="6" spans="1:18" x14ac:dyDescent="0.2">
      <c r="A6" t="s">
        <v>83</v>
      </c>
      <c r="B6" s="9">
        <v>84.7</v>
      </c>
      <c r="C6" s="9">
        <v>71.3</v>
      </c>
      <c r="D6" s="9">
        <v>60.85</v>
      </c>
      <c r="E6" s="9">
        <v>49.95</v>
      </c>
      <c r="F6" s="9">
        <v>40.6</v>
      </c>
      <c r="H6">
        <v>60</v>
      </c>
      <c r="I6" s="9">
        <v>0.94</v>
      </c>
      <c r="K6" t="s">
        <v>84</v>
      </c>
      <c r="L6">
        <v>70</v>
      </c>
      <c r="M6" t="s">
        <v>85</v>
      </c>
      <c r="N6" t="s">
        <v>86</v>
      </c>
      <c r="O6" s="4">
        <v>85</v>
      </c>
      <c r="Q6" s="10">
        <v>3.2</v>
      </c>
      <c r="R6" s="11">
        <v>0.215</v>
      </c>
    </row>
    <row r="7" spans="1:18" x14ac:dyDescent="0.2">
      <c r="A7" t="s">
        <v>87</v>
      </c>
      <c r="B7" s="9">
        <v>66.35</v>
      </c>
      <c r="C7" s="9">
        <v>55.9</v>
      </c>
      <c r="D7" s="9">
        <v>47.6</v>
      </c>
      <c r="E7" s="9">
        <v>39.1</v>
      </c>
      <c r="F7" s="9">
        <v>31.85</v>
      </c>
      <c r="H7">
        <v>70</v>
      </c>
      <c r="I7" s="9">
        <v>1</v>
      </c>
      <c r="K7" t="s">
        <v>88</v>
      </c>
      <c r="L7">
        <v>85</v>
      </c>
      <c r="M7" t="s">
        <v>89</v>
      </c>
      <c r="N7" t="s">
        <v>90</v>
      </c>
      <c r="O7" s="4">
        <v>60</v>
      </c>
      <c r="Q7" s="10">
        <v>3.3</v>
      </c>
      <c r="R7" s="11">
        <v>0.225</v>
      </c>
    </row>
    <row r="8" spans="1:18" x14ac:dyDescent="0.2">
      <c r="A8" t="s">
        <v>91</v>
      </c>
      <c r="B8" s="9">
        <v>70.15</v>
      </c>
      <c r="C8" s="9">
        <v>59.05</v>
      </c>
      <c r="D8" s="9">
        <v>50.3</v>
      </c>
      <c r="E8" s="9">
        <v>41.3</v>
      </c>
      <c r="F8" s="9">
        <v>33.65</v>
      </c>
      <c r="H8">
        <v>85</v>
      </c>
      <c r="I8" s="9">
        <v>1.15</v>
      </c>
      <c r="K8" t="s">
        <v>92</v>
      </c>
      <c r="L8">
        <v>92.5</v>
      </c>
      <c r="M8" t="s">
        <v>93</v>
      </c>
      <c r="N8" t="s">
        <v>94</v>
      </c>
      <c r="O8" s="4">
        <v>88</v>
      </c>
      <c r="Q8" s="10">
        <v>3.4</v>
      </c>
      <c r="R8" s="11">
        <v>0.235</v>
      </c>
    </row>
    <row r="9" spans="1:18" x14ac:dyDescent="0.2">
      <c r="A9" t="s">
        <v>95</v>
      </c>
      <c r="B9" s="9">
        <v>69.4</v>
      </c>
      <c r="C9" s="9">
        <v>58.45</v>
      </c>
      <c r="D9" s="9">
        <v>49.8</v>
      </c>
      <c r="E9" s="9">
        <v>40.9</v>
      </c>
      <c r="F9" s="9">
        <v>33.3</v>
      </c>
      <c r="H9">
        <v>92.5</v>
      </c>
      <c r="I9" s="9">
        <v>1.3</v>
      </c>
      <c r="K9" t="s">
        <v>96</v>
      </c>
      <c r="L9">
        <v>100</v>
      </c>
      <c r="M9" t="s">
        <v>97</v>
      </c>
      <c r="N9" t="s">
        <v>94</v>
      </c>
      <c r="O9" s="4">
        <v>110</v>
      </c>
      <c r="Q9" s="10">
        <v>3.5</v>
      </c>
      <c r="R9" s="11">
        <v>0.245</v>
      </c>
    </row>
    <row r="10" spans="1:18" x14ac:dyDescent="0.2">
      <c r="A10" t="s">
        <v>98</v>
      </c>
      <c r="B10" s="9">
        <v>44.9</v>
      </c>
      <c r="C10" s="9">
        <v>37.8</v>
      </c>
      <c r="D10" s="9">
        <v>32.15</v>
      </c>
      <c r="E10" s="9">
        <v>26.4</v>
      </c>
      <c r="F10" s="9">
        <v>21.5</v>
      </c>
      <c r="H10">
        <v>100</v>
      </c>
      <c r="I10" s="9">
        <v>1.45</v>
      </c>
      <c r="Q10" s="10">
        <v>3.55</v>
      </c>
      <c r="R10" s="11">
        <v>0.25</v>
      </c>
    </row>
    <row r="11" spans="1:18" x14ac:dyDescent="0.2">
      <c r="Q11" s="10">
        <v>3.6</v>
      </c>
      <c r="R11" s="11">
        <v>0.255</v>
      </c>
    </row>
    <row r="12" spans="1:18" x14ac:dyDescent="0.2">
      <c r="A12" t="s">
        <v>99</v>
      </c>
      <c r="B12">
        <v>1</v>
      </c>
      <c r="C12">
        <v>500</v>
      </c>
      <c r="D12">
        <v>1000</v>
      </c>
      <c r="E12">
        <v>2000</v>
      </c>
      <c r="F12">
        <v>5000</v>
      </c>
      <c r="Q12" s="10">
        <v>3.65</v>
      </c>
      <c r="R12" s="11">
        <v>0.26</v>
      </c>
    </row>
    <row r="13" spans="1:18" x14ac:dyDescent="0.2">
      <c r="Q13" s="10">
        <v>3.7</v>
      </c>
      <c r="R13" s="11">
        <v>0.265</v>
      </c>
    </row>
    <row r="14" spans="1:18" x14ac:dyDescent="0.2">
      <c r="Q14" s="10">
        <v>3.75</v>
      </c>
      <c r="R14" s="11">
        <v>0.27</v>
      </c>
    </row>
    <row r="15" spans="1:18" x14ac:dyDescent="0.2">
      <c r="Q15" s="10">
        <v>3.8</v>
      </c>
      <c r="R15" s="11">
        <v>0.275</v>
      </c>
    </row>
    <row r="16" spans="1:18" x14ac:dyDescent="0.2">
      <c r="Q16" s="10">
        <v>3.85</v>
      </c>
      <c r="R16" s="11">
        <v>0.28</v>
      </c>
    </row>
    <row r="17" spans="17:18" x14ac:dyDescent="0.2">
      <c r="Q17" s="10">
        <v>3.9</v>
      </c>
      <c r="R17" s="11">
        <v>0.285</v>
      </c>
    </row>
    <row r="18" spans="17:18" x14ac:dyDescent="0.2">
      <c r="Q18" s="10">
        <v>3.95</v>
      </c>
      <c r="R18" s="11">
        <v>0.29</v>
      </c>
    </row>
    <row r="19" spans="17:18" x14ac:dyDescent="0.2">
      <c r="Q19" s="10">
        <v>4</v>
      </c>
      <c r="R19" s="11">
        <v>0.295</v>
      </c>
    </row>
    <row r="20" spans="17:18" x14ac:dyDescent="0.2">
      <c r="Q20" s="10">
        <v>4.1</v>
      </c>
      <c r="R20" s="11">
        <v>0.305</v>
      </c>
    </row>
    <row r="21" spans="17:18" x14ac:dyDescent="0.2">
      <c r="Q21" s="10">
        <v>4.2</v>
      </c>
      <c r="R21" s="11">
        <v>0.315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4"/>
  <sheetViews>
    <sheetView workbookViewId="0"/>
  </sheetViews>
  <sheetFormatPr baseColWidth="10" defaultColWidth="8.83203125" defaultRowHeight="15" x14ac:dyDescent="0.2"/>
  <cols>
    <col min="1" max="1" width="16" customWidth="1"/>
    <col min="2" max="2" width="12" customWidth="1"/>
    <col min="3" max="3" width="10" customWidth="1"/>
    <col min="4" max="4" width="14" customWidth="1"/>
  </cols>
  <sheetData>
    <row r="1" spans="1:4" ht="17" x14ac:dyDescent="0.2">
      <c r="A1" s="1" t="s">
        <v>100</v>
      </c>
    </row>
    <row r="3" spans="1:4" x14ac:dyDescent="0.2">
      <c r="A3" s="2" t="s">
        <v>101</v>
      </c>
      <c r="B3" s="2" t="s">
        <v>102</v>
      </c>
      <c r="C3" s="2" t="s">
        <v>74</v>
      </c>
      <c r="D3" s="2" t="s">
        <v>103</v>
      </c>
    </row>
    <row r="4" spans="1:4" x14ac:dyDescent="0.2">
      <c r="A4" t="s">
        <v>104</v>
      </c>
      <c r="B4" s="10">
        <v>3.618</v>
      </c>
      <c r="C4" s="11">
        <f>VLOOKUP(B4,Tariff!$Q$4:$R$21,2,TRUE)</f>
        <v>0.255</v>
      </c>
      <c r="D4" s="11">
        <v>0.255</v>
      </c>
    </row>
    <row r="5" spans="1:4" x14ac:dyDescent="0.2">
      <c r="A5" t="s">
        <v>105</v>
      </c>
      <c r="B5" s="10">
        <v>3.641</v>
      </c>
      <c r="C5" s="11">
        <f>VLOOKUP(B5,Tariff!$Q$4:$R$21,2,TRUE)</f>
        <v>0.255</v>
      </c>
      <c r="D5" s="11">
        <v>0.255</v>
      </c>
    </row>
    <row r="6" spans="1:4" x14ac:dyDescent="0.2">
      <c r="A6" t="s">
        <v>106</v>
      </c>
      <c r="B6" s="10">
        <v>3.677</v>
      </c>
      <c r="C6" s="11">
        <f>VLOOKUP(B6,Tariff!$Q$4:$R$21,2,TRUE)</f>
        <v>0.26</v>
      </c>
      <c r="D6" s="11">
        <v>0.26</v>
      </c>
    </row>
    <row r="7" spans="1:4" x14ac:dyDescent="0.2">
      <c r="A7" t="s">
        <v>107</v>
      </c>
      <c r="B7" s="10">
        <v>3.664</v>
      </c>
      <c r="C7" s="11">
        <f>VLOOKUP(B7,Tariff!$Q$4:$R$21,2,TRUE)</f>
        <v>0.26</v>
      </c>
      <c r="D7" s="11">
        <v>0.26</v>
      </c>
    </row>
    <row r="8" spans="1:4" x14ac:dyDescent="0.2">
      <c r="A8" t="s">
        <v>108</v>
      </c>
      <c r="B8" s="10">
        <v>3.712</v>
      </c>
      <c r="C8" s="11">
        <f>VLOOKUP(B8,Tariff!$Q$4:$R$21,2,TRUE)</f>
        <v>0.265</v>
      </c>
      <c r="D8" s="11">
        <v>0.265</v>
      </c>
    </row>
    <row r="9" spans="1:4" x14ac:dyDescent="0.2">
      <c r="A9" t="s">
        <v>109</v>
      </c>
      <c r="B9" s="10">
        <v>3.748</v>
      </c>
      <c r="C9" s="11">
        <f>VLOOKUP(B9,Tariff!$Q$4:$R$21,2,TRUE)</f>
        <v>0.265</v>
      </c>
      <c r="D9" s="11">
        <v>0.265</v>
      </c>
    </row>
    <row r="10" spans="1:4" x14ac:dyDescent="0.2">
      <c r="A10" t="s">
        <v>110</v>
      </c>
      <c r="B10" s="10">
        <v>3.691</v>
      </c>
      <c r="C10" s="11">
        <f>VLOOKUP(B10,Tariff!$Q$4:$R$21,2,TRUE)</f>
        <v>0.26</v>
      </c>
      <c r="D10" s="11">
        <v>0.26</v>
      </c>
    </row>
    <row r="11" spans="1:4" x14ac:dyDescent="0.2">
      <c r="A11" t="s">
        <v>111</v>
      </c>
      <c r="B11" s="10">
        <v>3.803</v>
      </c>
      <c r="C11" s="11">
        <f>VLOOKUP(B11,Tariff!$Q$4:$R$21,2,TRUE)</f>
        <v>0.275</v>
      </c>
      <c r="D11" s="11">
        <v>0.27</v>
      </c>
    </row>
    <row r="12" spans="1:4" x14ac:dyDescent="0.2">
      <c r="A12" t="s">
        <v>112</v>
      </c>
      <c r="B12" s="10">
        <v>3.779</v>
      </c>
      <c r="C12" s="11">
        <f>VLOOKUP(B12,Tariff!$Q$4:$R$21,2,TRUE)</f>
        <v>0.27</v>
      </c>
      <c r="D12" s="11">
        <v>0.27</v>
      </c>
    </row>
    <row r="14" spans="1:4" x14ac:dyDescent="0.2">
      <c r="A14" t="s">
        <v>113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39"/>
  <sheetViews>
    <sheetView workbookViewId="0"/>
  </sheetViews>
  <sheetFormatPr baseColWidth="10" defaultColWidth="8.83203125" defaultRowHeight="15" x14ac:dyDescent="0.2"/>
  <cols>
    <col min="1" max="1" width="12" customWidth="1"/>
    <col min="2" max="2" width="10" customWidth="1"/>
    <col min="3" max="3" width="12" customWidth="1"/>
    <col min="4" max="4" width="16" customWidth="1"/>
    <col min="5" max="5" width="10" customWidth="1"/>
    <col min="6" max="6" width="24" customWidth="1"/>
    <col min="13" max="13" width="14" customWidth="1"/>
  </cols>
  <sheetData>
    <row r="1" spans="1:13" ht="17" x14ac:dyDescent="0.2">
      <c r="A1" s="1" t="s">
        <v>114</v>
      </c>
    </row>
    <row r="3" spans="1:13" x14ac:dyDescent="0.2">
      <c r="A3" s="2" t="s">
        <v>115</v>
      </c>
      <c r="B3" s="2" t="s">
        <v>116</v>
      </c>
      <c r="C3" s="2" t="s">
        <v>117</v>
      </c>
      <c r="D3" s="2" t="s">
        <v>118</v>
      </c>
      <c r="E3" s="2" t="s">
        <v>61</v>
      </c>
      <c r="F3" s="2" t="s">
        <v>69</v>
      </c>
      <c r="G3" s="2" t="s">
        <v>119</v>
      </c>
      <c r="H3" s="2" t="s">
        <v>120</v>
      </c>
      <c r="I3" s="2" t="s">
        <v>78</v>
      </c>
      <c r="J3" s="2" t="s">
        <v>82</v>
      </c>
      <c r="K3" s="2" t="s">
        <v>86</v>
      </c>
      <c r="L3" s="2" t="s">
        <v>90</v>
      </c>
      <c r="M3" s="2" t="s">
        <v>121</v>
      </c>
    </row>
    <row r="4" spans="1:13" x14ac:dyDescent="0.2">
      <c r="A4" t="s">
        <v>122</v>
      </c>
      <c r="B4">
        <v>217645</v>
      </c>
      <c r="C4" t="s">
        <v>123</v>
      </c>
      <c r="D4" t="s">
        <v>124</v>
      </c>
      <c r="E4" t="s">
        <v>91</v>
      </c>
      <c r="F4" t="s">
        <v>84</v>
      </c>
      <c r="G4">
        <v>2</v>
      </c>
      <c r="H4">
        <v>1240</v>
      </c>
      <c r="I4" t="s">
        <v>125</v>
      </c>
      <c r="J4" t="s">
        <v>125</v>
      </c>
      <c r="K4" t="s">
        <v>126</v>
      </c>
      <c r="L4" t="s">
        <v>125</v>
      </c>
      <c r="M4" t="s">
        <v>127</v>
      </c>
    </row>
    <row r="5" spans="1:13" x14ac:dyDescent="0.2">
      <c r="A5" t="s">
        <v>128</v>
      </c>
      <c r="B5">
        <v>217763</v>
      </c>
      <c r="C5" t="s">
        <v>123</v>
      </c>
      <c r="D5" t="s">
        <v>129</v>
      </c>
      <c r="E5" t="s">
        <v>87</v>
      </c>
      <c r="F5" t="s">
        <v>80</v>
      </c>
      <c r="G5">
        <v>7</v>
      </c>
      <c r="H5">
        <v>1620</v>
      </c>
      <c r="I5" t="s">
        <v>126</v>
      </c>
      <c r="J5" t="s">
        <v>125</v>
      </c>
      <c r="K5" t="s">
        <v>125</v>
      </c>
      <c r="L5" t="s">
        <v>125</v>
      </c>
      <c r="M5" t="s">
        <v>127</v>
      </c>
    </row>
    <row r="6" spans="1:13" x14ac:dyDescent="0.2">
      <c r="A6" t="s">
        <v>130</v>
      </c>
      <c r="B6">
        <v>217703</v>
      </c>
      <c r="C6" t="s">
        <v>131</v>
      </c>
      <c r="D6" t="s">
        <v>132</v>
      </c>
      <c r="E6" t="s">
        <v>75</v>
      </c>
      <c r="F6" t="s">
        <v>88</v>
      </c>
      <c r="G6">
        <v>4</v>
      </c>
      <c r="H6">
        <v>720</v>
      </c>
      <c r="I6" t="s">
        <v>126</v>
      </c>
      <c r="J6" t="s">
        <v>125</v>
      </c>
      <c r="K6" t="s">
        <v>126</v>
      </c>
      <c r="L6" t="s">
        <v>125</v>
      </c>
      <c r="M6" t="s">
        <v>109</v>
      </c>
    </row>
    <row r="7" spans="1:13" x14ac:dyDescent="0.2">
      <c r="A7" t="s">
        <v>133</v>
      </c>
      <c r="B7">
        <v>217822</v>
      </c>
      <c r="C7" t="s">
        <v>109</v>
      </c>
      <c r="D7" t="s">
        <v>134</v>
      </c>
      <c r="E7" t="s">
        <v>91</v>
      </c>
      <c r="F7" t="s">
        <v>84</v>
      </c>
      <c r="G7">
        <v>8</v>
      </c>
      <c r="H7">
        <v>4210</v>
      </c>
      <c r="I7" t="s">
        <v>126</v>
      </c>
      <c r="J7" t="s">
        <v>125</v>
      </c>
      <c r="K7" t="s">
        <v>125</v>
      </c>
      <c r="L7" t="s">
        <v>125</v>
      </c>
      <c r="M7" t="s">
        <v>135</v>
      </c>
    </row>
    <row r="8" spans="1:13" x14ac:dyDescent="0.2">
      <c r="A8" t="s">
        <v>136</v>
      </c>
      <c r="B8">
        <v>217675</v>
      </c>
      <c r="C8" t="s">
        <v>137</v>
      </c>
      <c r="D8" t="s">
        <v>138</v>
      </c>
      <c r="E8" t="s">
        <v>83</v>
      </c>
      <c r="F8" t="s">
        <v>80</v>
      </c>
      <c r="G8">
        <v>3</v>
      </c>
      <c r="H8">
        <v>1760</v>
      </c>
      <c r="I8" t="s">
        <v>125</v>
      </c>
      <c r="J8" t="s">
        <v>125</v>
      </c>
      <c r="K8" t="s">
        <v>125</v>
      </c>
      <c r="L8" t="s">
        <v>125</v>
      </c>
      <c r="M8" t="s">
        <v>110</v>
      </c>
    </row>
    <row r="9" spans="1:13" x14ac:dyDescent="0.2">
      <c r="A9" t="s">
        <v>139</v>
      </c>
      <c r="B9">
        <v>217700</v>
      </c>
      <c r="C9" t="s">
        <v>135</v>
      </c>
      <c r="D9" t="s">
        <v>140</v>
      </c>
      <c r="E9" t="s">
        <v>79</v>
      </c>
      <c r="F9" t="s">
        <v>84</v>
      </c>
      <c r="G9">
        <v>6</v>
      </c>
      <c r="H9">
        <v>1980</v>
      </c>
      <c r="I9" t="s">
        <v>125</v>
      </c>
      <c r="J9" t="s">
        <v>125</v>
      </c>
      <c r="K9" t="s">
        <v>125</v>
      </c>
      <c r="L9" t="s">
        <v>125</v>
      </c>
      <c r="M9" t="s">
        <v>141</v>
      </c>
    </row>
    <row r="10" spans="1:13" x14ac:dyDescent="0.2">
      <c r="A10" t="s">
        <v>142</v>
      </c>
      <c r="B10">
        <v>217784</v>
      </c>
      <c r="C10" t="s">
        <v>135</v>
      </c>
      <c r="D10" t="s">
        <v>143</v>
      </c>
      <c r="E10" t="s">
        <v>98</v>
      </c>
      <c r="F10" t="s">
        <v>88</v>
      </c>
      <c r="G10">
        <v>14</v>
      </c>
      <c r="H10">
        <v>2430</v>
      </c>
      <c r="I10" t="s">
        <v>125</v>
      </c>
      <c r="J10" t="s">
        <v>125</v>
      </c>
      <c r="K10" t="s">
        <v>126</v>
      </c>
      <c r="L10" t="s">
        <v>125</v>
      </c>
      <c r="M10" t="s">
        <v>110</v>
      </c>
    </row>
    <row r="11" spans="1:13" x14ac:dyDescent="0.2">
      <c r="A11" t="s">
        <v>144</v>
      </c>
      <c r="B11">
        <v>217846</v>
      </c>
      <c r="C11" t="s">
        <v>135</v>
      </c>
      <c r="D11" t="s">
        <v>134</v>
      </c>
      <c r="E11" t="s">
        <v>91</v>
      </c>
      <c r="F11" t="s">
        <v>96</v>
      </c>
      <c r="G11">
        <v>9</v>
      </c>
      <c r="H11">
        <v>1590</v>
      </c>
      <c r="I11" t="s">
        <v>126</v>
      </c>
      <c r="J11" t="s">
        <v>125</v>
      </c>
      <c r="K11" t="s">
        <v>125</v>
      </c>
      <c r="L11" t="s">
        <v>125</v>
      </c>
      <c r="M11" t="s">
        <v>110</v>
      </c>
    </row>
    <row r="12" spans="1:13" x14ac:dyDescent="0.2">
      <c r="A12" t="s">
        <v>145</v>
      </c>
      <c r="B12">
        <v>217738</v>
      </c>
      <c r="C12" t="s">
        <v>141</v>
      </c>
      <c r="D12" t="s">
        <v>146</v>
      </c>
      <c r="E12" t="s">
        <v>75</v>
      </c>
      <c r="F12" t="s">
        <v>80</v>
      </c>
      <c r="G12">
        <v>2</v>
      </c>
      <c r="H12">
        <v>1130</v>
      </c>
      <c r="I12" t="s">
        <v>126</v>
      </c>
      <c r="J12" t="s">
        <v>125</v>
      </c>
      <c r="K12" t="s">
        <v>125</v>
      </c>
      <c r="L12" t="s">
        <v>125</v>
      </c>
      <c r="M12" t="s">
        <v>147</v>
      </c>
    </row>
    <row r="13" spans="1:13" x14ac:dyDescent="0.2">
      <c r="A13" t="s">
        <v>148</v>
      </c>
      <c r="B13">
        <v>217649</v>
      </c>
      <c r="C13" t="s">
        <v>110</v>
      </c>
      <c r="D13" t="s">
        <v>149</v>
      </c>
      <c r="E13" t="s">
        <v>75</v>
      </c>
      <c r="F13" t="s">
        <v>88</v>
      </c>
      <c r="G13">
        <v>2</v>
      </c>
      <c r="H13">
        <v>380</v>
      </c>
      <c r="I13" t="s">
        <v>125</v>
      </c>
      <c r="J13" t="s">
        <v>125</v>
      </c>
      <c r="K13" t="s">
        <v>125</v>
      </c>
      <c r="L13" t="s">
        <v>125</v>
      </c>
      <c r="M13" t="s">
        <v>150</v>
      </c>
    </row>
    <row r="14" spans="1:13" x14ac:dyDescent="0.2">
      <c r="A14" t="s">
        <v>151</v>
      </c>
      <c r="B14">
        <v>217733</v>
      </c>
      <c r="C14" t="s">
        <v>110</v>
      </c>
      <c r="D14" t="s">
        <v>152</v>
      </c>
      <c r="E14" t="s">
        <v>95</v>
      </c>
      <c r="F14" t="s">
        <v>88</v>
      </c>
      <c r="G14">
        <v>2</v>
      </c>
      <c r="H14">
        <v>640</v>
      </c>
      <c r="I14" t="s">
        <v>125</v>
      </c>
      <c r="J14" t="s">
        <v>125</v>
      </c>
      <c r="K14" t="s">
        <v>125</v>
      </c>
      <c r="L14" t="s">
        <v>125</v>
      </c>
      <c r="M14" t="s">
        <v>153</v>
      </c>
    </row>
    <row r="15" spans="1:13" x14ac:dyDescent="0.2">
      <c r="A15" t="s">
        <v>154</v>
      </c>
      <c r="B15">
        <v>217792</v>
      </c>
      <c r="C15" t="s">
        <v>110</v>
      </c>
      <c r="D15" t="s">
        <v>152</v>
      </c>
      <c r="E15" t="s">
        <v>95</v>
      </c>
      <c r="F15" t="s">
        <v>76</v>
      </c>
      <c r="G15">
        <v>2</v>
      </c>
      <c r="H15">
        <v>680</v>
      </c>
      <c r="I15" t="s">
        <v>125</v>
      </c>
      <c r="J15" t="s">
        <v>125</v>
      </c>
      <c r="K15" t="s">
        <v>125</v>
      </c>
      <c r="L15" t="s">
        <v>125</v>
      </c>
      <c r="M15" t="s">
        <v>155</v>
      </c>
    </row>
    <row r="16" spans="1:13" x14ac:dyDescent="0.2">
      <c r="A16" t="s">
        <v>156</v>
      </c>
      <c r="B16">
        <v>217861</v>
      </c>
      <c r="C16" t="s">
        <v>110</v>
      </c>
      <c r="D16" t="s">
        <v>157</v>
      </c>
      <c r="E16" t="s">
        <v>75</v>
      </c>
      <c r="F16" t="s">
        <v>92</v>
      </c>
      <c r="G16">
        <v>2</v>
      </c>
      <c r="H16">
        <v>770</v>
      </c>
      <c r="I16" t="s">
        <v>125</v>
      </c>
      <c r="J16" t="s">
        <v>125</v>
      </c>
      <c r="K16" t="s">
        <v>125</v>
      </c>
      <c r="L16" t="s">
        <v>125</v>
      </c>
      <c r="M16" t="s">
        <v>153</v>
      </c>
    </row>
    <row r="17" spans="1:13" x14ac:dyDescent="0.2">
      <c r="A17" t="s">
        <v>158</v>
      </c>
      <c r="B17">
        <v>217669</v>
      </c>
      <c r="C17" t="s">
        <v>155</v>
      </c>
      <c r="D17" t="s">
        <v>138</v>
      </c>
      <c r="E17" t="s">
        <v>83</v>
      </c>
      <c r="F17" t="s">
        <v>84</v>
      </c>
      <c r="G17">
        <v>30</v>
      </c>
      <c r="H17">
        <v>5380</v>
      </c>
      <c r="I17" t="s">
        <v>125</v>
      </c>
      <c r="J17" t="s">
        <v>125</v>
      </c>
      <c r="K17" t="s">
        <v>125</v>
      </c>
      <c r="L17" t="s">
        <v>125</v>
      </c>
      <c r="M17" t="s">
        <v>153</v>
      </c>
    </row>
    <row r="18" spans="1:13" x14ac:dyDescent="0.2">
      <c r="A18" t="s">
        <v>159</v>
      </c>
      <c r="B18">
        <v>217692</v>
      </c>
      <c r="C18" t="s">
        <v>155</v>
      </c>
      <c r="D18" t="s">
        <v>160</v>
      </c>
      <c r="E18" t="s">
        <v>91</v>
      </c>
      <c r="F18" t="s">
        <v>84</v>
      </c>
      <c r="G18">
        <v>10</v>
      </c>
      <c r="H18">
        <v>4650</v>
      </c>
      <c r="I18" t="s">
        <v>126</v>
      </c>
      <c r="J18" t="s">
        <v>125</v>
      </c>
      <c r="K18" t="s">
        <v>125</v>
      </c>
      <c r="L18" t="s">
        <v>125</v>
      </c>
      <c r="M18" t="s">
        <v>153</v>
      </c>
    </row>
    <row r="19" spans="1:13" x14ac:dyDescent="0.2">
      <c r="A19" t="s">
        <v>161</v>
      </c>
      <c r="B19">
        <v>217766</v>
      </c>
      <c r="C19" t="s">
        <v>162</v>
      </c>
      <c r="D19" t="s">
        <v>163</v>
      </c>
      <c r="E19" t="s">
        <v>83</v>
      </c>
      <c r="F19" t="s">
        <v>80</v>
      </c>
      <c r="G19">
        <v>15</v>
      </c>
      <c r="H19">
        <v>5960</v>
      </c>
      <c r="I19" t="s">
        <v>125</v>
      </c>
      <c r="J19" t="s">
        <v>125</v>
      </c>
      <c r="K19" t="s">
        <v>125</v>
      </c>
      <c r="L19" t="s">
        <v>125</v>
      </c>
      <c r="M19" t="s">
        <v>150</v>
      </c>
    </row>
    <row r="20" spans="1:13" x14ac:dyDescent="0.2">
      <c r="A20" t="s">
        <v>164</v>
      </c>
      <c r="B20">
        <v>217798</v>
      </c>
      <c r="C20" t="s">
        <v>150</v>
      </c>
      <c r="D20" t="s">
        <v>165</v>
      </c>
      <c r="E20" t="s">
        <v>98</v>
      </c>
      <c r="F20" t="s">
        <v>96</v>
      </c>
      <c r="G20">
        <v>3</v>
      </c>
      <c r="H20">
        <v>1860</v>
      </c>
      <c r="I20" t="s">
        <v>125</v>
      </c>
      <c r="J20" t="s">
        <v>126</v>
      </c>
      <c r="K20" t="s">
        <v>125</v>
      </c>
      <c r="L20" t="s">
        <v>125</v>
      </c>
      <c r="M20" t="s">
        <v>111</v>
      </c>
    </row>
    <row r="21" spans="1:13" x14ac:dyDescent="0.2">
      <c r="A21" t="s">
        <v>166</v>
      </c>
      <c r="B21">
        <v>217873</v>
      </c>
      <c r="C21" t="s">
        <v>150</v>
      </c>
      <c r="D21" t="s">
        <v>163</v>
      </c>
      <c r="E21" t="s">
        <v>83</v>
      </c>
      <c r="F21" t="s">
        <v>96</v>
      </c>
      <c r="G21">
        <v>7</v>
      </c>
      <c r="H21">
        <v>2790</v>
      </c>
      <c r="I21" t="s">
        <v>126</v>
      </c>
      <c r="J21" t="s">
        <v>125</v>
      </c>
      <c r="K21" t="s">
        <v>125</v>
      </c>
      <c r="L21" t="s">
        <v>126</v>
      </c>
      <c r="M21" t="s">
        <v>153</v>
      </c>
    </row>
    <row r="22" spans="1:13" x14ac:dyDescent="0.2">
      <c r="A22" t="s">
        <v>167</v>
      </c>
      <c r="B22">
        <v>217666</v>
      </c>
      <c r="C22" t="s">
        <v>153</v>
      </c>
      <c r="D22" t="s">
        <v>134</v>
      </c>
      <c r="E22" t="s">
        <v>91</v>
      </c>
      <c r="F22" t="s">
        <v>76</v>
      </c>
      <c r="G22">
        <v>2</v>
      </c>
      <c r="H22">
        <v>905</v>
      </c>
      <c r="I22" t="s">
        <v>125</v>
      </c>
      <c r="J22" t="s">
        <v>125</v>
      </c>
      <c r="K22" t="s">
        <v>125</v>
      </c>
      <c r="L22" t="s">
        <v>125</v>
      </c>
      <c r="M22" t="s">
        <v>111</v>
      </c>
    </row>
    <row r="23" spans="1:13" x14ac:dyDescent="0.2">
      <c r="A23" t="s">
        <v>168</v>
      </c>
      <c r="B23">
        <v>217724</v>
      </c>
      <c r="C23" t="s">
        <v>153</v>
      </c>
      <c r="D23" t="s">
        <v>169</v>
      </c>
      <c r="E23" t="s">
        <v>98</v>
      </c>
      <c r="F23" t="s">
        <v>76</v>
      </c>
      <c r="G23">
        <v>8</v>
      </c>
      <c r="H23">
        <v>1450</v>
      </c>
      <c r="I23" t="s">
        <v>125</v>
      </c>
      <c r="J23" t="s">
        <v>126</v>
      </c>
      <c r="K23" t="s">
        <v>125</v>
      </c>
      <c r="L23" t="s">
        <v>126</v>
      </c>
      <c r="M23" t="s">
        <v>170</v>
      </c>
    </row>
    <row r="24" spans="1:13" x14ac:dyDescent="0.2">
      <c r="A24" t="s">
        <v>171</v>
      </c>
      <c r="B24">
        <v>217833</v>
      </c>
      <c r="C24" t="s">
        <v>153</v>
      </c>
      <c r="D24" t="s">
        <v>172</v>
      </c>
      <c r="E24" t="s">
        <v>75</v>
      </c>
      <c r="F24" t="s">
        <v>92</v>
      </c>
      <c r="G24">
        <v>2</v>
      </c>
      <c r="H24">
        <v>950</v>
      </c>
      <c r="I24" t="s">
        <v>126</v>
      </c>
      <c r="J24" t="s">
        <v>126</v>
      </c>
      <c r="K24" t="s">
        <v>125</v>
      </c>
      <c r="L24" t="s">
        <v>125</v>
      </c>
      <c r="M24" t="s">
        <v>111</v>
      </c>
    </row>
    <row r="25" spans="1:13" x14ac:dyDescent="0.2">
      <c r="A25" t="s">
        <v>173</v>
      </c>
      <c r="B25">
        <v>217883</v>
      </c>
      <c r="C25" t="s">
        <v>153</v>
      </c>
      <c r="D25" t="s">
        <v>160</v>
      </c>
      <c r="E25" t="s">
        <v>91</v>
      </c>
      <c r="F25" t="s">
        <v>96</v>
      </c>
      <c r="G25">
        <v>3</v>
      </c>
      <c r="H25">
        <v>1010</v>
      </c>
      <c r="I25" t="s">
        <v>125</v>
      </c>
      <c r="J25" t="s">
        <v>126</v>
      </c>
      <c r="K25" t="s">
        <v>125</v>
      </c>
      <c r="L25" t="s">
        <v>125</v>
      </c>
      <c r="M25" t="s">
        <v>111</v>
      </c>
    </row>
    <row r="26" spans="1:13" x14ac:dyDescent="0.2">
      <c r="A26" t="s">
        <v>174</v>
      </c>
      <c r="B26">
        <v>217851</v>
      </c>
      <c r="C26" t="s">
        <v>111</v>
      </c>
      <c r="D26" t="s">
        <v>149</v>
      </c>
      <c r="E26" t="s">
        <v>75</v>
      </c>
      <c r="F26" t="s">
        <v>88</v>
      </c>
      <c r="G26">
        <v>11</v>
      </c>
      <c r="H26">
        <v>4470</v>
      </c>
      <c r="I26" t="s">
        <v>125</v>
      </c>
      <c r="J26" t="s">
        <v>125</v>
      </c>
      <c r="K26" t="s">
        <v>125</v>
      </c>
      <c r="L26" t="s">
        <v>125</v>
      </c>
      <c r="M26" t="s">
        <v>175</v>
      </c>
    </row>
    <row r="27" spans="1:13" x14ac:dyDescent="0.2">
      <c r="A27" t="s">
        <v>176</v>
      </c>
      <c r="B27">
        <v>217864</v>
      </c>
      <c r="C27" t="s">
        <v>111</v>
      </c>
      <c r="D27" t="s">
        <v>163</v>
      </c>
      <c r="E27" t="s">
        <v>83</v>
      </c>
      <c r="F27" t="s">
        <v>84</v>
      </c>
      <c r="G27">
        <v>2</v>
      </c>
      <c r="H27">
        <v>1220</v>
      </c>
      <c r="I27" t="s">
        <v>125</v>
      </c>
      <c r="J27" t="s">
        <v>125</v>
      </c>
      <c r="K27" t="s">
        <v>125</v>
      </c>
      <c r="L27" t="s">
        <v>125</v>
      </c>
      <c r="M27" t="s">
        <v>177</v>
      </c>
    </row>
    <row r="28" spans="1:13" x14ac:dyDescent="0.2">
      <c r="A28" t="s">
        <v>178</v>
      </c>
      <c r="B28">
        <v>217757</v>
      </c>
      <c r="C28" t="s">
        <v>170</v>
      </c>
      <c r="D28" t="s">
        <v>160</v>
      </c>
      <c r="E28" t="s">
        <v>91</v>
      </c>
      <c r="F28" t="s">
        <v>96</v>
      </c>
      <c r="G28">
        <v>1</v>
      </c>
      <c r="H28">
        <v>830</v>
      </c>
      <c r="I28" t="s">
        <v>125</v>
      </c>
      <c r="J28" t="s">
        <v>125</v>
      </c>
      <c r="K28" t="s">
        <v>125</v>
      </c>
      <c r="L28" t="s">
        <v>125</v>
      </c>
      <c r="M28" t="s">
        <v>175</v>
      </c>
    </row>
    <row r="29" spans="1:13" x14ac:dyDescent="0.2">
      <c r="A29" t="s">
        <v>179</v>
      </c>
      <c r="B29">
        <v>217803</v>
      </c>
      <c r="C29" t="s">
        <v>170</v>
      </c>
      <c r="D29" t="s">
        <v>180</v>
      </c>
      <c r="E29" t="s">
        <v>87</v>
      </c>
      <c r="F29" t="s">
        <v>92</v>
      </c>
      <c r="G29">
        <v>11</v>
      </c>
      <c r="H29">
        <v>3560</v>
      </c>
      <c r="I29" t="s">
        <v>125</v>
      </c>
      <c r="J29" t="s">
        <v>125</v>
      </c>
      <c r="K29" t="s">
        <v>125</v>
      </c>
      <c r="L29" t="s">
        <v>126</v>
      </c>
      <c r="M29" t="s">
        <v>181</v>
      </c>
    </row>
    <row r="30" spans="1:13" x14ac:dyDescent="0.2">
      <c r="A30" t="s">
        <v>182</v>
      </c>
      <c r="B30">
        <v>217775</v>
      </c>
      <c r="C30" t="s">
        <v>177</v>
      </c>
      <c r="D30" t="s">
        <v>183</v>
      </c>
      <c r="E30" t="s">
        <v>95</v>
      </c>
      <c r="F30" t="s">
        <v>92</v>
      </c>
      <c r="G30">
        <v>2</v>
      </c>
      <c r="H30">
        <v>1040</v>
      </c>
      <c r="I30" t="s">
        <v>125</v>
      </c>
      <c r="J30" t="s">
        <v>125</v>
      </c>
      <c r="K30" t="s">
        <v>125</v>
      </c>
      <c r="L30" t="s">
        <v>125</v>
      </c>
      <c r="M30" t="s">
        <v>112</v>
      </c>
    </row>
    <row r="31" spans="1:13" x14ac:dyDescent="0.2">
      <c r="A31" t="s">
        <v>184</v>
      </c>
      <c r="B31">
        <v>217841</v>
      </c>
      <c r="C31" t="s">
        <v>181</v>
      </c>
      <c r="D31" t="s">
        <v>138</v>
      </c>
      <c r="E31" t="s">
        <v>83</v>
      </c>
      <c r="F31" t="s">
        <v>80</v>
      </c>
      <c r="G31">
        <v>5</v>
      </c>
      <c r="H31">
        <v>2060</v>
      </c>
      <c r="I31" t="s">
        <v>126</v>
      </c>
      <c r="J31" t="s">
        <v>125</v>
      </c>
      <c r="K31" t="s">
        <v>125</v>
      </c>
      <c r="L31" t="s">
        <v>126</v>
      </c>
      <c r="M31" t="s">
        <v>112</v>
      </c>
    </row>
    <row r="32" spans="1:13" x14ac:dyDescent="0.2">
      <c r="A32" t="s">
        <v>185</v>
      </c>
      <c r="B32">
        <v>217750</v>
      </c>
      <c r="C32" t="s">
        <v>175</v>
      </c>
      <c r="D32" t="s">
        <v>163</v>
      </c>
      <c r="E32" t="s">
        <v>83</v>
      </c>
      <c r="F32" t="s">
        <v>76</v>
      </c>
      <c r="G32">
        <v>7</v>
      </c>
      <c r="H32">
        <v>2980</v>
      </c>
      <c r="I32" t="s">
        <v>126</v>
      </c>
      <c r="J32" t="s">
        <v>125</v>
      </c>
      <c r="K32" t="s">
        <v>125</v>
      </c>
      <c r="L32" t="s">
        <v>125</v>
      </c>
      <c r="M32" t="s">
        <v>186</v>
      </c>
    </row>
    <row r="33" spans="1:13" x14ac:dyDescent="0.2">
      <c r="A33" t="s">
        <v>187</v>
      </c>
      <c r="B33">
        <v>217687</v>
      </c>
      <c r="C33" t="s">
        <v>112</v>
      </c>
      <c r="D33" t="s">
        <v>188</v>
      </c>
      <c r="E33" t="s">
        <v>98</v>
      </c>
      <c r="F33" t="s">
        <v>76</v>
      </c>
      <c r="G33">
        <v>3</v>
      </c>
      <c r="H33">
        <v>460</v>
      </c>
      <c r="I33" t="s">
        <v>125</v>
      </c>
      <c r="J33" t="s">
        <v>125</v>
      </c>
      <c r="K33" t="s">
        <v>125</v>
      </c>
      <c r="L33" t="s">
        <v>125</v>
      </c>
      <c r="M33" t="s">
        <v>189</v>
      </c>
    </row>
    <row r="34" spans="1:13" x14ac:dyDescent="0.2">
      <c r="A34" t="s">
        <v>190</v>
      </c>
      <c r="B34">
        <v>217820</v>
      </c>
      <c r="C34" t="s">
        <v>112</v>
      </c>
      <c r="D34" t="s">
        <v>180</v>
      </c>
      <c r="E34" t="s">
        <v>87</v>
      </c>
      <c r="F34" t="s">
        <v>84</v>
      </c>
      <c r="G34">
        <v>3</v>
      </c>
      <c r="H34">
        <v>1310</v>
      </c>
      <c r="I34" t="s">
        <v>125</v>
      </c>
      <c r="J34" t="s">
        <v>125</v>
      </c>
      <c r="K34" t="s">
        <v>125</v>
      </c>
      <c r="L34" t="s">
        <v>125</v>
      </c>
      <c r="M34" t="s">
        <v>191</v>
      </c>
    </row>
    <row r="35" spans="1:13" x14ac:dyDescent="0.2">
      <c r="A35" t="s">
        <v>192</v>
      </c>
      <c r="B35">
        <v>217654</v>
      </c>
      <c r="C35" t="s">
        <v>186</v>
      </c>
      <c r="D35" t="s">
        <v>180</v>
      </c>
      <c r="E35" t="s">
        <v>87</v>
      </c>
      <c r="F35" t="s">
        <v>96</v>
      </c>
      <c r="G35">
        <v>6</v>
      </c>
      <c r="H35">
        <v>2650</v>
      </c>
      <c r="I35" t="s">
        <v>125</v>
      </c>
      <c r="J35" t="s">
        <v>125</v>
      </c>
      <c r="K35" t="s">
        <v>125</v>
      </c>
      <c r="L35" t="s">
        <v>125</v>
      </c>
      <c r="M35" t="s">
        <v>189</v>
      </c>
    </row>
    <row r="36" spans="1:13" x14ac:dyDescent="0.2">
      <c r="A36" t="s">
        <v>193</v>
      </c>
      <c r="B36">
        <v>217712</v>
      </c>
      <c r="C36" t="s">
        <v>186</v>
      </c>
      <c r="D36" t="s">
        <v>163</v>
      </c>
      <c r="E36" t="s">
        <v>83</v>
      </c>
      <c r="F36" t="s">
        <v>92</v>
      </c>
      <c r="G36">
        <v>12</v>
      </c>
      <c r="H36">
        <v>2210</v>
      </c>
      <c r="I36" t="s">
        <v>125</v>
      </c>
      <c r="J36" t="s">
        <v>125</v>
      </c>
      <c r="K36" t="s">
        <v>125</v>
      </c>
      <c r="L36" t="s">
        <v>125</v>
      </c>
      <c r="M36" t="s">
        <v>189</v>
      </c>
    </row>
    <row r="37" spans="1:13" x14ac:dyDescent="0.2">
      <c r="A37" t="s">
        <v>194</v>
      </c>
      <c r="B37">
        <v>217888</v>
      </c>
      <c r="C37" t="s">
        <v>186</v>
      </c>
      <c r="D37" t="s">
        <v>195</v>
      </c>
      <c r="E37" t="s">
        <v>79</v>
      </c>
      <c r="F37" t="s">
        <v>92</v>
      </c>
      <c r="G37">
        <v>14</v>
      </c>
      <c r="H37">
        <v>3380</v>
      </c>
      <c r="I37" t="s">
        <v>125</v>
      </c>
      <c r="J37" t="s">
        <v>126</v>
      </c>
      <c r="K37" t="s">
        <v>125</v>
      </c>
      <c r="L37" t="s">
        <v>125</v>
      </c>
      <c r="M37" t="s">
        <v>189</v>
      </c>
    </row>
    <row r="38" spans="1:13" x14ac:dyDescent="0.2">
      <c r="A38" t="s">
        <v>196</v>
      </c>
      <c r="B38">
        <v>217720</v>
      </c>
      <c r="C38" t="s">
        <v>197</v>
      </c>
      <c r="D38" t="s">
        <v>134</v>
      </c>
      <c r="E38" t="s">
        <v>91</v>
      </c>
      <c r="F38" t="s">
        <v>84</v>
      </c>
      <c r="G38">
        <v>27</v>
      </c>
      <c r="H38">
        <v>4890</v>
      </c>
      <c r="I38" t="s">
        <v>125</v>
      </c>
      <c r="J38" t="s">
        <v>125</v>
      </c>
      <c r="K38" t="s">
        <v>125</v>
      </c>
      <c r="L38" t="s">
        <v>125</v>
      </c>
      <c r="M38" t="s">
        <v>189</v>
      </c>
    </row>
    <row r="39" spans="1:13" x14ac:dyDescent="0.2">
      <c r="A39" t="s">
        <v>198</v>
      </c>
      <c r="B39">
        <v>217810</v>
      </c>
      <c r="C39" t="s">
        <v>197</v>
      </c>
      <c r="D39" t="s">
        <v>199</v>
      </c>
      <c r="E39" t="s">
        <v>83</v>
      </c>
      <c r="F39" t="s">
        <v>80</v>
      </c>
      <c r="G39">
        <v>3</v>
      </c>
      <c r="H39">
        <v>510</v>
      </c>
      <c r="I39" t="s">
        <v>126</v>
      </c>
      <c r="J39" t="s">
        <v>126</v>
      </c>
      <c r="K39" t="s">
        <v>125</v>
      </c>
      <c r="L39" t="s">
        <v>125</v>
      </c>
      <c r="M39" t="s">
        <v>189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1"/>
  <sheetViews>
    <sheetView workbookViewId="0"/>
  </sheetViews>
  <sheetFormatPr baseColWidth="10" defaultColWidth="8.83203125" defaultRowHeight="15" x14ac:dyDescent="0.2"/>
  <cols>
    <col min="1" max="1" width="12" customWidth="1"/>
    <col min="2" max="2" width="10" customWidth="1"/>
    <col min="3" max="4" width="12" customWidth="1"/>
    <col min="5" max="5" width="10" customWidth="1"/>
    <col min="6" max="6" width="12" customWidth="1"/>
    <col min="11" max="11" width="9" customWidth="1"/>
    <col min="13" max="13" width="40" customWidth="1"/>
  </cols>
  <sheetData>
    <row r="1" spans="1:15" ht="17" x14ac:dyDescent="0.2">
      <c r="A1" s="1" t="s">
        <v>200</v>
      </c>
    </row>
    <row r="3" spans="1:15" x14ac:dyDescent="0.2">
      <c r="A3" s="2" t="s">
        <v>201</v>
      </c>
      <c r="B3" s="2" t="s">
        <v>116</v>
      </c>
      <c r="C3" s="2" t="s">
        <v>202</v>
      </c>
      <c r="D3" s="2" t="s">
        <v>203</v>
      </c>
      <c r="E3" s="2" t="s">
        <v>61</v>
      </c>
      <c r="F3" s="2" t="s">
        <v>204</v>
      </c>
      <c r="G3" s="2" t="s">
        <v>205</v>
      </c>
      <c r="H3" s="2" t="s">
        <v>206</v>
      </c>
      <c r="I3" s="2" t="s">
        <v>207</v>
      </c>
      <c r="J3" s="2" t="s">
        <v>208</v>
      </c>
      <c r="K3" s="2" t="s">
        <v>74</v>
      </c>
      <c r="L3" s="2" t="s">
        <v>209</v>
      </c>
      <c r="M3" s="2" t="s">
        <v>210</v>
      </c>
      <c r="N3" s="2" t="s">
        <v>211</v>
      </c>
      <c r="O3" s="2" t="s">
        <v>212</v>
      </c>
    </row>
    <row r="4" spans="1:15" x14ac:dyDescent="0.2">
      <c r="A4" t="s">
        <v>213</v>
      </c>
      <c r="B4">
        <v>217645</v>
      </c>
      <c r="C4" t="s">
        <v>214</v>
      </c>
      <c r="D4" t="s">
        <v>123</v>
      </c>
      <c r="E4" t="s">
        <v>91</v>
      </c>
      <c r="F4">
        <v>1240</v>
      </c>
      <c r="G4">
        <v>70</v>
      </c>
      <c r="H4" s="4">
        <v>623.72</v>
      </c>
      <c r="I4" s="4">
        <v>386.71</v>
      </c>
      <c r="J4" s="4">
        <v>237.01</v>
      </c>
      <c r="K4">
        <v>26.5</v>
      </c>
      <c r="L4" s="4">
        <v>62.81</v>
      </c>
      <c r="M4" t="s">
        <v>85</v>
      </c>
      <c r="N4" s="4">
        <v>85</v>
      </c>
      <c r="O4" s="4">
        <v>384.82</v>
      </c>
    </row>
    <row r="5" spans="1:15" x14ac:dyDescent="0.2">
      <c r="A5" t="s">
        <v>215</v>
      </c>
      <c r="B5">
        <v>217763</v>
      </c>
      <c r="C5" t="s">
        <v>109</v>
      </c>
      <c r="D5" t="s">
        <v>123</v>
      </c>
      <c r="E5" t="s">
        <v>87</v>
      </c>
      <c r="F5">
        <v>1620</v>
      </c>
      <c r="G5">
        <v>60</v>
      </c>
      <c r="H5" s="4">
        <v>724.85</v>
      </c>
      <c r="I5" s="4">
        <v>449.41</v>
      </c>
      <c r="J5" s="4">
        <v>275.44</v>
      </c>
      <c r="K5">
        <v>26.5</v>
      </c>
      <c r="L5" s="4">
        <v>72.99</v>
      </c>
      <c r="M5" t="s">
        <v>77</v>
      </c>
      <c r="N5" s="4">
        <v>75</v>
      </c>
      <c r="O5" s="4">
        <v>423.43</v>
      </c>
    </row>
    <row r="6" spans="1:15" x14ac:dyDescent="0.2">
      <c r="A6" t="s">
        <v>216</v>
      </c>
      <c r="B6">
        <v>217822</v>
      </c>
      <c r="C6" t="s">
        <v>217</v>
      </c>
      <c r="D6" t="s">
        <v>109</v>
      </c>
      <c r="E6" t="s">
        <v>91</v>
      </c>
      <c r="F6">
        <v>4210</v>
      </c>
      <c r="G6">
        <v>70</v>
      </c>
      <c r="H6" s="4">
        <v>1682.5</v>
      </c>
      <c r="I6" s="4">
        <v>1043.15</v>
      </c>
      <c r="J6" s="4">
        <v>639.35</v>
      </c>
      <c r="K6">
        <v>26.5</v>
      </c>
      <c r="L6" s="4">
        <v>169.43</v>
      </c>
      <c r="M6" t="s">
        <v>77</v>
      </c>
      <c r="N6" s="4">
        <v>75</v>
      </c>
      <c r="O6" s="4">
        <v>883.78</v>
      </c>
    </row>
    <row r="7" spans="1:15" x14ac:dyDescent="0.2">
      <c r="A7" t="s">
        <v>218</v>
      </c>
      <c r="B7">
        <v>217675</v>
      </c>
      <c r="C7" t="s">
        <v>217</v>
      </c>
      <c r="D7" t="s">
        <v>137</v>
      </c>
      <c r="E7" t="s">
        <v>83</v>
      </c>
      <c r="F7">
        <v>1760</v>
      </c>
      <c r="G7">
        <v>60</v>
      </c>
      <c r="H7" s="4">
        <v>939.06</v>
      </c>
      <c r="I7" s="4">
        <v>582.22</v>
      </c>
      <c r="J7" s="4">
        <v>356.84</v>
      </c>
      <c r="K7">
        <v>26.5</v>
      </c>
      <c r="L7" s="4">
        <v>94.56</v>
      </c>
      <c r="M7" t="s">
        <v>94</v>
      </c>
      <c r="N7" s="4">
        <v>0</v>
      </c>
      <c r="O7" s="4">
        <v>451.4</v>
      </c>
    </row>
    <row r="8" spans="1:15" x14ac:dyDescent="0.2">
      <c r="A8" t="s">
        <v>219</v>
      </c>
      <c r="B8">
        <v>217738</v>
      </c>
      <c r="C8" t="s">
        <v>220</v>
      </c>
      <c r="D8" t="s">
        <v>141</v>
      </c>
      <c r="E8" t="s">
        <v>75</v>
      </c>
      <c r="F8">
        <v>1130</v>
      </c>
      <c r="G8">
        <v>60</v>
      </c>
      <c r="H8" s="4">
        <v>443.47</v>
      </c>
      <c r="I8" s="4">
        <v>274.95</v>
      </c>
      <c r="J8" s="4">
        <v>168.52</v>
      </c>
      <c r="K8">
        <v>26.5</v>
      </c>
      <c r="L8" s="4">
        <v>44.66</v>
      </c>
      <c r="M8" t="s">
        <v>94</v>
      </c>
      <c r="N8" s="4">
        <v>0</v>
      </c>
      <c r="O8" s="4">
        <v>213.18</v>
      </c>
    </row>
    <row r="9" spans="1:15" x14ac:dyDescent="0.2">
      <c r="A9" t="s">
        <v>221</v>
      </c>
      <c r="B9">
        <v>217846</v>
      </c>
      <c r="C9" t="s">
        <v>110</v>
      </c>
      <c r="D9" t="s">
        <v>135</v>
      </c>
      <c r="E9" t="s">
        <v>91</v>
      </c>
      <c r="F9">
        <v>1590</v>
      </c>
      <c r="G9">
        <v>100</v>
      </c>
      <c r="H9" s="4">
        <v>1159.67</v>
      </c>
      <c r="I9" s="4">
        <v>719</v>
      </c>
      <c r="J9" s="4">
        <v>440.67</v>
      </c>
      <c r="K9">
        <v>26.5</v>
      </c>
      <c r="L9" s="4">
        <v>116.78</v>
      </c>
      <c r="M9" t="s">
        <v>77</v>
      </c>
      <c r="N9" s="4">
        <v>75</v>
      </c>
      <c r="O9" s="4">
        <v>632.45</v>
      </c>
    </row>
    <row r="10" spans="1:15" x14ac:dyDescent="0.2">
      <c r="A10" t="s">
        <v>222</v>
      </c>
      <c r="B10">
        <v>217703</v>
      </c>
      <c r="C10" t="s">
        <v>155</v>
      </c>
      <c r="D10" t="s">
        <v>131</v>
      </c>
      <c r="E10" t="s">
        <v>75</v>
      </c>
      <c r="F10">
        <v>720</v>
      </c>
      <c r="G10">
        <v>85</v>
      </c>
      <c r="H10" s="4">
        <v>406.55</v>
      </c>
      <c r="I10" s="4">
        <v>252.06</v>
      </c>
      <c r="J10" s="4">
        <v>154.49</v>
      </c>
      <c r="K10">
        <v>26</v>
      </c>
      <c r="L10" s="4">
        <v>40.17</v>
      </c>
      <c r="M10" t="s">
        <v>223</v>
      </c>
      <c r="N10" s="4">
        <v>160</v>
      </c>
      <c r="O10" s="4">
        <v>354.66</v>
      </c>
    </row>
    <row r="11" spans="1:15" x14ac:dyDescent="0.2">
      <c r="A11" t="s">
        <v>224</v>
      </c>
      <c r="B11">
        <v>217700</v>
      </c>
      <c r="C11" t="s">
        <v>155</v>
      </c>
      <c r="D11" t="s">
        <v>135</v>
      </c>
      <c r="E11" t="s">
        <v>79</v>
      </c>
      <c r="F11">
        <v>1980</v>
      </c>
      <c r="G11">
        <v>70</v>
      </c>
      <c r="H11" s="4">
        <v>721</v>
      </c>
      <c r="I11" s="4">
        <v>447.02</v>
      </c>
      <c r="J11" s="4">
        <v>273.98</v>
      </c>
      <c r="K11">
        <v>26.5</v>
      </c>
      <c r="L11" s="4">
        <v>72.6</v>
      </c>
      <c r="M11" t="s">
        <v>94</v>
      </c>
      <c r="N11" s="4">
        <v>0</v>
      </c>
      <c r="O11" s="4">
        <v>346.58</v>
      </c>
    </row>
    <row r="12" spans="1:15" x14ac:dyDescent="0.2">
      <c r="A12" t="s">
        <v>225</v>
      </c>
      <c r="B12">
        <v>217784</v>
      </c>
      <c r="C12" t="s">
        <v>155</v>
      </c>
      <c r="D12" t="s">
        <v>135</v>
      </c>
      <c r="E12" t="s">
        <v>98</v>
      </c>
      <c r="F12">
        <v>2430</v>
      </c>
      <c r="G12">
        <v>92.5</v>
      </c>
      <c r="H12" s="4">
        <v>833.98</v>
      </c>
      <c r="I12" s="4">
        <v>517.07</v>
      </c>
      <c r="J12" s="4">
        <v>316.91</v>
      </c>
      <c r="K12">
        <v>26.5</v>
      </c>
      <c r="L12" s="4">
        <v>83.98</v>
      </c>
      <c r="M12" t="s">
        <v>85</v>
      </c>
      <c r="N12" s="4">
        <v>85</v>
      </c>
      <c r="O12" s="4">
        <v>485.89</v>
      </c>
    </row>
    <row r="13" spans="1:15" x14ac:dyDescent="0.2">
      <c r="A13" t="s">
        <v>226</v>
      </c>
      <c r="B13">
        <v>217733</v>
      </c>
      <c r="C13" t="s">
        <v>153</v>
      </c>
      <c r="D13" t="s">
        <v>110</v>
      </c>
      <c r="E13" t="s">
        <v>95</v>
      </c>
      <c r="F13">
        <v>640</v>
      </c>
      <c r="G13">
        <v>85</v>
      </c>
      <c r="H13" s="4">
        <v>430.19</v>
      </c>
      <c r="I13" s="4">
        <v>266.72</v>
      </c>
      <c r="J13" s="4">
        <v>163.47</v>
      </c>
      <c r="K13">
        <v>26</v>
      </c>
      <c r="L13" s="4">
        <v>42.5</v>
      </c>
      <c r="M13" t="s">
        <v>97</v>
      </c>
      <c r="N13" s="4">
        <v>110</v>
      </c>
      <c r="O13" s="4">
        <v>315.97</v>
      </c>
    </row>
    <row r="14" spans="1:15" x14ac:dyDescent="0.2">
      <c r="A14" t="s">
        <v>227</v>
      </c>
      <c r="B14">
        <v>217669</v>
      </c>
      <c r="C14" t="s">
        <v>153</v>
      </c>
      <c r="D14" t="s">
        <v>155</v>
      </c>
      <c r="E14" t="s">
        <v>83</v>
      </c>
      <c r="F14">
        <v>5380</v>
      </c>
      <c r="G14">
        <v>70</v>
      </c>
      <c r="H14" s="4">
        <v>2184.28</v>
      </c>
      <c r="I14" s="4">
        <v>1354.25</v>
      </c>
      <c r="J14" s="4">
        <v>830.03</v>
      </c>
      <c r="K14">
        <v>26</v>
      </c>
      <c r="L14" s="4">
        <v>215.81</v>
      </c>
      <c r="M14" t="s">
        <v>94</v>
      </c>
      <c r="N14" s="4">
        <v>0</v>
      </c>
      <c r="O14" s="4">
        <v>1045.84</v>
      </c>
    </row>
    <row r="15" spans="1:15" x14ac:dyDescent="0.2">
      <c r="A15" t="s">
        <v>228</v>
      </c>
      <c r="B15">
        <v>217649</v>
      </c>
      <c r="C15" t="s">
        <v>229</v>
      </c>
      <c r="D15" t="s">
        <v>110</v>
      </c>
      <c r="E15" t="s">
        <v>75</v>
      </c>
      <c r="F15">
        <v>380</v>
      </c>
      <c r="G15">
        <v>85</v>
      </c>
      <c r="H15" s="4">
        <v>255.21</v>
      </c>
      <c r="I15" s="4">
        <v>136.81</v>
      </c>
      <c r="J15" s="4">
        <v>118.4</v>
      </c>
      <c r="K15">
        <v>26</v>
      </c>
      <c r="L15" s="4">
        <v>30.78</v>
      </c>
      <c r="M15" t="s">
        <v>94</v>
      </c>
      <c r="N15" s="4">
        <v>0</v>
      </c>
      <c r="O15" s="4">
        <v>149.18</v>
      </c>
    </row>
    <row r="16" spans="1:15" x14ac:dyDescent="0.2">
      <c r="A16" t="s">
        <v>230</v>
      </c>
      <c r="B16">
        <v>217792</v>
      </c>
      <c r="C16" t="s">
        <v>229</v>
      </c>
      <c r="D16" t="s">
        <v>110</v>
      </c>
      <c r="E16" t="s">
        <v>95</v>
      </c>
      <c r="F16">
        <v>680</v>
      </c>
      <c r="G16">
        <v>70</v>
      </c>
      <c r="H16" s="4">
        <v>397.46</v>
      </c>
      <c r="I16" s="4">
        <v>246.43</v>
      </c>
      <c r="J16" s="4">
        <v>151.03</v>
      </c>
      <c r="K16">
        <v>26</v>
      </c>
      <c r="L16" s="4">
        <v>39.27</v>
      </c>
      <c r="M16" t="s">
        <v>94</v>
      </c>
      <c r="N16" s="4">
        <v>0</v>
      </c>
      <c r="O16" s="4">
        <v>190.3</v>
      </c>
    </row>
    <row r="17" spans="1:15" x14ac:dyDescent="0.2">
      <c r="A17" t="s">
        <v>231</v>
      </c>
      <c r="B17">
        <v>217861</v>
      </c>
      <c r="C17" t="s">
        <v>232</v>
      </c>
      <c r="D17" t="s">
        <v>110</v>
      </c>
      <c r="E17" t="s">
        <v>75</v>
      </c>
      <c r="F17">
        <v>770</v>
      </c>
      <c r="G17">
        <v>92.5</v>
      </c>
      <c r="H17" s="4">
        <v>491.49</v>
      </c>
      <c r="I17" s="4">
        <v>304.72</v>
      </c>
      <c r="J17" s="4">
        <v>186.77</v>
      </c>
      <c r="K17">
        <v>26</v>
      </c>
      <c r="L17" s="4">
        <v>48.56</v>
      </c>
      <c r="M17" t="s">
        <v>77</v>
      </c>
      <c r="N17" s="4">
        <v>75</v>
      </c>
      <c r="O17" s="4">
        <v>310.33</v>
      </c>
    </row>
    <row r="18" spans="1:15" x14ac:dyDescent="0.2">
      <c r="A18" t="s">
        <v>233</v>
      </c>
      <c r="B18">
        <v>217692</v>
      </c>
      <c r="C18" t="s">
        <v>232</v>
      </c>
      <c r="D18" t="s">
        <v>155</v>
      </c>
      <c r="E18" t="s">
        <v>91</v>
      </c>
      <c r="F18">
        <v>4650</v>
      </c>
      <c r="G18">
        <v>70</v>
      </c>
      <c r="H18" s="4">
        <v>1920.45</v>
      </c>
      <c r="I18" s="4">
        <v>1190.68</v>
      </c>
      <c r="J18" s="4">
        <v>729.77</v>
      </c>
      <c r="K18">
        <v>26</v>
      </c>
      <c r="L18" s="4">
        <v>189.74</v>
      </c>
      <c r="M18" t="s">
        <v>77</v>
      </c>
      <c r="N18" s="4">
        <v>75</v>
      </c>
      <c r="O18" s="4">
        <v>994.51</v>
      </c>
    </row>
    <row r="19" spans="1:15" x14ac:dyDescent="0.2">
      <c r="A19" t="s">
        <v>234</v>
      </c>
      <c r="B19">
        <v>217766</v>
      </c>
      <c r="C19" t="s">
        <v>111</v>
      </c>
      <c r="D19" t="s">
        <v>162</v>
      </c>
      <c r="E19" t="s">
        <v>83</v>
      </c>
      <c r="F19">
        <v>5960</v>
      </c>
      <c r="G19">
        <v>60</v>
      </c>
      <c r="H19" s="4">
        <v>2274.57</v>
      </c>
      <c r="I19" s="4">
        <v>1410.23</v>
      </c>
      <c r="J19" s="4">
        <v>864.34</v>
      </c>
      <c r="K19">
        <v>26</v>
      </c>
      <c r="L19" s="4">
        <v>224.73</v>
      </c>
      <c r="M19" t="s">
        <v>94</v>
      </c>
      <c r="N19" s="4">
        <v>0</v>
      </c>
      <c r="O19" s="4">
        <v>1089.07</v>
      </c>
    </row>
    <row r="20" spans="1:15" x14ac:dyDescent="0.2">
      <c r="A20" t="s">
        <v>235</v>
      </c>
      <c r="B20">
        <v>217798</v>
      </c>
      <c r="C20" t="s">
        <v>111</v>
      </c>
      <c r="D20" t="s">
        <v>150</v>
      </c>
      <c r="E20" t="s">
        <v>98</v>
      </c>
      <c r="F20">
        <v>1860</v>
      </c>
      <c r="G20">
        <v>100</v>
      </c>
      <c r="H20" s="4">
        <v>867.09</v>
      </c>
      <c r="I20" s="4">
        <v>537.6</v>
      </c>
      <c r="J20" s="4">
        <v>329.49</v>
      </c>
      <c r="K20">
        <v>26</v>
      </c>
      <c r="L20" s="4">
        <v>85.67</v>
      </c>
      <c r="M20" t="s">
        <v>81</v>
      </c>
      <c r="N20" s="4">
        <v>95</v>
      </c>
      <c r="O20" s="4">
        <v>510.16</v>
      </c>
    </row>
    <row r="21" spans="1:15" x14ac:dyDescent="0.2">
      <c r="A21" t="s">
        <v>236</v>
      </c>
      <c r="B21">
        <v>217873</v>
      </c>
      <c r="C21" t="s">
        <v>111</v>
      </c>
      <c r="D21" t="s">
        <v>150</v>
      </c>
      <c r="E21" t="s">
        <v>83</v>
      </c>
      <c r="F21">
        <v>3010</v>
      </c>
      <c r="G21">
        <v>100</v>
      </c>
      <c r="H21" s="4">
        <v>2180.07</v>
      </c>
      <c r="I21" s="4">
        <v>1351.64</v>
      </c>
      <c r="J21" s="4">
        <v>828.43</v>
      </c>
      <c r="K21">
        <v>26</v>
      </c>
      <c r="L21" s="4">
        <v>215.39</v>
      </c>
      <c r="M21" t="s">
        <v>237</v>
      </c>
      <c r="N21" s="4">
        <v>135</v>
      </c>
      <c r="O21" s="4">
        <v>1178.82</v>
      </c>
    </row>
    <row r="22" spans="1:15" x14ac:dyDescent="0.2">
      <c r="A22" t="s">
        <v>238</v>
      </c>
      <c r="B22">
        <v>217833</v>
      </c>
      <c r="C22" t="s">
        <v>111</v>
      </c>
      <c r="D22" t="s">
        <v>153</v>
      </c>
      <c r="E22" t="s">
        <v>75</v>
      </c>
      <c r="F22">
        <v>950</v>
      </c>
      <c r="G22">
        <v>92.5</v>
      </c>
      <c r="H22" s="4">
        <v>542.75</v>
      </c>
      <c r="I22" s="4">
        <v>336.5</v>
      </c>
      <c r="J22" s="4">
        <v>206.25</v>
      </c>
      <c r="K22">
        <v>26</v>
      </c>
      <c r="L22" s="4">
        <v>53.63</v>
      </c>
      <c r="M22" t="s">
        <v>239</v>
      </c>
      <c r="N22" s="4">
        <v>170</v>
      </c>
      <c r="O22" s="4">
        <v>429.88</v>
      </c>
    </row>
    <row r="23" spans="1:15" x14ac:dyDescent="0.2">
      <c r="A23" t="s">
        <v>240</v>
      </c>
      <c r="B23">
        <v>217666</v>
      </c>
      <c r="C23" t="s">
        <v>177</v>
      </c>
      <c r="D23" t="s">
        <v>153</v>
      </c>
      <c r="E23" t="s">
        <v>91</v>
      </c>
      <c r="F23">
        <v>905</v>
      </c>
      <c r="G23">
        <v>55</v>
      </c>
      <c r="H23" s="4">
        <v>442.64</v>
      </c>
      <c r="I23" s="4">
        <v>274.44</v>
      </c>
      <c r="J23" s="4">
        <v>168.2</v>
      </c>
      <c r="K23">
        <v>26</v>
      </c>
      <c r="L23" s="4">
        <v>43.73</v>
      </c>
      <c r="M23" t="s">
        <v>94</v>
      </c>
      <c r="N23" s="4">
        <v>0</v>
      </c>
      <c r="O23" s="4">
        <v>211.93</v>
      </c>
    </row>
    <row r="24" spans="1:15" x14ac:dyDescent="0.2">
      <c r="A24" t="s">
        <v>241</v>
      </c>
      <c r="B24">
        <v>217724</v>
      </c>
      <c r="C24" t="s">
        <v>177</v>
      </c>
      <c r="D24" t="s">
        <v>153</v>
      </c>
      <c r="E24" t="s">
        <v>98</v>
      </c>
      <c r="F24">
        <v>1450</v>
      </c>
      <c r="G24">
        <v>55</v>
      </c>
      <c r="H24" s="4">
        <v>410.23</v>
      </c>
      <c r="I24" s="4">
        <v>254.34</v>
      </c>
      <c r="J24" s="4">
        <v>155.89</v>
      </c>
      <c r="K24">
        <v>26</v>
      </c>
      <c r="L24" s="4">
        <v>40.53</v>
      </c>
      <c r="M24" t="s">
        <v>242</v>
      </c>
      <c r="N24" s="4">
        <v>230</v>
      </c>
      <c r="O24" s="4">
        <v>426.42</v>
      </c>
    </row>
    <row r="25" spans="1:15" x14ac:dyDescent="0.2">
      <c r="A25" t="s">
        <v>243</v>
      </c>
      <c r="B25">
        <v>217883</v>
      </c>
      <c r="C25" t="s">
        <v>177</v>
      </c>
      <c r="D25" t="s">
        <v>153</v>
      </c>
      <c r="E25" t="s">
        <v>91</v>
      </c>
      <c r="F25">
        <v>1010</v>
      </c>
      <c r="G25">
        <v>100</v>
      </c>
      <c r="H25" s="4">
        <v>736.64</v>
      </c>
      <c r="I25" s="4">
        <v>456.72</v>
      </c>
      <c r="J25" s="4">
        <v>279.92</v>
      </c>
      <c r="K25">
        <v>26</v>
      </c>
      <c r="L25" s="4">
        <v>72.78</v>
      </c>
      <c r="M25" t="s">
        <v>81</v>
      </c>
      <c r="N25" s="4">
        <v>95</v>
      </c>
      <c r="O25" s="4">
        <v>447.7</v>
      </c>
    </row>
    <row r="26" spans="1:15" x14ac:dyDescent="0.2">
      <c r="A26" t="s">
        <v>244</v>
      </c>
      <c r="B26">
        <v>217803</v>
      </c>
      <c r="C26" t="s">
        <v>175</v>
      </c>
      <c r="D26" t="s">
        <v>170</v>
      </c>
      <c r="E26" t="s">
        <v>87</v>
      </c>
      <c r="F26">
        <v>3560</v>
      </c>
      <c r="G26">
        <v>92.5</v>
      </c>
      <c r="H26" s="4">
        <v>1809.55</v>
      </c>
      <c r="I26" s="4">
        <v>1121.92</v>
      </c>
      <c r="J26" s="4">
        <v>687.63</v>
      </c>
      <c r="K26">
        <v>27.5</v>
      </c>
      <c r="L26" s="4">
        <v>189.1</v>
      </c>
      <c r="M26" t="s">
        <v>89</v>
      </c>
      <c r="N26" s="4">
        <v>60</v>
      </c>
      <c r="O26" s="4">
        <v>936.73</v>
      </c>
    </row>
    <row r="27" spans="1:15" x14ac:dyDescent="0.2">
      <c r="A27" t="s">
        <v>245</v>
      </c>
      <c r="B27">
        <v>217757</v>
      </c>
      <c r="C27" t="s">
        <v>246</v>
      </c>
      <c r="D27" t="s">
        <v>170</v>
      </c>
      <c r="E27" t="s">
        <v>91</v>
      </c>
      <c r="F27">
        <v>830</v>
      </c>
      <c r="G27">
        <v>100</v>
      </c>
      <c r="H27" s="4">
        <v>710.67</v>
      </c>
      <c r="I27" s="4">
        <v>440.62</v>
      </c>
      <c r="J27" s="4">
        <v>270.05</v>
      </c>
      <c r="K27">
        <v>27.5</v>
      </c>
      <c r="L27" s="4">
        <v>74.26</v>
      </c>
      <c r="M27" t="s">
        <v>94</v>
      </c>
      <c r="N27" s="4">
        <v>0</v>
      </c>
      <c r="O27" s="4">
        <v>344.31</v>
      </c>
    </row>
    <row r="28" spans="1:15" x14ac:dyDescent="0.2">
      <c r="A28" t="s">
        <v>247</v>
      </c>
      <c r="B28">
        <v>217851</v>
      </c>
      <c r="C28" t="s">
        <v>248</v>
      </c>
      <c r="D28" t="s">
        <v>111</v>
      </c>
      <c r="E28" t="s">
        <v>75</v>
      </c>
      <c r="F28">
        <v>4470</v>
      </c>
      <c r="G28">
        <v>85</v>
      </c>
      <c r="H28" s="4">
        <v>1601.38</v>
      </c>
      <c r="I28" s="4">
        <v>992.86</v>
      </c>
      <c r="J28" s="4">
        <v>608.52</v>
      </c>
      <c r="K28">
        <v>27.5</v>
      </c>
      <c r="L28" s="4">
        <v>167.34</v>
      </c>
      <c r="M28" t="s">
        <v>94</v>
      </c>
      <c r="N28" s="4">
        <v>0</v>
      </c>
      <c r="O28" s="4">
        <v>775.86</v>
      </c>
    </row>
    <row r="29" spans="1:15" x14ac:dyDescent="0.2">
      <c r="A29" t="s">
        <v>249</v>
      </c>
      <c r="B29">
        <v>217775</v>
      </c>
      <c r="C29" t="s">
        <v>186</v>
      </c>
      <c r="D29" t="s">
        <v>177</v>
      </c>
      <c r="E29" t="s">
        <v>95</v>
      </c>
      <c r="F29">
        <v>1040</v>
      </c>
      <c r="G29">
        <v>92.5</v>
      </c>
      <c r="H29" s="4">
        <v>673.3</v>
      </c>
      <c r="I29" s="4">
        <v>417.45</v>
      </c>
      <c r="J29" s="4">
        <v>255.85</v>
      </c>
      <c r="K29">
        <v>27.5</v>
      </c>
      <c r="L29" s="4">
        <v>70.36</v>
      </c>
      <c r="M29" t="s">
        <v>94</v>
      </c>
      <c r="N29" s="4">
        <v>0</v>
      </c>
      <c r="O29" s="4">
        <v>326.21</v>
      </c>
    </row>
    <row r="30" spans="1:15" x14ac:dyDescent="0.2">
      <c r="A30" t="s">
        <v>250</v>
      </c>
      <c r="B30">
        <v>217864</v>
      </c>
      <c r="C30" t="s">
        <v>197</v>
      </c>
      <c r="D30" t="s">
        <v>111</v>
      </c>
      <c r="E30" t="s">
        <v>83</v>
      </c>
      <c r="F30">
        <v>1220</v>
      </c>
      <c r="G30">
        <v>70</v>
      </c>
      <c r="H30" s="4">
        <v>742.37</v>
      </c>
      <c r="I30" s="4">
        <v>460.27</v>
      </c>
      <c r="J30" s="4">
        <v>282.1</v>
      </c>
      <c r="K30">
        <v>27</v>
      </c>
      <c r="L30" s="4">
        <v>76.17</v>
      </c>
      <c r="M30" t="s">
        <v>94</v>
      </c>
      <c r="N30" s="4">
        <v>0</v>
      </c>
      <c r="O30" s="4">
        <v>358.27</v>
      </c>
    </row>
    <row r="31" spans="1:15" x14ac:dyDescent="0.2">
      <c r="A31" t="s">
        <v>251</v>
      </c>
      <c r="B31">
        <v>217841</v>
      </c>
      <c r="C31" t="s">
        <v>197</v>
      </c>
      <c r="D31" t="s">
        <v>181</v>
      </c>
      <c r="E31" t="s">
        <v>83</v>
      </c>
      <c r="F31">
        <v>2060</v>
      </c>
      <c r="G31">
        <v>60</v>
      </c>
      <c r="H31" s="4">
        <v>967.23</v>
      </c>
      <c r="I31" s="4">
        <v>599.68</v>
      </c>
      <c r="J31" s="4">
        <v>367.55</v>
      </c>
      <c r="K31">
        <v>27.5</v>
      </c>
      <c r="L31" s="4">
        <v>101.08</v>
      </c>
      <c r="M31" t="s">
        <v>237</v>
      </c>
      <c r="N31" s="4">
        <v>135</v>
      </c>
      <c r="O31" s="4">
        <v>603.63</v>
      </c>
    </row>
    <row r="32" spans="1:15" x14ac:dyDescent="0.2">
      <c r="A32" t="s">
        <v>252</v>
      </c>
      <c r="B32">
        <v>217750</v>
      </c>
      <c r="C32" t="s">
        <v>197</v>
      </c>
      <c r="D32" t="s">
        <v>175</v>
      </c>
      <c r="E32" t="s">
        <v>83</v>
      </c>
      <c r="F32">
        <v>2980</v>
      </c>
      <c r="G32">
        <v>55</v>
      </c>
      <c r="H32" s="4">
        <v>1309.89</v>
      </c>
      <c r="I32" s="4">
        <v>812.13</v>
      </c>
      <c r="J32" s="4">
        <v>497.76</v>
      </c>
      <c r="K32">
        <v>27.5</v>
      </c>
      <c r="L32" s="4">
        <v>136.88</v>
      </c>
      <c r="M32" t="s">
        <v>77</v>
      </c>
      <c r="N32" s="4">
        <v>75</v>
      </c>
      <c r="O32" s="4">
        <v>709.64</v>
      </c>
    </row>
    <row r="33" spans="1:15" x14ac:dyDescent="0.2">
      <c r="A33" t="s">
        <v>253</v>
      </c>
      <c r="B33">
        <v>217883</v>
      </c>
      <c r="C33" t="s">
        <v>191</v>
      </c>
      <c r="D33" t="s">
        <v>153</v>
      </c>
      <c r="E33" t="s">
        <v>91</v>
      </c>
      <c r="F33">
        <v>1010</v>
      </c>
      <c r="G33">
        <v>100</v>
      </c>
      <c r="H33" s="4">
        <v>736.64</v>
      </c>
      <c r="I33" s="4">
        <v>456.72</v>
      </c>
      <c r="J33" s="4">
        <v>279.92</v>
      </c>
      <c r="K33">
        <v>26</v>
      </c>
      <c r="L33" s="4">
        <v>72.78</v>
      </c>
      <c r="M33" t="s">
        <v>81</v>
      </c>
      <c r="N33" s="4">
        <v>95</v>
      </c>
      <c r="O33" s="4">
        <v>447.7</v>
      </c>
    </row>
    <row r="34" spans="1:15" x14ac:dyDescent="0.2">
      <c r="A34" t="s">
        <v>254</v>
      </c>
      <c r="B34">
        <v>217687</v>
      </c>
      <c r="C34" t="s">
        <v>189</v>
      </c>
      <c r="D34" t="s">
        <v>112</v>
      </c>
      <c r="E34" t="s">
        <v>98</v>
      </c>
      <c r="F34">
        <v>460</v>
      </c>
      <c r="G34">
        <v>55</v>
      </c>
      <c r="H34" s="4">
        <v>166.32</v>
      </c>
      <c r="I34" s="4">
        <v>47.92</v>
      </c>
      <c r="J34" s="4">
        <v>118.4</v>
      </c>
      <c r="K34">
        <v>27</v>
      </c>
      <c r="L34" s="4">
        <v>31.97</v>
      </c>
      <c r="M34" t="s">
        <v>94</v>
      </c>
      <c r="N34" s="4">
        <v>0</v>
      </c>
      <c r="O34" s="4">
        <v>150.37</v>
      </c>
    </row>
    <row r="35" spans="1:15" x14ac:dyDescent="0.2">
      <c r="A35" t="s">
        <v>255</v>
      </c>
      <c r="B35">
        <v>217820</v>
      </c>
      <c r="C35" t="s">
        <v>189</v>
      </c>
      <c r="D35" t="s">
        <v>112</v>
      </c>
      <c r="E35" t="s">
        <v>87</v>
      </c>
      <c r="F35">
        <v>1620</v>
      </c>
      <c r="G35">
        <v>70</v>
      </c>
      <c r="H35" s="4">
        <v>771.12</v>
      </c>
      <c r="I35" s="4">
        <v>478.09</v>
      </c>
      <c r="J35" s="4">
        <v>293.03</v>
      </c>
      <c r="K35">
        <v>27</v>
      </c>
      <c r="L35" s="4">
        <v>79.12</v>
      </c>
      <c r="M35" t="s">
        <v>94</v>
      </c>
      <c r="N35" s="4">
        <v>0</v>
      </c>
      <c r="O35" s="4">
        <v>372.15</v>
      </c>
    </row>
    <row r="36" spans="1:15" x14ac:dyDescent="0.2">
      <c r="A36" t="s">
        <v>256</v>
      </c>
      <c r="B36">
        <v>217654</v>
      </c>
      <c r="C36" t="s">
        <v>189</v>
      </c>
      <c r="D36" t="s">
        <v>186</v>
      </c>
      <c r="E36" t="s">
        <v>87</v>
      </c>
      <c r="F36">
        <v>2650</v>
      </c>
      <c r="G36">
        <v>100</v>
      </c>
      <c r="H36" s="4">
        <v>1502.42</v>
      </c>
      <c r="I36" s="4">
        <v>931.5</v>
      </c>
      <c r="J36" s="4">
        <v>570.92</v>
      </c>
      <c r="K36">
        <v>27</v>
      </c>
      <c r="L36" s="4">
        <v>154.15</v>
      </c>
      <c r="M36" t="s">
        <v>94</v>
      </c>
      <c r="N36" s="4">
        <v>0</v>
      </c>
      <c r="O36" s="4">
        <v>725.07</v>
      </c>
    </row>
    <row r="37" spans="1:15" x14ac:dyDescent="0.2">
      <c r="A37" t="s">
        <v>257</v>
      </c>
      <c r="B37">
        <v>217712</v>
      </c>
      <c r="C37" t="s">
        <v>189</v>
      </c>
      <c r="D37" t="s">
        <v>186</v>
      </c>
      <c r="E37" t="s">
        <v>83</v>
      </c>
      <c r="F37">
        <v>2290</v>
      </c>
      <c r="G37">
        <v>92.5</v>
      </c>
      <c r="H37" s="4">
        <v>1487.01</v>
      </c>
      <c r="I37" s="4">
        <v>921.95</v>
      </c>
      <c r="J37" s="4">
        <v>565.06</v>
      </c>
      <c r="K37">
        <v>27</v>
      </c>
      <c r="L37" s="4">
        <v>152.57</v>
      </c>
      <c r="M37" t="s">
        <v>94</v>
      </c>
      <c r="N37" s="4">
        <v>0</v>
      </c>
      <c r="O37" s="4">
        <v>717.63</v>
      </c>
    </row>
    <row r="38" spans="1:15" x14ac:dyDescent="0.2">
      <c r="A38" t="s">
        <v>258</v>
      </c>
      <c r="B38">
        <v>217888</v>
      </c>
      <c r="C38" t="s">
        <v>189</v>
      </c>
      <c r="D38" t="s">
        <v>186</v>
      </c>
      <c r="E38" t="s">
        <v>79</v>
      </c>
      <c r="F38">
        <v>3380</v>
      </c>
      <c r="G38">
        <v>92.5</v>
      </c>
      <c r="H38" s="4">
        <v>1584.04</v>
      </c>
      <c r="I38" s="4">
        <v>982.1</v>
      </c>
      <c r="J38" s="4">
        <v>601.94</v>
      </c>
      <c r="K38">
        <v>27.5</v>
      </c>
      <c r="L38" s="4">
        <v>165.53</v>
      </c>
      <c r="M38" t="s">
        <v>81</v>
      </c>
      <c r="N38" s="4">
        <v>95</v>
      </c>
      <c r="O38" s="4">
        <v>862.47</v>
      </c>
    </row>
    <row r="39" spans="1:15" x14ac:dyDescent="0.2">
      <c r="A39" t="s">
        <v>259</v>
      </c>
      <c r="B39">
        <v>217720</v>
      </c>
      <c r="C39" t="s">
        <v>189</v>
      </c>
      <c r="D39" t="s">
        <v>197</v>
      </c>
      <c r="E39" t="s">
        <v>91</v>
      </c>
      <c r="F39">
        <v>4890</v>
      </c>
      <c r="G39">
        <v>70</v>
      </c>
      <c r="H39" s="4">
        <v>1682.5</v>
      </c>
      <c r="I39" s="4">
        <v>1043.15</v>
      </c>
      <c r="J39" s="4">
        <v>639.35</v>
      </c>
      <c r="K39">
        <v>27</v>
      </c>
      <c r="L39" s="4">
        <v>172.62</v>
      </c>
      <c r="M39" t="s">
        <v>94</v>
      </c>
      <c r="N39" s="4">
        <v>0</v>
      </c>
      <c r="O39" s="4">
        <v>811.97</v>
      </c>
    </row>
    <row r="40" spans="1:15" x14ac:dyDescent="0.2">
      <c r="A40" t="s">
        <v>260</v>
      </c>
      <c r="B40">
        <v>217810</v>
      </c>
      <c r="C40" t="s">
        <v>189</v>
      </c>
      <c r="D40" t="s">
        <v>197</v>
      </c>
      <c r="E40" t="s">
        <v>83</v>
      </c>
      <c r="F40">
        <v>510</v>
      </c>
      <c r="G40">
        <v>60</v>
      </c>
      <c r="H40" s="4">
        <v>341.81</v>
      </c>
      <c r="I40" s="4">
        <v>211.92</v>
      </c>
      <c r="J40" s="4">
        <v>129.89</v>
      </c>
      <c r="K40">
        <v>27</v>
      </c>
      <c r="L40" s="4">
        <v>35.07</v>
      </c>
      <c r="M40" t="s">
        <v>239</v>
      </c>
      <c r="N40" s="4">
        <v>170</v>
      </c>
      <c r="O40" s="4">
        <v>334.96</v>
      </c>
    </row>
    <row r="41" spans="1:15" x14ac:dyDescent="0.2">
      <c r="A41" t="s">
        <v>261</v>
      </c>
      <c r="B41">
        <v>217841</v>
      </c>
      <c r="C41" t="s">
        <v>189</v>
      </c>
      <c r="D41" t="s">
        <v>181</v>
      </c>
      <c r="E41" t="s">
        <v>83</v>
      </c>
      <c r="F41">
        <v>2060</v>
      </c>
      <c r="G41">
        <v>60</v>
      </c>
      <c r="H41" s="4">
        <v>967.23</v>
      </c>
      <c r="I41" s="4">
        <v>599.68</v>
      </c>
      <c r="J41" s="4">
        <v>367.55</v>
      </c>
      <c r="K41">
        <v>27.5</v>
      </c>
      <c r="L41" s="4">
        <v>101.08</v>
      </c>
      <c r="M41" t="s">
        <v>237</v>
      </c>
      <c r="N41" s="4">
        <v>135</v>
      </c>
      <c r="O41" s="4">
        <v>603.63</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4"/>
  <sheetViews>
    <sheetView workbookViewId="0"/>
  </sheetViews>
  <sheetFormatPr baseColWidth="10" defaultColWidth="8.83203125" defaultRowHeight="15" x14ac:dyDescent="0.2"/>
  <cols>
    <col min="1" max="1" width="10" customWidth="1"/>
    <col min="2" max="2" width="13" customWidth="1"/>
    <col min="3" max="3" width="26" customWidth="1"/>
    <col min="4" max="4" width="62" customWidth="1"/>
    <col min="5" max="5" width="30" customWidth="1"/>
    <col min="6" max="6" width="11" customWidth="1"/>
    <col min="7" max="7" width="12" customWidth="1"/>
  </cols>
  <sheetData>
    <row r="1" spans="1:7" ht="17" x14ac:dyDescent="0.2">
      <c r="A1" s="1" t="s">
        <v>262</v>
      </c>
    </row>
    <row r="3" spans="1:7" x14ac:dyDescent="0.2">
      <c r="A3" s="2" t="s">
        <v>116</v>
      </c>
      <c r="B3" s="2" t="s">
        <v>263</v>
      </c>
      <c r="C3" s="2" t="s">
        <v>264</v>
      </c>
      <c r="D3" s="2" t="s">
        <v>265</v>
      </c>
      <c r="E3" s="2" t="s">
        <v>266</v>
      </c>
      <c r="F3" s="2" t="s">
        <v>267</v>
      </c>
      <c r="G3" s="2" t="s">
        <v>268</v>
      </c>
    </row>
    <row r="4" spans="1:7" x14ac:dyDescent="0.2">
      <c r="A4">
        <v>217645</v>
      </c>
      <c r="B4" t="s">
        <v>213</v>
      </c>
      <c r="C4" t="s">
        <v>269</v>
      </c>
      <c r="D4" t="s">
        <v>270</v>
      </c>
      <c r="E4" t="s">
        <v>271</v>
      </c>
      <c r="F4" t="s">
        <v>272</v>
      </c>
      <c r="G4" t="s">
        <v>273</v>
      </c>
    </row>
    <row r="5" spans="1:7" x14ac:dyDescent="0.2">
      <c r="A5">
        <v>217703</v>
      </c>
      <c r="B5" t="s">
        <v>222</v>
      </c>
      <c r="C5" t="s">
        <v>269</v>
      </c>
      <c r="D5" t="s">
        <v>274</v>
      </c>
      <c r="E5" t="s">
        <v>271</v>
      </c>
      <c r="F5" t="s">
        <v>272</v>
      </c>
      <c r="G5" t="s">
        <v>273</v>
      </c>
    </row>
    <row r="6" spans="1:7" x14ac:dyDescent="0.2">
      <c r="A6">
        <v>217784</v>
      </c>
      <c r="B6" t="s">
        <v>225</v>
      </c>
      <c r="C6" t="s">
        <v>275</v>
      </c>
      <c r="D6" t="s">
        <v>276</v>
      </c>
      <c r="E6" t="s">
        <v>277</v>
      </c>
      <c r="F6" t="s">
        <v>272</v>
      </c>
      <c r="G6" t="s">
        <v>278</v>
      </c>
    </row>
    <row r="7" spans="1:7" x14ac:dyDescent="0.2">
      <c r="A7">
        <v>217792</v>
      </c>
      <c r="B7" t="s">
        <v>230</v>
      </c>
      <c r="C7" t="s">
        <v>279</v>
      </c>
      <c r="D7" t="s">
        <v>280</v>
      </c>
      <c r="E7" t="s">
        <v>281</v>
      </c>
      <c r="F7" t="s">
        <v>282</v>
      </c>
      <c r="G7" t="s">
        <v>278</v>
      </c>
    </row>
    <row r="8" spans="1:7" x14ac:dyDescent="0.2">
      <c r="A8">
        <v>217873</v>
      </c>
      <c r="B8" t="s">
        <v>236</v>
      </c>
      <c r="C8" t="s">
        <v>283</v>
      </c>
      <c r="D8" t="s">
        <v>284</v>
      </c>
      <c r="E8" t="s">
        <v>285</v>
      </c>
      <c r="F8" t="s">
        <v>282</v>
      </c>
      <c r="G8" t="s">
        <v>286</v>
      </c>
    </row>
    <row r="9" spans="1:7" x14ac:dyDescent="0.2">
      <c r="A9">
        <v>217820</v>
      </c>
      <c r="B9" t="s">
        <v>255</v>
      </c>
      <c r="C9" t="s">
        <v>287</v>
      </c>
      <c r="D9" t="s">
        <v>288</v>
      </c>
      <c r="E9" t="s">
        <v>289</v>
      </c>
      <c r="F9" t="s">
        <v>272</v>
      </c>
      <c r="G9" t="s">
        <v>286</v>
      </c>
    </row>
    <row r="10" spans="1:7" x14ac:dyDescent="0.2">
      <c r="A10">
        <v>217712</v>
      </c>
      <c r="B10" t="s">
        <v>257</v>
      </c>
      <c r="C10" t="s">
        <v>283</v>
      </c>
      <c r="D10" t="s">
        <v>290</v>
      </c>
      <c r="E10" t="s">
        <v>285</v>
      </c>
      <c r="F10" t="s">
        <v>282</v>
      </c>
      <c r="G10" t="s">
        <v>286</v>
      </c>
    </row>
    <row r="11" spans="1:7" x14ac:dyDescent="0.2">
      <c r="A11">
        <v>217883</v>
      </c>
      <c r="B11" t="s">
        <v>243</v>
      </c>
      <c r="C11" t="s">
        <v>269</v>
      </c>
      <c r="D11" t="s">
        <v>291</v>
      </c>
      <c r="E11" t="s">
        <v>271</v>
      </c>
      <c r="F11" t="s">
        <v>272</v>
      </c>
      <c r="G11" t="s">
        <v>273</v>
      </c>
    </row>
    <row r="12" spans="1:7" x14ac:dyDescent="0.2">
      <c r="A12">
        <v>217841</v>
      </c>
      <c r="B12" t="s">
        <v>251</v>
      </c>
      <c r="C12" t="s">
        <v>269</v>
      </c>
      <c r="D12" t="s">
        <v>292</v>
      </c>
      <c r="E12" t="s">
        <v>271</v>
      </c>
      <c r="F12" t="s">
        <v>272</v>
      </c>
      <c r="G12" t="s">
        <v>273</v>
      </c>
    </row>
    <row r="14" spans="1:7" x14ac:dyDescent="0.2">
      <c r="A14" t="s">
        <v>293</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7"/>
  <sheetViews>
    <sheetView workbookViewId="0"/>
  </sheetViews>
  <sheetFormatPr baseColWidth="10" defaultColWidth="8.83203125" defaultRowHeight="15" x14ac:dyDescent="0.2"/>
  <cols>
    <col min="1" max="1" width="10" customWidth="1"/>
    <col min="2" max="2" width="13" customWidth="1"/>
    <col min="3" max="3" width="20" customWidth="1"/>
    <col min="4" max="4" width="48" customWidth="1"/>
    <col min="5" max="6" width="16" customWidth="1"/>
    <col min="7" max="7" width="10" customWidth="1"/>
    <col min="8" max="8" width="14" customWidth="1"/>
  </cols>
  <sheetData>
    <row r="1" spans="1:8" ht="17" x14ac:dyDescent="0.2">
      <c r="A1" s="1" t="s">
        <v>294</v>
      </c>
    </row>
    <row r="3" spans="1:8" x14ac:dyDescent="0.2">
      <c r="A3" s="2" t="s">
        <v>116</v>
      </c>
      <c r="B3" s="2" t="s">
        <v>263</v>
      </c>
      <c r="C3" s="2" t="s">
        <v>70</v>
      </c>
      <c r="D3" s="2" t="s">
        <v>295</v>
      </c>
      <c r="E3" s="2" t="s">
        <v>296</v>
      </c>
      <c r="F3" s="2" t="s">
        <v>121</v>
      </c>
      <c r="G3" s="2" t="s">
        <v>72</v>
      </c>
      <c r="H3" s="2" t="s">
        <v>297</v>
      </c>
    </row>
    <row r="4" spans="1:8" x14ac:dyDescent="0.2">
      <c r="A4">
        <v>217861</v>
      </c>
      <c r="B4" t="s">
        <v>231</v>
      </c>
      <c r="C4" t="s">
        <v>77</v>
      </c>
      <c r="D4" t="s">
        <v>298</v>
      </c>
      <c r="E4" t="s">
        <v>162</v>
      </c>
      <c r="F4" t="str">
        <f>INDEX(BOL!$M$4:$M$39,MATCH(A4,BOL!$B$4:$B$39,0))</f>
        <v>09/18/2026</v>
      </c>
      <c r="G4" s="4">
        <f>INDEX(Tariff!$O$4:$O$9,MATCH(C4,Tariff!$M$4:$M$9,0))</f>
        <v>75</v>
      </c>
      <c r="H4" t="str">
        <f>IF(DATEVALUE(E4)&lt;DATEVALUE(F4),"Yes","No")</f>
        <v>Yes</v>
      </c>
    </row>
    <row r="5" spans="1:8" x14ac:dyDescent="0.2">
      <c r="A5">
        <v>217733</v>
      </c>
      <c r="B5" t="s">
        <v>226</v>
      </c>
      <c r="C5" t="s">
        <v>97</v>
      </c>
      <c r="D5" t="s">
        <v>298</v>
      </c>
      <c r="E5" t="s">
        <v>155</v>
      </c>
      <c r="F5" t="str">
        <f>INDEX(BOL!$M$4:$M$39,MATCH(A5,BOL!$B$4:$B$39,0))</f>
        <v>09/18/2026</v>
      </c>
      <c r="G5" s="4">
        <f>INDEX(Tariff!$O$4:$O$9,MATCH(C5,Tariff!$M$4:$M$9,0))</f>
        <v>110</v>
      </c>
      <c r="H5" t="str">
        <f>IF(DATEVALUE(E5)&lt;DATEVALUE(F5),"Yes","No")</f>
        <v>Yes</v>
      </c>
    </row>
    <row r="7" spans="1:8" x14ac:dyDescent="0.2">
      <c r="A7" t="s">
        <v>299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S28"/>
  <sheetViews>
    <sheetView workbookViewId="0"/>
  </sheetViews>
  <sheetFormatPr baseColWidth="10" defaultColWidth="8.83203125" defaultRowHeight="15" x14ac:dyDescent="0.2"/>
  <cols>
    <col min="1" max="1" width="12" customWidth="1"/>
    <col min="2" max="2" width="10" customWidth="1"/>
    <col min="3" max="3" width="12" customWidth="1"/>
    <col min="4" max="4" width="8" customWidth="1"/>
    <col min="5" max="5" width="24" customWidth="1"/>
    <col min="21" max="21" width="12" customWidth="1"/>
    <col min="34" max="34" width="28" customWidth="1"/>
    <col min="35" max="35" width="26" customWidth="1"/>
    <col min="37" max="37" width="12" customWidth="1"/>
    <col min="38" max="38" width="10" customWidth="1"/>
    <col min="39" max="39" width="12" customWidth="1"/>
    <col min="40" max="40" width="8" customWidth="1"/>
    <col min="41" max="41" width="24" customWidth="1"/>
    <col min="57" max="57" width="12" customWidth="1"/>
    <col min="70" max="70" width="28" customWidth="1"/>
    <col min="71" max="71" width="26" customWidth="1"/>
  </cols>
  <sheetData>
    <row r="1" spans="1:71" ht="17" x14ac:dyDescent="0.2">
      <c r="A1" s="1" t="s">
        <v>300</v>
      </c>
    </row>
    <row r="3" spans="1:71" x14ac:dyDescent="0.2">
      <c r="A3" s="2" t="s">
        <v>201</v>
      </c>
      <c r="B3" s="2" t="s">
        <v>116</v>
      </c>
      <c r="C3" s="2" t="s">
        <v>117</v>
      </c>
      <c r="D3" s="2" t="s">
        <v>61</v>
      </c>
      <c r="E3" s="2" t="s">
        <v>69</v>
      </c>
      <c r="F3" s="2" t="s">
        <v>301</v>
      </c>
      <c r="G3" s="2" t="s">
        <v>204</v>
      </c>
      <c r="H3" s="2" t="s">
        <v>302</v>
      </c>
      <c r="I3" s="2" t="s">
        <v>303</v>
      </c>
      <c r="J3" s="2" t="s">
        <v>304</v>
      </c>
      <c r="K3" s="2" t="s">
        <v>205</v>
      </c>
      <c r="L3" s="2" t="s">
        <v>305</v>
      </c>
      <c r="M3" s="2" t="s">
        <v>306</v>
      </c>
      <c r="N3" s="2" t="s">
        <v>307</v>
      </c>
      <c r="O3" s="2" t="s">
        <v>308</v>
      </c>
      <c r="P3" s="2" t="s">
        <v>309</v>
      </c>
      <c r="Q3" s="2" t="s">
        <v>310</v>
      </c>
      <c r="R3" s="2" t="s">
        <v>311</v>
      </c>
      <c r="S3" s="2" t="s">
        <v>312</v>
      </c>
      <c r="T3" s="2" t="s">
        <v>208</v>
      </c>
      <c r="U3" s="2" t="s">
        <v>313</v>
      </c>
      <c r="V3" s="2" t="s">
        <v>74</v>
      </c>
      <c r="W3" s="2" t="s">
        <v>314</v>
      </c>
      <c r="X3" s="2" t="s">
        <v>315</v>
      </c>
      <c r="Y3" s="2" t="s">
        <v>316</v>
      </c>
      <c r="Z3" s="2" t="s">
        <v>317</v>
      </c>
      <c r="AA3" s="2" t="s">
        <v>318</v>
      </c>
      <c r="AB3" s="2" t="s">
        <v>319</v>
      </c>
      <c r="AC3" s="2" t="s">
        <v>320</v>
      </c>
      <c r="AD3" s="2" t="s">
        <v>321</v>
      </c>
      <c r="AE3" s="2" t="s">
        <v>322</v>
      </c>
      <c r="AF3" s="2" t="s">
        <v>323</v>
      </c>
      <c r="AG3" s="2" t="s">
        <v>324</v>
      </c>
      <c r="AH3" s="2" t="s">
        <v>325</v>
      </c>
      <c r="AI3" s="2" t="s">
        <v>326</v>
      </c>
      <c r="AK3" s="2" t="s">
        <v>327</v>
      </c>
      <c r="AL3" s="2" t="s">
        <v>328</v>
      </c>
      <c r="AM3" s="2" t="s">
        <v>329</v>
      </c>
      <c r="AN3" s="2" t="s">
        <v>330</v>
      </c>
      <c r="AO3" s="2" t="s">
        <v>331</v>
      </c>
      <c r="AP3" s="2" t="s">
        <v>332</v>
      </c>
      <c r="AQ3" s="2" t="s">
        <v>333</v>
      </c>
      <c r="AR3" s="2" t="s">
        <v>334</v>
      </c>
      <c r="AS3" s="2" t="s">
        <v>335</v>
      </c>
      <c r="AT3" s="2" t="s">
        <v>336</v>
      </c>
      <c r="AU3" s="2" t="s">
        <v>337</v>
      </c>
      <c r="AV3" s="2" t="s">
        <v>338</v>
      </c>
      <c r="AW3" s="2" t="s">
        <v>339</v>
      </c>
      <c r="AX3" s="2" t="s">
        <v>340</v>
      </c>
      <c r="AY3" s="2" t="s">
        <v>341</v>
      </c>
      <c r="AZ3" s="2" t="s">
        <v>342</v>
      </c>
      <c r="BA3" s="2" t="s">
        <v>343</v>
      </c>
      <c r="BB3" s="2" t="s">
        <v>344</v>
      </c>
      <c r="BC3" s="2" t="s">
        <v>345</v>
      </c>
      <c r="BD3" s="2" t="s">
        <v>346</v>
      </c>
      <c r="BE3" s="2" t="s">
        <v>347</v>
      </c>
      <c r="BF3" s="2" t="s">
        <v>348</v>
      </c>
      <c r="BG3" s="2" t="s">
        <v>349</v>
      </c>
      <c r="BH3" s="2" t="s">
        <v>350</v>
      </c>
      <c r="BI3" s="2" t="s">
        <v>351</v>
      </c>
      <c r="BJ3" s="2" t="s">
        <v>352</v>
      </c>
      <c r="BK3" s="2" t="s">
        <v>353</v>
      </c>
      <c r="BL3" s="2" t="s">
        <v>354</v>
      </c>
      <c r="BM3" s="2" t="s">
        <v>355</v>
      </c>
      <c r="BN3" s="2" t="s">
        <v>356</v>
      </c>
      <c r="BO3" s="2" t="s">
        <v>357</v>
      </c>
      <c r="BP3" s="2" t="s">
        <v>358</v>
      </c>
      <c r="BQ3" s="2" t="s">
        <v>359</v>
      </c>
      <c r="BR3" s="2" t="s">
        <v>360</v>
      </c>
      <c r="BS3" s="2" t="s">
        <v>361</v>
      </c>
    </row>
    <row r="4" spans="1:71" x14ac:dyDescent="0.2">
      <c r="A4" t="str">
        <f>Invoices!A4</f>
        <v>NFL-90311</v>
      </c>
      <c r="B4">
        <f>Invoices!B4</f>
        <v>217645</v>
      </c>
      <c r="C4" t="str">
        <f>INDEX(BOL!$C$4:$C$39,MATCH(B4,BOL!$B$4:$B$39,0))</f>
        <v>09/01/2026</v>
      </c>
      <c r="D4" t="str">
        <f>INDEX(BOL!$E$4:$E$39,MATCH(B4,BOL!$B$4:$B$39,0))</f>
        <v>WI</v>
      </c>
      <c r="E4" t="str">
        <f>INDEX(BOL!$F$4:$F$39,MATCH(B4,BOL!$B$4:$B$39,0))</f>
        <v>Metal roofing panels</v>
      </c>
      <c r="F4">
        <f>INDEX(BOL!$H$4:$H$39,MATCH(B4,BOL!$B$4:$B$39,0))</f>
        <v>1240</v>
      </c>
      <c r="G4">
        <f>Invoices!F4</f>
        <v>1240</v>
      </c>
      <c r="H4" t="str">
        <f>IF(COUNTIFS('Billing File'!$A$4:$A$12,B4,'Billing File'!$G$4:$G$12,"4.5 weight",'Billing File'!$F$4:$F$12,"Yes")&gt;0,"Yes","No")</f>
        <v>No</v>
      </c>
      <c r="I4">
        <f>IF(AND(H4="Yes",G4&gt;F4*(1+Terms!$B$6)),G4,F4)</f>
        <v>1240</v>
      </c>
      <c r="J4">
        <f>INDEX(Tariff!$L$4:$L$9,MATCH(E4,Tariff!$K$4:$K$9,0))</f>
        <v>70</v>
      </c>
      <c r="K4">
        <f>Invoices!G4</f>
        <v>70</v>
      </c>
      <c r="L4" t="str">
        <f>IF(COUNTIFS('Billing File'!$A$4:$A$12,B4,'Billing File'!$G$4:$G$12,"4.3 class",'Billing File'!$F$4:$F$12,"Yes")&gt;0,"Yes","No")</f>
        <v>No</v>
      </c>
      <c r="M4">
        <f t="shared" ref="M4:M22" si="0">IF(L4="Yes",K4,J4)</f>
        <v>70</v>
      </c>
      <c r="N4" s="9">
        <f>INDEX(Tariff!$I$4:$I$10,MATCH(M4,Tariff!$H$4:$H$10,0))</f>
        <v>1</v>
      </c>
      <c r="O4">
        <f>MATCH(I4,Tariff!$B$12:$F$12,1)</f>
        <v>3</v>
      </c>
      <c r="P4" s="9">
        <f>INDEX(Tariff!$B$4:$F$10,MATCH(D4,Tariff!$A$4:$A$10,0),O4)</f>
        <v>50.3</v>
      </c>
      <c r="Q4" s="4">
        <f t="shared" ref="Q4:Q22" si="1">ROUND(I4/100*P4*N4,2)</f>
        <v>623.72</v>
      </c>
      <c r="R4" s="4">
        <f>IF(O4&lt;5,ROUND(INDEX(Tariff!$B$12:$F$12,O4+1)/100*INDEX(Tariff!$B$4:$F$10,MATCH(D4,Tariff!$A$4:$A$10,0),O4+1)*N4,2),Q4)</f>
        <v>826</v>
      </c>
      <c r="S4" s="4">
        <f t="shared" ref="S4:S22" si="2">MIN(Q4,R4)</f>
        <v>623.72</v>
      </c>
      <c r="T4" s="4">
        <f>MAX(ROUND(S4*(1-Terms!$B$4),2),Terms!$B$5)</f>
        <v>237.01</v>
      </c>
      <c r="U4" t="str">
        <f t="shared" ref="U4:U22" si="3">TEXT(DATEVALUE(C4)-WEEKDAY(DATEVALUE(C4),2)+1,"mm/dd/yyyy")</f>
        <v>08/31/2026</v>
      </c>
      <c r="V4" s="11">
        <f>INDEX('Fuel Index'!$C$4:$C$12,MATCH(U4,'Fuel Index'!$A$4:$A$12,0))</f>
        <v>0.265</v>
      </c>
      <c r="W4" s="4">
        <f t="shared" ref="W4:W22" si="4">ROUND(T4*V4,2)</f>
        <v>62.81</v>
      </c>
      <c r="X4" s="4">
        <f>(INDEX(BOL!$I$4:$I$39,MATCH(B4,BOL!$B$4:$B$39,0))="Y")*Tariff!$O$4+(INDEX(BOL!$J$4:$J$39,MATCH(B4,BOL!$B$4:$B$39,0))="Y")*Tariff!$O$5+(INDEX(BOL!$K$4:$K$39,MATCH(B4,BOL!$B$4:$B$39,0))="Y")*Tariff!$O$6+(INDEX(BOL!$L$4:$L$39,MATCH(B4,BOL!$B$4:$B$39,0))="Y")*Tariff!$O$7</f>
        <v>85</v>
      </c>
      <c r="Y4" s="4">
        <f>SUMIFS(Confirmations!$G$4:$G$5,Confirmations!$A$4:$A$5,B4,Confirmations!$H$4:$H$5,"Yes")</f>
        <v>0</v>
      </c>
      <c r="Z4" s="4">
        <f t="shared" ref="Z4:Z22" si="5">X4+Y4</f>
        <v>85</v>
      </c>
      <c r="AA4" t="str">
        <f>IF(COUNTIFS(Invoices!$B$4:$B$41,B4,Invoices!$A$4:$A$41,"&lt;"&amp;A4)&gt;0,"Yes","No")</f>
        <v>No</v>
      </c>
      <c r="AB4" s="4">
        <f t="shared" ref="AB4:AB22" si="6">IF(AA4="Yes",0,ROUND(T4+W4+Z4,2))</f>
        <v>384.82</v>
      </c>
      <c r="AC4" s="4">
        <f>Invoices!O4</f>
        <v>384.82</v>
      </c>
      <c r="AD4" s="4">
        <f t="shared" ref="AD4:AD22" si="7">ROUND(AC4-AB4,2)</f>
        <v>0</v>
      </c>
      <c r="AE4" s="4">
        <f>Invoices!H4</f>
        <v>623.72</v>
      </c>
      <c r="AF4" s="11">
        <f>ROUND(Invoices!K4/Terms!$B$9,4)</f>
        <v>0.265</v>
      </c>
      <c r="AG4" s="4">
        <f>Invoices!N4</f>
        <v>85</v>
      </c>
      <c r="AH4" t="str">
        <f t="shared" ref="AH4:AH22" si="8">IF(AA4="Yes","7.1 duplicate bill",IF(K4&lt;&gt;M4,"4.3 class",IF(G4&lt;&gt;I4,"4.5 reweigh",IF(AE4&lt;&gt;S4,"4.2 deficit weight",IF(AF4&lt;&gt;ROUND(V4,4),"5.2 fuel week",IF(AG4&gt;Z4,"6.1 accessorial not requested",IF(AG4&lt;Z4,"6.1 accessorial omitted","")))))))</f>
        <v/>
      </c>
      <c r="AI4" t="str">
        <f t="shared" ref="AI4:AI22" si="9">IF(AND(L4="Yes",K4&lt;&gt;J4),"4.3 inspection certificate",IF(AND(H4="Yes",G4&lt;&gt;F4,G4=I4),"4.5 certified scale ticket",IF(Y4&gt;0,"6.1 written confirmation","")))</f>
        <v/>
      </c>
      <c r="AK4" t="str">
        <f>Invoices!A23</f>
        <v>NFL-90338</v>
      </c>
      <c r="AL4">
        <f>Invoices!B23</f>
        <v>217666</v>
      </c>
      <c r="AM4" t="str">
        <f>INDEX(BOL!$C$4:$C$39,MATCH(AL4,BOL!$B$4:$B$39,0))</f>
        <v>09/18/2026</v>
      </c>
      <c r="AN4" t="str">
        <f>INDEX(BOL!$E$4:$E$39,MATCH(AL4,BOL!$B$4:$B$39,0))</f>
        <v>WI</v>
      </c>
      <c r="AO4" t="str">
        <f>INDEX(BOL!$F$4:$F$39,MATCH(AL4,BOL!$B$4:$B$39,0))</f>
        <v>Gypsum and cement board</v>
      </c>
      <c r="AP4">
        <f>INDEX(BOL!$H$4:$H$39,MATCH(AL4,BOL!$B$4:$B$39,0))</f>
        <v>905</v>
      </c>
      <c r="AQ4">
        <f>Invoices!F23</f>
        <v>905</v>
      </c>
      <c r="AR4" t="str">
        <f>IF(COUNTIFS('Billing File'!$A$4:$A$12,AL4,'Billing File'!$G$4:$G$12,"4.5 weight",'Billing File'!$F$4:$F$12,"Yes")&gt;0,"Yes","No")</f>
        <v>No</v>
      </c>
      <c r="AS4">
        <f>IF(AND(AR4="Yes",AQ4&gt;AP4*(1+Terms!$B$6)),AQ4,AP4)</f>
        <v>905</v>
      </c>
      <c r="AT4">
        <f>INDEX(Tariff!$L$4:$L$9,MATCH(AO4,Tariff!$K$4:$K$9,0))</f>
        <v>55</v>
      </c>
      <c r="AU4">
        <f>Invoices!G23</f>
        <v>55</v>
      </c>
      <c r="AV4" t="str">
        <f>IF(COUNTIFS('Billing File'!$A$4:$A$12,AL4,'Billing File'!$G$4:$G$12,"4.3 class",'Billing File'!$F$4:$F$12,"Yes")&gt;0,"Yes","No")</f>
        <v>No</v>
      </c>
      <c r="AW4">
        <f t="shared" ref="AW4:AW22" si="10">IF(AV4="Yes",AU4,AT4)</f>
        <v>55</v>
      </c>
      <c r="AX4" s="9">
        <f>INDEX(Tariff!$I$4:$I$10,MATCH(AW4,Tariff!$H$4:$H$10,0))</f>
        <v>0.88</v>
      </c>
      <c r="AY4">
        <f>MATCH(AS4,Tariff!$B$12:$F$12,1)</f>
        <v>2</v>
      </c>
      <c r="AZ4" s="9">
        <f>INDEX(Tariff!$B$4:$F$10,MATCH(AN4,Tariff!$A$4:$A$10,0),AY4)</f>
        <v>59.05</v>
      </c>
      <c r="BA4" s="4">
        <f t="shared" ref="BA4:BA22" si="11">ROUND(AS4/100*AZ4*AX4,2)</f>
        <v>470.27</v>
      </c>
      <c r="BB4" s="4">
        <f>IF(AY4&lt;5,ROUND(INDEX(Tariff!$B$12:$F$12,AY4+1)/100*INDEX(Tariff!$B$4:$F$10,MATCH(AN4,Tariff!$A$4:$A$10,0),AY4+1)*AX4,2),BA4)</f>
        <v>442.64</v>
      </c>
      <c r="BC4" s="4">
        <f t="shared" ref="BC4:BC22" si="12">MIN(BA4,BB4)</f>
        <v>442.64</v>
      </c>
      <c r="BD4" s="4">
        <f>MAX(ROUND(BC4*(1-Terms!$B$4),2),Terms!$B$5)</f>
        <v>168.2</v>
      </c>
      <c r="BE4" t="str">
        <f t="shared" ref="BE4:BE22" si="13">TEXT(DATEVALUE(AM4)-WEEKDAY(DATEVALUE(AM4),2)+1,"mm/dd/yyyy")</f>
        <v>09/14/2026</v>
      </c>
      <c r="BF4" s="11">
        <f>INDEX('Fuel Index'!$C$4:$C$12,MATCH(BE4,'Fuel Index'!$A$4:$A$12,0))</f>
        <v>0.26</v>
      </c>
      <c r="BG4" s="4">
        <f t="shared" ref="BG4:BG22" si="14">ROUND(BD4*BF4,2)</f>
        <v>43.73</v>
      </c>
      <c r="BH4" s="4">
        <f>(INDEX(BOL!$I$4:$I$39,MATCH(AL4,BOL!$B$4:$B$39,0))="Y")*Tariff!$O$4+(INDEX(BOL!$J$4:$J$39,MATCH(AL4,BOL!$B$4:$B$39,0))="Y")*Tariff!$O$5+(INDEX(BOL!$K$4:$K$39,MATCH(AL4,BOL!$B$4:$B$39,0))="Y")*Tariff!$O$6+(INDEX(BOL!$L$4:$L$39,MATCH(AL4,BOL!$B$4:$B$39,0))="Y")*Tariff!$O$7</f>
        <v>0</v>
      </c>
      <c r="BI4" s="4">
        <f>SUMIFS(Confirmations!$G$4:$G$5,Confirmations!$A$4:$A$5,AL4,Confirmations!$H$4:$H$5,"Yes")</f>
        <v>0</v>
      </c>
      <c r="BJ4" s="4">
        <f t="shared" ref="BJ4:BJ22" si="15">BH4+BI4</f>
        <v>0</v>
      </c>
      <c r="BK4" t="str">
        <f>IF(COUNTIFS(Invoices!$B$4:$B$41,AL4,Invoices!$A$4:$A$41,"&lt;"&amp;AK4)&gt;0,"Yes","No")</f>
        <v>No</v>
      </c>
      <c r="BL4" s="4">
        <f t="shared" ref="BL4:BL22" si="16">IF(BK4="Yes",0,ROUND(BD4+BG4+BJ4,2))</f>
        <v>211.93</v>
      </c>
      <c r="BM4" s="4">
        <f>Invoices!O23</f>
        <v>211.93</v>
      </c>
      <c r="BN4" s="4">
        <f t="shared" ref="BN4:BN22" si="17">ROUND(BM4-BL4,2)</f>
        <v>0</v>
      </c>
      <c r="BO4" s="4">
        <f>Invoices!H23</f>
        <v>442.64</v>
      </c>
      <c r="BP4" s="11">
        <f>ROUND(Invoices!K23/Terms!$B$9,4)</f>
        <v>0.26</v>
      </c>
      <c r="BQ4" s="4">
        <f>Invoices!N23</f>
        <v>0</v>
      </c>
      <c r="BR4" t="str">
        <f t="shared" ref="BR4:BR22" si="18">IF(BK4="Yes","7.1 duplicate bill",IF(AU4&lt;&gt;AW4,"4.3 class",IF(AQ4&lt;&gt;AS4,"4.5 reweigh",IF(BO4&lt;&gt;BC4,"4.2 deficit weight",IF(BP4&lt;&gt;ROUND(BF4,4),"5.2 fuel week",IF(BQ4&gt;BJ4,"6.1 accessorial not requested",IF(BQ4&lt;BJ4,"6.1 accessorial omitted","")))))))</f>
        <v/>
      </c>
      <c r="BS4" t="str">
        <f t="shared" ref="BS4:BS22" si="19">IF(AND(AV4="Yes",AU4&lt;&gt;AT4),"4.3 inspection certificate",IF(AND(AR4="Yes",AQ4&lt;&gt;AP4,AQ4=AS4),"4.5 certified scale ticket",IF(BI4&gt;0,"6.1 written confirmation","")))</f>
        <v/>
      </c>
    </row>
    <row r="5" spans="1:71" x14ac:dyDescent="0.2">
      <c r="A5" t="str">
        <f>Invoices!A5</f>
        <v>NFL-90313</v>
      </c>
      <c r="B5">
        <f>Invoices!B5</f>
        <v>217763</v>
      </c>
      <c r="C5" t="str">
        <f>INDEX(BOL!$C$4:$C$39,MATCH(B5,BOL!$B$4:$B$39,0))</f>
        <v>09/01/2026</v>
      </c>
      <c r="D5" t="str">
        <f>INDEX(BOL!$E$4:$E$39,MATCH(B5,BOL!$B$4:$B$39,0))</f>
        <v>IA</v>
      </c>
      <c r="E5" t="str">
        <f>INDEX(BOL!$F$4:$F$39,MATCH(B5,BOL!$B$4:$B$39,0))</f>
        <v>Fasteners and hardware</v>
      </c>
      <c r="F5">
        <f>INDEX(BOL!$H$4:$H$39,MATCH(B5,BOL!$B$4:$B$39,0))</f>
        <v>1620</v>
      </c>
      <c r="G5">
        <f>Invoices!F5</f>
        <v>1620</v>
      </c>
      <c r="H5" t="str">
        <f>IF(COUNTIFS('Billing File'!$A$4:$A$12,B5,'Billing File'!$G$4:$G$12,"4.5 weight",'Billing File'!$F$4:$F$12,"Yes")&gt;0,"Yes","No")</f>
        <v>No</v>
      </c>
      <c r="I5">
        <f>IF(AND(H5="Yes",G5&gt;F5*(1+Terms!$B$6)),G5,F5)</f>
        <v>1620</v>
      </c>
      <c r="J5">
        <f>INDEX(Tariff!$L$4:$L$9,MATCH(E5,Tariff!$K$4:$K$9,0))</f>
        <v>60</v>
      </c>
      <c r="K5">
        <f>Invoices!G5</f>
        <v>60</v>
      </c>
      <c r="L5" t="str">
        <f>IF(COUNTIFS('Billing File'!$A$4:$A$12,B5,'Billing File'!$G$4:$G$12,"4.3 class",'Billing File'!$F$4:$F$12,"Yes")&gt;0,"Yes","No")</f>
        <v>No</v>
      </c>
      <c r="M5">
        <f t="shared" si="0"/>
        <v>60</v>
      </c>
      <c r="N5" s="9">
        <f>INDEX(Tariff!$I$4:$I$10,MATCH(M5,Tariff!$H$4:$H$10,0))</f>
        <v>0.94</v>
      </c>
      <c r="O5">
        <f>MATCH(I5,Tariff!$B$12:$F$12,1)</f>
        <v>3</v>
      </c>
      <c r="P5" s="9">
        <f>INDEX(Tariff!$B$4:$F$10,MATCH(D5,Tariff!$A$4:$A$10,0),O5)</f>
        <v>47.6</v>
      </c>
      <c r="Q5" s="4">
        <f t="shared" si="1"/>
        <v>724.85</v>
      </c>
      <c r="R5" s="4">
        <f>IF(O5&lt;5,ROUND(INDEX(Tariff!$B$12:$F$12,O5+1)/100*INDEX(Tariff!$B$4:$F$10,MATCH(D5,Tariff!$A$4:$A$10,0),O5+1)*N5,2),Q5)</f>
        <v>735.08</v>
      </c>
      <c r="S5" s="4">
        <f t="shared" si="2"/>
        <v>724.85</v>
      </c>
      <c r="T5" s="4">
        <f>MAX(ROUND(S5*(1-Terms!$B$4),2),Terms!$B$5)</f>
        <v>275.44</v>
      </c>
      <c r="U5" t="str">
        <f t="shared" si="3"/>
        <v>08/31/2026</v>
      </c>
      <c r="V5" s="11">
        <f>INDEX('Fuel Index'!$C$4:$C$12,MATCH(U5,'Fuel Index'!$A$4:$A$12,0))</f>
        <v>0.265</v>
      </c>
      <c r="W5" s="4">
        <f t="shared" si="4"/>
        <v>72.99</v>
      </c>
      <c r="X5" s="4">
        <f>(INDEX(BOL!$I$4:$I$39,MATCH(B5,BOL!$B$4:$B$39,0))="Y")*Tariff!$O$4+(INDEX(BOL!$J$4:$J$39,MATCH(B5,BOL!$B$4:$B$39,0))="Y")*Tariff!$O$5+(INDEX(BOL!$K$4:$K$39,MATCH(B5,BOL!$B$4:$B$39,0))="Y")*Tariff!$O$6+(INDEX(BOL!$L$4:$L$39,MATCH(B5,BOL!$B$4:$B$39,0))="Y")*Tariff!$O$7</f>
        <v>75</v>
      </c>
      <c r="Y5" s="4">
        <f>SUMIFS(Confirmations!$G$4:$G$5,Confirmations!$A$4:$A$5,B5,Confirmations!$H$4:$H$5,"Yes")</f>
        <v>0</v>
      </c>
      <c r="Z5" s="4">
        <f t="shared" si="5"/>
        <v>75</v>
      </c>
      <c r="AA5" t="str">
        <f>IF(COUNTIFS(Invoices!$B$4:$B$41,B5,Invoices!$A$4:$A$41,"&lt;"&amp;A5)&gt;0,"Yes","No")</f>
        <v>No</v>
      </c>
      <c r="AB5" s="4">
        <f t="shared" si="6"/>
        <v>423.43</v>
      </c>
      <c r="AC5" s="4">
        <f>Invoices!O5</f>
        <v>423.43</v>
      </c>
      <c r="AD5" s="4">
        <f t="shared" si="7"/>
        <v>0</v>
      </c>
      <c r="AE5" s="4">
        <f>Invoices!H5</f>
        <v>724.85</v>
      </c>
      <c r="AF5" s="11">
        <f>ROUND(Invoices!K5/Terms!$B$9,4)</f>
        <v>0.265</v>
      </c>
      <c r="AG5" s="4">
        <f>Invoices!N5</f>
        <v>75</v>
      </c>
      <c r="AH5" t="str">
        <f t="shared" si="8"/>
        <v/>
      </c>
      <c r="AI5" t="str">
        <f t="shared" si="9"/>
        <v/>
      </c>
      <c r="AK5" t="str">
        <f>Invoices!A24</f>
        <v>NFL-90339</v>
      </c>
      <c r="AL5">
        <f>Invoices!B24</f>
        <v>217724</v>
      </c>
      <c r="AM5" t="str">
        <f>INDEX(BOL!$C$4:$C$39,MATCH(AL5,BOL!$B$4:$B$39,0))</f>
        <v>09/18/2026</v>
      </c>
      <c r="AN5" t="str">
        <f>INDEX(BOL!$E$4:$E$39,MATCH(AL5,BOL!$B$4:$B$39,0))</f>
        <v>ND</v>
      </c>
      <c r="AO5" t="str">
        <f>INDEX(BOL!$F$4:$F$39,MATCH(AL5,BOL!$B$4:$B$39,0))</f>
        <v>Gypsum and cement board</v>
      </c>
      <c r="AP5">
        <f>INDEX(BOL!$H$4:$H$39,MATCH(AL5,BOL!$B$4:$B$39,0))</f>
        <v>1450</v>
      </c>
      <c r="AQ5">
        <f>Invoices!F24</f>
        <v>1450</v>
      </c>
      <c r="AR5" t="str">
        <f>IF(COUNTIFS('Billing File'!$A$4:$A$12,AL5,'Billing File'!$G$4:$G$12,"4.5 weight",'Billing File'!$F$4:$F$12,"Yes")&gt;0,"Yes","No")</f>
        <v>No</v>
      </c>
      <c r="AS5">
        <f>IF(AND(AR5="Yes",AQ5&gt;AP5*(1+Terms!$B$6)),AQ5,AP5)</f>
        <v>1450</v>
      </c>
      <c r="AT5">
        <f>INDEX(Tariff!$L$4:$L$9,MATCH(AO5,Tariff!$K$4:$K$9,0))</f>
        <v>55</v>
      </c>
      <c r="AU5">
        <f>Invoices!G24</f>
        <v>55</v>
      </c>
      <c r="AV5" t="str">
        <f>IF(COUNTIFS('Billing File'!$A$4:$A$12,AL5,'Billing File'!$G$4:$G$12,"4.3 class",'Billing File'!$F$4:$F$12,"Yes")&gt;0,"Yes","No")</f>
        <v>No</v>
      </c>
      <c r="AW5">
        <f t="shared" si="10"/>
        <v>55</v>
      </c>
      <c r="AX5" s="9">
        <f>INDEX(Tariff!$I$4:$I$10,MATCH(AW5,Tariff!$H$4:$H$10,0))</f>
        <v>0.88</v>
      </c>
      <c r="AY5">
        <f>MATCH(AS5,Tariff!$B$12:$F$12,1)</f>
        <v>3</v>
      </c>
      <c r="AZ5" s="9">
        <f>INDEX(Tariff!$B$4:$F$10,MATCH(AN5,Tariff!$A$4:$A$10,0),AY5)</f>
        <v>32.15</v>
      </c>
      <c r="BA5" s="4">
        <f t="shared" si="11"/>
        <v>410.23</v>
      </c>
      <c r="BB5" s="4">
        <f>IF(AY5&lt;5,ROUND(INDEX(Tariff!$B$12:$F$12,AY5+1)/100*INDEX(Tariff!$B$4:$F$10,MATCH(AN5,Tariff!$A$4:$A$10,0),AY5+1)*AX5,2),BA5)</f>
        <v>464.64</v>
      </c>
      <c r="BC5" s="4">
        <f t="shared" si="12"/>
        <v>410.23</v>
      </c>
      <c r="BD5" s="4">
        <f>MAX(ROUND(BC5*(1-Terms!$B$4),2),Terms!$B$5)</f>
        <v>155.89</v>
      </c>
      <c r="BE5" t="str">
        <f t="shared" si="13"/>
        <v>09/14/2026</v>
      </c>
      <c r="BF5" s="11">
        <f>INDEX('Fuel Index'!$C$4:$C$12,MATCH(BE5,'Fuel Index'!$A$4:$A$12,0))</f>
        <v>0.26</v>
      </c>
      <c r="BG5" s="4">
        <f t="shared" si="14"/>
        <v>40.53</v>
      </c>
      <c r="BH5" s="4">
        <f>(INDEX(BOL!$I$4:$I$39,MATCH(AL5,BOL!$B$4:$B$39,0))="Y")*Tariff!$O$4+(INDEX(BOL!$J$4:$J$39,MATCH(AL5,BOL!$B$4:$B$39,0))="Y")*Tariff!$O$5+(INDEX(BOL!$K$4:$K$39,MATCH(AL5,BOL!$B$4:$B$39,0))="Y")*Tariff!$O$6+(INDEX(BOL!$L$4:$L$39,MATCH(AL5,BOL!$B$4:$B$39,0))="Y")*Tariff!$O$7</f>
        <v>155</v>
      </c>
      <c r="BI5" s="4">
        <f>SUMIFS(Confirmations!$G$4:$G$5,Confirmations!$A$4:$A$5,AL5,Confirmations!$H$4:$H$5,"Yes")</f>
        <v>0</v>
      </c>
      <c r="BJ5" s="4">
        <f t="shared" si="15"/>
        <v>155</v>
      </c>
      <c r="BK5" t="str">
        <f>IF(COUNTIFS(Invoices!$B$4:$B$41,AL5,Invoices!$A$4:$A$41,"&lt;"&amp;AK5)&gt;0,"Yes","No")</f>
        <v>No</v>
      </c>
      <c r="BL5" s="4">
        <f t="shared" si="16"/>
        <v>351.42</v>
      </c>
      <c r="BM5" s="4">
        <f>Invoices!O24</f>
        <v>426.42</v>
      </c>
      <c r="BN5" s="4">
        <f t="shared" si="17"/>
        <v>75</v>
      </c>
      <c r="BO5" s="4">
        <f>Invoices!H24</f>
        <v>410.23</v>
      </c>
      <c r="BP5" s="11">
        <f>ROUND(Invoices!K24/Terms!$B$9,4)</f>
        <v>0.26</v>
      </c>
      <c r="BQ5" s="4">
        <f>Invoices!N24</f>
        <v>230</v>
      </c>
      <c r="BR5" t="str">
        <f t="shared" si="18"/>
        <v>6.1 accessorial not requested</v>
      </c>
      <c r="BS5" t="str">
        <f t="shared" si="19"/>
        <v/>
      </c>
    </row>
    <row r="6" spans="1:71" x14ac:dyDescent="0.2">
      <c r="A6" t="str">
        <f>Invoices!A6</f>
        <v>NFL-90314</v>
      </c>
      <c r="B6">
        <f>Invoices!B6</f>
        <v>217822</v>
      </c>
      <c r="C6" t="str">
        <f>INDEX(BOL!$C$4:$C$39,MATCH(B6,BOL!$B$4:$B$39,0))</f>
        <v>09/07/2026</v>
      </c>
      <c r="D6" t="str">
        <f>INDEX(BOL!$E$4:$E$39,MATCH(B6,BOL!$B$4:$B$39,0))</f>
        <v>WI</v>
      </c>
      <c r="E6" t="str">
        <f>INDEX(BOL!$F$4:$F$39,MATCH(B6,BOL!$B$4:$B$39,0))</f>
        <v>Metal roofing panels</v>
      </c>
      <c r="F6">
        <f>INDEX(BOL!$H$4:$H$39,MATCH(B6,BOL!$B$4:$B$39,0))</f>
        <v>4210</v>
      </c>
      <c r="G6">
        <f>Invoices!F6</f>
        <v>4210</v>
      </c>
      <c r="H6" t="str">
        <f>IF(COUNTIFS('Billing File'!$A$4:$A$12,B6,'Billing File'!$G$4:$G$12,"4.5 weight",'Billing File'!$F$4:$F$12,"Yes")&gt;0,"Yes","No")</f>
        <v>No</v>
      </c>
      <c r="I6">
        <f>IF(AND(H6="Yes",G6&gt;F6*(1+Terms!$B$6)),G6,F6)</f>
        <v>4210</v>
      </c>
      <c r="J6">
        <f>INDEX(Tariff!$L$4:$L$9,MATCH(E6,Tariff!$K$4:$K$9,0))</f>
        <v>70</v>
      </c>
      <c r="K6">
        <f>Invoices!G6</f>
        <v>70</v>
      </c>
      <c r="L6" t="str">
        <f>IF(COUNTIFS('Billing File'!$A$4:$A$12,B6,'Billing File'!$G$4:$G$12,"4.3 class",'Billing File'!$F$4:$F$12,"Yes")&gt;0,"Yes","No")</f>
        <v>No</v>
      </c>
      <c r="M6">
        <f t="shared" si="0"/>
        <v>70</v>
      </c>
      <c r="N6" s="9">
        <f>INDEX(Tariff!$I$4:$I$10,MATCH(M6,Tariff!$H$4:$H$10,0))</f>
        <v>1</v>
      </c>
      <c r="O6">
        <f>MATCH(I6,Tariff!$B$12:$F$12,1)</f>
        <v>4</v>
      </c>
      <c r="P6" s="9">
        <f>INDEX(Tariff!$B$4:$F$10,MATCH(D6,Tariff!$A$4:$A$10,0),O6)</f>
        <v>41.3</v>
      </c>
      <c r="Q6" s="4">
        <f t="shared" si="1"/>
        <v>1738.73</v>
      </c>
      <c r="R6" s="4">
        <f>IF(O6&lt;5,ROUND(INDEX(Tariff!$B$12:$F$12,O6+1)/100*INDEX(Tariff!$B$4:$F$10,MATCH(D6,Tariff!$A$4:$A$10,0),O6+1)*N6,2),Q6)</f>
        <v>1682.5</v>
      </c>
      <c r="S6" s="4">
        <f t="shared" si="2"/>
        <v>1682.5</v>
      </c>
      <c r="T6" s="4">
        <f>MAX(ROUND(S6*(1-Terms!$B$4),2),Terms!$B$5)</f>
        <v>639.35</v>
      </c>
      <c r="U6" t="str">
        <f t="shared" si="3"/>
        <v>09/07/2026</v>
      </c>
      <c r="V6" s="11">
        <f>INDEX('Fuel Index'!$C$4:$C$12,MATCH(U6,'Fuel Index'!$A$4:$A$12,0))</f>
        <v>0.265</v>
      </c>
      <c r="W6" s="4">
        <f t="shared" si="4"/>
        <v>169.43</v>
      </c>
      <c r="X6" s="4">
        <f>(INDEX(BOL!$I$4:$I$39,MATCH(B6,BOL!$B$4:$B$39,0))="Y")*Tariff!$O$4+(INDEX(BOL!$J$4:$J$39,MATCH(B6,BOL!$B$4:$B$39,0))="Y")*Tariff!$O$5+(INDEX(BOL!$K$4:$K$39,MATCH(B6,BOL!$B$4:$B$39,0))="Y")*Tariff!$O$6+(INDEX(BOL!$L$4:$L$39,MATCH(B6,BOL!$B$4:$B$39,0))="Y")*Tariff!$O$7</f>
        <v>75</v>
      </c>
      <c r="Y6" s="4">
        <f>SUMIFS(Confirmations!$G$4:$G$5,Confirmations!$A$4:$A$5,B6,Confirmations!$H$4:$H$5,"Yes")</f>
        <v>0</v>
      </c>
      <c r="Z6" s="4">
        <f t="shared" si="5"/>
        <v>75</v>
      </c>
      <c r="AA6" t="str">
        <f>IF(COUNTIFS(Invoices!$B$4:$B$41,B6,Invoices!$A$4:$A$41,"&lt;"&amp;A6)&gt;0,"Yes","No")</f>
        <v>No</v>
      </c>
      <c r="AB6" s="4">
        <f t="shared" si="6"/>
        <v>883.78</v>
      </c>
      <c r="AC6" s="4">
        <f>Invoices!O6</f>
        <v>883.78</v>
      </c>
      <c r="AD6" s="4">
        <f t="shared" si="7"/>
        <v>0</v>
      </c>
      <c r="AE6" s="4">
        <f>Invoices!H6</f>
        <v>1682.5</v>
      </c>
      <c r="AF6" s="11">
        <f>ROUND(Invoices!K6/Terms!$B$9,4)</f>
        <v>0.265</v>
      </c>
      <c r="AG6" s="4">
        <f>Invoices!N6</f>
        <v>75</v>
      </c>
      <c r="AH6" t="str">
        <f t="shared" si="8"/>
        <v/>
      </c>
      <c r="AI6" t="str">
        <f t="shared" si="9"/>
        <v/>
      </c>
      <c r="AK6" t="str">
        <f>Invoices!A25</f>
        <v>NFL-90340</v>
      </c>
      <c r="AL6">
        <f>Invoices!B25</f>
        <v>217883</v>
      </c>
      <c r="AM6" t="str">
        <f>INDEX(BOL!$C$4:$C$39,MATCH(AL6,BOL!$B$4:$B$39,0))</f>
        <v>09/18/2026</v>
      </c>
      <c r="AN6" t="str">
        <f>INDEX(BOL!$E$4:$E$39,MATCH(AL6,BOL!$B$4:$B$39,0))</f>
        <v>WI</v>
      </c>
      <c r="AO6" t="str">
        <f>INDEX(BOL!$F$4:$F$39,MATCH(AL6,BOL!$B$4:$B$39,0))</f>
        <v>Windows and doors</v>
      </c>
      <c r="AP6">
        <f>INDEX(BOL!$H$4:$H$39,MATCH(AL6,BOL!$B$4:$B$39,0))</f>
        <v>1010</v>
      </c>
      <c r="AQ6">
        <f>Invoices!F25</f>
        <v>1010</v>
      </c>
      <c r="AR6" t="str">
        <f>IF(COUNTIFS('Billing File'!$A$4:$A$12,AL6,'Billing File'!$G$4:$G$12,"4.5 weight",'Billing File'!$F$4:$F$12,"Yes")&gt;0,"Yes","No")</f>
        <v>No</v>
      </c>
      <c r="AS6">
        <f>IF(AND(AR6="Yes",AQ6&gt;AP6*(1+Terms!$B$6)),AQ6,AP6)</f>
        <v>1010</v>
      </c>
      <c r="AT6">
        <f>INDEX(Tariff!$L$4:$L$9,MATCH(AO6,Tariff!$K$4:$K$9,0))</f>
        <v>100</v>
      </c>
      <c r="AU6">
        <f>Invoices!G25</f>
        <v>100</v>
      </c>
      <c r="AV6" t="str">
        <f>IF(COUNTIFS('Billing File'!$A$4:$A$12,AL6,'Billing File'!$G$4:$G$12,"4.3 class",'Billing File'!$F$4:$F$12,"Yes")&gt;0,"Yes","No")</f>
        <v>No</v>
      </c>
      <c r="AW6">
        <f t="shared" si="10"/>
        <v>100</v>
      </c>
      <c r="AX6" s="9">
        <f>INDEX(Tariff!$I$4:$I$10,MATCH(AW6,Tariff!$H$4:$H$10,0))</f>
        <v>1.45</v>
      </c>
      <c r="AY6">
        <f>MATCH(AS6,Tariff!$B$12:$F$12,1)</f>
        <v>3</v>
      </c>
      <c r="AZ6" s="9">
        <f>INDEX(Tariff!$B$4:$F$10,MATCH(AN6,Tariff!$A$4:$A$10,0),AY6)</f>
        <v>50.3</v>
      </c>
      <c r="BA6" s="4">
        <f t="shared" si="11"/>
        <v>736.64</v>
      </c>
      <c r="BB6" s="4">
        <f>IF(AY6&lt;5,ROUND(INDEX(Tariff!$B$12:$F$12,AY6+1)/100*INDEX(Tariff!$B$4:$F$10,MATCH(AN6,Tariff!$A$4:$A$10,0),AY6+1)*AX6,2),BA6)</f>
        <v>1197.7</v>
      </c>
      <c r="BC6" s="4">
        <f t="shared" si="12"/>
        <v>736.64</v>
      </c>
      <c r="BD6" s="4">
        <f>MAX(ROUND(BC6*(1-Terms!$B$4),2),Terms!$B$5)</f>
        <v>279.92</v>
      </c>
      <c r="BE6" t="str">
        <f t="shared" si="13"/>
        <v>09/14/2026</v>
      </c>
      <c r="BF6" s="11">
        <f>INDEX('Fuel Index'!$C$4:$C$12,MATCH(BE6,'Fuel Index'!$A$4:$A$12,0))</f>
        <v>0.26</v>
      </c>
      <c r="BG6" s="4">
        <f t="shared" si="14"/>
        <v>72.78</v>
      </c>
      <c r="BH6" s="4">
        <f>(INDEX(BOL!$I$4:$I$39,MATCH(AL6,BOL!$B$4:$B$39,0))="Y")*Tariff!$O$4+(INDEX(BOL!$J$4:$J$39,MATCH(AL6,BOL!$B$4:$B$39,0))="Y")*Tariff!$O$5+(INDEX(BOL!$K$4:$K$39,MATCH(AL6,BOL!$B$4:$B$39,0))="Y")*Tariff!$O$6+(INDEX(BOL!$L$4:$L$39,MATCH(AL6,BOL!$B$4:$B$39,0))="Y")*Tariff!$O$7</f>
        <v>95</v>
      </c>
      <c r="BI6" s="4">
        <f>SUMIFS(Confirmations!$G$4:$G$5,Confirmations!$A$4:$A$5,AL6,Confirmations!$H$4:$H$5,"Yes")</f>
        <v>0</v>
      </c>
      <c r="BJ6" s="4">
        <f t="shared" si="15"/>
        <v>95</v>
      </c>
      <c r="BK6" t="str">
        <f>IF(COUNTIFS(Invoices!$B$4:$B$41,AL6,Invoices!$A$4:$A$41,"&lt;"&amp;AK6)&gt;0,"Yes","No")</f>
        <v>No</v>
      </c>
      <c r="BL6" s="4">
        <f t="shared" si="16"/>
        <v>447.7</v>
      </c>
      <c r="BM6" s="4">
        <f>Invoices!O25</f>
        <v>447.7</v>
      </c>
      <c r="BN6" s="4">
        <f t="shared" si="17"/>
        <v>0</v>
      </c>
      <c r="BO6" s="4">
        <f>Invoices!H25</f>
        <v>736.64</v>
      </c>
      <c r="BP6" s="11">
        <f>ROUND(Invoices!K25/Terms!$B$9,4)</f>
        <v>0.26</v>
      </c>
      <c r="BQ6" s="4">
        <f>Invoices!N25</f>
        <v>95</v>
      </c>
      <c r="BR6" t="str">
        <f t="shared" si="18"/>
        <v/>
      </c>
      <c r="BS6" t="str">
        <f t="shared" si="19"/>
        <v/>
      </c>
    </row>
    <row r="7" spans="1:71" x14ac:dyDescent="0.2">
      <c r="A7" t="str">
        <f>Invoices!A7</f>
        <v>NFL-90316</v>
      </c>
      <c r="B7">
        <f>Invoices!B7</f>
        <v>217675</v>
      </c>
      <c r="C7" t="str">
        <f>INDEX(BOL!$C$4:$C$39,MATCH(B7,BOL!$B$4:$B$39,0))</f>
        <v>09/08/2026</v>
      </c>
      <c r="D7" t="str">
        <f>INDEX(BOL!$E$4:$E$39,MATCH(B7,BOL!$B$4:$B$39,0))</f>
        <v>MT</v>
      </c>
      <c r="E7" t="str">
        <f>INDEX(BOL!$F$4:$F$39,MATCH(B7,BOL!$B$4:$B$39,0))</f>
        <v>Fasteners and hardware</v>
      </c>
      <c r="F7">
        <f>INDEX(BOL!$H$4:$H$39,MATCH(B7,BOL!$B$4:$B$39,0))</f>
        <v>1760</v>
      </c>
      <c r="G7">
        <f>Invoices!F7</f>
        <v>1760</v>
      </c>
      <c r="H7" t="str">
        <f>IF(COUNTIFS('Billing File'!$A$4:$A$12,B7,'Billing File'!$G$4:$G$12,"4.5 weight",'Billing File'!$F$4:$F$12,"Yes")&gt;0,"Yes","No")</f>
        <v>No</v>
      </c>
      <c r="I7">
        <f>IF(AND(H7="Yes",G7&gt;F7*(1+Terms!$B$6)),G7,F7)</f>
        <v>1760</v>
      </c>
      <c r="J7">
        <f>INDEX(Tariff!$L$4:$L$9,MATCH(E7,Tariff!$K$4:$K$9,0))</f>
        <v>60</v>
      </c>
      <c r="K7">
        <f>Invoices!G7</f>
        <v>60</v>
      </c>
      <c r="L7" t="str">
        <f>IF(COUNTIFS('Billing File'!$A$4:$A$12,B7,'Billing File'!$G$4:$G$12,"4.3 class",'Billing File'!$F$4:$F$12,"Yes")&gt;0,"Yes","No")</f>
        <v>No</v>
      </c>
      <c r="M7">
        <f t="shared" si="0"/>
        <v>60</v>
      </c>
      <c r="N7" s="9">
        <f>INDEX(Tariff!$I$4:$I$10,MATCH(M7,Tariff!$H$4:$H$10,0))</f>
        <v>0.94</v>
      </c>
      <c r="O7">
        <f>MATCH(I7,Tariff!$B$12:$F$12,1)</f>
        <v>3</v>
      </c>
      <c r="P7" s="9">
        <f>INDEX(Tariff!$B$4:$F$10,MATCH(D7,Tariff!$A$4:$A$10,0),O7)</f>
        <v>60.85</v>
      </c>
      <c r="Q7" s="4">
        <f t="shared" si="1"/>
        <v>1006.7</v>
      </c>
      <c r="R7" s="4">
        <f>IF(O7&lt;5,ROUND(INDEX(Tariff!$B$12:$F$12,O7+1)/100*INDEX(Tariff!$B$4:$F$10,MATCH(D7,Tariff!$A$4:$A$10,0),O7+1)*N7,2),Q7)</f>
        <v>939.06</v>
      </c>
      <c r="S7" s="4">
        <f t="shared" si="2"/>
        <v>939.06</v>
      </c>
      <c r="T7" s="4">
        <f>MAX(ROUND(S7*(1-Terms!$B$4),2),Terms!$B$5)</f>
        <v>356.84</v>
      </c>
      <c r="U7" t="str">
        <f t="shared" si="3"/>
        <v>09/07/2026</v>
      </c>
      <c r="V7" s="11">
        <f>INDEX('Fuel Index'!$C$4:$C$12,MATCH(U7,'Fuel Index'!$A$4:$A$12,0))</f>
        <v>0.265</v>
      </c>
      <c r="W7" s="4">
        <f t="shared" si="4"/>
        <v>94.56</v>
      </c>
      <c r="X7" s="4">
        <f>(INDEX(BOL!$I$4:$I$39,MATCH(B7,BOL!$B$4:$B$39,0))="Y")*Tariff!$O$4+(INDEX(BOL!$J$4:$J$39,MATCH(B7,BOL!$B$4:$B$39,0))="Y")*Tariff!$O$5+(INDEX(BOL!$K$4:$K$39,MATCH(B7,BOL!$B$4:$B$39,0))="Y")*Tariff!$O$6+(INDEX(BOL!$L$4:$L$39,MATCH(B7,BOL!$B$4:$B$39,0))="Y")*Tariff!$O$7</f>
        <v>0</v>
      </c>
      <c r="Y7" s="4">
        <f>SUMIFS(Confirmations!$G$4:$G$5,Confirmations!$A$4:$A$5,B7,Confirmations!$H$4:$H$5,"Yes")</f>
        <v>0</v>
      </c>
      <c r="Z7" s="4">
        <f t="shared" si="5"/>
        <v>0</v>
      </c>
      <c r="AA7" t="str">
        <f>IF(COUNTIFS(Invoices!$B$4:$B$41,B7,Invoices!$A$4:$A$41,"&lt;"&amp;A7)&gt;0,"Yes","No")</f>
        <v>No</v>
      </c>
      <c r="AB7" s="4">
        <f t="shared" si="6"/>
        <v>451.4</v>
      </c>
      <c r="AC7" s="4">
        <f>Invoices!O7</f>
        <v>451.4</v>
      </c>
      <c r="AD7" s="4">
        <f t="shared" si="7"/>
        <v>0</v>
      </c>
      <c r="AE7" s="4">
        <f>Invoices!H7</f>
        <v>939.06</v>
      </c>
      <c r="AF7" s="11">
        <f>ROUND(Invoices!K7/Terms!$B$9,4)</f>
        <v>0.265</v>
      </c>
      <c r="AG7" s="4">
        <f>Invoices!N7</f>
        <v>0</v>
      </c>
      <c r="AH7" t="str">
        <f t="shared" si="8"/>
        <v/>
      </c>
      <c r="AI7" t="str">
        <f t="shared" si="9"/>
        <v/>
      </c>
      <c r="AK7" t="str">
        <f>Invoices!A26</f>
        <v>NFL-90341</v>
      </c>
      <c r="AL7">
        <f>Invoices!B26</f>
        <v>217803</v>
      </c>
      <c r="AM7" t="str">
        <f>INDEX(BOL!$C$4:$C$39,MATCH(AL7,BOL!$B$4:$B$39,0))</f>
        <v>09/22/2026</v>
      </c>
      <c r="AN7" t="str">
        <f>INDEX(BOL!$E$4:$E$39,MATCH(AL7,BOL!$B$4:$B$39,0))</f>
        <v>IA</v>
      </c>
      <c r="AO7" t="str">
        <f>INDEX(BOL!$F$4:$F$39,MATCH(AL7,BOL!$B$4:$B$39,0))</f>
        <v>Vinyl siding</v>
      </c>
      <c r="AP7">
        <f>INDEX(BOL!$H$4:$H$39,MATCH(AL7,BOL!$B$4:$B$39,0))</f>
        <v>3560</v>
      </c>
      <c r="AQ7">
        <f>Invoices!F26</f>
        <v>3560</v>
      </c>
      <c r="AR7" t="str">
        <f>IF(COUNTIFS('Billing File'!$A$4:$A$12,AL7,'Billing File'!$G$4:$G$12,"4.5 weight",'Billing File'!$F$4:$F$12,"Yes")&gt;0,"Yes","No")</f>
        <v>No</v>
      </c>
      <c r="AS7">
        <f>IF(AND(AR7="Yes",AQ7&gt;AP7*(1+Terms!$B$6)),AQ7,AP7)</f>
        <v>3560</v>
      </c>
      <c r="AT7">
        <f>INDEX(Tariff!$L$4:$L$9,MATCH(AO7,Tariff!$K$4:$K$9,0))</f>
        <v>92.5</v>
      </c>
      <c r="AU7">
        <f>Invoices!G26</f>
        <v>92.5</v>
      </c>
      <c r="AV7" t="str">
        <f>IF(COUNTIFS('Billing File'!$A$4:$A$12,AL7,'Billing File'!$G$4:$G$12,"4.3 class",'Billing File'!$F$4:$F$12,"Yes")&gt;0,"Yes","No")</f>
        <v>No</v>
      </c>
      <c r="AW7">
        <f t="shared" si="10"/>
        <v>92.5</v>
      </c>
      <c r="AX7" s="9">
        <f>INDEX(Tariff!$I$4:$I$10,MATCH(AW7,Tariff!$H$4:$H$10,0))</f>
        <v>1.3</v>
      </c>
      <c r="AY7">
        <f>MATCH(AS7,Tariff!$B$12:$F$12,1)</f>
        <v>4</v>
      </c>
      <c r="AZ7" s="9">
        <f>INDEX(Tariff!$B$4:$F$10,MATCH(AN7,Tariff!$A$4:$A$10,0),AY7)</f>
        <v>39.1</v>
      </c>
      <c r="BA7" s="4">
        <f t="shared" si="11"/>
        <v>1809.55</v>
      </c>
      <c r="BB7" s="4">
        <f>IF(AY7&lt;5,ROUND(INDEX(Tariff!$B$12:$F$12,AY7+1)/100*INDEX(Tariff!$B$4:$F$10,MATCH(AN7,Tariff!$A$4:$A$10,0),AY7+1)*AX7,2),BA7)</f>
        <v>2070.25</v>
      </c>
      <c r="BC7" s="4">
        <f t="shared" si="12"/>
        <v>1809.55</v>
      </c>
      <c r="BD7" s="4">
        <f>MAX(ROUND(BC7*(1-Terms!$B$4),2),Terms!$B$5)</f>
        <v>687.63</v>
      </c>
      <c r="BE7" t="str">
        <f t="shared" si="13"/>
        <v>09/21/2026</v>
      </c>
      <c r="BF7" s="11">
        <f>INDEX('Fuel Index'!$C$4:$C$12,MATCH(BE7,'Fuel Index'!$A$4:$A$12,0))</f>
        <v>0.275</v>
      </c>
      <c r="BG7" s="4">
        <f t="shared" si="14"/>
        <v>189.1</v>
      </c>
      <c r="BH7" s="4">
        <f>(INDEX(BOL!$I$4:$I$39,MATCH(AL7,BOL!$B$4:$B$39,0))="Y")*Tariff!$O$4+(INDEX(BOL!$J$4:$J$39,MATCH(AL7,BOL!$B$4:$B$39,0))="Y")*Tariff!$O$5+(INDEX(BOL!$K$4:$K$39,MATCH(AL7,BOL!$B$4:$B$39,0))="Y")*Tariff!$O$6+(INDEX(BOL!$L$4:$L$39,MATCH(AL7,BOL!$B$4:$B$39,0))="Y")*Tariff!$O$7</f>
        <v>60</v>
      </c>
      <c r="BI7" s="4">
        <f>SUMIFS(Confirmations!$G$4:$G$5,Confirmations!$A$4:$A$5,AL7,Confirmations!$H$4:$H$5,"Yes")</f>
        <v>0</v>
      </c>
      <c r="BJ7" s="4">
        <f t="shared" si="15"/>
        <v>60</v>
      </c>
      <c r="BK7" t="str">
        <f>IF(COUNTIFS(Invoices!$B$4:$B$41,AL7,Invoices!$A$4:$A$41,"&lt;"&amp;AK7)&gt;0,"Yes","No")</f>
        <v>No</v>
      </c>
      <c r="BL7" s="4">
        <f t="shared" si="16"/>
        <v>936.73</v>
      </c>
      <c r="BM7" s="4">
        <f>Invoices!O26</f>
        <v>936.73</v>
      </c>
      <c r="BN7" s="4">
        <f t="shared" si="17"/>
        <v>0</v>
      </c>
      <c r="BO7" s="4">
        <f>Invoices!H26</f>
        <v>1809.55</v>
      </c>
      <c r="BP7" s="11">
        <f>ROUND(Invoices!K26/Terms!$B$9,4)</f>
        <v>0.275</v>
      </c>
      <c r="BQ7" s="4">
        <f>Invoices!N26</f>
        <v>60</v>
      </c>
      <c r="BR7" t="str">
        <f t="shared" si="18"/>
        <v/>
      </c>
      <c r="BS7" t="str">
        <f t="shared" si="19"/>
        <v/>
      </c>
    </row>
    <row r="8" spans="1:71" x14ac:dyDescent="0.2">
      <c r="A8" t="str">
        <f>Invoices!A8</f>
        <v>NFL-90317</v>
      </c>
      <c r="B8">
        <f>Invoices!B8</f>
        <v>217738</v>
      </c>
      <c r="C8" t="str">
        <f>INDEX(BOL!$C$4:$C$39,MATCH(B8,BOL!$B$4:$B$39,0))</f>
        <v>09/10/2026</v>
      </c>
      <c r="D8" t="str">
        <f>INDEX(BOL!$E$4:$E$39,MATCH(B8,BOL!$B$4:$B$39,0))</f>
        <v>MN</v>
      </c>
      <c r="E8" t="str">
        <f>INDEX(BOL!$F$4:$F$39,MATCH(B8,BOL!$B$4:$B$39,0))</f>
        <v>Fasteners and hardware</v>
      </c>
      <c r="F8">
        <f>INDEX(BOL!$H$4:$H$39,MATCH(B8,BOL!$B$4:$B$39,0))</f>
        <v>1130</v>
      </c>
      <c r="G8">
        <f>Invoices!F8</f>
        <v>1130</v>
      </c>
      <c r="H8" t="str">
        <f>IF(COUNTIFS('Billing File'!$A$4:$A$12,B8,'Billing File'!$G$4:$G$12,"4.5 weight",'Billing File'!$F$4:$F$12,"Yes")&gt;0,"Yes","No")</f>
        <v>No</v>
      </c>
      <c r="I8">
        <f>IF(AND(H8="Yes",G8&gt;F8*(1+Terms!$B$6)),G8,F8)</f>
        <v>1130</v>
      </c>
      <c r="J8">
        <f>INDEX(Tariff!$L$4:$L$9,MATCH(E8,Tariff!$K$4:$K$9,0))</f>
        <v>60</v>
      </c>
      <c r="K8">
        <f>Invoices!G8</f>
        <v>60</v>
      </c>
      <c r="L8" t="str">
        <f>IF(COUNTIFS('Billing File'!$A$4:$A$12,B8,'Billing File'!$G$4:$G$12,"4.3 class",'Billing File'!$F$4:$F$12,"Yes")&gt;0,"Yes","No")</f>
        <v>No</v>
      </c>
      <c r="M8">
        <f t="shared" si="0"/>
        <v>60</v>
      </c>
      <c r="N8" s="9">
        <f>INDEX(Tariff!$I$4:$I$10,MATCH(M8,Tariff!$H$4:$H$10,0))</f>
        <v>0.94</v>
      </c>
      <c r="O8">
        <f>MATCH(I8,Tariff!$B$12:$F$12,1)</f>
        <v>3</v>
      </c>
      <c r="P8" s="9">
        <f>INDEX(Tariff!$B$4:$F$10,MATCH(D8,Tariff!$A$4:$A$10,0),O8)</f>
        <v>41.75</v>
      </c>
      <c r="Q8" s="4">
        <f t="shared" si="1"/>
        <v>443.47</v>
      </c>
      <c r="R8" s="4">
        <f>IF(O8&lt;5,ROUND(INDEX(Tariff!$B$12:$F$12,O8+1)/100*INDEX(Tariff!$B$4:$F$10,MATCH(D8,Tariff!$A$4:$A$10,0),O8+1)*N8,2),Q8)</f>
        <v>642.96</v>
      </c>
      <c r="S8" s="4">
        <f t="shared" si="2"/>
        <v>443.47</v>
      </c>
      <c r="T8" s="4">
        <f>MAX(ROUND(S8*(1-Terms!$B$4),2),Terms!$B$5)</f>
        <v>168.52</v>
      </c>
      <c r="U8" t="str">
        <f t="shared" si="3"/>
        <v>09/07/2026</v>
      </c>
      <c r="V8" s="11">
        <f>INDEX('Fuel Index'!$C$4:$C$12,MATCH(U8,'Fuel Index'!$A$4:$A$12,0))</f>
        <v>0.265</v>
      </c>
      <c r="W8" s="4">
        <f t="shared" si="4"/>
        <v>44.66</v>
      </c>
      <c r="X8" s="4">
        <f>(INDEX(BOL!$I$4:$I$39,MATCH(B8,BOL!$B$4:$B$39,0))="Y")*Tariff!$O$4+(INDEX(BOL!$J$4:$J$39,MATCH(B8,BOL!$B$4:$B$39,0))="Y")*Tariff!$O$5+(INDEX(BOL!$K$4:$K$39,MATCH(B8,BOL!$B$4:$B$39,0))="Y")*Tariff!$O$6+(INDEX(BOL!$L$4:$L$39,MATCH(B8,BOL!$B$4:$B$39,0))="Y")*Tariff!$O$7</f>
        <v>75</v>
      </c>
      <c r="Y8" s="4">
        <f>SUMIFS(Confirmations!$G$4:$G$5,Confirmations!$A$4:$A$5,B8,Confirmations!$H$4:$H$5,"Yes")</f>
        <v>0</v>
      </c>
      <c r="Z8" s="4">
        <f t="shared" si="5"/>
        <v>75</v>
      </c>
      <c r="AA8" t="str">
        <f>IF(COUNTIFS(Invoices!$B$4:$B$41,B8,Invoices!$A$4:$A$41,"&lt;"&amp;A8)&gt;0,"Yes","No")</f>
        <v>No</v>
      </c>
      <c r="AB8" s="4">
        <f t="shared" si="6"/>
        <v>288.18</v>
      </c>
      <c r="AC8" s="4">
        <f>Invoices!O8</f>
        <v>213.18</v>
      </c>
      <c r="AD8" s="4">
        <f t="shared" si="7"/>
        <v>-75</v>
      </c>
      <c r="AE8" s="4">
        <f>Invoices!H8</f>
        <v>443.47</v>
      </c>
      <c r="AF8" s="11">
        <f>ROUND(Invoices!K8/Terms!$B$9,4)</f>
        <v>0.265</v>
      </c>
      <c r="AG8" s="4">
        <f>Invoices!N8</f>
        <v>0</v>
      </c>
      <c r="AH8" t="str">
        <f t="shared" si="8"/>
        <v>6.1 accessorial omitted</v>
      </c>
      <c r="AI8" t="str">
        <f t="shared" si="9"/>
        <v/>
      </c>
      <c r="AK8" t="str">
        <f>Invoices!A27</f>
        <v>NFL-90343</v>
      </c>
      <c r="AL8">
        <f>Invoices!B27</f>
        <v>217757</v>
      </c>
      <c r="AM8" t="str">
        <f>INDEX(BOL!$C$4:$C$39,MATCH(AL8,BOL!$B$4:$B$39,0))</f>
        <v>09/22/2026</v>
      </c>
      <c r="AN8" t="str">
        <f>INDEX(BOL!$E$4:$E$39,MATCH(AL8,BOL!$B$4:$B$39,0))</f>
        <v>WI</v>
      </c>
      <c r="AO8" t="str">
        <f>INDEX(BOL!$F$4:$F$39,MATCH(AL8,BOL!$B$4:$B$39,0))</f>
        <v>Windows and doors</v>
      </c>
      <c r="AP8">
        <f>INDEX(BOL!$H$4:$H$39,MATCH(AL8,BOL!$B$4:$B$39,0))</f>
        <v>830</v>
      </c>
      <c r="AQ8">
        <f>Invoices!F27</f>
        <v>830</v>
      </c>
      <c r="AR8" t="str">
        <f>IF(COUNTIFS('Billing File'!$A$4:$A$12,AL8,'Billing File'!$G$4:$G$12,"4.5 weight",'Billing File'!$F$4:$F$12,"Yes")&gt;0,"Yes","No")</f>
        <v>No</v>
      </c>
      <c r="AS8">
        <f>IF(AND(AR8="Yes",AQ8&gt;AP8*(1+Terms!$B$6)),AQ8,AP8)</f>
        <v>830</v>
      </c>
      <c r="AT8">
        <f>INDEX(Tariff!$L$4:$L$9,MATCH(AO8,Tariff!$K$4:$K$9,0))</f>
        <v>100</v>
      </c>
      <c r="AU8">
        <f>Invoices!G27</f>
        <v>100</v>
      </c>
      <c r="AV8" t="str">
        <f>IF(COUNTIFS('Billing File'!$A$4:$A$12,AL8,'Billing File'!$G$4:$G$12,"4.3 class",'Billing File'!$F$4:$F$12,"Yes")&gt;0,"Yes","No")</f>
        <v>No</v>
      </c>
      <c r="AW8">
        <f t="shared" si="10"/>
        <v>100</v>
      </c>
      <c r="AX8" s="9">
        <f>INDEX(Tariff!$I$4:$I$10,MATCH(AW8,Tariff!$H$4:$H$10,0))</f>
        <v>1.45</v>
      </c>
      <c r="AY8">
        <f>MATCH(AS8,Tariff!$B$12:$F$12,1)</f>
        <v>2</v>
      </c>
      <c r="AZ8" s="9">
        <f>INDEX(Tariff!$B$4:$F$10,MATCH(AN8,Tariff!$A$4:$A$10,0),AY8)</f>
        <v>59.05</v>
      </c>
      <c r="BA8" s="4">
        <f t="shared" si="11"/>
        <v>710.67</v>
      </c>
      <c r="BB8" s="4">
        <f>IF(AY8&lt;5,ROUND(INDEX(Tariff!$B$12:$F$12,AY8+1)/100*INDEX(Tariff!$B$4:$F$10,MATCH(AN8,Tariff!$A$4:$A$10,0),AY8+1)*AX8,2),BA8)</f>
        <v>729.35</v>
      </c>
      <c r="BC8" s="4">
        <f t="shared" si="12"/>
        <v>710.67</v>
      </c>
      <c r="BD8" s="4">
        <f>MAX(ROUND(BC8*(1-Terms!$B$4),2),Terms!$B$5)</f>
        <v>270.05</v>
      </c>
      <c r="BE8" t="str">
        <f t="shared" si="13"/>
        <v>09/21/2026</v>
      </c>
      <c r="BF8" s="11">
        <f>INDEX('Fuel Index'!$C$4:$C$12,MATCH(BE8,'Fuel Index'!$A$4:$A$12,0))</f>
        <v>0.275</v>
      </c>
      <c r="BG8" s="4">
        <f t="shared" si="14"/>
        <v>74.26</v>
      </c>
      <c r="BH8" s="4">
        <f>(INDEX(BOL!$I$4:$I$39,MATCH(AL8,BOL!$B$4:$B$39,0))="Y")*Tariff!$O$4+(INDEX(BOL!$J$4:$J$39,MATCH(AL8,BOL!$B$4:$B$39,0))="Y")*Tariff!$O$5+(INDEX(BOL!$K$4:$K$39,MATCH(AL8,BOL!$B$4:$B$39,0))="Y")*Tariff!$O$6+(INDEX(BOL!$L$4:$L$39,MATCH(AL8,BOL!$B$4:$B$39,0))="Y")*Tariff!$O$7</f>
        <v>0</v>
      </c>
      <c r="BI8" s="4">
        <f>SUMIFS(Confirmations!$G$4:$G$5,Confirmations!$A$4:$A$5,AL8,Confirmations!$H$4:$H$5,"Yes")</f>
        <v>0</v>
      </c>
      <c r="BJ8" s="4">
        <f t="shared" si="15"/>
        <v>0</v>
      </c>
      <c r="BK8" t="str">
        <f>IF(COUNTIFS(Invoices!$B$4:$B$41,AL8,Invoices!$A$4:$A$41,"&lt;"&amp;AK8)&gt;0,"Yes","No")</f>
        <v>No</v>
      </c>
      <c r="BL8" s="4">
        <f t="shared" si="16"/>
        <v>344.31</v>
      </c>
      <c r="BM8" s="4">
        <f>Invoices!O27</f>
        <v>344.31</v>
      </c>
      <c r="BN8" s="4">
        <f t="shared" si="17"/>
        <v>0</v>
      </c>
      <c r="BO8" s="4">
        <f>Invoices!H27</f>
        <v>710.67</v>
      </c>
      <c r="BP8" s="11">
        <f>ROUND(Invoices!K27/Terms!$B$9,4)</f>
        <v>0.275</v>
      </c>
      <c r="BQ8" s="4">
        <f>Invoices!N27</f>
        <v>0</v>
      </c>
      <c r="BR8" t="str">
        <f t="shared" si="18"/>
        <v/>
      </c>
      <c r="BS8" t="str">
        <f t="shared" si="19"/>
        <v/>
      </c>
    </row>
    <row r="9" spans="1:71" x14ac:dyDescent="0.2">
      <c r="A9" t="str">
        <f>Invoices!A9</f>
        <v>NFL-90318</v>
      </c>
      <c r="B9">
        <f>Invoices!B9</f>
        <v>217846</v>
      </c>
      <c r="C9" t="str">
        <f>INDEX(BOL!$C$4:$C$39,MATCH(B9,BOL!$B$4:$B$39,0))</f>
        <v>09/09/2026</v>
      </c>
      <c r="D9" t="str">
        <f>INDEX(BOL!$E$4:$E$39,MATCH(B9,BOL!$B$4:$B$39,0))</f>
        <v>WI</v>
      </c>
      <c r="E9" t="str">
        <f>INDEX(BOL!$F$4:$F$39,MATCH(B9,BOL!$B$4:$B$39,0))</f>
        <v>Windows and doors</v>
      </c>
      <c r="F9">
        <f>INDEX(BOL!$H$4:$H$39,MATCH(B9,BOL!$B$4:$B$39,0))</f>
        <v>1590</v>
      </c>
      <c r="G9">
        <f>Invoices!F9</f>
        <v>1590</v>
      </c>
      <c r="H9" t="str">
        <f>IF(COUNTIFS('Billing File'!$A$4:$A$12,B9,'Billing File'!$G$4:$G$12,"4.5 weight",'Billing File'!$F$4:$F$12,"Yes")&gt;0,"Yes","No")</f>
        <v>No</v>
      </c>
      <c r="I9">
        <f>IF(AND(H9="Yes",G9&gt;F9*(1+Terms!$B$6)),G9,F9)</f>
        <v>1590</v>
      </c>
      <c r="J9">
        <f>INDEX(Tariff!$L$4:$L$9,MATCH(E9,Tariff!$K$4:$K$9,0))</f>
        <v>100</v>
      </c>
      <c r="K9">
        <f>Invoices!G9</f>
        <v>100</v>
      </c>
      <c r="L9" t="str">
        <f>IF(COUNTIFS('Billing File'!$A$4:$A$12,B9,'Billing File'!$G$4:$G$12,"4.3 class",'Billing File'!$F$4:$F$12,"Yes")&gt;0,"Yes","No")</f>
        <v>No</v>
      </c>
      <c r="M9">
        <f t="shared" si="0"/>
        <v>100</v>
      </c>
      <c r="N9" s="9">
        <f>INDEX(Tariff!$I$4:$I$10,MATCH(M9,Tariff!$H$4:$H$10,0))</f>
        <v>1.45</v>
      </c>
      <c r="O9">
        <f>MATCH(I9,Tariff!$B$12:$F$12,1)</f>
        <v>3</v>
      </c>
      <c r="P9" s="9">
        <f>INDEX(Tariff!$B$4:$F$10,MATCH(D9,Tariff!$A$4:$A$10,0),O9)</f>
        <v>50.3</v>
      </c>
      <c r="Q9" s="4">
        <f t="shared" si="1"/>
        <v>1159.67</v>
      </c>
      <c r="R9" s="4">
        <f>IF(O9&lt;5,ROUND(INDEX(Tariff!$B$12:$F$12,O9+1)/100*INDEX(Tariff!$B$4:$F$10,MATCH(D9,Tariff!$A$4:$A$10,0),O9+1)*N9,2),Q9)</f>
        <v>1197.7</v>
      </c>
      <c r="S9" s="4">
        <f t="shared" si="2"/>
        <v>1159.67</v>
      </c>
      <c r="T9" s="4">
        <f>MAX(ROUND(S9*(1-Terms!$B$4),2),Terms!$B$5)</f>
        <v>440.67</v>
      </c>
      <c r="U9" t="str">
        <f t="shared" si="3"/>
        <v>09/07/2026</v>
      </c>
      <c r="V9" s="11">
        <f>INDEX('Fuel Index'!$C$4:$C$12,MATCH(U9,'Fuel Index'!$A$4:$A$12,0))</f>
        <v>0.265</v>
      </c>
      <c r="W9" s="4">
        <f t="shared" si="4"/>
        <v>116.78</v>
      </c>
      <c r="X9" s="4">
        <f>(INDEX(BOL!$I$4:$I$39,MATCH(B9,BOL!$B$4:$B$39,0))="Y")*Tariff!$O$4+(INDEX(BOL!$J$4:$J$39,MATCH(B9,BOL!$B$4:$B$39,0))="Y")*Tariff!$O$5+(INDEX(BOL!$K$4:$K$39,MATCH(B9,BOL!$B$4:$B$39,0))="Y")*Tariff!$O$6+(INDEX(BOL!$L$4:$L$39,MATCH(B9,BOL!$B$4:$B$39,0))="Y")*Tariff!$O$7</f>
        <v>75</v>
      </c>
      <c r="Y9" s="4">
        <f>SUMIFS(Confirmations!$G$4:$G$5,Confirmations!$A$4:$A$5,B9,Confirmations!$H$4:$H$5,"Yes")</f>
        <v>0</v>
      </c>
      <c r="Z9" s="4">
        <f t="shared" si="5"/>
        <v>75</v>
      </c>
      <c r="AA9" t="str">
        <f>IF(COUNTIFS(Invoices!$B$4:$B$41,B9,Invoices!$A$4:$A$41,"&lt;"&amp;A9)&gt;0,"Yes","No")</f>
        <v>No</v>
      </c>
      <c r="AB9" s="4">
        <f t="shared" si="6"/>
        <v>632.45</v>
      </c>
      <c r="AC9" s="4">
        <f>Invoices!O9</f>
        <v>632.45</v>
      </c>
      <c r="AD9" s="4">
        <f t="shared" si="7"/>
        <v>0</v>
      </c>
      <c r="AE9" s="4">
        <f>Invoices!H9</f>
        <v>1159.67</v>
      </c>
      <c r="AF9" s="11">
        <f>ROUND(Invoices!K9/Terms!$B$9,4)</f>
        <v>0.265</v>
      </c>
      <c r="AG9" s="4">
        <f>Invoices!N9</f>
        <v>75</v>
      </c>
      <c r="AH9" t="str">
        <f t="shared" si="8"/>
        <v/>
      </c>
      <c r="AI9" t="str">
        <f t="shared" si="9"/>
        <v/>
      </c>
      <c r="AK9" t="str">
        <f>Invoices!A28</f>
        <v>NFL-90344</v>
      </c>
      <c r="AL9">
        <f>Invoices!B28</f>
        <v>217851</v>
      </c>
      <c r="AM9" t="str">
        <f>INDEX(BOL!$C$4:$C$39,MATCH(AL9,BOL!$B$4:$B$39,0))</f>
        <v>09/21/2026</v>
      </c>
      <c r="AN9" t="str">
        <f>INDEX(BOL!$E$4:$E$39,MATCH(AL9,BOL!$B$4:$B$39,0))</f>
        <v>MN</v>
      </c>
      <c r="AO9" t="str">
        <f>INDEX(BOL!$F$4:$F$39,MATCH(AL9,BOL!$B$4:$B$39,0))</f>
        <v>Sealants and coatings</v>
      </c>
      <c r="AP9">
        <f>INDEX(BOL!$H$4:$H$39,MATCH(AL9,BOL!$B$4:$B$39,0))</f>
        <v>4470</v>
      </c>
      <c r="AQ9">
        <f>Invoices!F28</f>
        <v>4470</v>
      </c>
      <c r="AR9" t="str">
        <f>IF(COUNTIFS('Billing File'!$A$4:$A$12,AL9,'Billing File'!$G$4:$G$12,"4.5 weight",'Billing File'!$F$4:$F$12,"Yes")&gt;0,"Yes","No")</f>
        <v>No</v>
      </c>
      <c r="AS9">
        <f>IF(AND(AR9="Yes",AQ9&gt;AP9*(1+Terms!$B$6)),AQ9,AP9)</f>
        <v>4470</v>
      </c>
      <c r="AT9">
        <f>INDEX(Tariff!$L$4:$L$9,MATCH(AO9,Tariff!$K$4:$K$9,0))</f>
        <v>85</v>
      </c>
      <c r="AU9">
        <f>Invoices!G28</f>
        <v>85</v>
      </c>
      <c r="AV9" t="str">
        <f>IF(COUNTIFS('Billing File'!$A$4:$A$12,AL9,'Billing File'!$G$4:$G$12,"4.3 class",'Billing File'!$F$4:$F$12,"Yes")&gt;0,"Yes","No")</f>
        <v>No</v>
      </c>
      <c r="AW9">
        <f t="shared" si="10"/>
        <v>85</v>
      </c>
      <c r="AX9" s="9">
        <f>INDEX(Tariff!$I$4:$I$10,MATCH(AW9,Tariff!$H$4:$H$10,0))</f>
        <v>1.15</v>
      </c>
      <c r="AY9">
        <f>MATCH(AS9,Tariff!$B$12:$F$12,1)</f>
        <v>4</v>
      </c>
      <c r="AZ9" s="9">
        <f>INDEX(Tariff!$B$4:$F$10,MATCH(AN9,Tariff!$A$4:$A$10,0),AY9)</f>
        <v>34.2</v>
      </c>
      <c r="BA9" s="4">
        <f t="shared" si="11"/>
        <v>1758.05</v>
      </c>
      <c r="BB9" s="4">
        <f>IF(AY9&lt;5,ROUND(INDEX(Tariff!$B$12:$F$12,AY9+1)/100*INDEX(Tariff!$B$4:$F$10,MATCH(AN9,Tariff!$A$4:$A$10,0),AY9+1)*AX9,2),BA9)</f>
        <v>1601.38</v>
      </c>
      <c r="BC9" s="4">
        <f t="shared" si="12"/>
        <v>1601.38</v>
      </c>
      <c r="BD9" s="4">
        <f>MAX(ROUND(BC9*(1-Terms!$B$4),2),Terms!$B$5)</f>
        <v>608.52</v>
      </c>
      <c r="BE9" t="str">
        <f t="shared" si="13"/>
        <v>09/21/2026</v>
      </c>
      <c r="BF9" s="11">
        <f>INDEX('Fuel Index'!$C$4:$C$12,MATCH(BE9,'Fuel Index'!$A$4:$A$12,0))</f>
        <v>0.275</v>
      </c>
      <c r="BG9" s="4">
        <f t="shared" si="14"/>
        <v>167.34</v>
      </c>
      <c r="BH9" s="4">
        <f>(INDEX(BOL!$I$4:$I$39,MATCH(AL9,BOL!$B$4:$B$39,0))="Y")*Tariff!$O$4+(INDEX(BOL!$J$4:$J$39,MATCH(AL9,BOL!$B$4:$B$39,0))="Y")*Tariff!$O$5+(INDEX(BOL!$K$4:$K$39,MATCH(AL9,BOL!$B$4:$B$39,0))="Y")*Tariff!$O$6+(INDEX(BOL!$L$4:$L$39,MATCH(AL9,BOL!$B$4:$B$39,0))="Y")*Tariff!$O$7</f>
        <v>0</v>
      </c>
      <c r="BI9" s="4">
        <f>SUMIFS(Confirmations!$G$4:$G$5,Confirmations!$A$4:$A$5,AL9,Confirmations!$H$4:$H$5,"Yes")</f>
        <v>0</v>
      </c>
      <c r="BJ9" s="4">
        <f t="shared" si="15"/>
        <v>0</v>
      </c>
      <c r="BK9" t="str">
        <f>IF(COUNTIFS(Invoices!$B$4:$B$41,AL9,Invoices!$A$4:$A$41,"&lt;"&amp;AK9)&gt;0,"Yes","No")</f>
        <v>No</v>
      </c>
      <c r="BL9" s="4">
        <f t="shared" si="16"/>
        <v>775.86</v>
      </c>
      <c r="BM9" s="4">
        <f>Invoices!O28</f>
        <v>775.86</v>
      </c>
      <c r="BN9" s="4">
        <f t="shared" si="17"/>
        <v>0</v>
      </c>
      <c r="BO9" s="4">
        <f>Invoices!H28</f>
        <v>1601.38</v>
      </c>
      <c r="BP9" s="11">
        <f>ROUND(Invoices!K28/Terms!$B$9,4)</f>
        <v>0.275</v>
      </c>
      <c r="BQ9" s="4">
        <f>Invoices!N28</f>
        <v>0</v>
      </c>
      <c r="BR9" t="str">
        <f t="shared" si="18"/>
        <v/>
      </c>
      <c r="BS9" t="str">
        <f t="shared" si="19"/>
        <v/>
      </c>
    </row>
    <row r="10" spans="1:71" x14ac:dyDescent="0.2">
      <c r="A10" t="str">
        <f>Invoices!A10</f>
        <v>NFL-90319</v>
      </c>
      <c r="B10">
        <f>Invoices!B10</f>
        <v>217703</v>
      </c>
      <c r="C10" t="str">
        <f>INDEX(BOL!$C$4:$C$39,MATCH(B10,BOL!$B$4:$B$39,0))</f>
        <v>09/03/2026</v>
      </c>
      <c r="D10" t="str">
        <f>INDEX(BOL!$E$4:$E$39,MATCH(B10,BOL!$B$4:$B$39,0))</f>
        <v>MN</v>
      </c>
      <c r="E10" t="str">
        <f>INDEX(BOL!$F$4:$F$39,MATCH(B10,BOL!$B$4:$B$39,0))</f>
        <v>Sealants and coatings</v>
      </c>
      <c r="F10">
        <f>INDEX(BOL!$H$4:$H$39,MATCH(B10,BOL!$B$4:$B$39,0))</f>
        <v>720</v>
      </c>
      <c r="G10">
        <f>Invoices!F10</f>
        <v>720</v>
      </c>
      <c r="H10" t="str">
        <f>IF(COUNTIFS('Billing File'!$A$4:$A$12,B10,'Billing File'!$G$4:$G$12,"4.5 weight",'Billing File'!$F$4:$F$12,"Yes")&gt;0,"Yes","No")</f>
        <v>No</v>
      </c>
      <c r="I10">
        <f>IF(AND(H10="Yes",G10&gt;F10*(1+Terms!$B$6)),G10,F10)</f>
        <v>720</v>
      </c>
      <c r="J10">
        <f>INDEX(Tariff!$L$4:$L$9,MATCH(E10,Tariff!$K$4:$K$9,0))</f>
        <v>85</v>
      </c>
      <c r="K10">
        <f>Invoices!G10</f>
        <v>85</v>
      </c>
      <c r="L10" t="str">
        <f>IF(COUNTIFS('Billing File'!$A$4:$A$12,B10,'Billing File'!$G$4:$G$12,"4.3 class",'Billing File'!$F$4:$F$12,"Yes")&gt;0,"Yes","No")</f>
        <v>No</v>
      </c>
      <c r="M10">
        <f t="shared" si="0"/>
        <v>85</v>
      </c>
      <c r="N10" s="9">
        <f>INDEX(Tariff!$I$4:$I$10,MATCH(M10,Tariff!$H$4:$H$10,0))</f>
        <v>1.15</v>
      </c>
      <c r="O10">
        <f>MATCH(I10,Tariff!$B$12:$F$12,1)</f>
        <v>2</v>
      </c>
      <c r="P10" s="9">
        <f>INDEX(Tariff!$B$4:$F$10,MATCH(D10,Tariff!$A$4:$A$10,0),O10)</f>
        <v>49.1</v>
      </c>
      <c r="Q10" s="4">
        <f t="shared" si="1"/>
        <v>406.55</v>
      </c>
      <c r="R10" s="4">
        <f>IF(O10&lt;5,ROUND(INDEX(Tariff!$B$12:$F$12,O10+1)/100*INDEX(Tariff!$B$4:$F$10,MATCH(D10,Tariff!$A$4:$A$10,0),O10+1)*N10,2),Q10)</f>
        <v>480.13</v>
      </c>
      <c r="S10" s="4">
        <f t="shared" si="2"/>
        <v>406.55</v>
      </c>
      <c r="T10" s="4">
        <f>MAX(ROUND(S10*(1-Terms!$B$4),2),Terms!$B$5)</f>
        <v>154.49</v>
      </c>
      <c r="U10" t="str">
        <f t="shared" si="3"/>
        <v>08/31/2026</v>
      </c>
      <c r="V10" s="11">
        <f>INDEX('Fuel Index'!$C$4:$C$12,MATCH(U10,'Fuel Index'!$A$4:$A$12,0))</f>
        <v>0.265</v>
      </c>
      <c r="W10" s="4">
        <f t="shared" si="4"/>
        <v>40.94</v>
      </c>
      <c r="X10" s="4">
        <f>(INDEX(BOL!$I$4:$I$39,MATCH(B10,BOL!$B$4:$B$39,0))="Y")*Tariff!$O$4+(INDEX(BOL!$J$4:$J$39,MATCH(B10,BOL!$B$4:$B$39,0))="Y")*Tariff!$O$5+(INDEX(BOL!$K$4:$K$39,MATCH(B10,BOL!$B$4:$B$39,0))="Y")*Tariff!$O$6+(INDEX(BOL!$L$4:$L$39,MATCH(B10,BOL!$B$4:$B$39,0))="Y")*Tariff!$O$7</f>
        <v>160</v>
      </c>
      <c r="Y10" s="4">
        <f>SUMIFS(Confirmations!$G$4:$G$5,Confirmations!$A$4:$A$5,B10,Confirmations!$H$4:$H$5,"Yes")</f>
        <v>0</v>
      </c>
      <c r="Z10" s="4">
        <f t="shared" si="5"/>
        <v>160</v>
      </c>
      <c r="AA10" t="str">
        <f>IF(COUNTIFS(Invoices!$B$4:$B$41,B10,Invoices!$A$4:$A$41,"&lt;"&amp;A10)&gt;0,"Yes","No")</f>
        <v>No</v>
      </c>
      <c r="AB10" s="4">
        <f t="shared" si="6"/>
        <v>355.43</v>
      </c>
      <c r="AC10" s="4">
        <f>Invoices!O10</f>
        <v>354.66</v>
      </c>
      <c r="AD10" s="4">
        <f t="shared" si="7"/>
        <v>-0.77</v>
      </c>
      <c r="AE10" s="4">
        <f>Invoices!H10</f>
        <v>406.55</v>
      </c>
      <c r="AF10" s="11">
        <f>ROUND(Invoices!K10/Terms!$B$9,4)</f>
        <v>0.26</v>
      </c>
      <c r="AG10" s="4">
        <f>Invoices!N10</f>
        <v>160</v>
      </c>
      <c r="AH10" t="str">
        <f t="shared" si="8"/>
        <v>5.2 fuel week</v>
      </c>
      <c r="AI10" t="str">
        <f t="shared" si="9"/>
        <v/>
      </c>
      <c r="AK10" t="str">
        <f>Invoices!A29</f>
        <v>NFL-90345</v>
      </c>
      <c r="AL10">
        <f>Invoices!B29</f>
        <v>217775</v>
      </c>
      <c r="AM10" t="str">
        <f>INDEX(BOL!$C$4:$C$39,MATCH(AL10,BOL!$B$4:$B$39,0))</f>
        <v>09/23/2026</v>
      </c>
      <c r="AN10" t="str">
        <f>INDEX(BOL!$E$4:$E$39,MATCH(AL10,BOL!$B$4:$B$39,0))</f>
        <v>NE</v>
      </c>
      <c r="AO10" t="str">
        <f>INDEX(BOL!$F$4:$F$39,MATCH(AL10,BOL!$B$4:$B$39,0))</f>
        <v>Vinyl siding</v>
      </c>
      <c r="AP10">
        <f>INDEX(BOL!$H$4:$H$39,MATCH(AL10,BOL!$B$4:$B$39,0))</f>
        <v>1040</v>
      </c>
      <c r="AQ10">
        <f>Invoices!F29</f>
        <v>1040</v>
      </c>
      <c r="AR10" t="str">
        <f>IF(COUNTIFS('Billing File'!$A$4:$A$12,AL10,'Billing File'!$G$4:$G$12,"4.5 weight",'Billing File'!$F$4:$F$12,"Yes")&gt;0,"Yes","No")</f>
        <v>No</v>
      </c>
      <c r="AS10">
        <f>IF(AND(AR10="Yes",AQ10&gt;AP10*(1+Terms!$B$6)),AQ10,AP10)</f>
        <v>1040</v>
      </c>
      <c r="AT10">
        <f>INDEX(Tariff!$L$4:$L$9,MATCH(AO10,Tariff!$K$4:$K$9,0))</f>
        <v>92.5</v>
      </c>
      <c r="AU10">
        <f>Invoices!G29</f>
        <v>92.5</v>
      </c>
      <c r="AV10" t="str">
        <f>IF(COUNTIFS('Billing File'!$A$4:$A$12,AL10,'Billing File'!$G$4:$G$12,"4.3 class",'Billing File'!$F$4:$F$12,"Yes")&gt;0,"Yes","No")</f>
        <v>No</v>
      </c>
      <c r="AW10">
        <f t="shared" si="10"/>
        <v>92.5</v>
      </c>
      <c r="AX10" s="9">
        <f>INDEX(Tariff!$I$4:$I$10,MATCH(AW10,Tariff!$H$4:$H$10,0))</f>
        <v>1.3</v>
      </c>
      <c r="AY10">
        <f>MATCH(AS10,Tariff!$B$12:$F$12,1)</f>
        <v>3</v>
      </c>
      <c r="AZ10" s="9">
        <f>INDEX(Tariff!$B$4:$F$10,MATCH(AN10,Tariff!$A$4:$A$10,0),AY10)</f>
        <v>49.8</v>
      </c>
      <c r="BA10" s="4">
        <f t="shared" si="11"/>
        <v>673.3</v>
      </c>
      <c r="BB10" s="4">
        <f>IF(AY10&lt;5,ROUND(INDEX(Tariff!$B$12:$F$12,AY10+1)/100*INDEX(Tariff!$B$4:$F$10,MATCH(AN10,Tariff!$A$4:$A$10,0),AY10+1)*AX10,2),BA10)</f>
        <v>1063.4</v>
      </c>
      <c r="BC10" s="4">
        <f t="shared" si="12"/>
        <v>673.3</v>
      </c>
      <c r="BD10" s="4">
        <f>MAX(ROUND(BC10*(1-Terms!$B$4),2),Terms!$B$5)</f>
        <v>255.85</v>
      </c>
      <c r="BE10" t="str">
        <f t="shared" si="13"/>
        <v>09/21/2026</v>
      </c>
      <c r="BF10" s="11">
        <f>INDEX('Fuel Index'!$C$4:$C$12,MATCH(BE10,'Fuel Index'!$A$4:$A$12,0))</f>
        <v>0.275</v>
      </c>
      <c r="BG10" s="4">
        <f t="shared" si="14"/>
        <v>70.36</v>
      </c>
      <c r="BH10" s="4">
        <f>(INDEX(BOL!$I$4:$I$39,MATCH(AL10,BOL!$B$4:$B$39,0))="Y")*Tariff!$O$4+(INDEX(BOL!$J$4:$J$39,MATCH(AL10,BOL!$B$4:$B$39,0))="Y")*Tariff!$O$5+(INDEX(BOL!$K$4:$K$39,MATCH(AL10,BOL!$B$4:$B$39,0))="Y")*Tariff!$O$6+(INDEX(BOL!$L$4:$L$39,MATCH(AL10,BOL!$B$4:$B$39,0))="Y")*Tariff!$O$7</f>
        <v>0</v>
      </c>
      <c r="BI10" s="4">
        <f>SUMIFS(Confirmations!$G$4:$G$5,Confirmations!$A$4:$A$5,AL10,Confirmations!$H$4:$H$5,"Yes")</f>
        <v>0</v>
      </c>
      <c r="BJ10" s="4">
        <f t="shared" si="15"/>
        <v>0</v>
      </c>
      <c r="BK10" t="str">
        <f>IF(COUNTIFS(Invoices!$B$4:$B$41,AL10,Invoices!$A$4:$A$41,"&lt;"&amp;AK10)&gt;0,"Yes","No")</f>
        <v>No</v>
      </c>
      <c r="BL10" s="4">
        <f t="shared" si="16"/>
        <v>326.21</v>
      </c>
      <c r="BM10" s="4">
        <f>Invoices!O29</f>
        <v>326.21</v>
      </c>
      <c r="BN10" s="4">
        <f t="shared" si="17"/>
        <v>0</v>
      </c>
      <c r="BO10" s="4">
        <f>Invoices!H29</f>
        <v>673.3</v>
      </c>
      <c r="BP10" s="11">
        <f>ROUND(Invoices!K29/Terms!$B$9,4)</f>
        <v>0.275</v>
      </c>
      <c r="BQ10" s="4">
        <f>Invoices!N29</f>
        <v>0</v>
      </c>
      <c r="BR10" t="str">
        <f t="shared" si="18"/>
        <v/>
      </c>
      <c r="BS10" t="str">
        <f t="shared" si="19"/>
        <v/>
      </c>
    </row>
    <row r="11" spans="1:71" x14ac:dyDescent="0.2">
      <c r="A11" t="str">
        <f>Invoices!A11</f>
        <v>NFL-90321</v>
      </c>
      <c r="B11">
        <f>Invoices!B11</f>
        <v>217700</v>
      </c>
      <c r="C11" t="str">
        <f>INDEX(BOL!$C$4:$C$39,MATCH(B11,BOL!$B$4:$B$39,0))</f>
        <v>09/09/2026</v>
      </c>
      <c r="D11" t="str">
        <f>INDEX(BOL!$E$4:$E$39,MATCH(B11,BOL!$B$4:$B$39,0))</f>
        <v>SD</v>
      </c>
      <c r="E11" t="str">
        <f>INDEX(BOL!$F$4:$F$39,MATCH(B11,BOL!$B$4:$B$39,0))</f>
        <v>Metal roofing panels</v>
      </c>
      <c r="F11">
        <f>INDEX(BOL!$H$4:$H$39,MATCH(B11,BOL!$B$4:$B$39,0))</f>
        <v>1980</v>
      </c>
      <c r="G11">
        <f>Invoices!F11</f>
        <v>1980</v>
      </c>
      <c r="H11" t="str">
        <f>IF(COUNTIFS('Billing File'!$A$4:$A$12,B11,'Billing File'!$G$4:$G$12,"4.5 weight",'Billing File'!$F$4:$F$12,"Yes")&gt;0,"Yes","No")</f>
        <v>No</v>
      </c>
      <c r="I11">
        <f>IF(AND(H11="Yes",G11&gt;F11*(1+Terms!$B$6)),G11,F11)</f>
        <v>1980</v>
      </c>
      <c r="J11">
        <f>INDEX(Tariff!$L$4:$L$9,MATCH(E11,Tariff!$K$4:$K$9,0))</f>
        <v>70</v>
      </c>
      <c r="K11">
        <f>Invoices!G11</f>
        <v>70</v>
      </c>
      <c r="L11" t="str">
        <f>IF(COUNTIFS('Billing File'!$A$4:$A$12,B11,'Billing File'!$G$4:$G$12,"4.3 class",'Billing File'!$F$4:$F$12,"Yes")&gt;0,"Yes","No")</f>
        <v>No</v>
      </c>
      <c r="M11">
        <f t="shared" si="0"/>
        <v>70</v>
      </c>
      <c r="N11" s="9">
        <f>INDEX(Tariff!$I$4:$I$10,MATCH(M11,Tariff!$H$4:$H$10,0))</f>
        <v>1</v>
      </c>
      <c r="O11">
        <f>MATCH(I11,Tariff!$B$12:$F$12,1)</f>
        <v>3</v>
      </c>
      <c r="P11" s="9">
        <f>INDEX(Tariff!$B$4:$F$10,MATCH(D11,Tariff!$A$4:$A$10,0),O11)</f>
        <v>43.9</v>
      </c>
      <c r="Q11" s="4">
        <f t="shared" si="1"/>
        <v>869.22</v>
      </c>
      <c r="R11" s="4">
        <f>IF(O11&lt;5,ROUND(INDEX(Tariff!$B$12:$F$12,O11+1)/100*INDEX(Tariff!$B$4:$F$10,MATCH(D11,Tariff!$A$4:$A$10,0),O11+1)*N11,2),Q11)</f>
        <v>721</v>
      </c>
      <c r="S11" s="4">
        <f t="shared" si="2"/>
        <v>721</v>
      </c>
      <c r="T11" s="4">
        <f>MAX(ROUND(S11*(1-Terms!$B$4),2),Terms!$B$5)</f>
        <v>273.98</v>
      </c>
      <c r="U11" t="str">
        <f t="shared" si="3"/>
        <v>09/07/2026</v>
      </c>
      <c r="V11" s="11">
        <f>INDEX('Fuel Index'!$C$4:$C$12,MATCH(U11,'Fuel Index'!$A$4:$A$12,0))</f>
        <v>0.265</v>
      </c>
      <c r="W11" s="4">
        <f t="shared" si="4"/>
        <v>72.6</v>
      </c>
      <c r="X11" s="4">
        <f>(INDEX(BOL!$I$4:$I$39,MATCH(B11,BOL!$B$4:$B$39,0))="Y")*Tariff!$O$4+(INDEX(BOL!$J$4:$J$39,MATCH(B11,BOL!$B$4:$B$39,0))="Y")*Tariff!$O$5+(INDEX(BOL!$K$4:$K$39,MATCH(B11,BOL!$B$4:$B$39,0))="Y")*Tariff!$O$6+(INDEX(BOL!$L$4:$L$39,MATCH(B11,BOL!$B$4:$B$39,0))="Y")*Tariff!$O$7</f>
        <v>0</v>
      </c>
      <c r="Y11" s="4">
        <f>SUMIFS(Confirmations!$G$4:$G$5,Confirmations!$A$4:$A$5,B11,Confirmations!$H$4:$H$5,"Yes")</f>
        <v>0</v>
      </c>
      <c r="Z11" s="4">
        <f t="shared" si="5"/>
        <v>0</v>
      </c>
      <c r="AA11" t="str">
        <f>IF(COUNTIFS(Invoices!$B$4:$B$41,B11,Invoices!$A$4:$A$41,"&lt;"&amp;A11)&gt;0,"Yes","No")</f>
        <v>No</v>
      </c>
      <c r="AB11" s="4">
        <f t="shared" si="6"/>
        <v>346.58</v>
      </c>
      <c r="AC11" s="4">
        <f>Invoices!O11</f>
        <v>346.58</v>
      </c>
      <c r="AD11" s="4">
        <f t="shared" si="7"/>
        <v>0</v>
      </c>
      <c r="AE11" s="4">
        <f>Invoices!H11</f>
        <v>721</v>
      </c>
      <c r="AF11" s="11">
        <f>ROUND(Invoices!K11/Terms!$B$9,4)</f>
        <v>0.265</v>
      </c>
      <c r="AG11" s="4">
        <f>Invoices!N11</f>
        <v>0</v>
      </c>
      <c r="AH11" t="str">
        <f t="shared" si="8"/>
        <v/>
      </c>
      <c r="AI11" t="str">
        <f t="shared" si="9"/>
        <v/>
      </c>
      <c r="AK11" t="str">
        <f>Invoices!A30</f>
        <v>NFL-90346</v>
      </c>
      <c r="AL11">
        <f>Invoices!B30</f>
        <v>217864</v>
      </c>
      <c r="AM11" t="str">
        <f>INDEX(BOL!$C$4:$C$39,MATCH(AL11,BOL!$B$4:$B$39,0))</f>
        <v>09/21/2026</v>
      </c>
      <c r="AN11" t="str">
        <f>INDEX(BOL!$E$4:$E$39,MATCH(AL11,BOL!$B$4:$B$39,0))</f>
        <v>MT</v>
      </c>
      <c r="AO11" t="str">
        <f>INDEX(BOL!$F$4:$F$39,MATCH(AL11,BOL!$B$4:$B$39,0))</f>
        <v>Metal roofing panels</v>
      </c>
      <c r="AP11">
        <f>INDEX(BOL!$H$4:$H$39,MATCH(AL11,BOL!$B$4:$B$39,0))</f>
        <v>1220</v>
      </c>
      <c r="AQ11">
        <f>Invoices!F30</f>
        <v>1220</v>
      </c>
      <c r="AR11" t="str">
        <f>IF(COUNTIFS('Billing File'!$A$4:$A$12,AL11,'Billing File'!$G$4:$G$12,"4.5 weight",'Billing File'!$F$4:$F$12,"Yes")&gt;0,"Yes","No")</f>
        <v>No</v>
      </c>
      <c r="AS11">
        <f>IF(AND(AR11="Yes",AQ11&gt;AP11*(1+Terms!$B$6)),AQ11,AP11)</f>
        <v>1220</v>
      </c>
      <c r="AT11">
        <f>INDEX(Tariff!$L$4:$L$9,MATCH(AO11,Tariff!$K$4:$K$9,0))</f>
        <v>70</v>
      </c>
      <c r="AU11">
        <f>Invoices!G30</f>
        <v>70</v>
      </c>
      <c r="AV11" t="str">
        <f>IF(COUNTIFS('Billing File'!$A$4:$A$12,AL11,'Billing File'!$G$4:$G$12,"4.3 class",'Billing File'!$F$4:$F$12,"Yes")&gt;0,"Yes","No")</f>
        <v>No</v>
      </c>
      <c r="AW11">
        <f t="shared" si="10"/>
        <v>70</v>
      </c>
      <c r="AX11" s="9">
        <f>INDEX(Tariff!$I$4:$I$10,MATCH(AW11,Tariff!$H$4:$H$10,0))</f>
        <v>1</v>
      </c>
      <c r="AY11">
        <f>MATCH(AS11,Tariff!$B$12:$F$12,1)</f>
        <v>3</v>
      </c>
      <c r="AZ11" s="9">
        <f>INDEX(Tariff!$B$4:$F$10,MATCH(AN11,Tariff!$A$4:$A$10,0),AY11)</f>
        <v>60.85</v>
      </c>
      <c r="BA11" s="4">
        <f t="shared" si="11"/>
        <v>742.37</v>
      </c>
      <c r="BB11" s="4">
        <f>IF(AY11&lt;5,ROUND(INDEX(Tariff!$B$12:$F$12,AY11+1)/100*INDEX(Tariff!$B$4:$F$10,MATCH(AN11,Tariff!$A$4:$A$10,0),AY11+1)*AX11,2),BA11)</f>
        <v>999</v>
      </c>
      <c r="BC11" s="4">
        <f t="shared" si="12"/>
        <v>742.37</v>
      </c>
      <c r="BD11" s="4">
        <f>MAX(ROUND(BC11*(1-Terms!$B$4),2),Terms!$B$5)</f>
        <v>282.1</v>
      </c>
      <c r="BE11" t="str">
        <f t="shared" si="13"/>
        <v>09/21/2026</v>
      </c>
      <c r="BF11" s="11">
        <f>INDEX('Fuel Index'!$C$4:$C$12,MATCH(BE11,'Fuel Index'!$A$4:$A$12,0))</f>
        <v>0.275</v>
      </c>
      <c r="BG11" s="4">
        <f t="shared" si="14"/>
        <v>77.58</v>
      </c>
      <c r="BH11" s="4">
        <f>(INDEX(BOL!$I$4:$I$39,MATCH(AL11,BOL!$B$4:$B$39,0))="Y")*Tariff!$O$4+(INDEX(BOL!$J$4:$J$39,MATCH(AL11,BOL!$B$4:$B$39,0))="Y")*Tariff!$O$5+(INDEX(BOL!$K$4:$K$39,MATCH(AL11,BOL!$B$4:$B$39,0))="Y")*Tariff!$O$6+(INDEX(BOL!$L$4:$L$39,MATCH(AL11,BOL!$B$4:$B$39,0))="Y")*Tariff!$O$7</f>
        <v>0</v>
      </c>
      <c r="BI11" s="4">
        <f>SUMIFS(Confirmations!$G$4:$G$5,Confirmations!$A$4:$A$5,AL11,Confirmations!$H$4:$H$5,"Yes")</f>
        <v>0</v>
      </c>
      <c r="BJ11" s="4">
        <f t="shared" si="15"/>
        <v>0</v>
      </c>
      <c r="BK11" t="str">
        <f>IF(COUNTIFS(Invoices!$B$4:$B$41,AL11,Invoices!$A$4:$A$41,"&lt;"&amp;AK11)&gt;0,"Yes","No")</f>
        <v>No</v>
      </c>
      <c r="BL11" s="4">
        <f t="shared" si="16"/>
        <v>359.68</v>
      </c>
      <c r="BM11" s="4">
        <f>Invoices!O30</f>
        <v>358.27</v>
      </c>
      <c r="BN11" s="4">
        <f t="shared" si="17"/>
        <v>-1.41</v>
      </c>
      <c r="BO11" s="4">
        <f>Invoices!H30</f>
        <v>742.37</v>
      </c>
      <c r="BP11" s="11">
        <f>ROUND(Invoices!K30/Terms!$B$9,4)</f>
        <v>0.27</v>
      </c>
      <c r="BQ11" s="4">
        <f>Invoices!N30</f>
        <v>0</v>
      </c>
      <c r="BR11" t="str">
        <f t="shared" si="18"/>
        <v>5.2 fuel week</v>
      </c>
      <c r="BS11" t="str">
        <f t="shared" si="19"/>
        <v/>
      </c>
    </row>
    <row r="12" spans="1:71" x14ac:dyDescent="0.2">
      <c r="A12" t="str">
        <f>Invoices!A12</f>
        <v>NFL-90322</v>
      </c>
      <c r="B12">
        <f>Invoices!B12</f>
        <v>217784</v>
      </c>
      <c r="C12" t="str">
        <f>INDEX(BOL!$C$4:$C$39,MATCH(B12,BOL!$B$4:$B$39,0))</f>
        <v>09/09/2026</v>
      </c>
      <c r="D12" t="str">
        <f>INDEX(BOL!$E$4:$E$39,MATCH(B12,BOL!$B$4:$B$39,0))</f>
        <v>ND</v>
      </c>
      <c r="E12" t="str">
        <f>INDEX(BOL!$F$4:$F$39,MATCH(B12,BOL!$B$4:$B$39,0))</f>
        <v>Sealants and coatings</v>
      </c>
      <c r="F12">
        <f>INDEX(BOL!$H$4:$H$39,MATCH(B12,BOL!$B$4:$B$39,0))</f>
        <v>2430</v>
      </c>
      <c r="G12">
        <f>Invoices!F12</f>
        <v>2430</v>
      </c>
      <c r="H12" t="str">
        <f>IF(COUNTIFS('Billing File'!$A$4:$A$12,B12,'Billing File'!$G$4:$G$12,"4.5 weight",'Billing File'!$F$4:$F$12,"Yes")&gt;0,"Yes","No")</f>
        <v>No</v>
      </c>
      <c r="I12">
        <f>IF(AND(H12="Yes",G12&gt;F12*(1+Terms!$B$6)),G12,F12)</f>
        <v>2430</v>
      </c>
      <c r="J12">
        <f>INDEX(Tariff!$L$4:$L$9,MATCH(E12,Tariff!$K$4:$K$9,0))</f>
        <v>85</v>
      </c>
      <c r="K12">
        <f>Invoices!G12</f>
        <v>92.5</v>
      </c>
      <c r="L12" t="str">
        <f>IF(COUNTIFS('Billing File'!$A$4:$A$12,B12,'Billing File'!$G$4:$G$12,"4.3 class",'Billing File'!$F$4:$F$12,"Yes")&gt;0,"Yes","No")</f>
        <v>No</v>
      </c>
      <c r="M12">
        <f t="shared" si="0"/>
        <v>85</v>
      </c>
      <c r="N12" s="9">
        <f>INDEX(Tariff!$I$4:$I$10,MATCH(M12,Tariff!$H$4:$H$10,0))</f>
        <v>1.15</v>
      </c>
      <c r="O12">
        <f>MATCH(I12,Tariff!$B$12:$F$12,1)</f>
        <v>4</v>
      </c>
      <c r="P12" s="9">
        <f>INDEX(Tariff!$B$4:$F$10,MATCH(D12,Tariff!$A$4:$A$10,0),O12)</f>
        <v>26.4</v>
      </c>
      <c r="Q12" s="4">
        <f t="shared" si="1"/>
        <v>737.75</v>
      </c>
      <c r="R12" s="4">
        <f>IF(O12&lt;5,ROUND(INDEX(Tariff!$B$12:$F$12,O12+1)/100*INDEX(Tariff!$B$4:$F$10,MATCH(D12,Tariff!$A$4:$A$10,0),O12+1)*N12,2),Q12)</f>
        <v>1236.25</v>
      </c>
      <c r="S12" s="4">
        <f t="shared" si="2"/>
        <v>737.75</v>
      </c>
      <c r="T12" s="4">
        <f>MAX(ROUND(S12*(1-Terms!$B$4),2),Terms!$B$5)</f>
        <v>280.35</v>
      </c>
      <c r="U12" t="str">
        <f t="shared" si="3"/>
        <v>09/07/2026</v>
      </c>
      <c r="V12" s="11">
        <f>INDEX('Fuel Index'!$C$4:$C$12,MATCH(U12,'Fuel Index'!$A$4:$A$12,0))</f>
        <v>0.265</v>
      </c>
      <c r="W12" s="4">
        <f t="shared" si="4"/>
        <v>74.29</v>
      </c>
      <c r="X12" s="4">
        <f>(INDEX(BOL!$I$4:$I$39,MATCH(B12,BOL!$B$4:$B$39,0))="Y")*Tariff!$O$4+(INDEX(BOL!$J$4:$J$39,MATCH(B12,BOL!$B$4:$B$39,0))="Y")*Tariff!$O$5+(INDEX(BOL!$K$4:$K$39,MATCH(B12,BOL!$B$4:$B$39,0))="Y")*Tariff!$O$6+(INDEX(BOL!$L$4:$L$39,MATCH(B12,BOL!$B$4:$B$39,0))="Y")*Tariff!$O$7</f>
        <v>85</v>
      </c>
      <c r="Y12" s="4">
        <f>SUMIFS(Confirmations!$G$4:$G$5,Confirmations!$A$4:$A$5,B12,Confirmations!$H$4:$H$5,"Yes")</f>
        <v>0</v>
      </c>
      <c r="Z12" s="4">
        <f t="shared" si="5"/>
        <v>85</v>
      </c>
      <c r="AA12" t="str">
        <f>IF(COUNTIFS(Invoices!$B$4:$B$41,B12,Invoices!$A$4:$A$41,"&lt;"&amp;A12)&gt;0,"Yes","No")</f>
        <v>No</v>
      </c>
      <c r="AB12" s="4">
        <f t="shared" si="6"/>
        <v>439.64</v>
      </c>
      <c r="AC12" s="4">
        <f>Invoices!O12</f>
        <v>485.89</v>
      </c>
      <c r="AD12" s="4">
        <f t="shared" si="7"/>
        <v>46.25</v>
      </c>
      <c r="AE12" s="4">
        <f>Invoices!H12</f>
        <v>833.98</v>
      </c>
      <c r="AF12" s="11">
        <f>ROUND(Invoices!K12/Terms!$B$9,4)</f>
        <v>0.265</v>
      </c>
      <c r="AG12" s="4">
        <f>Invoices!N12</f>
        <v>85</v>
      </c>
      <c r="AH12" t="str">
        <f t="shared" si="8"/>
        <v>4.3 class</v>
      </c>
      <c r="AI12" t="str">
        <f t="shared" si="9"/>
        <v/>
      </c>
      <c r="AK12" t="str">
        <f>Invoices!A31</f>
        <v>NFL-90347</v>
      </c>
      <c r="AL12">
        <f>Invoices!B31</f>
        <v>217841</v>
      </c>
      <c r="AM12" t="str">
        <f>INDEX(BOL!$C$4:$C$39,MATCH(AL12,BOL!$B$4:$B$39,0))</f>
        <v>09/24/2026</v>
      </c>
      <c r="AN12" t="str">
        <f>INDEX(BOL!$E$4:$E$39,MATCH(AL12,BOL!$B$4:$B$39,0))</f>
        <v>MT</v>
      </c>
      <c r="AO12" t="str">
        <f>INDEX(BOL!$F$4:$F$39,MATCH(AL12,BOL!$B$4:$B$39,0))</f>
        <v>Fasteners and hardware</v>
      </c>
      <c r="AP12">
        <f>INDEX(BOL!$H$4:$H$39,MATCH(AL12,BOL!$B$4:$B$39,0))</f>
        <v>2060</v>
      </c>
      <c r="AQ12">
        <f>Invoices!F31</f>
        <v>2060</v>
      </c>
      <c r="AR12" t="str">
        <f>IF(COUNTIFS('Billing File'!$A$4:$A$12,AL12,'Billing File'!$G$4:$G$12,"4.5 weight",'Billing File'!$F$4:$F$12,"Yes")&gt;0,"Yes","No")</f>
        <v>No</v>
      </c>
      <c r="AS12">
        <f>IF(AND(AR12="Yes",AQ12&gt;AP12*(1+Terms!$B$6)),AQ12,AP12)</f>
        <v>2060</v>
      </c>
      <c r="AT12">
        <f>INDEX(Tariff!$L$4:$L$9,MATCH(AO12,Tariff!$K$4:$K$9,0))</f>
        <v>60</v>
      </c>
      <c r="AU12">
        <f>Invoices!G31</f>
        <v>60</v>
      </c>
      <c r="AV12" t="str">
        <f>IF(COUNTIFS('Billing File'!$A$4:$A$12,AL12,'Billing File'!$G$4:$G$12,"4.3 class",'Billing File'!$F$4:$F$12,"Yes")&gt;0,"Yes","No")</f>
        <v>No</v>
      </c>
      <c r="AW12">
        <f t="shared" si="10"/>
        <v>60</v>
      </c>
      <c r="AX12" s="9">
        <f>INDEX(Tariff!$I$4:$I$10,MATCH(AW12,Tariff!$H$4:$H$10,0))</f>
        <v>0.94</v>
      </c>
      <c r="AY12">
        <f>MATCH(AS12,Tariff!$B$12:$F$12,1)</f>
        <v>4</v>
      </c>
      <c r="AZ12" s="9">
        <f>INDEX(Tariff!$B$4:$F$10,MATCH(AN12,Tariff!$A$4:$A$10,0),AY12)</f>
        <v>49.95</v>
      </c>
      <c r="BA12" s="4">
        <f t="shared" si="11"/>
        <v>967.23</v>
      </c>
      <c r="BB12" s="4">
        <f>IF(AY12&lt;5,ROUND(INDEX(Tariff!$B$12:$F$12,AY12+1)/100*INDEX(Tariff!$B$4:$F$10,MATCH(AN12,Tariff!$A$4:$A$10,0),AY12+1)*AX12,2),BA12)</f>
        <v>1908.2</v>
      </c>
      <c r="BC12" s="4">
        <f t="shared" si="12"/>
        <v>967.23</v>
      </c>
      <c r="BD12" s="4">
        <f>MAX(ROUND(BC12*(1-Terms!$B$4),2),Terms!$B$5)</f>
        <v>367.55</v>
      </c>
      <c r="BE12" t="str">
        <f t="shared" si="13"/>
        <v>09/21/2026</v>
      </c>
      <c r="BF12" s="11">
        <f>INDEX('Fuel Index'!$C$4:$C$12,MATCH(BE12,'Fuel Index'!$A$4:$A$12,0))</f>
        <v>0.275</v>
      </c>
      <c r="BG12" s="4">
        <f t="shared" si="14"/>
        <v>101.08</v>
      </c>
      <c r="BH12" s="4">
        <f>(INDEX(BOL!$I$4:$I$39,MATCH(AL12,BOL!$B$4:$B$39,0))="Y")*Tariff!$O$4+(INDEX(BOL!$J$4:$J$39,MATCH(AL12,BOL!$B$4:$B$39,0))="Y")*Tariff!$O$5+(INDEX(BOL!$K$4:$K$39,MATCH(AL12,BOL!$B$4:$B$39,0))="Y")*Tariff!$O$6+(INDEX(BOL!$L$4:$L$39,MATCH(AL12,BOL!$B$4:$B$39,0))="Y")*Tariff!$O$7</f>
        <v>135</v>
      </c>
      <c r="BI12" s="4">
        <f>SUMIFS(Confirmations!$G$4:$G$5,Confirmations!$A$4:$A$5,AL12,Confirmations!$H$4:$H$5,"Yes")</f>
        <v>0</v>
      </c>
      <c r="BJ12" s="4">
        <f t="shared" si="15"/>
        <v>135</v>
      </c>
      <c r="BK12" t="str">
        <f>IF(COUNTIFS(Invoices!$B$4:$B$41,AL12,Invoices!$A$4:$A$41,"&lt;"&amp;AK12)&gt;0,"Yes","No")</f>
        <v>No</v>
      </c>
      <c r="BL12" s="4">
        <f t="shared" si="16"/>
        <v>603.63</v>
      </c>
      <c r="BM12" s="4">
        <f>Invoices!O31</f>
        <v>603.63</v>
      </c>
      <c r="BN12" s="4">
        <f t="shared" si="17"/>
        <v>0</v>
      </c>
      <c r="BO12" s="4">
        <f>Invoices!H31</f>
        <v>967.23</v>
      </c>
      <c r="BP12" s="11">
        <f>ROUND(Invoices!K31/Terms!$B$9,4)</f>
        <v>0.275</v>
      </c>
      <c r="BQ12" s="4">
        <f>Invoices!N31</f>
        <v>135</v>
      </c>
      <c r="BR12" t="str">
        <f t="shared" si="18"/>
        <v/>
      </c>
      <c r="BS12" t="str">
        <f t="shared" si="19"/>
        <v/>
      </c>
    </row>
    <row r="13" spans="1:71" x14ac:dyDescent="0.2">
      <c r="A13" t="str">
        <f>Invoices!A13</f>
        <v>NFL-90324</v>
      </c>
      <c r="B13">
        <f>Invoices!B13</f>
        <v>217733</v>
      </c>
      <c r="C13" t="str">
        <f>INDEX(BOL!$C$4:$C$39,MATCH(B13,BOL!$B$4:$B$39,0))</f>
        <v>09/14/2026</v>
      </c>
      <c r="D13" t="str">
        <f>INDEX(BOL!$E$4:$E$39,MATCH(B13,BOL!$B$4:$B$39,0))</f>
        <v>NE</v>
      </c>
      <c r="E13" t="str">
        <f>INDEX(BOL!$F$4:$F$39,MATCH(B13,BOL!$B$4:$B$39,0))</f>
        <v>Sealants and coatings</v>
      </c>
      <c r="F13">
        <f>INDEX(BOL!$H$4:$H$39,MATCH(B13,BOL!$B$4:$B$39,0))</f>
        <v>640</v>
      </c>
      <c r="G13">
        <f>Invoices!F13</f>
        <v>640</v>
      </c>
      <c r="H13" t="str">
        <f>IF(COUNTIFS('Billing File'!$A$4:$A$12,B13,'Billing File'!$G$4:$G$12,"4.5 weight",'Billing File'!$F$4:$F$12,"Yes")&gt;0,"Yes","No")</f>
        <v>No</v>
      </c>
      <c r="I13">
        <f>IF(AND(H13="Yes",G13&gt;F13*(1+Terms!$B$6)),G13,F13)</f>
        <v>640</v>
      </c>
      <c r="J13">
        <f>INDEX(Tariff!$L$4:$L$9,MATCH(E13,Tariff!$K$4:$K$9,0))</f>
        <v>85</v>
      </c>
      <c r="K13">
        <f>Invoices!G13</f>
        <v>85</v>
      </c>
      <c r="L13" t="str">
        <f>IF(COUNTIFS('Billing File'!$A$4:$A$12,B13,'Billing File'!$G$4:$G$12,"4.3 class",'Billing File'!$F$4:$F$12,"Yes")&gt;0,"Yes","No")</f>
        <v>No</v>
      </c>
      <c r="M13">
        <f t="shared" si="0"/>
        <v>85</v>
      </c>
      <c r="N13" s="9">
        <f>INDEX(Tariff!$I$4:$I$10,MATCH(M13,Tariff!$H$4:$H$10,0))</f>
        <v>1.15</v>
      </c>
      <c r="O13">
        <f>MATCH(I13,Tariff!$B$12:$F$12,1)</f>
        <v>2</v>
      </c>
      <c r="P13" s="9">
        <f>INDEX(Tariff!$B$4:$F$10,MATCH(D13,Tariff!$A$4:$A$10,0),O13)</f>
        <v>58.45</v>
      </c>
      <c r="Q13" s="4">
        <f t="shared" si="1"/>
        <v>430.19</v>
      </c>
      <c r="R13" s="4">
        <f>IF(O13&lt;5,ROUND(INDEX(Tariff!$B$12:$F$12,O13+1)/100*INDEX(Tariff!$B$4:$F$10,MATCH(D13,Tariff!$A$4:$A$10,0),O13+1)*N13,2),Q13)</f>
        <v>572.7</v>
      </c>
      <c r="S13" s="4">
        <f t="shared" si="2"/>
        <v>430.19</v>
      </c>
      <c r="T13" s="4">
        <f>MAX(ROUND(S13*(1-Terms!$B$4),2),Terms!$B$5)</f>
        <v>163.47</v>
      </c>
      <c r="U13" t="str">
        <f t="shared" si="3"/>
        <v>09/14/2026</v>
      </c>
      <c r="V13" s="11">
        <f>INDEX('Fuel Index'!$C$4:$C$12,MATCH(U13,'Fuel Index'!$A$4:$A$12,0))</f>
        <v>0.26</v>
      </c>
      <c r="W13" s="4">
        <f t="shared" si="4"/>
        <v>42.5</v>
      </c>
      <c r="X13" s="4">
        <f>(INDEX(BOL!$I$4:$I$39,MATCH(B13,BOL!$B$4:$B$39,0))="Y")*Tariff!$O$4+(INDEX(BOL!$J$4:$J$39,MATCH(B13,BOL!$B$4:$B$39,0))="Y")*Tariff!$O$5+(INDEX(BOL!$K$4:$K$39,MATCH(B13,BOL!$B$4:$B$39,0))="Y")*Tariff!$O$6+(INDEX(BOL!$L$4:$L$39,MATCH(B13,BOL!$B$4:$B$39,0))="Y")*Tariff!$O$7</f>
        <v>0</v>
      </c>
      <c r="Y13" s="4">
        <f>SUMIFS(Confirmations!$G$4:$G$5,Confirmations!$A$4:$A$5,B13,Confirmations!$H$4:$H$5,"Yes")</f>
        <v>110</v>
      </c>
      <c r="Z13" s="4">
        <f t="shared" si="5"/>
        <v>110</v>
      </c>
      <c r="AA13" t="str">
        <f>IF(COUNTIFS(Invoices!$B$4:$B$41,B13,Invoices!$A$4:$A$41,"&lt;"&amp;A13)&gt;0,"Yes","No")</f>
        <v>No</v>
      </c>
      <c r="AB13" s="4">
        <f t="shared" si="6"/>
        <v>315.97</v>
      </c>
      <c r="AC13" s="4">
        <f>Invoices!O13</f>
        <v>315.97</v>
      </c>
      <c r="AD13" s="4">
        <f t="shared" si="7"/>
        <v>0</v>
      </c>
      <c r="AE13" s="4">
        <f>Invoices!H13</f>
        <v>430.19</v>
      </c>
      <c r="AF13" s="11">
        <f>ROUND(Invoices!K13/Terms!$B$9,4)</f>
        <v>0.26</v>
      </c>
      <c r="AG13" s="4">
        <f>Invoices!N13</f>
        <v>110</v>
      </c>
      <c r="AH13" t="str">
        <f t="shared" si="8"/>
        <v/>
      </c>
      <c r="AI13" t="str">
        <f t="shared" si="9"/>
        <v>6.1 written confirmation</v>
      </c>
      <c r="AK13" t="str">
        <f>Invoices!A32</f>
        <v>NFL-90348</v>
      </c>
      <c r="AL13">
        <f>Invoices!B32</f>
        <v>217750</v>
      </c>
      <c r="AM13" t="str">
        <f>INDEX(BOL!$C$4:$C$39,MATCH(AL13,BOL!$B$4:$B$39,0))</f>
        <v>09/25/2026</v>
      </c>
      <c r="AN13" t="str">
        <f>INDEX(BOL!$E$4:$E$39,MATCH(AL13,BOL!$B$4:$B$39,0))</f>
        <v>MT</v>
      </c>
      <c r="AO13" t="str">
        <f>INDEX(BOL!$F$4:$F$39,MATCH(AL13,BOL!$B$4:$B$39,0))</f>
        <v>Gypsum and cement board</v>
      </c>
      <c r="AP13">
        <f>INDEX(BOL!$H$4:$H$39,MATCH(AL13,BOL!$B$4:$B$39,0))</f>
        <v>2980</v>
      </c>
      <c r="AQ13">
        <f>Invoices!F32</f>
        <v>2980</v>
      </c>
      <c r="AR13" t="str">
        <f>IF(COUNTIFS('Billing File'!$A$4:$A$12,AL13,'Billing File'!$G$4:$G$12,"4.5 weight",'Billing File'!$F$4:$F$12,"Yes")&gt;0,"Yes","No")</f>
        <v>No</v>
      </c>
      <c r="AS13">
        <f>IF(AND(AR13="Yes",AQ13&gt;AP13*(1+Terms!$B$6)),AQ13,AP13)</f>
        <v>2980</v>
      </c>
      <c r="AT13">
        <f>INDEX(Tariff!$L$4:$L$9,MATCH(AO13,Tariff!$K$4:$K$9,0))</f>
        <v>55</v>
      </c>
      <c r="AU13">
        <f>Invoices!G32</f>
        <v>55</v>
      </c>
      <c r="AV13" t="str">
        <f>IF(COUNTIFS('Billing File'!$A$4:$A$12,AL13,'Billing File'!$G$4:$G$12,"4.3 class",'Billing File'!$F$4:$F$12,"Yes")&gt;0,"Yes","No")</f>
        <v>No</v>
      </c>
      <c r="AW13">
        <f t="shared" si="10"/>
        <v>55</v>
      </c>
      <c r="AX13" s="9">
        <f>INDEX(Tariff!$I$4:$I$10,MATCH(AW13,Tariff!$H$4:$H$10,0))</f>
        <v>0.88</v>
      </c>
      <c r="AY13">
        <f>MATCH(AS13,Tariff!$B$12:$F$12,1)</f>
        <v>4</v>
      </c>
      <c r="AZ13" s="9">
        <f>INDEX(Tariff!$B$4:$F$10,MATCH(AN13,Tariff!$A$4:$A$10,0),AY13)</f>
        <v>49.95</v>
      </c>
      <c r="BA13" s="4">
        <f t="shared" si="11"/>
        <v>1309.89</v>
      </c>
      <c r="BB13" s="4">
        <f>IF(AY13&lt;5,ROUND(INDEX(Tariff!$B$12:$F$12,AY13+1)/100*INDEX(Tariff!$B$4:$F$10,MATCH(AN13,Tariff!$A$4:$A$10,0),AY13+1)*AX13,2),BA13)</f>
        <v>1786.4</v>
      </c>
      <c r="BC13" s="4">
        <f t="shared" si="12"/>
        <v>1309.89</v>
      </c>
      <c r="BD13" s="4">
        <f>MAX(ROUND(BC13*(1-Terms!$B$4),2),Terms!$B$5)</f>
        <v>497.76</v>
      </c>
      <c r="BE13" t="str">
        <f t="shared" si="13"/>
        <v>09/21/2026</v>
      </c>
      <c r="BF13" s="11">
        <f>INDEX('Fuel Index'!$C$4:$C$12,MATCH(BE13,'Fuel Index'!$A$4:$A$12,0))</f>
        <v>0.275</v>
      </c>
      <c r="BG13" s="4">
        <f t="shared" si="14"/>
        <v>136.88</v>
      </c>
      <c r="BH13" s="4">
        <f>(INDEX(BOL!$I$4:$I$39,MATCH(AL13,BOL!$B$4:$B$39,0))="Y")*Tariff!$O$4+(INDEX(BOL!$J$4:$J$39,MATCH(AL13,BOL!$B$4:$B$39,0))="Y")*Tariff!$O$5+(INDEX(BOL!$K$4:$K$39,MATCH(AL13,BOL!$B$4:$B$39,0))="Y")*Tariff!$O$6+(INDEX(BOL!$L$4:$L$39,MATCH(AL13,BOL!$B$4:$B$39,0))="Y")*Tariff!$O$7</f>
        <v>75</v>
      </c>
      <c r="BI13" s="4">
        <f>SUMIFS(Confirmations!$G$4:$G$5,Confirmations!$A$4:$A$5,AL13,Confirmations!$H$4:$H$5,"Yes")</f>
        <v>0</v>
      </c>
      <c r="BJ13" s="4">
        <f t="shared" si="15"/>
        <v>75</v>
      </c>
      <c r="BK13" t="str">
        <f>IF(COUNTIFS(Invoices!$B$4:$B$41,AL13,Invoices!$A$4:$A$41,"&lt;"&amp;AK13)&gt;0,"Yes","No")</f>
        <v>No</v>
      </c>
      <c r="BL13" s="4">
        <f t="shared" si="16"/>
        <v>709.64</v>
      </c>
      <c r="BM13" s="4">
        <f>Invoices!O32</f>
        <v>709.64</v>
      </c>
      <c r="BN13" s="4">
        <f t="shared" si="17"/>
        <v>0</v>
      </c>
      <c r="BO13" s="4">
        <f>Invoices!H32</f>
        <v>1309.89</v>
      </c>
      <c r="BP13" s="11">
        <f>ROUND(Invoices!K32/Terms!$B$9,4)</f>
        <v>0.275</v>
      </c>
      <c r="BQ13" s="4">
        <f>Invoices!N32</f>
        <v>75</v>
      </c>
      <c r="BR13" t="str">
        <f t="shared" si="18"/>
        <v/>
      </c>
      <c r="BS13" t="str">
        <f t="shared" si="19"/>
        <v/>
      </c>
    </row>
    <row r="14" spans="1:71" x14ac:dyDescent="0.2">
      <c r="A14" t="str">
        <f>Invoices!A14</f>
        <v>NFL-90326</v>
      </c>
      <c r="B14">
        <f>Invoices!B14</f>
        <v>217669</v>
      </c>
      <c r="C14" t="str">
        <f>INDEX(BOL!$C$4:$C$39,MATCH(B14,BOL!$B$4:$B$39,0))</f>
        <v>09/15/2026</v>
      </c>
      <c r="D14" t="str">
        <f>INDEX(BOL!$E$4:$E$39,MATCH(B14,BOL!$B$4:$B$39,0))</f>
        <v>MT</v>
      </c>
      <c r="E14" t="str">
        <f>INDEX(BOL!$F$4:$F$39,MATCH(B14,BOL!$B$4:$B$39,0))</f>
        <v>Metal roofing panels</v>
      </c>
      <c r="F14">
        <f>INDEX(BOL!$H$4:$H$39,MATCH(B14,BOL!$B$4:$B$39,0))</f>
        <v>5380</v>
      </c>
      <c r="G14">
        <f>Invoices!F14</f>
        <v>5380</v>
      </c>
      <c r="H14" t="str">
        <f>IF(COUNTIFS('Billing File'!$A$4:$A$12,B14,'Billing File'!$G$4:$G$12,"4.5 weight",'Billing File'!$F$4:$F$12,"Yes")&gt;0,"Yes","No")</f>
        <v>No</v>
      </c>
      <c r="I14">
        <f>IF(AND(H14="Yes",G14&gt;F14*(1+Terms!$B$6)),G14,F14)</f>
        <v>5380</v>
      </c>
      <c r="J14">
        <f>INDEX(Tariff!$L$4:$L$9,MATCH(E14,Tariff!$K$4:$K$9,0))</f>
        <v>70</v>
      </c>
      <c r="K14">
        <f>Invoices!G14</f>
        <v>70</v>
      </c>
      <c r="L14" t="str">
        <f>IF(COUNTIFS('Billing File'!$A$4:$A$12,B14,'Billing File'!$G$4:$G$12,"4.3 class",'Billing File'!$F$4:$F$12,"Yes")&gt;0,"Yes","No")</f>
        <v>No</v>
      </c>
      <c r="M14">
        <f t="shared" si="0"/>
        <v>70</v>
      </c>
      <c r="N14" s="9">
        <f>INDEX(Tariff!$I$4:$I$10,MATCH(M14,Tariff!$H$4:$H$10,0))</f>
        <v>1</v>
      </c>
      <c r="O14">
        <f>MATCH(I14,Tariff!$B$12:$F$12,1)</f>
        <v>5</v>
      </c>
      <c r="P14" s="9">
        <f>INDEX(Tariff!$B$4:$F$10,MATCH(D14,Tariff!$A$4:$A$10,0),O14)</f>
        <v>40.6</v>
      </c>
      <c r="Q14" s="4">
        <f t="shared" si="1"/>
        <v>2184.28</v>
      </c>
      <c r="R14" s="4">
        <f>IF(O14&lt;5,ROUND(INDEX(Tariff!$B$12:$F$12,O14+1)/100*INDEX(Tariff!$B$4:$F$10,MATCH(D14,Tariff!$A$4:$A$10,0),O14+1)*N14,2),Q14)</f>
        <v>2184.28</v>
      </c>
      <c r="S14" s="4">
        <f t="shared" si="2"/>
        <v>2184.28</v>
      </c>
      <c r="T14" s="4">
        <f>MAX(ROUND(S14*(1-Terms!$B$4),2),Terms!$B$5)</f>
        <v>830.03</v>
      </c>
      <c r="U14" t="str">
        <f t="shared" si="3"/>
        <v>09/14/2026</v>
      </c>
      <c r="V14" s="11">
        <f>INDEX('Fuel Index'!$C$4:$C$12,MATCH(U14,'Fuel Index'!$A$4:$A$12,0))</f>
        <v>0.26</v>
      </c>
      <c r="W14" s="4">
        <f t="shared" si="4"/>
        <v>215.81</v>
      </c>
      <c r="X14" s="4">
        <f>(INDEX(BOL!$I$4:$I$39,MATCH(B14,BOL!$B$4:$B$39,0))="Y")*Tariff!$O$4+(INDEX(BOL!$J$4:$J$39,MATCH(B14,BOL!$B$4:$B$39,0))="Y")*Tariff!$O$5+(INDEX(BOL!$K$4:$K$39,MATCH(B14,BOL!$B$4:$B$39,0))="Y")*Tariff!$O$6+(INDEX(BOL!$L$4:$L$39,MATCH(B14,BOL!$B$4:$B$39,0))="Y")*Tariff!$O$7</f>
        <v>0</v>
      </c>
      <c r="Y14" s="4">
        <f>SUMIFS(Confirmations!$G$4:$G$5,Confirmations!$A$4:$A$5,B14,Confirmations!$H$4:$H$5,"Yes")</f>
        <v>0</v>
      </c>
      <c r="Z14" s="4">
        <f t="shared" si="5"/>
        <v>0</v>
      </c>
      <c r="AA14" t="str">
        <f>IF(COUNTIFS(Invoices!$B$4:$B$41,B14,Invoices!$A$4:$A$41,"&lt;"&amp;A14)&gt;0,"Yes","No")</f>
        <v>No</v>
      </c>
      <c r="AB14" s="4">
        <f t="shared" si="6"/>
        <v>1045.84</v>
      </c>
      <c r="AC14" s="4">
        <f>Invoices!O14</f>
        <v>1045.84</v>
      </c>
      <c r="AD14" s="4">
        <f t="shared" si="7"/>
        <v>0</v>
      </c>
      <c r="AE14" s="4">
        <f>Invoices!H14</f>
        <v>2184.28</v>
      </c>
      <c r="AF14" s="11">
        <f>ROUND(Invoices!K14/Terms!$B$9,4)</f>
        <v>0.26</v>
      </c>
      <c r="AG14" s="4">
        <f>Invoices!N14</f>
        <v>0</v>
      </c>
      <c r="AH14" t="str">
        <f t="shared" si="8"/>
        <v/>
      </c>
      <c r="AI14" t="str">
        <f t="shared" si="9"/>
        <v/>
      </c>
      <c r="AK14" t="str">
        <f>Invoices!A33</f>
        <v>NFL-90349</v>
      </c>
      <c r="AL14">
        <f>Invoices!B33</f>
        <v>217883</v>
      </c>
      <c r="AM14" t="str">
        <f>INDEX(BOL!$C$4:$C$39,MATCH(AL14,BOL!$B$4:$B$39,0))</f>
        <v>09/18/2026</v>
      </c>
      <c r="AN14" t="str">
        <f>INDEX(BOL!$E$4:$E$39,MATCH(AL14,BOL!$B$4:$B$39,0))</f>
        <v>WI</v>
      </c>
      <c r="AO14" t="str">
        <f>INDEX(BOL!$F$4:$F$39,MATCH(AL14,BOL!$B$4:$B$39,0))</f>
        <v>Windows and doors</v>
      </c>
      <c r="AP14">
        <f>INDEX(BOL!$H$4:$H$39,MATCH(AL14,BOL!$B$4:$B$39,0))</f>
        <v>1010</v>
      </c>
      <c r="AQ14">
        <f>Invoices!F33</f>
        <v>1010</v>
      </c>
      <c r="AR14" t="str">
        <f>IF(COUNTIFS('Billing File'!$A$4:$A$12,AL14,'Billing File'!$G$4:$G$12,"4.5 weight",'Billing File'!$F$4:$F$12,"Yes")&gt;0,"Yes","No")</f>
        <v>No</v>
      </c>
      <c r="AS14">
        <f>IF(AND(AR14="Yes",AQ14&gt;AP14*(1+Terms!$B$6)),AQ14,AP14)</f>
        <v>1010</v>
      </c>
      <c r="AT14">
        <f>INDEX(Tariff!$L$4:$L$9,MATCH(AO14,Tariff!$K$4:$K$9,0))</f>
        <v>100</v>
      </c>
      <c r="AU14">
        <f>Invoices!G33</f>
        <v>100</v>
      </c>
      <c r="AV14" t="str">
        <f>IF(COUNTIFS('Billing File'!$A$4:$A$12,AL14,'Billing File'!$G$4:$G$12,"4.3 class",'Billing File'!$F$4:$F$12,"Yes")&gt;0,"Yes","No")</f>
        <v>No</v>
      </c>
      <c r="AW14">
        <f t="shared" si="10"/>
        <v>100</v>
      </c>
      <c r="AX14" s="9">
        <f>INDEX(Tariff!$I$4:$I$10,MATCH(AW14,Tariff!$H$4:$H$10,0))</f>
        <v>1.45</v>
      </c>
      <c r="AY14">
        <f>MATCH(AS14,Tariff!$B$12:$F$12,1)</f>
        <v>3</v>
      </c>
      <c r="AZ14" s="9">
        <f>INDEX(Tariff!$B$4:$F$10,MATCH(AN14,Tariff!$A$4:$A$10,0),AY14)</f>
        <v>50.3</v>
      </c>
      <c r="BA14" s="4">
        <f t="shared" si="11"/>
        <v>736.64</v>
      </c>
      <c r="BB14" s="4">
        <f>IF(AY14&lt;5,ROUND(INDEX(Tariff!$B$12:$F$12,AY14+1)/100*INDEX(Tariff!$B$4:$F$10,MATCH(AN14,Tariff!$A$4:$A$10,0),AY14+1)*AX14,2),BA14)</f>
        <v>1197.7</v>
      </c>
      <c r="BC14" s="4">
        <f t="shared" si="12"/>
        <v>736.64</v>
      </c>
      <c r="BD14" s="4">
        <f>MAX(ROUND(BC14*(1-Terms!$B$4),2),Terms!$B$5)</f>
        <v>279.92</v>
      </c>
      <c r="BE14" t="str">
        <f t="shared" si="13"/>
        <v>09/14/2026</v>
      </c>
      <c r="BF14" s="11">
        <f>INDEX('Fuel Index'!$C$4:$C$12,MATCH(BE14,'Fuel Index'!$A$4:$A$12,0))</f>
        <v>0.26</v>
      </c>
      <c r="BG14" s="4">
        <f t="shared" si="14"/>
        <v>72.78</v>
      </c>
      <c r="BH14" s="4">
        <f>(INDEX(BOL!$I$4:$I$39,MATCH(AL14,BOL!$B$4:$B$39,0))="Y")*Tariff!$O$4+(INDEX(BOL!$J$4:$J$39,MATCH(AL14,BOL!$B$4:$B$39,0))="Y")*Tariff!$O$5+(INDEX(BOL!$K$4:$K$39,MATCH(AL14,BOL!$B$4:$B$39,0))="Y")*Tariff!$O$6+(INDEX(BOL!$L$4:$L$39,MATCH(AL14,BOL!$B$4:$B$39,0))="Y")*Tariff!$O$7</f>
        <v>95</v>
      </c>
      <c r="BI14" s="4">
        <f>SUMIFS(Confirmations!$G$4:$G$5,Confirmations!$A$4:$A$5,AL14,Confirmations!$H$4:$H$5,"Yes")</f>
        <v>0</v>
      </c>
      <c r="BJ14" s="4">
        <f t="shared" si="15"/>
        <v>95</v>
      </c>
      <c r="BK14" t="str">
        <f>IF(COUNTIFS(Invoices!$B$4:$B$41,AL14,Invoices!$A$4:$A$41,"&lt;"&amp;AK14)&gt;0,"Yes","No")</f>
        <v>Yes</v>
      </c>
      <c r="BL14" s="4">
        <f t="shared" si="16"/>
        <v>0</v>
      </c>
      <c r="BM14" s="4">
        <f>Invoices!O33</f>
        <v>447.7</v>
      </c>
      <c r="BN14" s="4">
        <f t="shared" si="17"/>
        <v>447.7</v>
      </c>
      <c r="BO14" s="4">
        <f>Invoices!H33</f>
        <v>736.64</v>
      </c>
      <c r="BP14" s="11">
        <f>ROUND(Invoices!K33/Terms!$B$9,4)</f>
        <v>0.26</v>
      </c>
      <c r="BQ14" s="4">
        <f>Invoices!N33</f>
        <v>95</v>
      </c>
      <c r="BR14" t="str">
        <f t="shared" si="18"/>
        <v>7.1 duplicate bill</v>
      </c>
      <c r="BS14" t="str">
        <f t="shared" si="19"/>
        <v/>
      </c>
    </row>
    <row r="15" spans="1:71" x14ac:dyDescent="0.2">
      <c r="A15" t="str">
        <f>Invoices!A15</f>
        <v>NFL-90327</v>
      </c>
      <c r="B15">
        <f>Invoices!B15</f>
        <v>217649</v>
      </c>
      <c r="C15" t="str">
        <f>INDEX(BOL!$C$4:$C$39,MATCH(B15,BOL!$B$4:$B$39,0))</f>
        <v>09/14/2026</v>
      </c>
      <c r="D15" t="str">
        <f>INDEX(BOL!$E$4:$E$39,MATCH(B15,BOL!$B$4:$B$39,0))</f>
        <v>MN</v>
      </c>
      <c r="E15" t="str">
        <f>INDEX(BOL!$F$4:$F$39,MATCH(B15,BOL!$B$4:$B$39,0))</f>
        <v>Sealants and coatings</v>
      </c>
      <c r="F15">
        <f>INDEX(BOL!$H$4:$H$39,MATCH(B15,BOL!$B$4:$B$39,0))</f>
        <v>380</v>
      </c>
      <c r="G15">
        <f>Invoices!F15</f>
        <v>380</v>
      </c>
      <c r="H15" t="str">
        <f>IF(COUNTIFS('Billing File'!$A$4:$A$12,B15,'Billing File'!$G$4:$G$12,"4.5 weight",'Billing File'!$F$4:$F$12,"Yes")&gt;0,"Yes","No")</f>
        <v>No</v>
      </c>
      <c r="I15">
        <f>IF(AND(H15="Yes",G15&gt;F15*(1+Terms!$B$6)),G15,F15)</f>
        <v>380</v>
      </c>
      <c r="J15">
        <f>INDEX(Tariff!$L$4:$L$9,MATCH(E15,Tariff!$K$4:$K$9,0))</f>
        <v>85</v>
      </c>
      <c r="K15">
        <f>Invoices!G15</f>
        <v>85</v>
      </c>
      <c r="L15" t="str">
        <f>IF(COUNTIFS('Billing File'!$A$4:$A$12,B15,'Billing File'!$G$4:$G$12,"4.3 class",'Billing File'!$F$4:$F$12,"Yes")&gt;0,"Yes","No")</f>
        <v>No</v>
      </c>
      <c r="M15">
        <f t="shared" si="0"/>
        <v>85</v>
      </c>
      <c r="N15" s="9">
        <f>INDEX(Tariff!$I$4:$I$10,MATCH(M15,Tariff!$H$4:$H$10,0))</f>
        <v>1.15</v>
      </c>
      <c r="O15">
        <f>MATCH(I15,Tariff!$B$12:$F$12,1)</f>
        <v>1</v>
      </c>
      <c r="P15" s="9">
        <f>INDEX(Tariff!$B$4:$F$10,MATCH(D15,Tariff!$A$4:$A$10,0),O15)</f>
        <v>58.4</v>
      </c>
      <c r="Q15" s="4">
        <f t="shared" si="1"/>
        <v>255.21</v>
      </c>
      <c r="R15" s="4">
        <f>IF(O15&lt;5,ROUND(INDEX(Tariff!$B$12:$F$12,O15+1)/100*INDEX(Tariff!$B$4:$F$10,MATCH(D15,Tariff!$A$4:$A$10,0),O15+1)*N15,2),Q15)</f>
        <v>282.33</v>
      </c>
      <c r="S15" s="4">
        <f t="shared" si="2"/>
        <v>255.21</v>
      </c>
      <c r="T15" s="4">
        <f>MAX(ROUND(S15*(1-Terms!$B$4),2),Terms!$B$5)</f>
        <v>118.4</v>
      </c>
      <c r="U15" t="str">
        <f t="shared" si="3"/>
        <v>09/14/2026</v>
      </c>
      <c r="V15" s="11">
        <f>INDEX('Fuel Index'!$C$4:$C$12,MATCH(U15,'Fuel Index'!$A$4:$A$12,0))</f>
        <v>0.26</v>
      </c>
      <c r="W15" s="4">
        <f t="shared" si="4"/>
        <v>30.78</v>
      </c>
      <c r="X15" s="4">
        <f>(INDEX(BOL!$I$4:$I$39,MATCH(B15,BOL!$B$4:$B$39,0))="Y")*Tariff!$O$4+(INDEX(BOL!$J$4:$J$39,MATCH(B15,BOL!$B$4:$B$39,0))="Y")*Tariff!$O$5+(INDEX(BOL!$K$4:$K$39,MATCH(B15,BOL!$B$4:$B$39,0))="Y")*Tariff!$O$6+(INDEX(BOL!$L$4:$L$39,MATCH(B15,BOL!$B$4:$B$39,0))="Y")*Tariff!$O$7</f>
        <v>0</v>
      </c>
      <c r="Y15" s="4">
        <f>SUMIFS(Confirmations!$G$4:$G$5,Confirmations!$A$4:$A$5,B15,Confirmations!$H$4:$H$5,"Yes")</f>
        <v>0</v>
      </c>
      <c r="Z15" s="4">
        <f t="shared" si="5"/>
        <v>0</v>
      </c>
      <c r="AA15" t="str">
        <f>IF(COUNTIFS(Invoices!$B$4:$B$41,B15,Invoices!$A$4:$A$41,"&lt;"&amp;A15)&gt;0,"Yes","No")</f>
        <v>No</v>
      </c>
      <c r="AB15" s="4">
        <f t="shared" si="6"/>
        <v>149.18</v>
      </c>
      <c r="AC15" s="4">
        <f>Invoices!O15</f>
        <v>149.18</v>
      </c>
      <c r="AD15" s="4">
        <f t="shared" si="7"/>
        <v>0</v>
      </c>
      <c r="AE15" s="4">
        <f>Invoices!H15</f>
        <v>255.21</v>
      </c>
      <c r="AF15" s="11">
        <f>ROUND(Invoices!K15/Terms!$B$9,4)</f>
        <v>0.26</v>
      </c>
      <c r="AG15" s="4">
        <f>Invoices!N15</f>
        <v>0</v>
      </c>
      <c r="AH15" t="str">
        <f t="shared" si="8"/>
        <v/>
      </c>
      <c r="AI15" t="str">
        <f t="shared" si="9"/>
        <v/>
      </c>
      <c r="AK15" t="str">
        <f>Invoices!A34</f>
        <v>NFL-90350</v>
      </c>
      <c r="AL15">
        <f>Invoices!B34</f>
        <v>217687</v>
      </c>
      <c r="AM15" t="str">
        <f>INDEX(BOL!$C$4:$C$39,MATCH(AL15,BOL!$B$4:$B$39,0))</f>
        <v>09/28/2026</v>
      </c>
      <c r="AN15" t="str">
        <f>INDEX(BOL!$E$4:$E$39,MATCH(AL15,BOL!$B$4:$B$39,0))</f>
        <v>ND</v>
      </c>
      <c r="AO15" t="str">
        <f>INDEX(BOL!$F$4:$F$39,MATCH(AL15,BOL!$B$4:$B$39,0))</f>
        <v>Gypsum and cement board</v>
      </c>
      <c r="AP15">
        <f>INDEX(BOL!$H$4:$H$39,MATCH(AL15,BOL!$B$4:$B$39,0))</f>
        <v>460</v>
      </c>
      <c r="AQ15">
        <f>Invoices!F34</f>
        <v>460</v>
      </c>
      <c r="AR15" t="str">
        <f>IF(COUNTIFS('Billing File'!$A$4:$A$12,AL15,'Billing File'!$G$4:$G$12,"4.5 weight",'Billing File'!$F$4:$F$12,"Yes")&gt;0,"Yes","No")</f>
        <v>No</v>
      </c>
      <c r="AS15">
        <f>IF(AND(AR15="Yes",AQ15&gt;AP15*(1+Terms!$B$6)),AQ15,AP15)</f>
        <v>460</v>
      </c>
      <c r="AT15">
        <f>INDEX(Tariff!$L$4:$L$9,MATCH(AO15,Tariff!$K$4:$K$9,0))</f>
        <v>55</v>
      </c>
      <c r="AU15">
        <f>Invoices!G34</f>
        <v>55</v>
      </c>
      <c r="AV15" t="str">
        <f>IF(COUNTIFS('Billing File'!$A$4:$A$12,AL15,'Billing File'!$G$4:$G$12,"4.3 class",'Billing File'!$F$4:$F$12,"Yes")&gt;0,"Yes","No")</f>
        <v>No</v>
      </c>
      <c r="AW15">
        <f t="shared" si="10"/>
        <v>55</v>
      </c>
      <c r="AX15" s="9">
        <f>INDEX(Tariff!$I$4:$I$10,MATCH(AW15,Tariff!$H$4:$H$10,0))</f>
        <v>0.88</v>
      </c>
      <c r="AY15">
        <f>MATCH(AS15,Tariff!$B$12:$F$12,1)</f>
        <v>1</v>
      </c>
      <c r="AZ15" s="9">
        <f>INDEX(Tariff!$B$4:$F$10,MATCH(AN15,Tariff!$A$4:$A$10,0),AY15)</f>
        <v>44.9</v>
      </c>
      <c r="BA15" s="4">
        <f t="shared" si="11"/>
        <v>181.76</v>
      </c>
      <c r="BB15" s="4">
        <f>IF(AY15&lt;5,ROUND(INDEX(Tariff!$B$12:$F$12,AY15+1)/100*INDEX(Tariff!$B$4:$F$10,MATCH(AN15,Tariff!$A$4:$A$10,0),AY15+1)*AX15,2),BA15)</f>
        <v>166.32</v>
      </c>
      <c r="BC15" s="4">
        <f t="shared" si="12"/>
        <v>166.32</v>
      </c>
      <c r="BD15" s="4">
        <f>MAX(ROUND(BC15*(1-Terms!$B$4),2),Terms!$B$5)</f>
        <v>118.4</v>
      </c>
      <c r="BE15" t="str">
        <f t="shared" si="13"/>
        <v>09/28/2026</v>
      </c>
      <c r="BF15" s="11">
        <f>INDEX('Fuel Index'!$C$4:$C$12,MATCH(BE15,'Fuel Index'!$A$4:$A$12,0))</f>
        <v>0.27</v>
      </c>
      <c r="BG15" s="4">
        <f t="shared" si="14"/>
        <v>31.97</v>
      </c>
      <c r="BH15" s="4">
        <f>(INDEX(BOL!$I$4:$I$39,MATCH(AL15,BOL!$B$4:$B$39,0))="Y")*Tariff!$O$4+(INDEX(BOL!$J$4:$J$39,MATCH(AL15,BOL!$B$4:$B$39,0))="Y")*Tariff!$O$5+(INDEX(BOL!$K$4:$K$39,MATCH(AL15,BOL!$B$4:$B$39,0))="Y")*Tariff!$O$6+(INDEX(BOL!$L$4:$L$39,MATCH(AL15,BOL!$B$4:$B$39,0))="Y")*Tariff!$O$7</f>
        <v>0</v>
      </c>
      <c r="BI15" s="4">
        <f>SUMIFS(Confirmations!$G$4:$G$5,Confirmations!$A$4:$A$5,AL15,Confirmations!$H$4:$H$5,"Yes")</f>
        <v>0</v>
      </c>
      <c r="BJ15" s="4">
        <f t="shared" si="15"/>
        <v>0</v>
      </c>
      <c r="BK15" t="str">
        <f>IF(COUNTIFS(Invoices!$B$4:$B$41,AL15,Invoices!$A$4:$A$41,"&lt;"&amp;AK15)&gt;0,"Yes","No")</f>
        <v>No</v>
      </c>
      <c r="BL15" s="4">
        <f t="shared" si="16"/>
        <v>150.37</v>
      </c>
      <c r="BM15" s="4">
        <f>Invoices!O34</f>
        <v>150.37</v>
      </c>
      <c r="BN15" s="4">
        <f t="shared" si="17"/>
        <v>0</v>
      </c>
      <c r="BO15" s="4">
        <f>Invoices!H34</f>
        <v>166.32</v>
      </c>
      <c r="BP15" s="11">
        <f>ROUND(Invoices!K34/Terms!$B$9,4)</f>
        <v>0.27</v>
      </c>
      <c r="BQ15" s="4">
        <f>Invoices!N34</f>
        <v>0</v>
      </c>
      <c r="BR15" t="str">
        <f t="shared" si="18"/>
        <v/>
      </c>
      <c r="BS15" t="str">
        <f t="shared" si="19"/>
        <v/>
      </c>
    </row>
    <row r="16" spans="1:71" x14ac:dyDescent="0.2">
      <c r="A16" t="str">
        <f>Invoices!A16</f>
        <v>NFL-90328</v>
      </c>
      <c r="B16">
        <f>Invoices!B16</f>
        <v>217792</v>
      </c>
      <c r="C16" t="str">
        <f>INDEX(BOL!$C$4:$C$39,MATCH(B16,BOL!$B$4:$B$39,0))</f>
        <v>09/14/2026</v>
      </c>
      <c r="D16" t="str">
        <f>INDEX(BOL!$E$4:$E$39,MATCH(B16,BOL!$B$4:$B$39,0))</f>
        <v>NE</v>
      </c>
      <c r="E16" t="str">
        <f>INDEX(BOL!$F$4:$F$39,MATCH(B16,BOL!$B$4:$B$39,0))</f>
        <v>Gypsum and cement board</v>
      </c>
      <c r="F16">
        <f>INDEX(BOL!$H$4:$H$39,MATCH(B16,BOL!$B$4:$B$39,0))</f>
        <v>680</v>
      </c>
      <c r="G16">
        <f>Invoices!F16</f>
        <v>680</v>
      </c>
      <c r="H16" t="str">
        <f>IF(COUNTIFS('Billing File'!$A$4:$A$12,B16,'Billing File'!$G$4:$G$12,"4.5 weight",'Billing File'!$F$4:$F$12,"Yes")&gt;0,"Yes","No")</f>
        <v>No</v>
      </c>
      <c r="I16">
        <f>IF(AND(H16="Yes",G16&gt;F16*(1+Terms!$B$6)),G16,F16)</f>
        <v>680</v>
      </c>
      <c r="J16">
        <f>INDEX(Tariff!$L$4:$L$9,MATCH(E16,Tariff!$K$4:$K$9,0))</f>
        <v>55</v>
      </c>
      <c r="K16">
        <f>Invoices!G16</f>
        <v>70</v>
      </c>
      <c r="L16" t="str">
        <f>IF(COUNTIFS('Billing File'!$A$4:$A$12,B16,'Billing File'!$G$4:$G$12,"4.3 class",'Billing File'!$F$4:$F$12,"Yes")&gt;0,"Yes","No")</f>
        <v>Yes</v>
      </c>
      <c r="M16">
        <f t="shared" si="0"/>
        <v>70</v>
      </c>
      <c r="N16" s="9">
        <f>INDEX(Tariff!$I$4:$I$10,MATCH(M16,Tariff!$H$4:$H$10,0))</f>
        <v>1</v>
      </c>
      <c r="O16">
        <f>MATCH(I16,Tariff!$B$12:$F$12,1)</f>
        <v>2</v>
      </c>
      <c r="P16" s="9">
        <f>INDEX(Tariff!$B$4:$F$10,MATCH(D16,Tariff!$A$4:$A$10,0),O16)</f>
        <v>58.45</v>
      </c>
      <c r="Q16" s="4">
        <f t="shared" si="1"/>
        <v>397.46</v>
      </c>
      <c r="R16" s="4">
        <f>IF(O16&lt;5,ROUND(INDEX(Tariff!$B$12:$F$12,O16+1)/100*INDEX(Tariff!$B$4:$F$10,MATCH(D16,Tariff!$A$4:$A$10,0),O16+1)*N16,2),Q16)</f>
        <v>498</v>
      </c>
      <c r="S16" s="4">
        <f t="shared" si="2"/>
        <v>397.46</v>
      </c>
      <c r="T16" s="4">
        <f>MAX(ROUND(S16*(1-Terms!$B$4),2),Terms!$B$5)</f>
        <v>151.03</v>
      </c>
      <c r="U16" t="str">
        <f t="shared" si="3"/>
        <v>09/14/2026</v>
      </c>
      <c r="V16" s="11">
        <f>INDEX('Fuel Index'!$C$4:$C$12,MATCH(U16,'Fuel Index'!$A$4:$A$12,0))</f>
        <v>0.26</v>
      </c>
      <c r="W16" s="4">
        <f t="shared" si="4"/>
        <v>39.27</v>
      </c>
      <c r="X16" s="4">
        <f>(INDEX(BOL!$I$4:$I$39,MATCH(B16,BOL!$B$4:$B$39,0))="Y")*Tariff!$O$4+(INDEX(BOL!$J$4:$J$39,MATCH(B16,BOL!$B$4:$B$39,0))="Y")*Tariff!$O$5+(INDEX(BOL!$K$4:$K$39,MATCH(B16,BOL!$B$4:$B$39,0))="Y")*Tariff!$O$6+(INDEX(BOL!$L$4:$L$39,MATCH(B16,BOL!$B$4:$B$39,0))="Y")*Tariff!$O$7</f>
        <v>0</v>
      </c>
      <c r="Y16" s="4">
        <f>SUMIFS(Confirmations!$G$4:$G$5,Confirmations!$A$4:$A$5,B16,Confirmations!$H$4:$H$5,"Yes")</f>
        <v>0</v>
      </c>
      <c r="Z16" s="4">
        <f t="shared" si="5"/>
        <v>0</v>
      </c>
      <c r="AA16" t="str">
        <f>IF(COUNTIFS(Invoices!$B$4:$B$41,B16,Invoices!$A$4:$A$41,"&lt;"&amp;A16)&gt;0,"Yes","No")</f>
        <v>No</v>
      </c>
      <c r="AB16" s="4">
        <f t="shared" si="6"/>
        <v>190.3</v>
      </c>
      <c r="AC16" s="4">
        <f>Invoices!O16</f>
        <v>190.3</v>
      </c>
      <c r="AD16" s="4">
        <f t="shared" si="7"/>
        <v>0</v>
      </c>
      <c r="AE16" s="4">
        <f>Invoices!H16</f>
        <v>397.46</v>
      </c>
      <c r="AF16" s="11">
        <f>ROUND(Invoices!K16/Terms!$B$9,4)</f>
        <v>0.26</v>
      </c>
      <c r="AG16" s="4">
        <f>Invoices!N16</f>
        <v>0</v>
      </c>
      <c r="AH16" t="str">
        <f t="shared" si="8"/>
        <v/>
      </c>
      <c r="AI16" t="str">
        <f t="shared" si="9"/>
        <v>4.3 inspection certificate</v>
      </c>
      <c r="AK16" t="str">
        <f>Invoices!A35</f>
        <v>NFL-90351</v>
      </c>
      <c r="AL16">
        <f>Invoices!B35</f>
        <v>217820</v>
      </c>
      <c r="AM16" t="str">
        <f>INDEX(BOL!$C$4:$C$39,MATCH(AL16,BOL!$B$4:$B$39,0))</f>
        <v>09/28/2026</v>
      </c>
      <c r="AN16" t="str">
        <f>INDEX(BOL!$E$4:$E$39,MATCH(AL16,BOL!$B$4:$B$39,0))</f>
        <v>IA</v>
      </c>
      <c r="AO16" t="str">
        <f>INDEX(BOL!$F$4:$F$39,MATCH(AL16,BOL!$B$4:$B$39,0))</f>
        <v>Metal roofing panels</v>
      </c>
      <c r="AP16">
        <f>INDEX(BOL!$H$4:$H$39,MATCH(AL16,BOL!$B$4:$B$39,0))</f>
        <v>1310</v>
      </c>
      <c r="AQ16">
        <f>Invoices!F35</f>
        <v>1620</v>
      </c>
      <c r="AR16" t="str">
        <f>IF(COUNTIFS('Billing File'!$A$4:$A$12,AL16,'Billing File'!$G$4:$G$12,"4.5 weight",'Billing File'!$F$4:$F$12,"Yes")&gt;0,"Yes","No")</f>
        <v>No</v>
      </c>
      <c r="AS16">
        <f>IF(AND(AR16="Yes",AQ16&gt;AP16*(1+Terms!$B$6)),AQ16,AP16)</f>
        <v>1310</v>
      </c>
      <c r="AT16">
        <f>INDEX(Tariff!$L$4:$L$9,MATCH(AO16,Tariff!$K$4:$K$9,0))</f>
        <v>70</v>
      </c>
      <c r="AU16">
        <f>Invoices!G35</f>
        <v>70</v>
      </c>
      <c r="AV16" t="str">
        <f>IF(COUNTIFS('Billing File'!$A$4:$A$12,AL16,'Billing File'!$G$4:$G$12,"4.3 class",'Billing File'!$F$4:$F$12,"Yes")&gt;0,"Yes","No")</f>
        <v>No</v>
      </c>
      <c r="AW16">
        <f t="shared" si="10"/>
        <v>70</v>
      </c>
      <c r="AX16" s="9">
        <f>INDEX(Tariff!$I$4:$I$10,MATCH(AW16,Tariff!$H$4:$H$10,0))</f>
        <v>1</v>
      </c>
      <c r="AY16">
        <f>MATCH(AS16,Tariff!$B$12:$F$12,1)</f>
        <v>3</v>
      </c>
      <c r="AZ16" s="9">
        <f>INDEX(Tariff!$B$4:$F$10,MATCH(AN16,Tariff!$A$4:$A$10,0),AY16)</f>
        <v>47.6</v>
      </c>
      <c r="BA16" s="4">
        <f t="shared" si="11"/>
        <v>623.56</v>
      </c>
      <c r="BB16" s="4">
        <f>IF(AY16&lt;5,ROUND(INDEX(Tariff!$B$12:$F$12,AY16+1)/100*INDEX(Tariff!$B$4:$F$10,MATCH(AN16,Tariff!$A$4:$A$10,0),AY16+1)*AX16,2),BA16)</f>
        <v>782</v>
      </c>
      <c r="BC16" s="4">
        <f t="shared" si="12"/>
        <v>623.56</v>
      </c>
      <c r="BD16" s="4">
        <f>MAX(ROUND(BC16*(1-Terms!$B$4),2),Terms!$B$5)</f>
        <v>236.95</v>
      </c>
      <c r="BE16" t="str">
        <f t="shared" si="13"/>
        <v>09/28/2026</v>
      </c>
      <c r="BF16" s="11">
        <f>INDEX('Fuel Index'!$C$4:$C$12,MATCH(BE16,'Fuel Index'!$A$4:$A$12,0))</f>
        <v>0.27</v>
      </c>
      <c r="BG16" s="4">
        <f t="shared" si="14"/>
        <v>63.98</v>
      </c>
      <c r="BH16" s="4">
        <f>(INDEX(BOL!$I$4:$I$39,MATCH(AL16,BOL!$B$4:$B$39,0))="Y")*Tariff!$O$4+(INDEX(BOL!$J$4:$J$39,MATCH(AL16,BOL!$B$4:$B$39,0))="Y")*Tariff!$O$5+(INDEX(BOL!$K$4:$K$39,MATCH(AL16,BOL!$B$4:$B$39,0))="Y")*Tariff!$O$6+(INDEX(BOL!$L$4:$L$39,MATCH(AL16,BOL!$B$4:$B$39,0))="Y")*Tariff!$O$7</f>
        <v>0</v>
      </c>
      <c r="BI16" s="4">
        <f>SUMIFS(Confirmations!$G$4:$G$5,Confirmations!$A$4:$A$5,AL16,Confirmations!$H$4:$H$5,"Yes")</f>
        <v>0</v>
      </c>
      <c r="BJ16" s="4">
        <f t="shared" si="15"/>
        <v>0</v>
      </c>
      <c r="BK16" t="str">
        <f>IF(COUNTIFS(Invoices!$B$4:$B$41,AL16,Invoices!$A$4:$A$41,"&lt;"&amp;AK16)&gt;0,"Yes","No")</f>
        <v>No</v>
      </c>
      <c r="BL16" s="4">
        <f t="shared" si="16"/>
        <v>300.93</v>
      </c>
      <c r="BM16" s="4">
        <f>Invoices!O35</f>
        <v>372.15</v>
      </c>
      <c r="BN16" s="4">
        <f t="shared" si="17"/>
        <v>71.22</v>
      </c>
      <c r="BO16" s="4">
        <f>Invoices!H35</f>
        <v>771.12</v>
      </c>
      <c r="BP16" s="11">
        <f>ROUND(Invoices!K35/Terms!$B$9,4)</f>
        <v>0.27</v>
      </c>
      <c r="BQ16" s="4">
        <f>Invoices!N35</f>
        <v>0</v>
      </c>
      <c r="BR16" t="str">
        <f t="shared" si="18"/>
        <v>4.5 reweigh</v>
      </c>
      <c r="BS16" t="str">
        <f t="shared" si="19"/>
        <v/>
      </c>
    </row>
    <row r="17" spans="1:71" x14ac:dyDescent="0.2">
      <c r="A17" t="str">
        <f>Invoices!A17</f>
        <v>NFL-90330</v>
      </c>
      <c r="B17">
        <f>Invoices!B17</f>
        <v>217861</v>
      </c>
      <c r="C17" t="str">
        <f>INDEX(BOL!$C$4:$C$39,MATCH(B17,BOL!$B$4:$B$39,0))</f>
        <v>09/14/2026</v>
      </c>
      <c r="D17" t="str">
        <f>INDEX(BOL!$E$4:$E$39,MATCH(B17,BOL!$B$4:$B$39,0))</f>
        <v>MN</v>
      </c>
      <c r="E17" t="str">
        <f>INDEX(BOL!$F$4:$F$39,MATCH(B17,BOL!$B$4:$B$39,0))</f>
        <v>Vinyl siding</v>
      </c>
      <c r="F17">
        <f>INDEX(BOL!$H$4:$H$39,MATCH(B17,BOL!$B$4:$B$39,0))</f>
        <v>770</v>
      </c>
      <c r="G17">
        <f>Invoices!F17</f>
        <v>770</v>
      </c>
      <c r="H17" t="str">
        <f>IF(COUNTIFS('Billing File'!$A$4:$A$12,B17,'Billing File'!$G$4:$G$12,"4.5 weight",'Billing File'!$F$4:$F$12,"Yes")&gt;0,"Yes","No")</f>
        <v>No</v>
      </c>
      <c r="I17">
        <f>IF(AND(H17="Yes",G17&gt;F17*(1+Terms!$B$6)),G17,F17)</f>
        <v>770</v>
      </c>
      <c r="J17">
        <f>INDEX(Tariff!$L$4:$L$9,MATCH(E17,Tariff!$K$4:$K$9,0))</f>
        <v>92.5</v>
      </c>
      <c r="K17">
        <f>Invoices!G17</f>
        <v>92.5</v>
      </c>
      <c r="L17" t="str">
        <f>IF(COUNTIFS('Billing File'!$A$4:$A$12,B17,'Billing File'!$G$4:$G$12,"4.3 class",'Billing File'!$F$4:$F$12,"Yes")&gt;0,"Yes","No")</f>
        <v>No</v>
      </c>
      <c r="M17">
        <f t="shared" si="0"/>
        <v>92.5</v>
      </c>
      <c r="N17" s="9">
        <f>INDEX(Tariff!$I$4:$I$10,MATCH(M17,Tariff!$H$4:$H$10,0))</f>
        <v>1.3</v>
      </c>
      <c r="O17">
        <f>MATCH(I17,Tariff!$B$12:$F$12,1)</f>
        <v>2</v>
      </c>
      <c r="P17" s="9">
        <f>INDEX(Tariff!$B$4:$F$10,MATCH(D17,Tariff!$A$4:$A$10,0),O17)</f>
        <v>49.1</v>
      </c>
      <c r="Q17" s="4">
        <f t="shared" si="1"/>
        <v>491.49</v>
      </c>
      <c r="R17" s="4">
        <f>IF(O17&lt;5,ROUND(INDEX(Tariff!$B$12:$F$12,O17+1)/100*INDEX(Tariff!$B$4:$F$10,MATCH(D17,Tariff!$A$4:$A$10,0),O17+1)*N17,2),Q17)</f>
        <v>542.75</v>
      </c>
      <c r="S17" s="4">
        <f t="shared" si="2"/>
        <v>491.49</v>
      </c>
      <c r="T17" s="4">
        <f>MAX(ROUND(S17*(1-Terms!$B$4),2),Terms!$B$5)</f>
        <v>186.77</v>
      </c>
      <c r="U17" t="str">
        <f t="shared" si="3"/>
        <v>09/14/2026</v>
      </c>
      <c r="V17" s="11">
        <f>INDEX('Fuel Index'!$C$4:$C$12,MATCH(U17,'Fuel Index'!$A$4:$A$12,0))</f>
        <v>0.26</v>
      </c>
      <c r="W17" s="4">
        <f t="shared" si="4"/>
        <v>48.56</v>
      </c>
      <c r="X17" s="4">
        <f>(INDEX(BOL!$I$4:$I$39,MATCH(B17,BOL!$B$4:$B$39,0))="Y")*Tariff!$O$4+(INDEX(BOL!$J$4:$J$39,MATCH(B17,BOL!$B$4:$B$39,0))="Y")*Tariff!$O$5+(INDEX(BOL!$K$4:$K$39,MATCH(B17,BOL!$B$4:$B$39,0))="Y")*Tariff!$O$6+(INDEX(BOL!$L$4:$L$39,MATCH(B17,BOL!$B$4:$B$39,0))="Y")*Tariff!$O$7</f>
        <v>0</v>
      </c>
      <c r="Y17" s="4">
        <f>SUMIFS(Confirmations!$G$4:$G$5,Confirmations!$A$4:$A$5,B17,Confirmations!$H$4:$H$5,"Yes")</f>
        <v>75</v>
      </c>
      <c r="Z17" s="4">
        <f t="shared" si="5"/>
        <v>75</v>
      </c>
      <c r="AA17" t="str">
        <f>IF(COUNTIFS(Invoices!$B$4:$B$41,B17,Invoices!$A$4:$A$41,"&lt;"&amp;A17)&gt;0,"Yes","No")</f>
        <v>No</v>
      </c>
      <c r="AB17" s="4">
        <f t="shared" si="6"/>
        <v>310.33</v>
      </c>
      <c r="AC17" s="4">
        <f>Invoices!O17</f>
        <v>310.33</v>
      </c>
      <c r="AD17" s="4">
        <f t="shared" si="7"/>
        <v>0</v>
      </c>
      <c r="AE17" s="4">
        <f>Invoices!H17</f>
        <v>491.49</v>
      </c>
      <c r="AF17" s="11">
        <f>ROUND(Invoices!K17/Terms!$B$9,4)</f>
        <v>0.26</v>
      </c>
      <c r="AG17" s="4">
        <f>Invoices!N17</f>
        <v>75</v>
      </c>
      <c r="AH17" t="str">
        <f t="shared" si="8"/>
        <v/>
      </c>
      <c r="AI17" t="str">
        <f t="shared" si="9"/>
        <v>6.1 written confirmation</v>
      </c>
      <c r="AK17" t="str">
        <f>Invoices!A36</f>
        <v>NFL-90353</v>
      </c>
      <c r="AL17">
        <f>Invoices!B36</f>
        <v>217654</v>
      </c>
      <c r="AM17" t="str">
        <f>INDEX(BOL!$C$4:$C$39,MATCH(AL17,BOL!$B$4:$B$39,0))</f>
        <v>09/29/2026</v>
      </c>
      <c r="AN17" t="str">
        <f>INDEX(BOL!$E$4:$E$39,MATCH(AL17,BOL!$B$4:$B$39,0))</f>
        <v>IA</v>
      </c>
      <c r="AO17" t="str">
        <f>INDEX(BOL!$F$4:$F$39,MATCH(AL17,BOL!$B$4:$B$39,0))</f>
        <v>Windows and doors</v>
      </c>
      <c r="AP17">
        <f>INDEX(BOL!$H$4:$H$39,MATCH(AL17,BOL!$B$4:$B$39,0))</f>
        <v>2650</v>
      </c>
      <c r="AQ17">
        <f>Invoices!F36</f>
        <v>2650</v>
      </c>
      <c r="AR17" t="str">
        <f>IF(COUNTIFS('Billing File'!$A$4:$A$12,AL17,'Billing File'!$G$4:$G$12,"4.5 weight",'Billing File'!$F$4:$F$12,"Yes")&gt;0,"Yes","No")</f>
        <v>No</v>
      </c>
      <c r="AS17">
        <f>IF(AND(AR17="Yes",AQ17&gt;AP17*(1+Terms!$B$6)),AQ17,AP17)</f>
        <v>2650</v>
      </c>
      <c r="AT17">
        <f>INDEX(Tariff!$L$4:$L$9,MATCH(AO17,Tariff!$K$4:$K$9,0))</f>
        <v>100</v>
      </c>
      <c r="AU17">
        <f>Invoices!G36</f>
        <v>100</v>
      </c>
      <c r="AV17" t="str">
        <f>IF(COUNTIFS('Billing File'!$A$4:$A$12,AL17,'Billing File'!$G$4:$G$12,"4.3 class",'Billing File'!$F$4:$F$12,"Yes")&gt;0,"Yes","No")</f>
        <v>No</v>
      </c>
      <c r="AW17">
        <f t="shared" si="10"/>
        <v>100</v>
      </c>
      <c r="AX17" s="9">
        <f>INDEX(Tariff!$I$4:$I$10,MATCH(AW17,Tariff!$H$4:$H$10,0))</f>
        <v>1.45</v>
      </c>
      <c r="AY17">
        <f>MATCH(AS17,Tariff!$B$12:$F$12,1)</f>
        <v>4</v>
      </c>
      <c r="AZ17" s="9">
        <f>INDEX(Tariff!$B$4:$F$10,MATCH(AN17,Tariff!$A$4:$A$10,0),AY17)</f>
        <v>39.1</v>
      </c>
      <c r="BA17" s="4">
        <f t="shared" si="11"/>
        <v>1502.42</v>
      </c>
      <c r="BB17" s="4">
        <f>IF(AY17&lt;5,ROUND(INDEX(Tariff!$B$12:$F$12,AY17+1)/100*INDEX(Tariff!$B$4:$F$10,MATCH(AN17,Tariff!$A$4:$A$10,0),AY17+1)*AX17,2),BA17)</f>
        <v>2309.13</v>
      </c>
      <c r="BC17" s="4">
        <f t="shared" si="12"/>
        <v>1502.42</v>
      </c>
      <c r="BD17" s="4">
        <f>MAX(ROUND(BC17*(1-Terms!$B$4),2),Terms!$B$5)</f>
        <v>570.92</v>
      </c>
      <c r="BE17" t="str">
        <f t="shared" si="13"/>
        <v>09/28/2026</v>
      </c>
      <c r="BF17" s="11">
        <f>INDEX('Fuel Index'!$C$4:$C$12,MATCH(BE17,'Fuel Index'!$A$4:$A$12,0))</f>
        <v>0.27</v>
      </c>
      <c r="BG17" s="4">
        <f t="shared" si="14"/>
        <v>154.15</v>
      </c>
      <c r="BH17" s="4">
        <f>(INDEX(BOL!$I$4:$I$39,MATCH(AL17,BOL!$B$4:$B$39,0))="Y")*Tariff!$O$4+(INDEX(BOL!$J$4:$J$39,MATCH(AL17,BOL!$B$4:$B$39,0))="Y")*Tariff!$O$5+(INDEX(BOL!$K$4:$K$39,MATCH(AL17,BOL!$B$4:$B$39,0))="Y")*Tariff!$O$6+(INDEX(BOL!$L$4:$L$39,MATCH(AL17,BOL!$B$4:$B$39,0))="Y")*Tariff!$O$7</f>
        <v>0</v>
      </c>
      <c r="BI17" s="4">
        <f>SUMIFS(Confirmations!$G$4:$G$5,Confirmations!$A$4:$A$5,AL17,Confirmations!$H$4:$H$5,"Yes")</f>
        <v>0</v>
      </c>
      <c r="BJ17" s="4">
        <f t="shared" si="15"/>
        <v>0</v>
      </c>
      <c r="BK17" t="str">
        <f>IF(COUNTIFS(Invoices!$B$4:$B$41,AL17,Invoices!$A$4:$A$41,"&lt;"&amp;AK17)&gt;0,"Yes","No")</f>
        <v>No</v>
      </c>
      <c r="BL17" s="4">
        <f t="shared" si="16"/>
        <v>725.07</v>
      </c>
      <c r="BM17" s="4">
        <f>Invoices!O36</f>
        <v>725.07</v>
      </c>
      <c r="BN17" s="4">
        <f t="shared" si="17"/>
        <v>0</v>
      </c>
      <c r="BO17" s="4">
        <f>Invoices!H36</f>
        <v>1502.42</v>
      </c>
      <c r="BP17" s="11">
        <f>ROUND(Invoices!K36/Terms!$B$9,4)</f>
        <v>0.27</v>
      </c>
      <c r="BQ17" s="4">
        <f>Invoices!N36</f>
        <v>0</v>
      </c>
      <c r="BR17" t="str">
        <f t="shared" si="18"/>
        <v/>
      </c>
      <c r="BS17" t="str">
        <f t="shared" si="19"/>
        <v/>
      </c>
    </row>
    <row r="18" spans="1:71" x14ac:dyDescent="0.2">
      <c r="A18" t="str">
        <f>Invoices!A18</f>
        <v>NFL-90332</v>
      </c>
      <c r="B18">
        <f>Invoices!B18</f>
        <v>217692</v>
      </c>
      <c r="C18" t="str">
        <f>INDEX(BOL!$C$4:$C$39,MATCH(B18,BOL!$B$4:$B$39,0))</f>
        <v>09/15/2026</v>
      </c>
      <c r="D18" t="str">
        <f>INDEX(BOL!$E$4:$E$39,MATCH(B18,BOL!$B$4:$B$39,0))</f>
        <v>WI</v>
      </c>
      <c r="E18" t="str">
        <f>INDEX(BOL!$F$4:$F$39,MATCH(B18,BOL!$B$4:$B$39,0))</f>
        <v>Metal roofing panels</v>
      </c>
      <c r="F18">
        <f>INDEX(BOL!$H$4:$H$39,MATCH(B18,BOL!$B$4:$B$39,0))</f>
        <v>4650</v>
      </c>
      <c r="G18">
        <f>Invoices!F18</f>
        <v>4650</v>
      </c>
      <c r="H18" t="str">
        <f>IF(COUNTIFS('Billing File'!$A$4:$A$12,B18,'Billing File'!$G$4:$G$12,"4.5 weight",'Billing File'!$F$4:$F$12,"Yes")&gt;0,"Yes","No")</f>
        <v>No</v>
      </c>
      <c r="I18">
        <f>IF(AND(H18="Yes",G18&gt;F18*(1+Terms!$B$6)),G18,F18)</f>
        <v>4650</v>
      </c>
      <c r="J18">
        <f>INDEX(Tariff!$L$4:$L$9,MATCH(E18,Tariff!$K$4:$K$9,0))</f>
        <v>70</v>
      </c>
      <c r="K18">
        <f>Invoices!G18</f>
        <v>70</v>
      </c>
      <c r="L18" t="str">
        <f>IF(COUNTIFS('Billing File'!$A$4:$A$12,B18,'Billing File'!$G$4:$G$12,"4.3 class",'Billing File'!$F$4:$F$12,"Yes")&gt;0,"Yes","No")</f>
        <v>No</v>
      </c>
      <c r="M18">
        <f t="shared" si="0"/>
        <v>70</v>
      </c>
      <c r="N18" s="9">
        <f>INDEX(Tariff!$I$4:$I$10,MATCH(M18,Tariff!$H$4:$H$10,0))</f>
        <v>1</v>
      </c>
      <c r="O18">
        <f>MATCH(I18,Tariff!$B$12:$F$12,1)</f>
        <v>4</v>
      </c>
      <c r="P18" s="9">
        <f>INDEX(Tariff!$B$4:$F$10,MATCH(D18,Tariff!$A$4:$A$10,0),O18)</f>
        <v>41.3</v>
      </c>
      <c r="Q18" s="4">
        <f t="shared" si="1"/>
        <v>1920.45</v>
      </c>
      <c r="R18" s="4">
        <f>IF(O18&lt;5,ROUND(INDEX(Tariff!$B$12:$F$12,O18+1)/100*INDEX(Tariff!$B$4:$F$10,MATCH(D18,Tariff!$A$4:$A$10,0),O18+1)*N18,2),Q18)</f>
        <v>1682.5</v>
      </c>
      <c r="S18" s="4">
        <f t="shared" si="2"/>
        <v>1682.5</v>
      </c>
      <c r="T18" s="4">
        <f>MAX(ROUND(S18*(1-Terms!$B$4),2),Terms!$B$5)</f>
        <v>639.35</v>
      </c>
      <c r="U18" t="str">
        <f t="shared" si="3"/>
        <v>09/14/2026</v>
      </c>
      <c r="V18" s="11">
        <f>INDEX('Fuel Index'!$C$4:$C$12,MATCH(U18,'Fuel Index'!$A$4:$A$12,0))</f>
        <v>0.26</v>
      </c>
      <c r="W18" s="4">
        <f t="shared" si="4"/>
        <v>166.23</v>
      </c>
      <c r="X18" s="4">
        <f>(INDEX(BOL!$I$4:$I$39,MATCH(B18,BOL!$B$4:$B$39,0))="Y")*Tariff!$O$4+(INDEX(BOL!$J$4:$J$39,MATCH(B18,BOL!$B$4:$B$39,0))="Y")*Tariff!$O$5+(INDEX(BOL!$K$4:$K$39,MATCH(B18,BOL!$B$4:$B$39,0))="Y")*Tariff!$O$6+(INDEX(BOL!$L$4:$L$39,MATCH(B18,BOL!$B$4:$B$39,0))="Y")*Tariff!$O$7</f>
        <v>75</v>
      </c>
      <c r="Y18" s="4">
        <f>SUMIFS(Confirmations!$G$4:$G$5,Confirmations!$A$4:$A$5,B18,Confirmations!$H$4:$H$5,"Yes")</f>
        <v>0</v>
      </c>
      <c r="Z18" s="4">
        <f t="shared" si="5"/>
        <v>75</v>
      </c>
      <c r="AA18" t="str">
        <f>IF(COUNTIFS(Invoices!$B$4:$B$41,B18,Invoices!$A$4:$A$41,"&lt;"&amp;A18)&gt;0,"Yes","No")</f>
        <v>No</v>
      </c>
      <c r="AB18" s="4">
        <f t="shared" si="6"/>
        <v>880.58</v>
      </c>
      <c r="AC18" s="4">
        <f>Invoices!O18</f>
        <v>994.51</v>
      </c>
      <c r="AD18" s="4">
        <f t="shared" si="7"/>
        <v>113.93</v>
      </c>
      <c r="AE18" s="4">
        <f>Invoices!H18</f>
        <v>1920.45</v>
      </c>
      <c r="AF18" s="11">
        <f>ROUND(Invoices!K18/Terms!$B$9,4)</f>
        <v>0.26</v>
      </c>
      <c r="AG18" s="4">
        <f>Invoices!N18</f>
        <v>75</v>
      </c>
      <c r="AH18" t="str">
        <f t="shared" si="8"/>
        <v>4.2 deficit weight</v>
      </c>
      <c r="AI18" t="str">
        <f t="shared" si="9"/>
        <v/>
      </c>
      <c r="AK18" t="str">
        <f>Invoices!A37</f>
        <v>NFL-90355</v>
      </c>
      <c r="AL18">
        <f>Invoices!B37</f>
        <v>217712</v>
      </c>
      <c r="AM18" t="str">
        <f>INDEX(BOL!$C$4:$C$39,MATCH(AL18,BOL!$B$4:$B$39,0))</f>
        <v>09/29/2026</v>
      </c>
      <c r="AN18" t="str">
        <f>INDEX(BOL!$E$4:$E$39,MATCH(AL18,BOL!$B$4:$B$39,0))</f>
        <v>MT</v>
      </c>
      <c r="AO18" t="str">
        <f>INDEX(BOL!$F$4:$F$39,MATCH(AL18,BOL!$B$4:$B$39,0))</f>
        <v>Vinyl siding</v>
      </c>
      <c r="AP18">
        <f>INDEX(BOL!$H$4:$H$39,MATCH(AL18,BOL!$B$4:$B$39,0))</f>
        <v>2210</v>
      </c>
      <c r="AQ18">
        <f>Invoices!F37</f>
        <v>2290</v>
      </c>
      <c r="AR18" t="str">
        <f>IF(COUNTIFS('Billing File'!$A$4:$A$12,AL18,'Billing File'!$G$4:$G$12,"4.5 weight",'Billing File'!$F$4:$F$12,"Yes")&gt;0,"Yes","No")</f>
        <v>Yes</v>
      </c>
      <c r="AS18">
        <f>IF(AND(AR18="Yes",AQ18&gt;AP18*(1+Terms!$B$6)),AQ18,AP18)</f>
        <v>2210</v>
      </c>
      <c r="AT18">
        <f>INDEX(Tariff!$L$4:$L$9,MATCH(AO18,Tariff!$K$4:$K$9,0))</f>
        <v>92.5</v>
      </c>
      <c r="AU18">
        <f>Invoices!G37</f>
        <v>92.5</v>
      </c>
      <c r="AV18" t="str">
        <f>IF(COUNTIFS('Billing File'!$A$4:$A$12,AL18,'Billing File'!$G$4:$G$12,"4.3 class",'Billing File'!$F$4:$F$12,"Yes")&gt;0,"Yes","No")</f>
        <v>No</v>
      </c>
      <c r="AW18">
        <f t="shared" si="10"/>
        <v>92.5</v>
      </c>
      <c r="AX18" s="9">
        <f>INDEX(Tariff!$I$4:$I$10,MATCH(AW18,Tariff!$H$4:$H$10,0))</f>
        <v>1.3</v>
      </c>
      <c r="AY18">
        <f>MATCH(AS18,Tariff!$B$12:$F$12,1)</f>
        <v>4</v>
      </c>
      <c r="AZ18" s="9">
        <f>INDEX(Tariff!$B$4:$F$10,MATCH(AN18,Tariff!$A$4:$A$10,0),AY18)</f>
        <v>49.95</v>
      </c>
      <c r="BA18" s="4">
        <f t="shared" si="11"/>
        <v>1435.06</v>
      </c>
      <c r="BB18" s="4">
        <f>IF(AY18&lt;5,ROUND(INDEX(Tariff!$B$12:$F$12,AY18+1)/100*INDEX(Tariff!$B$4:$F$10,MATCH(AN18,Tariff!$A$4:$A$10,0),AY18+1)*AX18,2),BA18)</f>
        <v>2639</v>
      </c>
      <c r="BC18" s="4">
        <f t="shared" si="12"/>
        <v>1435.06</v>
      </c>
      <c r="BD18" s="4">
        <f>MAX(ROUND(BC18*(1-Terms!$B$4),2),Terms!$B$5)</f>
        <v>545.32</v>
      </c>
      <c r="BE18" t="str">
        <f t="shared" si="13"/>
        <v>09/28/2026</v>
      </c>
      <c r="BF18" s="11">
        <f>INDEX('Fuel Index'!$C$4:$C$12,MATCH(BE18,'Fuel Index'!$A$4:$A$12,0))</f>
        <v>0.27</v>
      </c>
      <c r="BG18" s="4">
        <f t="shared" si="14"/>
        <v>147.24</v>
      </c>
      <c r="BH18" s="4">
        <f>(INDEX(BOL!$I$4:$I$39,MATCH(AL18,BOL!$B$4:$B$39,0))="Y")*Tariff!$O$4+(INDEX(BOL!$J$4:$J$39,MATCH(AL18,BOL!$B$4:$B$39,0))="Y")*Tariff!$O$5+(INDEX(BOL!$K$4:$K$39,MATCH(AL18,BOL!$B$4:$B$39,0))="Y")*Tariff!$O$6+(INDEX(BOL!$L$4:$L$39,MATCH(AL18,BOL!$B$4:$B$39,0))="Y")*Tariff!$O$7</f>
        <v>0</v>
      </c>
      <c r="BI18" s="4">
        <f>SUMIFS(Confirmations!$G$4:$G$5,Confirmations!$A$4:$A$5,AL18,Confirmations!$H$4:$H$5,"Yes")</f>
        <v>0</v>
      </c>
      <c r="BJ18" s="4">
        <f t="shared" si="15"/>
        <v>0</v>
      </c>
      <c r="BK18" t="str">
        <f>IF(COUNTIFS(Invoices!$B$4:$B$41,AL18,Invoices!$A$4:$A$41,"&lt;"&amp;AK18)&gt;0,"Yes","No")</f>
        <v>No</v>
      </c>
      <c r="BL18" s="4">
        <f t="shared" si="16"/>
        <v>692.56</v>
      </c>
      <c r="BM18" s="4">
        <f>Invoices!O37</f>
        <v>717.63</v>
      </c>
      <c r="BN18" s="4">
        <f t="shared" si="17"/>
        <v>25.07</v>
      </c>
      <c r="BO18" s="4">
        <f>Invoices!H37</f>
        <v>1487.01</v>
      </c>
      <c r="BP18" s="11">
        <f>ROUND(Invoices!K37/Terms!$B$9,4)</f>
        <v>0.27</v>
      </c>
      <c r="BQ18" s="4">
        <f>Invoices!N37</f>
        <v>0</v>
      </c>
      <c r="BR18" t="str">
        <f t="shared" si="18"/>
        <v>4.5 reweigh</v>
      </c>
      <c r="BS18" t="str">
        <f t="shared" si="19"/>
        <v/>
      </c>
    </row>
    <row r="19" spans="1:71" x14ac:dyDescent="0.2">
      <c r="A19" t="str">
        <f>Invoices!A19</f>
        <v>NFL-90333</v>
      </c>
      <c r="B19">
        <f>Invoices!B19</f>
        <v>217766</v>
      </c>
      <c r="C19" t="str">
        <f>INDEX(BOL!$C$4:$C$39,MATCH(B19,BOL!$B$4:$B$39,0))</f>
        <v>09/16/2026</v>
      </c>
      <c r="D19" t="str">
        <f>INDEX(BOL!$E$4:$E$39,MATCH(B19,BOL!$B$4:$B$39,0))</f>
        <v>MT</v>
      </c>
      <c r="E19" t="str">
        <f>INDEX(BOL!$F$4:$F$39,MATCH(B19,BOL!$B$4:$B$39,0))</f>
        <v>Fasteners and hardware</v>
      </c>
      <c r="F19">
        <f>INDEX(BOL!$H$4:$H$39,MATCH(B19,BOL!$B$4:$B$39,0))</f>
        <v>5960</v>
      </c>
      <c r="G19">
        <f>Invoices!F19</f>
        <v>5960</v>
      </c>
      <c r="H19" t="str">
        <f>IF(COUNTIFS('Billing File'!$A$4:$A$12,B19,'Billing File'!$G$4:$G$12,"4.5 weight",'Billing File'!$F$4:$F$12,"Yes")&gt;0,"Yes","No")</f>
        <v>No</v>
      </c>
      <c r="I19">
        <f>IF(AND(H19="Yes",G19&gt;F19*(1+Terms!$B$6)),G19,F19)</f>
        <v>5960</v>
      </c>
      <c r="J19">
        <f>INDEX(Tariff!$L$4:$L$9,MATCH(E19,Tariff!$K$4:$K$9,0))</f>
        <v>60</v>
      </c>
      <c r="K19">
        <f>Invoices!G19</f>
        <v>60</v>
      </c>
      <c r="L19" t="str">
        <f>IF(COUNTIFS('Billing File'!$A$4:$A$12,B19,'Billing File'!$G$4:$G$12,"4.3 class",'Billing File'!$F$4:$F$12,"Yes")&gt;0,"Yes","No")</f>
        <v>No</v>
      </c>
      <c r="M19">
        <f t="shared" si="0"/>
        <v>60</v>
      </c>
      <c r="N19" s="9">
        <f>INDEX(Tariff!$I$4:$I$10,MATCH(M19,Tariff!$H$4:$H$10,0))</f>
        <v>0.94</v>
      </c>
      <c r="O19">
        <f>MATCH(I19,Tariff!$B$12:$F$12,1)</f>
        <v>5</v>
      </c>
      <c r="P19" s="9">
        <f>INDEX(Tariff!$B$4:$F$10,MATCH(D19,Tariff!$A$4:$A$10,0),O19)</f>
        <v>40.6</v>
      </c>
      <c r="Q19" s="4">
        <f t="shared" si="1"/>
        <v>2274.57</v>
      </c>
      <c r="R19" s="4">
        <f>IF(O19&lt;5,ROUND(INDEX(Tariff!$B$12:$F$12,O19+1)/100*INDEX(Tariff!$B$4:$F$10,MATCH(D19,Tariff!$A$4:$A$10,0),O19+1)*N19,2),Q19)</f>
        <v>2274.57</v>
      </c>
      <c r="S19" s="4">
        <f t="shared" si="2"/>
        <v>2274.57</v>
      </c>
      <c r="T19" s="4">
        <f>MAX(ROUND(S19*(1-Terms!$B$4),2),Terms!$B$5)</f>
        <v>864.34</v>
      </c>
      <c r="U19" t="str">
        <f t="shared" si="3"/>
        <v>09/14/2026</v>
      </c>
      <c r="V19" s="11">
        <f>INDEX('Fuel Index'!$C$4:$C$12,MATCH(U19,'Fuel Index'!$A$4:$A$12,0))</f>
        <v>0.26</v>
      </c>
      <c r="W19" s="4">
        <f t="shared" si="4"/>
        <v>224.73</v>
      </c>
      <c r="X19" s="4">
        <f>(INDEX(BOL!$I$4:$I$39,MATCH(B19,BOL!$B$4:$B$39,0))="Y")*Tariff!$O$4+(INDEX(BOL!$J$4:$J$39,MATCH(B19,BOL!$B$4:$B$39,0))="Y")*Tariff!$O$5+(INDEX(BOL!$K$4:$K$39,MATCH(B19,BOL!$B$4:$B$39,0))="Y")*Tariff!$O$6+(INDEX(BOL!$L$4:$L$39,MATCH(B19,BOL!$B$4:$B$39,0))="Y")*Tariff!$O$7</f>
        <v>0</v>
      </c>
      <c r="Y19" s="4">
        <f>SUMIFS(Confirmations!$G$4:$G$5,Confirmations!$A$4:$A$5,B19,Confirmations!$H$4:$H$5,"Yes")</f>
        <v>0</v>
      </c>
      <c r="Z19" s="4">
        <f t="shared" si="5"/>
        <v>0</v>
      </c>
      <c r="AA19" t="str">
        <f>IF(COUNTIFS(Invoices!$B$4:$B$41,B19,Invoices!$A$4:$A$41,"&lt;"&amp;A19)&gt;0,"Yes","No")</f>
        <v>No</v>
      </c>
      <c r="AB19" s="4">
        <f t="shared" si="6"/>
        <v>1089.07</v>
      </c>
      <c r="AC19" s="4">
        <f>Invoices!O19</f>
        <v>1089.07</v>
      </c>
      <c r="AD19" s="4">
        <f t="shared" si="7"/>
        <v>0</v>
      </c>
      <c r="AE19" s="4">
        <f>Invoices!H19</f>
        <v>2274.57</v>
      </c>
      <c r="AF19" s="11">
        <f>ROUND(Invoices!K19/Terms!$B$9,4)</f>
        <v>0.26</v>
      </c>
      <c r="AG19" s="4">
        <f>Invoices!N19</f>
        <v>0</v>
      </c>
      <c r="AH19" t="str">
        <f t="shared" si="8"/>
        <v/>
      </c>
      <c r="AI19" t="str">
        <f t="shared" si="9"/>
        <v/>
      </c>
      <c r="AK19" t="str">
        <f>Invoices!A38</f>
        <v>NFL-90356</v>
      </c>
      <c r="AL19">
        <f>Invoices!B38</f>
        <v>217888</v>
      </c>
      <c r="AM19" t="str">
        <f>INDEX(BOL!$C$4:$C$39,MATCH(AL19,BOL!$B$4:$B$39,0))</f>
        <v>09/29/2026</v>
      </c>
      <c r="AN19" t="str">
        <f>INDEX(BOL!$E$4:$E$39,MATCH(AL19,BOL!$B$4:$B$39,0))</f>
        <v>SD</v>
      </c>
      <c r="AO19" t="str">
        <f>INDEX(BOL!$F$4:$F$39,MATCH(AL19,BOL!$B$4:$B$39,0))</f>
        <v>Vinyl siding</v>
      </c>
      <c r="AP19">
        <f>INDEX(BOL!$H$4:$H$39,MATCH(AL19,BOL!$B$4:$B$39,0))</f>
        <v>3380</v>
      </c>
      <c r="AQ19">
        <f>Invoices!F38</f>
        <v>3380</v>
      </c>
      <c r="AR19" t="str">
        <f>IF(COUNTIFS('Billing File'!$A$4:$A$12,AL19,'Billing File'!$G$4:$G$12,"4.5 weight",'Billing File'!$F$4:$F$12,"Yes")&gt;0,"Yes","No")</f>
        <v>No</v>
      </c>
      <c r="AS19">
        <f>IF(AND(AR19="Yes",AQ19&gt;AP19*(1+Terms!$B$6)),AQ19,AP19)</f>
        <v>3380</v>
      </c>
      <c r="AT19">
        <f>INDEX(Tariff!$L$4:$L$9,MATCH(AO19,Tariff!$K$4:$K$9,0))</f>
        <v>92.5</v>
      </c>
      <c r="AU19">
        <f>Invoices!G38</f>
        <v>92.5</v>
      </c>
      <c r="AV19" t="str">
        <f>IF(COUNTIFS('Billing File'!$A$4:$A$12,AL19,'Billing File'!$G$4:$G$12,"4.3 class",'Billing File'!$F$4:$F$12,"Yes")&gt;0,"Yes","No")</f>
        <v>No</v>
      </c>
      <c r="AW19">
        <f t="shared" si="10"/>
        <v>92.5</v>
      </c>
      <c r="AX19" s="9">
        <f>INDEX(Tariff!$I$4:$I$10,MATCH(AW19,Tariff!$H$4:$H$10,0))</f>
        <v>1.3</v>
      </c>
      <c r="AY19">
        <f>MATCH(AS19,Tariff!$B$12:$F$12,1)</f>
        <v>4</v>
      </c>
      <c r="AZ19" s="9">
        <f>INDEX(Tariff!$B$4:$F$10,MATCH(AN19,Tariff!$A$4:$A$10,0),AY19)</f>
        <v>36.05</v>
      </c>
      <c r="BA19" s="4">
        <f t="shared" si="11"/>
        <v>1584.04</v>
      </c>
      <c r="BB19" s="4">
        <f>IF(AY19&lt;5,ROUND(INDEX(Tariff!$B$12:$F$12,AY19+1)/100*INDEX(Tariff!$B$4:$F$10,MATCH(AN19,Tariff!$A$4:$A$10,0),AY19+1)*AX19,2),BA19)</f>
        <v>1911</v>
      </c>
      <c r="BC19" s="4">
        <f t="shared" si="12"/>
        <v>1584.04</v>
      </c>
      <c r="BD19" s="4">
        <f>MAX(ROUND(BC19*(1-Terms!$B$4),2),Terms!$B$5)</f>
        <v>601.94</v>
      </c>
      <c r="BE19" t="str">
        <f t="shared" si="13"/>
        <v>09/28/2026</v>
      </c>
      <c r="BF19" s="11">
        <f>INDEX('Fuel Index'!$C$4:$C$12,MATCH(BE19,'Fuel Index'!$A$4:$A$12,0))</f>
        <v>0.27</v>
      </c>
      <c r="BG19" s="4">
        <f t="shared" si="14"/>
        <v>162.52</v>
      </c>
      <c r="BH19" s="4">
        <f>(INDEX(BOL!$I$4:$I$39,MATCH(AL19,BOL!$B$4:$B$39,0))="Y")*Tariff!$O$4+(INDEX(BOL!$J$4:$J$39,MATCH(AL19,BOL!$B$4:$B$39,0))="Y")*Tariff!$O$5+(INDEX(BOL!$K$4:$K$39,MATCH(AL19,BOL!$B$4:$B$39,0))="Y")*Tariff!$O$6+(INDEX(BOL!$L$4:$L$39,MATCH(AL19,BOL!$B$4:$B$39,0))="Y")*Tariff!$O$7</f>
        <v>95</v>
      </c>
      <c r="BI19" s="4">
        <f>SUMIFS(Confirmations!$G$4:$G$5,Confirmations!$A$4:$A$5,AL19,Confirmations!$H$4:$H$5,"Yes")</f>
        <v>0</v>
      </c>
      <c r="BJ19" s="4">
        <f t="shared" si="15"/>
        <v>95</v>
      </c>
      <c r="BK19" t="str">
        <f>IF(COUNTIFS(Invoices!$B$4:$B$41,AL19,Invoices!$A$4:$A$41,"&lt;"&amp;AK19)&gt;0,"Yes","No")</f>
        <v>No</v>
      </c>
      <c r="BL19" s="4">
        <f t="shared" si="16"/>
        <v>859.46</v>
      </c>
      <c r="BM19" s="4">
        <f>Invoices!O38</f>
        <v>862.47</v>
      </c>
      <c r="BN19" s="4">
        <f t="shared" si="17"/>
        <v>3.01</v>
      </c>
      <c r="BO19" s="4">
        <f>Invoices!H38</f>
        <v>1584.04</v>
      </c>
      <c r="BP19" s="11">
        <f>ROUND(Invoices!K38/Terms!$B$9,4)</f>
        <v>0.275</v>
      </c>
      <c r="BQ19" s="4">
        <f>Invoices!N38</f>
        <v>95</v>
      </c>
      <c r="BR19" t="str">
        <f t="shared" si="18"/>
        <v>5.2 fuel week</v>
      </c>
      <c r="BS19" t="str">
        <f t="shared" si="19"/>
        <v/>
      </c>
    </row>
    <row r="20" spans="1:71" x14ac:dyDescent="0.2">
      <c r="A20" t="str">
        <f>Invoices!A20</f>
        <v>NFL-90335</v>
      </c>
      <c r="B20">
        <f>Invoices!B20</f>
        <v>217798</v>
      </c>
      <c r="C20" t="str">
        <f>INDEX(BOL!$C$4:$C$39,MATCH(B20,BOL!$B$4:$B$39,0))</f>
        <v>09/17/2026</v>
      </c>
      <c r="D20" t="str">
        <f>INDEX(BOL!$E$4:$E$39,MATCH(B20,BOL!$B$4:$B$39,0))</f>
        <v>ND</v>
      </c>
      <c r="E20" t="str">
        <f>INDEX(BOL!$F$4:$F$39,MATCH(B20,BOL!$B$4:$B$39,0))</f>
        <v>Windows and doors</v>
      </c>
      <c r="F20">
        <f>INDEX(BOL!$H$4:$H$39,MATCH(B20,BOL!$B$4:$B$39,0))</f>
        <v>1860</v>
      </c>
      <c r="G20">
        <f>Invoices!F20</f>
        <v>1860</v>
      </c>
      <c r="H20" t="str">
        <f>IF(COUNTIFS('Billing File'!$A$4:$A$12,B20,'Billing File'!$G$4:$G$12,"4.5 weight",'Billing File'!$F$4:$F$12,"Yes")&gt;0,"Yes","No")</f>
        <v>No</v>
      </c>
      <c r="I20">
        <f>IF(AND(H20="Yes",G20&gt;F20*(1+Terms!$B$6)),G20,F20)</f>
        <v>1860</v>
      </c>
      <c r="J20">
        <f>INDEX(Tariff!$L$4:$L$9,MATCH(E20,Tariff!$K$4:$K$9,0))</f>
        <v>100</v>
      </c>
      <c r="K20">
        <f>Invoices!G20</f>
        <v>100</v>
      </c>
      <c r="L20" t="str">
        <f>IF(COUNTIFS('Billing File'!$A$4:$A$12,B20,'Billing File'!$G$4:$G$12,"4.3 class",'Billing File'!$F$4:$F$12,"Yes")&gt;0,"Yes","No")</f>
        <v>No</v>
      </c>
      <c r="M20">
        <f t="shared" si="0"/>
        <v>100</v>
      </c>
      <c r="N20" s="9">
        <f>INDEX(Tariff!$I$4:$I$10,MATCH(M20,Tariff!$H$4:$H$10,0))</f>
        <v>1.45</v>
      </c>
      <c r="O20">
        <f>MATCH(I20,Tariff!$B$12:$F$12,1)</f>
        <v>3</v>
      </c>
      <c r="P20" s="9">
        <f>INDEX(Tariff!$B$4:$F$10,MATCH(D20,Tariff!$A$4:$A$10,0),O20)</f>
        <v>32.15</v>
      </c>
      <c r="Q20" s="4">
        <f t="shared" si="1"/>
        <v>867.09</v>
      </c>
      <c r="R20" s="4">
        <f>IF(O20&lt;5,ROUND(INDEX(Tariff!$B$12:$F$12,O20+1)/100*INDEX(Tariff!$B$4:$F$10,MATCH(D20,Tariff!$A$4:$A$10,0),O20+1)*N20,2),Q20)</f>
        <v>765.6</v>
      </c>
      <c r="S20" s="4">
        <f t="shared" si="2"/>
        <v>765.6</v>
      </c>
      <c r="T20" s="4">
        <f>MAX(ROUND(S20*(1-Terms!$B$4),2),Terms!$B$5)</f>
        <v>290.93</v>
      </c>
      <c r="U20" t="str">
        <f t="shared" si="3"/>
        <v>09/14/2026</v>
      </c>
      <c r="V20" s="11">
        <f>INDEX('Fuel Index'!$C$4:$C$12,MATCH(U20,'Fuel Index'!$A$4:$A$12,0))</f>
        <v>0.26</v>
      </c>
      <c r="W20" s="4">
        <f t="shared" si="4"/>
        <v>75.64</v>
      </c>
      <c r="X20" s="4">
        <f>(INDEX(BOL!$I$4:$I$39,MATCH(B20,BOL!$B$4:$B$39,0))="Y")*Tariff!$O$4+(INDEX(BOL!$J$4:$J$39,MATCH(B20,BOL!$B$4:$B$39,0))="Y")*Tariff!$O$5+(INDEX(BOL!$K$4:$K$39,MATCH(B20,BOL!$B$4:$B$39,0))="Y")*Tariff!$O$6+(INDEX(BOL!$L$4:$L$39,MATCH(B20,BOL!$B$4:$B$39,0))="Y")*Tariff!$O$7</f>
        <v>95</v>
      </c>
      <c r="Y20" s="4">
        <f>SUMIFS(Confirmations!$G$4:$G$5,Confirmations!$A$4:$A$5,B20,Confirmations!$H$4:$H$5,"Yes")</f>
        <v>0</v>
      </c>
      <c r="Z20" s="4">
        <f t="shared" si="5"/>
        <v>95</v>
      </c>
      <c r="AA20" t="str">
        <f>IF(COUNTIFS(Invoices!$B$4:$B$41,B20,Invoices!$A$4:$A$41,"&lt;"&amp;A20)&gt;0,"Yes","No")</f>
        <v>No</v>
      </c>
      <c r="AB20" s="4">
        <f t="shared" si="6"/>
        <v>461.57</v>
      </c>
      <c r="AC20" s="4">
        <f>Invoices!O20</f>
        <v>510.16</v>
      </c>
      <c r="AD20" s="4">
        <f t="shared" si="7"/>
        <v>48.59</v>
      </c>
      <c r="AE20" s="4">
        <f>Invoices!H20</f>
        <v>867.09</v>
      </c>
      <c r="AF20" s="11">
        <f>ROUND(Invoices!K20/Terms!$B$9,4)</f>
        <v>0.26</v>
      </c>
      <c r="AG20" s="4">
        <f>Invoices!N20</f>
        <v>95</v>
      </c>
      <c r="AH20" t="str">
        <f t="shared" si="8"/>
        <v>4.2 deficit weight</v>
      </c>
      <c r="AI20" t="str">
        <f t="shared" si="9"/>
        <v/>
      </c>
      <c r="AK20" t="str">
        <f>Invoices!A39</f>
        <v>NFL-90357</v>
      </c>
      <c r="AL20">
        <f>Invoices!B39</f>
        <v>217720</v>
      </c>
      <c r="AM20" t="str">
        <f>INDEX(BOL!$C$4:$C$39,MATCH(AL20,BOL!$B$4:$B$39,0))</f>
        <v>09/30/2026</v>
      </c>
      <c r="AN20" t="str">
        <f>INDEX(BOL!$E$4:$E$39,MATCH(AL20,BOL!$B$4:$B$39,0))</f>
        <v>WI</v>
      </c>
      <c r="AO20" t="str">
        <f>INDEX(BOL!$F$4:$F$39,MATCH(AL20,BOL!$B$4:$B$39,0))</f>
        <v>Metal roofing panels</v>
      </c>
      <c r="AP20">
        <f>INDEX(BOL!$H$4:$H$39,MATCH(AL20,BOL!$B$4:$B$39,0))</f>
        <v>4890</v>
      </c>
      <c r="AQ20">
        <f>Invoices!F39</f>
        <v>4890</v>
      </c>
      <c r="AR20" t="str">
        <f>IF(COUNTIFS('Billing File'!$A$4:$A$12,AL20,'Billing File'!$G$4:$G$12,"4.5 weight",'Billing File'!$F$4:$F$12,"Yes")&gt;0,"Yes","No")</f>
        <v>No</v>
      </c>
      <c r="AS20">
        <f>IF(AND(AR20="Yes",AQ20&gt;AP20*(1+Terms!$B$6)),AQ20,AP20)</f>
        <v>4890</v>
      </c>
      <c r="AT20">
        <f>INDEX(Tariff!$L$4:$L$9,MATCH(AO20,Tariff!$K$4:$K$9,0))</f>
        <v>70</v>
      </c>
      <c r="AU20">
        <f>Invoices!G39</f>
        <v>70</v>
      </c>
      <c r="AV20" t="str">
        <f>IF(COUNTIFS('Billing File'!$A$4:$A$12,AL20,'Billing File'!$G$4:$G$12,"4.3 class",'Billing File'!$F$4:$F$12,"Yes")&gt;0,"Yes","No")</f>
        <v>No</v>
      </c>
      <c r="AW20">
        <f t="shared" si="10"/>
        <v>70</v>
      </c>
      <c r="AX20" s="9">
        <f>INDEX(Tariff!$I$4:$I$10,MATCH(AW20,Tariff!$H$4:$H$10,0))</f>
        <v>1</v>
      </c>
      <c r="AY20">
        <f>MATCH(AS20,Tariff!$B$12:$F$12,1)</f>
        <v>4</v>
      </c>
      <c r="AZ20" s="9">
        <f>INDEX(Tariff!$B$4:$F$10,MATCH(AN20,Tariff!$A$4:$A$10,0),AY20)</f>
        <v>41.3</v>
      </c>
      <c r="BA20" s="4">
        <f t="shared" si="11"/>
        <v>2019.57</v>
      </c>
      <c r="BB20" s="4">
        <f>IF(AY20&lt;5,ROUND(INDEX(Tariff!$B$12:$F$12,AY20+1)/100*INDEX(Tariff!$B$4:$F$10,MATCH(AN20,Tariff!$A$4:$A$10,0),AY20+1)*AX20,2),BA20)</f>
        <v>1682.5</v>
      </c>
      <c r="BC20" s="4">
        <f t="shared" si="12"/>
        <v>1682.5</v>
      </c>
      <c r="BD20" s="4">
        <f>MAX(ROUND(BC20*(1-Terms!$B$4),2),Terms!$B$5)</f>
        <v>639.35</v>
      </c>
      <c r="BE20" t="str">
        <f t="shared" si="13"/>
        <v>09/28/2026</v>
      </c>
      <c r="BF20" s="11">
        <f>INDEX('Fuel Index'!$C$4:$C$12,MATCH(BE20,'Fuel Index'!$A$4:$A$12,0))</f>
        <v>0.27</v>
      </c>
      <c r="BG20" s="4">
        <f t="shared" si="14"/>
        <v>172.62</v>
      </c>
      <c r="BH20" s="4">
        <f>(INDEX(BOL!$I$4:$I$39,MATCH(AL20,BOL!$B$4:$B$39,0))="Y")*Tariff!$O$4+(INDEX(BOL!$J$4:$J$39,MATCH(AL20,BOL!$B$4:$B$39,0))="Y")*Tariff!$O$5+(INDEX(BOL!$K$4:$K$39,MATCH(AL20,BOL!$B$4:$B$39,0))="Y")*Tariff!$O$6+(INDEX(BOL!$L$4:$L$39,MATCH(AL20,BOL!$B$4:$B$39,0))="Y")*Tariff!$O$7</f>
        <v>0</v>
      </c>
      <c r="BI20" s="4">
        <f>SUMIFS(Confirmations!$G$4:$G$5,Confirmations!$A$4:$A$5,AL20,Confirmations!$H$4:$H$5,"Yes")</f>
        <v>0</v>
      </c>
      <c r="BJ20" s="4">
        <f t="shared" si="15"/>
        <v>0</v>
      </c>
      <c r="BK20" t="str">
        <f>IF(COUNTIFS(Invoices!$B$4:$B$41,AL20,Invoices!$A$4:$A$41,"&lt;"&amp;AK20)&gt;0,"Yes","No")</f>
        <v>No</v>
      </c>
      <c r="BL20" s="4">
        <f t="shared" si="16"/>
        <v>811.97</v>
      </c>
      <c r="BM20" s="4">
        <f>Invoices!O39</f>
        <v>811.97</v>
      </c>
      <c r="BN20" s="4">
        <f t="shared" si="17"/>
        <v>0</v>
      </c>
      <c r="BO20" s="4">
        <f>Invoices!H39</f>
        <v>1682.5</v>
      </c>
      <c r="BP20" s="11">
        <f>ROUND(Invoices!K39/Terms!$B$9,4)</f>
        <v>0.27</v>
      </c>
      <c r="BQ20" s="4">
        <f>Invoices!N39</f>
        <v>0</v>
      </c>
      <c r="BR20" t="str">
        <f t="shared" si="18"/>
        <v/>
      </c>
      <c r="BS20" t="str">
        <f t="shared" si="19"/>
        <v/>
      </c>
    </row>
    <row r="21" spans="1:71" x14ac:dyDescent="0.2">
      <c r="A21" t="str">
        <f>Invoices!A21</f>
        <v>NFL-90336</v>
      </c>
      <c r="B21">
        <f>Invoices!B21</f>
        <v>217873</v>
      </c>
      <c r="C21" t="str">
        <f>INDEX(BOL!$C$4:$C$39,MATCH(B21,BOL!$B$4:$B$39,0))</f>
        <v>09/17/2026</v>
      </c>
      <c r="D21" t="str">
        <f>INDEX(BOL!$E$4:$E$39,MATCH(B21,BOL!$B$4:$B$39,0))</f>
        <v>MT</v>
      </c>
      <c r="E21" t="str">
        <f>INDEX(BOL!$F$4:$F$39,MATCH(B21,BOL!$B$4:$B$39,0))</f>
        <v>Windows and doors</v>
      </c>
      <c r="F21">
        <f>INDEX(BOL!$H$4:$H$39,MATCH(B21,BOL!$B$4:$B$39,0))</f>
        <v>2790</v>
      </c>
      <c r="G21">
        <f>Invoices!F21</f>
        <v>3010</v>
      </c>
      <c r="H21" t="str">
        <f>IF(COUNTIFS('Billing File'!$A$4:$A$12,B21,'Billing File'!$G$4:$G$12,"4.5 weight",'Billing File'!$F$4:$F$12,"Yes")&gt;0,"Yes","No")</f>
        <v>Yes</v>
      </c>
      <c r="I21">
        <f>IF(AND(H21="Yes",G21&gt;F21*(1+Terms!$B$6)),G21,F21)</f>
        <v>3010</v>
      </c>
      <c r="J21">
        <f>INDEX(Tariff!$L$4:$L$9,MATCH(E21,Tariff!$K$4:$K$9,0))</f>
        <v>100</v>
      </c>
      <c r="K21">
        <f>Invoices!G21</f>
        <v>100</v>
      </c>
      <c r="L21" t="str">
        <f>IF(COUNTIFS('Billing File'!$A$4:$A$12,B21,'Billing File'!$G$4:$G$12,"4.3 class",'Billing File'!$F$4:$F$12,"Yes")&gt;0,"Yes","No")</f>
        <v>No</v>
      </c>
      <c r="M21">
        <f t="shared" si="0"/>
        <v>100</v>
      </c>
      <c r="N21" s="9">
        <f>INDEX(Tariff!$I$4:$I$10,MATCH(M21,Tariff!$H$4:$H$10,0))</f>
        <v>1.45</v>
      </c>
      <c r="O21">
        <f>MATCH(I21,Tariff!$B$12:$F$12,1)</f>
        <v>4</v>
      </c>
      <c r="P21" s="9">
        <f>INDEX(Tariff!$B$4:$F$10,MATCH(D21,Tariff!$A$4:$A$10,0),O21)</f>
        <v>49.95</v>
      </c>
      <c r="Q21" s="4">
        <f t="shared" si="1"/>
        <v>2180.07</v>
      </c>
      <c r="R21" s="4">
        <f>IF(O21&lt;5,ROUND(INDEX(Tariff!$B$12:$F$12,O21+1)/100*INDEX(Tariff!$B$4:$F$10,MATCH(D21,Tariff!$A$4:$A$10,0),O21+1)*N21,2),Q21)</f>
        <v>2943.5</v>
      </c>
      <c r="S21" s="4">
        <f t="shared" si="2"/>
        <v>2180.07</v>
      </c>
      <c r="T21" s="4">
        <f>MAX(ROUND(S21*(1-Terms!$B$4),2),Terms!$B$5)</f>
        <v>828.43</v>
      </c>
      <c r="U21" t="str">
        <f t="shared" si="3"/>
        <v>09/14/2026</v>
      </c>
      <c r="V21" s="11">
        <f>INDEX('Fuel Index'!$C$4:$C$12,MATCH(U21,'Fuel Index'!$A$4:$A$12,0))</f>
        <v>0.26</v>
      </c>
      <c r="W21" s="4">
        <f t="shared" si="4"/>
        <v>215.39</v>
      </c>
      <c r="X21" s="4">
        <f>(INDEX(BOL!$I$4:$I$39,MATCH(B21,BOL!$B$4:$B$39,0))="Y")*Tariff!$O$4+(INDEX(BOL!$J$4:$J$39,MATCH(B21,BOL!$B$4:$B$39,0))="Y")*Tariff!$O$5+(INDEX(BOL!$K$4:$K$39,MATCH(B21,BOL!$B$4:$B$39,0))="Y")*Tariff!$O$6+(INDEX(BOL!$L$4:$L$39,MATCH(B21,BOL!$B$4:$B$39,0))="Y")*Tariff!$O$7</f>
        <v>135</v>
      </c>
      <c r="Y21" s="4">
        <f>SUMIFS(Confirmations!$G$4:$G$5,Confirmations!$A$4:$A$5,B21,Confirmations!$H$4:$H$5,"Yes")</f>
        <v>0</v>
      </c>
      <c r="Z21" s="4">
        <f t="shared" si="5"/>
        <v>135</v>
      </c>
      <c r="AA21" t="str">
        <f>IF(COUNTIFS(Invoices!$B$4:$B$41,B21,Invoices!$A$4:$A$41,"&lt;"&amp;A21)&gt;0,"Yes","No")</f>
        <v>No</v>
      </c>
      <c r="AB21" s="4">
        <f t="shared" si="6"/>
        <v>1178.82</v>
      </c>
      <c r="AC21" s="4">
        <f>Invoices!O21</f>
        <v>1178.82</v>
      </c>
      <c r="AD21" s="4">
        <f t="shared" si="7"/>
        <v>0</v>
      </c>
      <c r="AE21" s="4">
        <f>Invoices!H21</f>
        <v>2180.07</v>
      </c>
      <c r="AF21" s="11">
        <f>ROUND(Invoices!K21/Terms!$B$9,4)</f>
        <v>0.26</v>
      </c>
      <c r="AG21" s="4">
        <f>Invoices!N21</f>
        <v>135</v>
      </c>
      <c r="AH21" t="str">
        <f t="shared" si="8"/>
        <v/>
      </c>
      <c r="AI21" t="str">
        <f t="shared" si="9"/>
        <v>4.5 certified scale ticket</v>
      </c>
      <c r="AK21" t="str">
        <f>Invoices!A40</f>
        <v>NFL-90358</v>
      </c>
      <c r="AL21">
        <f>Invoices!B40</f>
        <v>217810</v>
      </c>
      <c r="AM21" t="str">
        <f>INDEX(BOL!$C$4:$C$39,MATCH(AL21,BOL!$B$4:$B$39,0))</f>
        <v>09/30/2026</v>
      </c>
      <c r="AN21" t="str">
        <f>INDEX(BOL!$E$4:$E$39,MATCH(AL21,BOL!$B$4:$B$39,0))</f>
        <v>MT</v>
      </c>
      <c r="AO21" t="str">
        <f>INDEX(BOL!$F$4:$F$39,MATCH(AL21,BOL!$B$4:$B$39,0))</f>
        <v>Fasteners and hardware</v>
      </c>
      <c r="AP21">
        <f>INDEX(BOL!$H$4:$H$39,MATCH(AL21,BOL!$B$4:$B$39,0))</f>
        <v>510</v>
      </c>
      <c r="AQ21">
        <f>Invoices!F40</f>
        <v>510</v>
      </c>
      <c r="AR21" t="str">
        <f>IF(COUNTIFS('Billing File'!$A$4:$A$12,AL21,'Billing File'!$G$4:$G$12,"4.5 weight",'Billing File'!$F$4:$F$12,"Yes")&gt;0,"Yes","No")</f>
        <v>No</v>
      </c>
      <c r="AS21">
        <f>IF(AND(AR21="Yes",AQ21&gt;AP21*(1+Terms!$B$6)),AQ21,AP21)</f>
        <v>510</v>
      </c>
      <c r="AT21">
        <f>INDEX(Tariff!$L$4:$L$9,MATCH(AO21,Tariff!$K$4:$K$9,0))</f>
        <v>60</v>
      </c>
      <c r="AU21">
        <f>Invoices!G40</f>
        <v>60</v>
      </c>
      <c r="AV21" t="str">
        <f>IF(COUNTIFS('Billing File'!$A$4:$A$12,AL21,'Billing File'!$G$4:$G$12,"4.3 class",'Billing File'!$F$4:$F$12,"Yes")&gt;0,"Yes","No")</f>
        <v>No</v>
      </c>
      <c r="AW21">
        <f t="shared" si="10"/>
        <v>60</v>
      </c>
      <c r="AX21" s="9">
        <f>INDEX(Tariff!$I$4:$I$10,MATCH(AW21,Tariff!$H$4:$H$10,0))</f>
        <v>0.94</v>
      </c>
      <c r="AY21">
        <f>MATCH(AS21,Tariff!$B$12:$F$12,1)</f>
        <v>2</v>
      </c>
      <c r="AZ21" s="9">
        <f>INDEX(Tariff!$B$4:$F$10,MATCH(AN21,Tariff!$A$4:$A$10,0),AY21)</f>
        <v>71.3</v>
      </c>
      <c r="BA21" s="4">
        <f t="shared" si="11"/>
        <v>341.81</v>
      </c>
      <c r="BB21" s="4">
        <f>IF(AY21&lt;5,ROUND(INDEX(Tariff!$B$12:$F$12,AY21+1)/100*INDEX(Tariff!$B$4:$F$10,MATCH(AN21,Tariff!$A$4:$A$10,0),AY21+1)*AX21,2),BA21)</f>
        <v>571.99</v>
      </c>
      <c r="BC21" s="4">
        <f t="shared" si="12"/>
        <v>341.81</v>
      </c>
      <c r="BD21" s="4">
        <f>MAX(ROUND(BC21*(1-Terms!$B$4),2),Terms!$B$5)</f>
        <v>129.89</v>
      </c>
      <c r="BE21" t="str">
        <f t="shared" si="13"/>
        <v>09/28/2026</v>
      </c>
      <c r="BF21" s="11">
        <f>INDEX('Fuel Index'!$C$4:$C$12,MATCH(BE21,'Fuel Index'!$A$4:$A$12,0))</f>
        <v>0.27</v>
      </c>
      <c r="BG21" s="4">
        <f t="shared" si="14"/>
        <v>35.07</v>
      </c>
      <c r="BH21" s="4">
        <f>(INDEX(BOL!$I$4:$I$39,MATCH(AL21,BOL!$B$4:$B$39,0))="Y")*Tariff!$O$4+(INDEX(BOL!$J$4:$J$39,MATCH(AL21,BOL!$B$4:$B$39,0))="Y")*Tariff!$O$5+(INDEX(BOL!$K$4:$K$39,MATCH(AL21,BOL!$B$4:$B$39,0))="Y")*Tariff!$O$6+(INDEX(BOL!$L$4:$L$39,MATCH(AL21,BOL!$B$4:$B$39,0))="Y")*Tariff!$O$7</f>
        <v>170</v>
      </c>
      <c r="BI21" s="4">
        <f>SUMIFS(Confirmations!$G$4:$G$5,Confirmations!$A$4:$A$5,AL21,Confirmations!$H$4:$H$5,"Yes")</f>
        <v>0</v>
      </c>
      <c r="BJ21" s="4">
        <f t="shared" si="15"/>
        <v>170</v>
      </c>
      <c r="BK21" t="str">
        <f>IF(COUNTIFS(Invoices!$B$4:$B$41,AL21,Invoices!$A$4:$A$41,"&lt;"&amp;AK21)&gt;0,"Yes","No")</f>
        <v>No</v>
      </c>
      <c r="BL21" s="4">
        <f t="shared" si="16"/>
        <v>334.96</v>
      </c>
      <c r="BM21" s="4">
        <f>Invoices!O40</f>
        <v>334.96</v>
      </c>
      <c r="BN21" s="4">
        <f t="shared" si="17"/>
        <v>0</v>
      </c>
      <c r="BO21" s="4">
        <f>Invoices!H40</f>
        <v>341.81</v>
      </c>
      <c r="BP21" s="11">
        <f>ROUND(Invoices!K40/Terms!$B$9,4)</f>
        <v>0.27</v>
      </c>
      <c r="BQ21" s="4">
        <f>Invoices!N40</f>
        <v>170</v>
      </c>
      <c r="BR21" t="str">
        <f t="shared" si="18"/>
        <v/>
      </c>
      <c r="BS21" t="str">
        <f t="shared" si="19"/>
        <v/>
      </c>
    </row>
    <row r="22" spans="1:71" x14ac:dyDescent="0.2">
      <c r="A22" t="str">
        <f>Invoices!A22</f>
        <v>NFL-90337</v>
      </c>
      <c r="B22">
        <f>Invoices!B22</f>
        <v>217833</v>
      </c>
      <c r="C22" t="str">
        <f>INDEX(BOL!$C$4:$C$39,MATCH(B22,BOL!$B$4:$B$39,0))</f>
        <v>09/18/2026</v>
      </c>
      <c r="D22" t="str">
        <f>INDEX(BOL!$E$4:$E$39,MATCH(B22,BOL!$B$4:$B$39,0))</f>
        <v>MN</v>
      </c>
      <c r="E22" t="str">
        <f>INDEX(BOL!$F$4:$F$39,MATCH(B22,BOL!$B$4:$B$39,0))</f>
        <v>Vinyl siding</v>
      </c>
      <c r="F22">
        <f>INDEX(BOL!$H$4:$H$39,MATCH(B22,BOL!$B$4:$B$39,0))</f>
        <v>950</v>
      </c>
      <c r="G22">
        <f>Invoices!F22</f>
        <v>950</v>
      </c>
      <c r="H22" t="str">
        <f>IF(COUNTIFS('Billing File'!$A$4:$A$12,B22,'Billing File'!$G$4:$G$12,"4.5 weight",'Billing File'!$F$4:$F$12,"Yes")&gt;0,"Yes","No")</f>
        <v>No</v>
      </c>
      <c r="I22">
        <f>IF(AND(H22="Yes",G22&gt;F22*(1+Terms!$B$6)),G22,F22)</f>
        <v>950</v>
      </c>
      <c r="J22">
        <f>INDEX(Tariff!$L$4:$L$9,MATCH(E22,Tariff!$K$4:$K$9,0))</f>
        <v>92.5</v>
      </c>
      <c r="K22">
        <f>Invoices!G22</f>
        <v>92.5</v>
      </c>
      <c r="L22" t="str">
        <f>IF(COUNTIFS('Billing File'!$A$4:$A$12,B22,'Billing File'!$G$4:$G$12,"4.3 class",'Billing File'!$F$4:$F$12,"Yes")&gt;0,"Yes","No")</f>
        <v>No</v>
      </c>
      <c r="M22">
        <f t="shared" si="0"/>
        <v>92.5</v>
      </c>
      <c r="N22" s="9">
        <f>INDEX(Tariff!$I$4:$I$10,MATCH(M22,Tariff!$H$4:$H$10,0))</f>
        <v>1.3</v>
      </c>
      <c r="O22">
        <f>MATCH(I22,Tariff!$B$12:$F$12,1)</f>
        <v>2</v>
      </c>
      <c r="P22" s="9">
        <f>INDEX(Tariff!$B$4:$F$10,MATCH(D22,Tariff!$A$4:$A$10,0),O22)</f>
        <v>49.1</v>
      </c>
      <c r="Q22" s="4">
        <f t="shared" si="1"/>
        <v>606.39</v>
      </c>
      <c r="R22" s="4">
        <f>IF(O22&lt;5,ROUND(INDEX(Tariff!$B$12:$F$12,O22+1)/100*INDEX(Tariff!$B$4:$F$10,MATCH(D22,Tariff!$A$4:$A$10,0),O22+1)*N22,2),Q22)</f>
        <v>542.75</v>
      </c>
      <c r="S22" s="4">
        <f t="shared" si="2"/>
        <v>542.75</v>
      </c>
      <c r="T22" s="4">
        <f>MAX(ROUND(S22*(1-Terms!$B$4),2),Terms!$B$5)</f>
        <v>206.25</v>
      </c>
      <c r="U22" t="str">
        <f t="shared" si="3"/>
        <v>09/14/2026</v>
      </c>
      <c r="V22" s="11">
        <f>INDEX('Fuel Index'!$C$4:$C$12,MATCH(U22,'Fuel Index'!$A$4:$A$12,0))</f>
        <v>0.26</v>
      </c>
      <c r="W22" s="4">
        <f t="shared" si="4"/>
        <v>53.63</v>
      </c>
      <c r="X22" s="4">
        <f>(INDEX(BOL!$I$4:$I$39,MATCH(B22,BOL!$B$4:$B$39,0))="Y")*Tariff!$O$4+(INDEX(BOL!$J$4:$J$39,MATCH(B22,BOL!$B$4:$B$39,0))="Y")*Tariff!$O$5+(INDEX(BOL!$K$4:$K$39,MATCH(B22,BOL!$B$4:$B$39,0))="Y")*Tariff!$O$6+(INDEX(BOL!$L$4:$L$39,MATCH(B22,BOL!$B$4:$B$39,0))="Y")*Tariff!$O$7</f>
        <v>170</v>
      </c>
      <c r="Y22" s="4">
        <f>SUMIFS(Confirmations!$G$4:$G$5,Confirmations!$A$4:$A$5,B22,Confirmations!$H$4:$H$5,"Yes")</f>
        <v>0</v>
      </c>
      <c r="Z22" s="4">
        <f t="shared" si="5"/>
        <v>170</v>
      </c>
      <c r="AA22" t="str">
        <f>IF(COUNTIFS(Invoices!$B$4:$B$41,B22,Invoices!$A$4:$A$41,"&lt;"&amp;A22)&gt;0,"Yes","No")</f>
        <v>No</v>
      </c>
      <c r="AB22" s="4">
        <f t="shared" si="6"/>
        <v>429.88</v>
      </c>
      <c r="AC22" s="4">
        <f>Invoices!O22</f>
        <v>429.88</v>
      </c>
      <c r="AD22" s="4">
        <f t="shared" si="7"/>
        <v>0</v>
      </c>
      <c r="AE22" s="4">
        <f>Invoices!H22</f>
        <v>542.75</v>
      </c>
      <c r="AF22" s="11">
        <f>ROUND(Invoices!K22/Terms!$B$9,4)</f>
        <v>0.26</v>
      </c>
      <c r="AG22" s="4">
        <f>Invoices!N22</f>
        <v>170</v>
      </c>
      <c r="AH22" t="str">
        <f t="shared" si="8"/>
        <v/>
      </c>
      <c r="AI22" t="str">
        <f t="shared" si="9"/>
        <v/>
      </c>
      <c r="AK22" t="str">
        <f>Invoices!A41</f>
        <v>NFL-90360</v>
      </c>
      <c r="AL22">
        <f>Invoices!B41</f>
        <v>217841</v>
      </c>
      <c r="AM22" t="str">
        <f>INDEX(BOL!$C$4:$C$39,MATCH(AL22,BOL!$B$4:$B$39,0))</f>
        <v>09/24/2026</v>
      </c>
      <c r="AN22" t="str">
        <f>INDEX(BOL!$E$4:$E$39,MATCH(AL22,BOL!$B$4:$B$39,0))</f>
        <v>MT</v>
      </c>
      <c r="AO22" t="str">
        <f>INDEX(BOL!$F$4:$F$39,MATCH(AL22,BOL!$B$4:$B$39,0))</f>
        <v>Fasteners and hardware</v>
      </c>
      <c r="AP22">
        <f>INDEX(BOL!$H$4:$H$39,MATCH(AL22,BOL!$B$4:$B$39,0))</f>
        <v>2060</v>
      </c>
      <c r="AQ22">
        <f>Invoices!F41</f>
        <v>2060</v>
      </c>
      <c r="AR22" t="str">
        <f>IF(COUNTIFS('Billing File'!$A$4:$A$12,AL22,'Billing File'!$G$4:$G$12,"4.5 weight",'Billing File'!$F$4:$F$12,"Yes")&gt;0,"Yes","No")</f>
        <v>No</v>
      </c>
      <c r="AS22">
        <f>IF(AND(AR22="Yes",AQ22&gt;AP22*(1+Terms!$B$6)),AQ22,AP22)</f>
        <v>2060</v>
      </c>
      <c r="AT22">
        <f>INDEX(Tariff!$L$4:$L$9,MATCH(AO22,Tariff!$K$4:$K$9,0))</f>
        <v>60</v>
      </c>
      <c r="AU22">
        <f>Invoices!G41</f>
        <v>60</v>
      </c>
      <c r="AV22" t="str">
        <f>IF(COUNTIFS('Billing File'!$A$4:$A$12,AL22,'Billing File'!$G$4:$G$12,"4.3 class",'Billing File'!$F$4:$F$12,"Yes")&gt;0,"Yes","No")</f>
        <v>No</v>
      </c>
      <c r="AW22">
        <f t="shared" si="10"/>
        <v>60</v>
      </c>
      <c r="AX22" s="9">
        <f>INDEX(Tariff!$I$4:$I$10,MATCH(AW22,Tariff!$H$4:$H$10,0))</f>
        <v>0.94</v>
      </c>
      <c r="AY22">
        <f>MATCH(AS22,Tariff!$B$12:$F$12,1)</f>
        <v>4</v>
      </c>
      <c r="AZ22" s="9">
        <f>INDEX(Tariff!$B$4:$F$10,MATCH(AN22,Tariff!$A$4:$A$10,0),AY22)</f>
        <v>49.95</v>
      </c>
      <c r="BA22" s="4">
        <f t="shared" si="11"/>
        <v>967.23</v>
      </c>
      <c r="BB22" s="4">
        <f>IF(AY22&lt;5,ROUND(INDEX(Tariff!$B$12:$F$12,AY22+1)/100*INDEX(Tariff!$B$4:$F$10,MATCH(AN22,Tariff!$A$4:$A$10,0),AY22+1)*AX22,2),BA22)</f>
        <v>1908.2</v>
      </c>
      <c r="BC22" s="4">
        <f t="shared" si="12"/>
        <v>967.23</v>
      </c>
      <c r="BD22" s="4">
        <f>MAX(ROUND(BC22*(1-Terms!$B$4),2),Terms!$B$5)</f>
        <v>367.55</v>
      </c>
      <c r="BE22" t="str">
        <f t="shared" si="13"/>
        <v>09/21/2026</v>
      </c>
      <c r="BF22" s="11">
        <f>INDEX('Fuel Index'!$C$4:$C$12,MATCH(BE22,'Fuel Index'!$A$4:$A$12,0))</f>
        <v>0.275</v>
      </c>
      <c r="BG22" s="4">
        <f t="shared" si="14"/>
        <v>101.08</v>
      </c>
      <c r="BH22" s="4">
        <f>(INDEX(BOL!$I$4:$I$39,MATCH(AL22,BOL!$B$4:$B$39,0))="Y")*Tariff!$O$4+(INDEX(BOL!$J$4:$J$39,MATCH(AL22,BOL!$B$4:$B$39,0))="Y")*Tariff!$O$5+(INDEX(BOL!$K$4:$K$39,MATCH(AL22,BOL!$B$4:$B$39,0))="Y")*Tariff!$O$6+(INDEX(BOL!$L$4:$L$39,MATCH(AL22,BOL!$B$4:$B$39,0))="Y")*Tariff!$O$7</f>
        <v>135</v>
      </c>
      <c r="BI22" s="4">
        <f>SUMIFS(Confirmations!$G$4:$G$5,Confirmations!$A$4:$A$5,AL22,Confirmations!$H$4:$H$5,"Yes")</f>
        <v>0</v>
      </c>
      <c r="BJ22" s="4">
        <f t="shared" si="15"/>
        <v>135</v>
      </c>
      <c r="BK22" t="str">
        <f>IF(COUNTIFS(Invoices!$B$4:$B$41,AL22,Invoices!$A$4:$A$41,"&lt;"&amp;AK22)&gt;0,"Yes","No")</f>
        <v>Yes</v>
      </c>
      <c r="BL22" s="4">
        <f t="shared" si="16"/>
        <v>0</v>
      </c>
      <c r="BM22" s="4">
        <f>Invoices!O41</f>
        <v>603.63</v>
      </c>
      <c r="BN22" s="4">
        <f t="shared" si="17"/>
        <v>603.63</v>
      </c>
      <c r="BO22" s="4">
        <f>Invoices!H41</f>
        <v>967.23</v>
      </c>
      <c r="BP22" s="11">
        <f>ROUND(Invoices!K41/Terms!$B$9,4)</f>
        <v>0.275</v>
      </c>
      <c r="BQ22" s="4">
        <f>Invoices!N41</f>
        <v>135</v>
      </c>
      <c r="BR22" t="str">
        <f t="shared" si="18"/>
        <v>7.1 duplicate bill</v>
      </c>
      <c r="BS22" t="str">
        <f t="shared" si="19"/>
        <v/>
      </c>
    </row>
    <row r="23" spans="1:71" x14ac:dyDescent="0.2">
      <c r="A23" t="s">
        <v>362</v>
      </c>
      <c r="AB23" s="4">
        <f>ROUND(SUM(AB4:AB22),2)</f>
        <v>10257.25</v>
      </c>
      <c r="AC23" s="4">
        <f>ROUND(SUM(AC4:AC22),2)</f>
        <v>10390.25</v>
      </c>
      <c r="AD23" s="4">
        <f>ROUND(SUM(AD4:AD22),2)</f>
        <v>133</v>
      </c>
      <c r="AI23">
        <f>COUNTIF(AI4:AI22,"?*")</f>
        <v>4</v>
      </c>
      <c r="AK23" t="s">
        <v>363</v>
      </c>
      <c r="BL23" s="4">
        <f>ROUND(SUM(BL4:BL22),2)</f>
        <v>8942.43</v>
      </c>
      <c r="BM23" s="4">
        <f>ROUND(SUM(BM4:BM22),2)</f>
        <v>10166.65</v>
      </c>
      <c r="BN23" s="4">
        <f>ROUND(SUM(BN4:BN22),2)</f>
        <v>1224.22</v>
      </c>
      <c r="BS23">
        <f>COUNTIF(BS4:BS22,"?*")</f>
        <v>0</v>
      </c>
    </row>
    <row r="24" spans="1:71" x14ac:dyDescent="0.2">
      <c r="A24" t="s">
        <v>364</v>
      </c>
      <c r="B24" s="4">
        <f>ROUND(AB23+BL23,2)</f>
        <v>19199.68</v>
      </c>
    </row>
    <row r="25" spans="1:71" x14ac:dyDescent="0.2">
      <c r="A25" t="s">
        <v>365</v>
      </c>
      <c r="B25" s="4">
        <f>ROUND(AC23+BM23,2)</f>
        <v>20556.9</v>
      </c>
    </row>
    <row r="26" spans="1:71" x14ac:dyDescent="0.2">
      <c r="A26" t="s">
        <v>366</v>
      </c>
      <c r="B26">
        <f>AI23+BS23</f>
        <v>4</v>
      </c>
    </row>
    <row r="28" spans="1:71" x14ac:dyDescent="0.2">
      <c r="A28" t="s">
        <v>367</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8"/>
  <sheetViews>
    <sheetView workbookViewId="0"/>
  </sheetViews>
  <sheetFormatPr baseColWidth="10" defaultColWidth="8.83203125" defaultRowHeight="15" x14ac:dyDescent="0.2"/>
  <cols>
    <col min="1" max="1" width="13" customWidth="1"/>
    <col min="2" max="2" width="10" customWidth="1"/>
    <col min="3" max="3" width="30" customWidth="1"/>
    <col min="4" max="6" width="12" customWidth="1"/>
    <col min="7" max="7" width="18" customWidth="1"/>
  </cols>
  <sheetData>
    <row r="1" spans="1:7" ht="17" x14ac:dyDescent="0.2">
      <c r="A1" s="1" t="s">
        <v>368</v>
      </c>
    </row>
    <row r="3" spans="1:7" x14ac:dyDescent="0.2">
      <c r="A3" s="2" t="s">
        <v>263</v>
      </c>
      <c r="B3" s="2" t="s">
        <v>116</v>
      </c>
      <c r="C3" s="2" t="s">
        <v>325</v>
      </c>
      <c r="D3" s="2" t="s">
        <v>369</v>
      </c>
      <c r="E3" s="2" t="s">
        <v>370</v>
      </c>
      <c r="F3" s="2" t="s">
        <v>321</v>
      </c>
      <c r="G3" s="2" t="s">
        <v>371</v>
      </c>
    </row>
    <row r="4" spans="1:7" x14ac:dyDescent="0.2">
      <c r="A4" t="s">
        <v>219</v>
      </c>
      <c r="B4">
        <f>IFERROR(INDEX(Audit!$B$4:$B$22,MATCH(A4,Audit!$A$4:$A$22,0)),INDEX(Audit!$AL$4:$AL$22,MATCH(A4,Audit!$AK$4:$AK$22,0)))</f>
        <v>217738</v>
      </c>
      <c r="C4" t="str">
        <f>IFERROR(INDEX(Audit!$AH$4:$AH$22,MATCH(A4,Audit!$A$4:$A$22,0)),INDEX(Audit!$BR$4:$BR$22,MATCH(A4,Audit!$AK$4:$AK$22,0)))</f>
        <v>6.1 accessorial omitted</v>
      </c>
      <c r="D4" s="4">
        <f>IFERROR(INDEX(Audit!$AC$4:$AC$22,MATCH(A4,Audit!$A$4:$A$22,0)),INDEX(Audit!$BM$4:$BM$22,MATCH(A4,Audit!$AK$4:$AK$22,0)))</f>
        <v>213.18</v>
      </c>
      <c r="E4" s="4">
        <f>IFERROR(INDEX(Audit!$AB$4:$AB$22,MATCH(A4,Audit!$A$4:$A$22,0)),INDEX(Audit!$BL$4:$BL$22,MATCH(A4,Audit!$AK$4:$AK$22,0)))</f>
        <v>288.18</v>
      </c>
      <c r="F4" s="4">
        <f t="shared" ref="F4:F15" si="0">ROUND(D4-E4,2)</f>
        <v>-75</v>
      </c>
      <c r="G4" t="str">
        <f t="shared" ref="G4:G15" si="1">IF(F4&gt;0,"Claim",IF(F4&lt;0,"Report undercharge","None"))</f>
        <v>Report undercharge</v>
      </c>
    </row>
    <row r="5" spans="1:7" x14ac:dyDescent="0.2">
      <c r="A5" t="s">
        <v>222</v>
      </c>
      <c r="B5">
        <f>IFERROR(INDEX(Audit!$B$4:$B$22,MATCH(A5,Audit!$A$4:$A$22,0)),INDEX(Audit!$AL$4:$AL$22,MATCH(A5,Audit!$AK$4:$AK$22,0)))</f>
        <v>217703</v>
      </c>
      <c r="C5" t="str">
        <f>IFERROR(INDEX(Audit!$AH$4:$AH$22,MATCH(A5,Audit!$A$4:$A$22,0)),INDEX(Audit!$BR$4:$BR$22,MATCH(A5,Audit!$AK$4:$AK$22,0)))</f>
        <v>5.2 fuel week</v>
      </c>
      <c r="D5" s="4">
        <f>IFERROR(INDEX(Audit!$AC$4:$AC$22,MATCH(A5,Audit!$A$4:$A$22,0)),INDEX(Audit!$BM$4:$BM$22,MATCH(A5,Audit!$AK$4:$AK$22,0)))</f>
        <v>354.66</v>
      </c>
      <c r="E5" s="4">
        <f>IFERROR(INDEX(Audit!$AB$4:$AB$22,MATCH(A5,Audit!$A$4:$A$22,0)),INDEX(Audit!$BL$4:$BL$22,MATCH(A5,Audit!$AK$4:$AK$22,0)))</f>
        <v>355.43</v>
      </c>
      <c r="F5" s="4">
        <f t="shared" si="0"/>
        <v>-0.77</v>
      </c>
      <c r="G5" t="str">
        <f t="shared" si="1"/>
        <v>Report undercharge</v>
      </c>
    </row>
    <row r="6" spans="1:7" x14ac:dyDescent="0.2">
      <c r="A6" t="s">
        <v>225</v>
      </c>
      <c r="B6">
        <f>IFERROR(INDEX(Audit!$B$4:$B$22,MATCH(A6,Audit!$A$4:$A$22,0)),INDEX(Audit!$AL$4:$AL$22,MATCH(A6,Audit!$AK$4:$AK$22,0)))</f>
        <v>217784</v>
      </c>
      <c r="C6" t="str">
        <f>IFERROR(INDEX(Audit!$AH$4:$AH$22,MATCH(A6,Audit!$A$4:$A$22,0)),INDEX(Audit!$BR$4:$BR$22,MATCH(A6,Audit!$AK$4:$AK$22,0)))</f>
        <v>4.3 class</v>
      </c>
      <c r="D6" s="4">
        <f>IFERROR(INDEX(Audit!$AC$4:$AC$22,MATCH(A6,Audit!$A$4:$A$22,0)),INDEX(Audit!$BM$4:$BM$22,MATCH(A6,Audit!$AK$4:$AK$22,0)))</f>
        <v>485.89</v>
      </c>
      <c r="E6" s="4">
        <f>IFERROR(INDEX(Audit!$AB$4:$AB$22,MATCH(A6,Audit!$A$4:$A$22,0)),INDEX(Audit!$BL$4:$BL$22,MATCH(A6,Audit!$AK$4:$AK$22,0)))</f>
        <v>439.64</v>
      </c>
      <c r="F6" s="4">
        <f t="shared" si="0"/>
        <v>46.25</v>
      </c>
      <c r="G6" t="str">
        <f t="shared" si="1"/>
        <v>Claim</v>
      </c>
    </row>
    <row r="7" spans="1:7" x14ac:dyDescent="0.2">
      <c r="A7" t="s">
        <v>233</v>
      </c>
      <c r="B7">
        <f>IFERROR(INDEX(Audit!$B$4:$B$22,MATCH(A7,Audit!$A$4:$A$22,0)),INDEX(Audit!$AL$4:$AL$22,MATCH(A7,Audit!$AK$4:$AK$22,0)))</f>
        <v>217692</v>
      </c>
      <c r="C7" t="str">
        <f>IFERROR(INDEX(Audit!$AH$4:$AH$22,MATCH(A7,Audit!$A$4:$A$22,0)),INDEX(Audit!$BR$4:$BR$22,MATCH(A7,Audit!$AK$4:$AK$22,0)))</f>
        <v>4.2 deficit weight</v>
      </c>
      <c r="D7" s="4">
        <f>IFERROR(INDEX(Audit!$AC$4:$AC$22,MATCH(A7,Audit!$A$4:$A$22,0)),INDEX(Audit!$BM$4:$BM$22,MATCH(A7,Audit!$AK$4:$AK$22,0)))</f>
        <v>994.51</v>
      </c>
      <c r="E7" s="4">
        <f>IFERROR(INDEX(Audit!$AB$4:$AB$22,MATCH(A7,Audit!$A$4:$A$22,0)),INDEX(Audit!$BL$4:$BL$22,MATCH(A7,Audit!$AK$4:$AK$22,0)))</f>
        <v>880.58</v>
      </c>
      <c r="F7" s="4">
        <f t="shared" si="0"/>
        <v>113.93</v>
      </c>
      <c r="G7" t="str">
        <f t="shared" si="1"/>
        <v>Claim</v>
      </c>
    </row>
    <row r="8" spans="1:7" x14ac:dyDescent="0.2">
      <c r="A8" t="s">
        <v>235</v>
      </c>
      <c r="B8">
        <f>IFERROR(INDEX(Audit!$B$4:$B$22,MATCH(A8,Audit!$A$4:$A$22,0)),INDEX(Audit!$AL$4:$AL$22,MATCH(A8,Audit!$AK$4:$AK$22,0)))</f>
        <v>217798</v>
      </c>
      <c r="C8" t="str">
        <f>IFERROR(INDEX(Audit!$AH$4:$AH$22,MATCH(A8,Audit!$A$4:$A$22,0)),INDEX(Audit!$BR$4:$BR$22,MATCH(A8,Audit!$AK$4:$AK$22,0)))</f>
        <v>4.2 deficit weight</v>
      </c>
      <c r="D8" s="4">
        <f>IFERROR(INDEX(Audit!$AC$4:$AC$22,MATCH(A8,Audit!$A$4:$A$22,0)),INDEX(Audit!$BM$4:$BM$22,MATCH(A8,Audit!$AK$4:$AK$22,0)))</f>
        <v>510.16</v>
      </c>
      <c r="E8" s="4">
        <f>IFERROR(INDEX(Audit!$AB$4:$AB$22,MATCH(A8,Audit!$A$4:$A$22,0)),INDEX(Audit!$BL$4:$BL$22,MATCH(A8,Audit!$AK$4:$AK$22,0)))</f>
        <v>461.57</v>
      </c>
      <c r="F8" s="4">
        <f t="shared" si="0"/>
        <v>48.59</v>
      </c>
      <c r="G8" t="str">
        <f t="shared" si="1"/>
        <v>Claim</v>
      </c>
    </row>
    <row r="9" spans="1:7" x14ac:dyDescent="0.2">
      <c r="A9" t="s">
        <v>241</v>
      </c>
      <c r="B9">
        <f>IFERROR(INDEX(Audit!$B$4:$B$22,MATCH(A9,Audit!$A$4:$A$22,0)),INDEX(Audit!$AL$4:$AL$22,MATCH(A9,Audit!$AK$4:$AK$22,0)))</f>
        <v>217724</v>
      </c>
      <c r="C9" t="str">
        <f>IFERROR(INDEX(Audit!$AH$4:$AH$22,MATCH(A9,Audit!$A$4:$A$22,0)),INDEX(Audit!$BR$4:$BR$22,MATCH(A9,Audit!$AK$4:$AK$22,0)))</f>
        <v>6.1 accessorial not requested</v>
      </c>
      <c r="D9" s="4">
        <f>IFERROR(INDEX(Audit!$AC$4:$AC$22,MATCH(A9,Audit!$A$4:$A$22,0)),INDEX(Audit!$BM$4:$BM$22,MATCH(A9,Audit!$AK$4:$AK$22,0)))</f>
        <v>426.42</v>
      </c>
      <c r="E9" s="4">
        <f>IFERROR(INDEX(Audit!$AB$4:$AB$22,MATCH(A9,Audit!$A$4:$A$22,0)),INDEX(Audit!$BL$4:$BL$22,MATCH(A9,Audit!$AK$4:$AK$22,0)))</f>
        <v>351.42</v>
      </c>
      <c r="F9" s="4">
        <f t="shared" si="0"/>
        <v>75</v>
      </c>
      <c r="G9" t="str">
        <f t="shared" si="1"/>
        <v>Claim</v>
      </c>
    </row>
    <row r="10" spans="1:7" x14ac:dyDescent="0.2">
      <c r="A10" t="s">
        <v>250</v>
      </c>
      <c r="B10">
        <f>IFERROR(INDEX(Audit!$B$4:$B$22,MATCH(A10,Audit!$A$4:$A$22,0)),INDEX(Audit!$AL$4:$AL$22,MATCH(A10,Audit!$AK$4:$AK$22,0)))</f>
        <v>217864</v>
      </c>
      <c r="C10" t="str">
        <f>IFERROR(INDEX(Audit!$AH$4:$AH$22,MATCH(A10,Audit!$A$4:$A$22,0)),INDEX(Audit!$BR$4:$BR$22,MATCH(A10,Audit!$AK$4:$AK$22,0)))</f>
        <v>5.2 fuel week</v>
      </c>
      <c r="D10" s="4">
        <f>IFERROR(INDEX(Audit!$AC$4:$AC$22,MATCH(A10,Audit!$A$4:$A$22,0)),INDEX(Audit!$BM$4:$BM$22,MATCH(A10,Audit!$AK$4:$AK$22,0)))</f>
        <v>358.27</v>
      </c>
      <c r="E10" s="4">
        <f>IFERROR(INDEX(Audit!$AB$4:$AB$22,MATCH(A10,Audit!$A$4:$A$22,0)),INDEX(Audit!$BL$4:$BL$22,MATCH(A10,Audit!$AK$4:$AK$22,0)))</f>
        <v>359.68</v>
      </c>
      <c r="F10" s="4">
        <f t="shared" si="0"/>
        <v>-1.41</v>
      </c>
      <c r="G10" t="str">
        <f t="shared" si="1"/>
        <v>Report undercharge</v>
      </c>
    </row>
    <row r="11" spans="1:7" x14ac:dyDescent="0.2">
      <c r="A11" t="s">
        <v>253</v>
      </c>
      <c r="B11">
        <f>IFERROR(INDEX(Audit!$B$4:$B$22,MATCH(A11,Audit!$A$4:$A$22,0)),INDEX(Audit!$AL$4:$AL$22,MATCH(A11,Audit!$AK$4:$AK$22,0)))</f>
        <v>217883</v>
      </c>
      <c r="C11" t="str">
        <f>IFERROR(INDEX(Audit!$AH$4:$AH$22,MATCH(A11,Audit!$A$4:$A$22,0)),INDEX(Audit!$BR$4:$BR$22,MATCH(A11,Audit!$AK$4:$AK$22,0)))</f>
        <v>7.1 duplicate bill</v>
      </c>
      <c r="D11" s="4">
        <f>IFERROR(INDEX(Audit!$AC$4:$AC$22,MATCH(A11,Audit!$A$4:$A$22,0)),INDEX(Audit!$BM$4:$BM$22,MATCH(A11,Audit!$AK$4:$AK$22,0)))</f>
        <v>447.7</v>
      </c>
      <c r="E11" s="4">
        <f>IFERROR(INDEX(Audit!$AB$4:$AB$22,MATCH(A11,Audit!$A$4:$A$22,0)),INDEX(Audit!$BL$4:$BL$22,MATCH(A11,Audit!$AK$4:$AK$22,0)))</f>
        <v>0</v>
      </c>
      <c r="F11" s="4">
        <f t="shared" si="0"/>
        <v>447.7</v>
      </c>
      <c r="G11" t="str">
        <f t="shared" si="1"/>
        <v>Claim</v>
      </c>
    </row>
    <row r="12" spans="1:7" x14ac:dyDescent="0.2">
      <c r="A12" t="s">
        <v>255</v>
      </c>
      <c r="B12">
        <f>IFERROR(INDEX(Audit!$B$4:$B$22,MATCH(A12,Audit!$A$4:$A$22,0)),INDEX(Audit!$AL$4:$AL$22,MATCH(A12,Audit!$AK$4:$AK$22,0)))</f>
        <v>217820</v>
      </c>
      <c r="C12" t="str">
        <f>IFERROR(INDEX(Audit!$AH$4:$AH$22,MATCH(A12,Audit!$A$4:$A$22,0)),INDEX(Audit!$BR$4:$BR$22,MATCH(A12,Audit!$AK$4:$AK$22,0)))</f>
        <v>4.5 reweigh</v>
      </c>
      <c r="D12" s="4">
        <f>IFERROR(INDEX(Audit!$AC$4:$AC$22,MATCH(A12,Audit!$A$4:$A$22,0)),INDEX(Audit!$BM$4:$BM$22,MATCH(A12,Audit!$AK$4:$AK$22,0)))</f>
        <v>372.15</v>
      </c>
      <c r="E12" s="4">
        <f>IFERROR(INDEX(Audit!$AB$4:$AB$22,MATCH(A12,Audit!$A$4:$A$22,0)),INDEX(Audit!$BL$4:$BL$22,MATCH(A12,Audit!$AK$4:$AK$22,0)))</f>
        <v>300.93</v>
      </c>
      <c r="F12" s="4">
        <f t="shared" si="0"/>
        <v>71.22</v>
      </c>
      <c r="G12" t="str">
        <f t="shared" si="1"/>
        <v>Claim</v>
      </c>
    </row>
    <row r="13" spans="1:7" x14ac:dyDescent="0.2">
      <c r="A13" t="s">
        <v>257</v>
      </c>
      <c r="B13">
        <f>IFERROR(INDEX(Audit!$B$4:$B$22,MATCH(A13,Audit!$A$4:$A$22,0)),INDEX(Audit!$AL$4:$AL$22,MATCH(A13,Audit!$AK$4:$AK$22,0)))</f>
        <v>217712</v>
      </c>
      <c r="C13" t="str">
        <f>IFERROR(INDEX(Audit!$AH$4:$AH$22,MATCH(A13,Audit!$A$4:$A$22,0)),INDEX(Audit!$BR$4:$BR$22,MATCH(A13,Audit!$AK$4:$AK$22,0)))</f>
        <v>4.5 reweigh</v>
      </c>
      <c r="D13" s="4">
        <f>IFERROR(INDEX(Audit!$AC$4:$AC$22,MATCH(A13,Audit!$A$4:$A$22,0)),INDEX(Audit!$BM$4:$BM$22,MATCH(A13,Audit!$AK$4:$AK$22,0)))</f>
        <v>717.63</v>
      </c>
      <c r="E13" s="4">
        <f>IFERROR(INDEX(Audit!$AB$4:$AB$22,MATCH(A13,Audit!$A$4:$A$22,0)),INDEX(Audit!$BL$4:$BL$22,MATCH(A13,Audit!$AK$4:$AK$22,0)))</f>
        <v>692.56</v>
      </c>
      <c r="F13" s="4">
        <f t="shared" si="0"/>
        <v>25.07</v>
      </c>
      <c r="G13" t="str">
        <f t="shared" si="1"/>
        <v>Claim</v>
      </c>
    </row>
    <row r="14" spans="1:7" x14ac:dyDescent="0.2">
      <c r="A14" t="s">
        <v>258</v>
      </c>
      <c r="B14">
        <f>IFERROR(INDEX(Audit!$B$4:$B$22,MATCH(A14,Audit!$A$4:$A$22,0)),INDEX(Audit!$AL$4:$AL$22,MATCH(A14,Audit!$AK$4:$AK$22,0)))</f>
        <v>217888</v>
      </c>
      <c r="C14" t="str">
        <f>IFERROR(INDEX(Audit!$AH$4:$AH$22,MATCH(A14,Audit!$A$4:$A$22,0)),INDEX(Audit!$BR$4:$BR$22,MATCH(A14,Audit!$AK$4:$AK$22,0)))</f>
        <v>5.2 fuel week</v>
      </c>
      <c r="D14" s="4">
        <f>IFERROR(INDEX(Audit!$AC$4:$AC$22,MATCH(A14,Audit!$A$4:$A$22,0)),INDEX(Audit!$BM$4:$BM$22,MATCH(A14,Audit!$AK$4:$AK$22,0)))</f>
        <v>862.47</v>
      </c>
      <c r="E14" s="4">
        <f>IFERROR(INDEX(Audit!$AB$4:$AB$22,MATCH(A14,Audit!$A$4:$A$22,0)),INDEX(Audit!$BL$4:$BL$22,MATCH(A14,Audit!$AK$4:$AK$22,0)))</f>
        <v>859.46</v>
      </c>
      <c r="F14" s="4">
        <f t="shared" si="0"/>
        <v>3.01</v>
      </c>
      <c r="G14" t="str">
        <f t="shared" si="1"/>
        <v>Claim</v>
      </c>
    </row>
    <row r="15" spans="1:7" x14ac:dyDescent="0.2">
      <c r="A15" t="s">
        <v>261</v>
      </c>
      <c r="B15">
        <f>IFERROR(INDEX(Audit!$B$4:$B$22,MATCH(A15,Audit!$A$4:$A$22,0)),INDEX(Audit!$AL$4:$AL$22,MATCH(A15,Audit!$AK$4:$AK$22,0)))</f>
        <v>217841</v>
      </c>
      <c r="C15" t="str">
        <f>IFERROR(INDEX(Audit!$AH$4:$AH$22,MATCH(A15,Audit!$A$4:$A$22,0)),INDEX(Audit!$BR$4:$BR$22,MATCH(A15,Audit!$AK$4:$AK$22,0)))</f>
        <v>7.1 duplicate bill</v>
      </c>
      <c r="D15" s="4">
        <f>IFERROR(INDEX(Audit!$AC$4:$AC$22,MATCH(A15,Audit!$A$4:$A$22,0)),INDEX(Audit!$BM$4:$BM$22,MATCH(A15,Audit!$AK$4:$AK$22,0)))</f>
        <v>603.63</v>
      </c>
      <c r="E15" s="4">
        <f>IFERROR(INDEX(Audit!$AB$4:$AB$22,MATCH(A15,Audit!$A$4:$A$22,0)),INDEX(Audit!$BL$4:$BL$22,MATCH(A15,Audit!$AK$4:$AK$22,0)))</f>
        <v>0</v>
      </c>
      <c r="F15" s="4">
        <f t="shared" si="0"/>
        <v>603.63</v>
      </c>
      <c r="G15" t="str">
        <f t="shared" si="1"/>
        <v>Claim</v>
      </c>
    </row>
    <row r="16" spans="1:7" x14ac:dyDescent="0.2">
      <c r="A16" t="s">
        <v>362</v>
      </c>
      <c r="D16" s="4">
        <f>ROUND(SUM(D4:D15),2)</f>
        <v>6346.67</v>
      </c>
      <c r="E16" s="4">
        <f>ROUND(SUM(E4:E15),2)</f>
        <v>4989.45</v>
      </c>
      <c r="F16" s="4">
        <f>ROUND(SUM(F4:F15),2)</f>
        <v>1357.22</v>
      </c>
    </row>
    <row r="18" spans="1:2" x14ac:dyDescent="0.2">
      <c r="A18" t="s">
        <v>372</v>
      </c>
      <c r="B18">
        <f>COUNTA(A4:A15)</f>
        <v>12</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25"/>
  <sheetViews>
    <sheetView workbookViewId="0"/>
  </sheetViews>
  <sheetFormatPr baseColWidth="10" defaultColWidth="8.83203125" defaultRowHeight="15" x14ac:dyDescent="0.2"/>
  <cols>
    <col min="1" max="1" width="10" customWidth="1"/>
    <col min="2" max="2" width="13" customWidth="1"/>
    <col min="3" max="3" width="14" customWidth="1"/>
    <col min="4" max="5" width="12" customWidth="1"/>
    <col min="6" max="6" width="9" customWidth="1"/>
    <col min="7" max="7" width="60" customWidth="1"/>
  </cols>
  <sheetData>
    <row r="1" spans="1:7" ht="17" x14ac:dyDescent="0.2">
      <c r="A1" s="1" t="s">
        <v>373</v>
      </c>
    </row>
    <row r="3" spans="1:7" x14ac:dyDescent="0.2">
      <c r="A3" s="2" t="s">
        <v>116</v>
      </c>
      <c r="B3" s="2" t="s">
        <v>263</v>
      </c>
      <c r="C3" s="2" t="s">
        <v>374</v>
      </c>
      <c r="D3" s="2" t="s">
        <v>375</v>
      </c>
      <c r="E3" s="2" t="s">
        <v>376</v>
      </c>
      <c r="F3" s="2" t="s">
        <v>377</v>
      </c>
      <c r="G3" s="2" t="s">
        <v>378</v>
      </c>
    </row>
    <row r="4" spans="1:7" x14ac:dyDescent="0.2">
      <c r="A4">
        <f>IFERROR(INDEX(Audit!$B$4:$B$22,MATCH(B4,Audit!$A$4:$A$22,0)),INDEX(Audit!$AL$4:$AL$22,MATCH(B4,Audit!$AK$4:$AK$22,0)))</f>
        <v>217784</v>
      </c>
      <c r="B4" t="s">
        <v>225</v>
      </c>
      <c r="C4" s="4">
        <f>IFERROR(INDEX(Audit!$AC$4:$AC$22,MATCH(B4,Audit!$A$4:$A$22,0)),INDEX(Audit!$BM$4:$BM$22,MATCH(B4,Audit!$AK$4:$AK$22,0)))</f>
        <v>485.89</v>
      </c>
      <c r="D4" s="4">
        <f>IFERROR(INDEX(Audit!$AB$4:$AB$22,MATCH(B4,Audit!$A$4:$A$22,0)),INDEX(Audit!$BL$4:$BL$22,MATCH(B4,Audit!$AK$4:$AK$22,0)))</f>
        <v>439.64</v>
      </c>
      <c r="E4" s="4">
        <f t="shared" ref="E4:E12" si="0">ROUND(C4-D4,2)</f>
        <v>46.25</v>
      </c>
      <c r="F4" t="str">
        <f>LEFT(IFERROR(INDEX(Audit!$AH$4:$AH$22,MATCH(B4,Audit!$A$4:$A$22,0)),INDEX(Audit!$BR$4:$BR$22,MATCH(B4,Audit!$AK$4:$AK$22,0))),3)</f>
        <v>4.3</v>
      </c>
      <c r="G4" t="str">
        <f t="shared" ref="G4:G12" si="1">INDEX($B$20:$B$25,MATCH(F4,$A$20:$A$25,0))</f>
        <v>Billed at a class other than the product group class with no signed inspection certificate in the billing file</v>
      </c>
    </row>
    <row r="5" spans="1:7" x14ac:dyDescent="0.2">
      <c r="A5">
        <f>IFERROR(INDEX(Audit!$B$4:$B$22,MATCH(B5,Audit!$A$4:$A$22,0)),INDEX(Audit!$AL$4:$AL$22,MATCH(B5,Audit!$AK$4:$AK$22,0)))</f>
        <v>217692</v>
      </c>
      <c r="B5" t="s">
        <v>233</v>
      </c>
      <c r="C5" s="4">
        <f>IFERROR(INDEX(Audit!$AC$4:$AC$22,MATCH(B5,Audit!$A$4:$A$22,0)),INDEX(Audit!$BM$4:$BM$22,MATCH(B5,Audit!$AK$4:$AK$22,0)))</f>
        <v>994.51</v>
      </c>
      <c r="D5" s="4">
        <f>IFERROR(INDEX(Audit!$AB$4:$AB$22,MATCH(B5,Audit!$A$4:$A$22,0)),INDEX(Audit!$BL$4:$BL$22,MATCH(B5,Audit!$AK$4:$AK$22,0)))</f>
        <v>880.58</v>
      </c>
      <c r="E5" s="4">
        <f t="shared" si="0"/>
        <v>113.93</v>
      </c>
      <c r="F5" t="str">
        <f>LEFT(IFERROR(INDEX(Audit!$AH$4:$AH$22,MATCH(B5,Audit!$A$4:$A$22,0)),INDEX(Audit!$BR$4:$BR$22,MATCH(B5,Audit!$AK$4:$AK$22,0))),3)</f>
        <v>4.2</v>
      </c>
      <c r="G5" t="str">
        <f t="shared" si="1"/>
        <v>Rated at the shipment's own break where the next break's minimum weight rates lower</v>
      </c>
    </row>
    <row r="6" spans="1:7" x14ac:dyDescent="0.2">
      <c r="A6">
        <f>IFERROR(INDEX(Audit!$B$4:$B$22,MATCH(B6,Audit!$A$4:$A$22,0)),INDEX(Audit!$AL$4:$AL$22,MATCH(B6,Audit!$AK$4:$AK$22,0)))</f>
        <v>217798</v>
      </c>
      <c r="B6" t="s">
        <v>235</v>
      </c>
      <c r="C6" s="4">
        <f>IFERROR(INDEX(Audit!$AC$4:$AC$22,MATCH(B6,Audit!$A$4:$A$22,0)),INDEX(Audit!$BM$4:$BM$22,MATCH(B6,Audit!$AK$4:$AK$22,0)))</f>
        <v>510.16</v>
      </c>
      <c r="D6" s="4">
        <f>IFERROR(INDEX(Audit!$AB$4:$AB$22,MATCH(B6,Audit!$A$4:$A$22,0)),INDEX(Audit!$BL$4:$BL$22,MATCH(B6,Audit!$AK$4:$AK$22,0)))</f>
        <v>461.57</v>
      </c>
      <c r="E6" s="4">
        <f t="shared" si="0"/>
        <v>48.59</v>
      </c>
      <c r="F6" t="str">
        <f>LEFT(IFERROR(INDEX(Audit!$AH$4:$AH$22,MATCH(B6,Audit!$A$4:$A$22,0)),INDEX(Audit!$BR$4:$BR$22,MATCH(B6,Audit!$AK$4:$AK$22,0))),3)</f>
        <v>4.2</v>
      </c>
      <c r="G6" t="str">
        <f t="shared" si="1"/>
        <v>Rated at the shipment's own break where the next break's minimum weight rates lower</v>
      </c>
    </row>
    <row r="7" spans="1:7" x14ac:dyDescent="0.2">
      <c r="A7">
        <f>IFERROR(INDEX(Audit!$B$4:$B$22,MATCH(B7,Audit!$A$4:$A$22,0)),INDEX(Audit!$AL$4:$AL$22,MATCH(B7,Audit!$AK$4:$AK$22,0)))</f>
        <v>217724</v>
      </c>
      <c r="B7" t="s">
        <v>241</v>
      </c>
      <c r="C7" s="4">
        <f>IFERROR(INDEX(Audit!$AC$4:$AC$22,MATCH(B7,Audit!$A$4:$A$22,0)),INDEX(Audit!$BM$4:$BM$22,MATCH(B7,Audit!$AK$4:$AK$22,0)))</f>
        <v>426.42</v>
      </c>
      <c r="D7" s="4">
        <f>IFERROR(INDEX(Audit!$AB$4:$AB$22,MATCH(B7,Audit!$A$4:$A$22,0)),INDEX(Audit!$BL$4:$BL$22,MATCH(B7,Audit!$AK$4:$AK$22,0)))</f>
        <v>351.42</v>
      </c>
      <c r="E7" s="4">
        <f t="shared" si="0"/>
        <v>75</v>
      </c>
      <c r="F7" t="str">
        <f>LEFT(IFERROR(INDEX(Audit!$AH$4:$AH$22,MATCH(B7,Audit!$A$4:$A$22,0)),INDEX(Audit!$BR$4:$BR$22,MATCH(B7,Audit!$AK$4:$AK$22,0))),3)</f>
        <v>6.1</v>
      </c>
      <c r="G7" t="str">
        <f t="shared" si="1"/>
        <v>Accessorial billed with no request on the bill of lading and no written confirmation from the shipper before delivery</v>
      </c>
    </row>
    <row r="8" spans="1:7" x14ac:dyDescent="0.2">
      <c r="A8">
        <f>IFERROR(INDEX(Audit!$B$4:$B$22,MATCH(B8,Audit!$A$4:$A$22,0)),INDEX(Audit!$AL$4:$AL$22,MATCH(B8,Audit!$AK$4:$AK$22,0)))</f>
        <v>217883</v>
      </c>
      <c r="B8" t="s">
        <v>253</v>
      </c>
      <c r="C8" s="4">
        <f>IFERROR(INDEX(Audit!$AC$4:$AC$22,MATCH(B8,Audit!$A$4:$A$22,0)),INDEX(Audit!$BM$4:$BM$22,MATCH(B8,Audit!$AK$4:$AK$22,0)))</f>
        <v>447.7</v>
      </c>
      <c r="D8" s="4">
        <f>IFERROR(INDEX(Audit!$AB$4:$AB$22,MATCH(B8,Audit!$A$4:$A$22,0)),INDEX(Audit!$BL$4:$BL$22,MATCH(B8,Audit!$AK$4:$AK$22,0)))</f>
        <v>0</v>
      </c>
      <c r="E8" s="4">
        <f t="shared" si="0"/>
        <v>447.7</v>
      </c>
      <c r="F8" t="str">
        <f>LEFT(IFERROR(INDEX(Audit!$AH$4:$AH$22,MATCH(B8,Audit!$A$4:$A$22,0)),INDEX(Audit!$BR$4:$BR$22,MATCH(B8,Audit!$AK$4:$AK$22,0))),3)</f>
        <v>7.1</v>
      </c>
      <c r="G8" t="str">
        <f t="shared" si="1"/>
        <v>Second freight bill on a pro number already billed, void under section 7.1</v>
      </c>
    </row>
    <row r="9" spans="1:7" x14ac:dyDescent="0.2">
      <c r="A9">
        <f>IFERROR(INDEX(Audit!$B$4:$B$22,MATCH(B9,Audit!$A$4:$A$22,0)),INDEX(Audit!$AL$4:$AL$22,MATCH(B9,Audit!$AK$4:$AK$22,0)))</f>
        <v>217820</v>
      </c>
      <c r="B9" t="s">
        <v>255</v>
      </c>
      <c r="C9" s="4">
        <f>IFERROR(INDEX(Audit!$AC$4:$AC$22,MATCH(B9,Audit!$A$4:$A$22,0)),INDEX(Audit!$BM$4:$BM$22,MATCH(B9,Audit!$AK$4:$AK$22,0)))</f>
        <v>372.15</v>
      </c>
      <c r="D9" s="4">
        <f>IFERROR(INDEX(Audit!$AB$4:$AB$22,MATCH(B9,Audit!$A$4:$A$22,0)),INDEX(Audit!$BL$4:$BL$22,MATCH(B9,Audit!$AK$4:$AK$22,0)))</f>
        <v>300.93</v>
      </c>
      <c r="E9" s="4">
        <f t="shared" si="0"/>
        <v>71.22</v>
      </c>
      <c r="F9" t="str">
        <f>LEFT(IFERROR(INDEX(Audit!$AH$4:$AH$22,MATCH(B9,Audit!$A$4:$A$22,0)),INDEX(Audit!$BR$4:$BR$22,MATCH(B9,Audit!$AK$4:$AK$22,0))),3)</f>
        <v>4.5</v>
      </c>
      <c r="G9" t="str">
        <f t="shared" si="1"/>
        <v>Billed weight above the bill of lading weight with no certified scale ticket, or with a ticket inside the five percent tolerance</v>
      </c>
    </row>
    <row r="10" spans="1:7" x14ac:dyDescent="0.2">
      <c r="A10">
        <f>IFERROR(INDEX(Audit!$B$4:$B$22,MATCH(B10,Audit!$A$4:$A$22,0)),INDEX(Audit!$AL$4:$AL$22,MATCH(B10,Audit!$AK$4:$AK$22,0)))</f>
        <v>217712</v>
      </c>
      <c r="B10" t="s">
        <v>257</v>
      </c>
      <c r="C10" s="4">
        <f>IFERROR(INDEX(Audit!$AC$4:$AC$22,MATCH(B10,Audit!$A$4:$A$22,0)),INDEX(Audit!$BM$4:$BM$22,MATCH(B10,Audit!$AK$4:$AK$22,0)))</f>
        <v>717.63</v>
      </c>
      <c r="D10" s="4">
        <f>IFERROR(INDEX(Audit!$AB$4:$AB$22,MATCH(B10,Audit!$A$4:$A$22,0)),INDEX(Audit!$BL$4:$BL$22,MATCH(B10,Audit!$AK$4:$AK$22,0)))</f>
        <v>692.56</v>
      </c>
      <c r="E10" s="4">
        <f t="shared" si="0"/>
        <v>25.07</v>
      </c>
      <c r="F10" t="str">
        <f>LEFT(IFERROR(INDEX(Audit!$AH$4:$AH$22,MATCH(B10,Audit!$A$4:$A$22,0)),INDEX(Audit!$BR$4:$BR$22,MATCH(B10,Audit!$AK$4:$AK$22,0))),3)</f>
        <v>4.5</v>
      </c>
      <c r="G10" t="str">
        <f t="shared" si="1"/>
        <v>Billed weight above the bill of lading weight with no certified scale ticket, or with a ticket inside the five percent tolerance</v>
      </c>
    </row>
    <row r="11" spans="1:7" x14ac:dyDescent="0.2">
      <c r="A11">
        <f>IFERROR(INDEX(Audit!$B$4:$B$22,MATCH(B11,Audit!$A$4:$A$22,0)),INDEX(Audit!$AL$4:$AL$22,MATCH(B11,Audit!$AK$4:$AK$22,0)))</f>
        <v>217888</v>
      </c>
      <c r="B11" t="s">
        <v>258</v>
      </c>
      <c r="C11" s="4">
        <f>IFERROR(INDEX(Audit!$AC$4:$AC$22,MATCH(B11,Audit!$A$4:$A$22,0)),INDEX(Audit!$BM$4:$BM$22,MATCH(B11,Audit!$AK$4:$AK$22,0)))</f>
        <v>862.47</v>
      </c>
      <c r="D11" s="4">
        <f>IFERROR(INDEX(Audit!$AB$4:$AB$22,MATCH(B11,Audit!$A$4:$A$22,0)),INDEX(Audit!$BL$4:$BL$22,MATCH(B11,Audit!$AK$4:$AK$22,0)))</f>
        <v>859.46</v>
      </c>
      <c r="E11" s="4">
        <f t="shared" si="0"/>
        <v>3.01</v>
      </c>
      <c r="F11" t="str">
        <f>LEFT(IFERROR(INDEX(Audit!$AH$4:$AH$22,MATCH(B11,Audit!$A$4:$A$22,0)),INDEX(Audit!$BR$4:$BR$22,MATCH(B11,Audit!$AK$4:$AK$22,0))),3)</f>
        <v>5.2</v>
      </c>
      <c r="G11" t="str">
        <f t="shared" si="1"/>
        <v>Fuel surcharge taken from a week other than the pickup week</v>
      </c>
    </row>
    <row r="12" spans="1:7" x14ac:dyDescent="0.2">
      <c r="A12">
        <f>IFERROR(INDEX(Audit!$B$4:$B$22,MATCH(B12,Audit!$A$4:$A$22,0)),INDEX(Audit!$AL$4:$AL$22,MATCH(B12,Audit!$AK$4:$AK$22,0)))</f>
        <v>217841</v>
      </c>
      <c r="B12" t="s">
        <v>261</v>
      </c>
      <c r="C12" s="4">
        <f>IFERROR(INDEX(Audit!$AC$4:$AC$22,MATCH(B12,Audit!$A$4:$A$22,0)),INDEX(Audit!$BM$4:$BM$22,MATCH(B12,Audit!$AK$4:$AK$22,0)))</f>
        <v>603.63</v>
      </c>
      <c r="D12" s="4">
        <f>IFERROR(INDEX(Audit!$AB$4:$AB$22,MATCH(B12,Audit!$A$4:$A$22,0)),INDEX(Audit!$BL$4:$BL$22,MATCH(B12,Audit!$AK$4:$AK$22,0)))</f>
        <v>0</v>
      </c>
      <c r="E12" s="4">
        <f t="shared" si="0"/>
        <v>603.63</v>
      </c>
      <c r="F12" t="str">
        <f>LEFT(IFERROR(INDEX(Audit!$AH$4:$AH$22,MATCH(B12,Audit!$A$4:$A$22,0)),INDEX(Audit!$BR$4:$BR$22,MATCH(B12,Audit!$AK$4:$AK$22,0))),3)</f>
        <v>7.1</v>
      </c>
      <c r="G12" t="str">
        <f t="shared" si="1"/>
        <v>Second freight bill on a pro number already billed, void under section 7.1</v>
      </c>
    </row>
    <row r="13" spans="1:7" x14ac:dyDescent="0.2">
      <c r="A13" t="s">
        <v>379</v>
      </c>
      <c r="C13" s="4">
        <f>ROUND(SUM(C4:C12),2)</f>
        <v>5420.56</v>
      </c>
      <c r="D13" s="4">
        <f>ROUND(SUM(D4:D12),2)</f>
        <v>3986.16</v>
      </c>
      <c r="E13" s="4">
        <f>ROUND(SUM(E4:E12),2)</f>
        <v>1434.4</v>
      </c>
    </row>
    <row r="19" spans="1:2" x14ac:dyDescent="0.2">
      <c r="A19" t="s">
        <v>380</v>
      </c>
    </row>
    <row r="20" spans="1:2" x14ac:dyDescent="0.2">
      <c r="A20" t="s">
        <v>381</v>
      </c>
      <c r="B20" t="s">
        <v>382</v>
      </c>
    </row>
    <row r="21" spans="1:2" x14ac:dyDescent="0.2">
      <c r="A21" t="s">
        <v>383</v>
      </c>
      <c r="B21" t="s">
        <v>384</v>
      </c>
    </row>
    <row r="22" spans="1:2" x14ac:dyDescent="0.2">
      <c r="A22" t="s">
        <v>49</v>
      </c>
      <c r="B22" t="s">
        <v>385</v>
      </c>
    </row>
    <row r="23" spans="1:2" x14ac:dyDescent="0.2">
      <c r="A23" t="s">
        <v>386</v>
      </c>
      <c r="B23" t="s">
        <v>387</v>
      </c>
    </row>
    <row r="24" spans="1:2" x14ac:dyDescent="0.2">
      <c r="A24" t="s">
        <v>388</v>
      </c>
      <c r="B24" t="s">
        <v>389</v>
      </c>
    </row>
    <row r="25" spans="1:2" x14ac:dyDescent="0.2">
      <c r="A25" t="s">
        <v>390</v>
      </c>
      <c r="B25" t="s">
        <v>391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3"/>
  <sheetViews>
    <sheetView workbookViewId="0"/>
  </sheetViews>
  <sheetFormatPr baseColWidth="10" defaultColWidth="8.83203125" defaultRowHeight="15" x14ac:dyDescent="0.2"/>
  <cols>
    <col min="1" max="1" width="10" customWidth="1"/>
    <col min="2" max="2" width="13" customWidth="1"/>
    <col min="3" max="3" width="14" customWidth="1"/>
    <col min="4" max="5" width="12" customWidth="1"/>
    <col min="6" max="6" width="9" customWidth="1"/>
    <col min="7" max="7" width="60" customWidth="1"/>
  </cols>
  <sheetData>
    <row r="1" spans="1:7" ht="17" x14ac:dyDescent="0.2">
      <c r="A1" s="1" t="s">
        <v>392</v>
      </c>
    </row>
    <row r="3" spans="1:7" x14ac:dyDescent="0.2">
      <c r="A3" s="2" t="s">
        <v>116</v>
      </c>
      <c r="B3" s="2" t="s">
        <v>263</v>
      </c>
      <c r="C3" s="2" t="s">
        <v>374</v>
      </c>
      <c r="D3" s="2" t="s">
        <v>375</v>
      </c>
      <c r="E3" s="2" t="s">
        <v>393</v>
      </c>
      <c r="F3" s="2" t="s">
        <v>377</v>
      </c>
      <c r="G3" s="2" t="s">
        <v>378</v>
      </c>
    </row>
    <row r="4" spans="1:7" x14ac:dyDescent="0.2">
      <c r="A4">
        <f>IFERROR(INDEX(Audit!$B$4:$B$22,MATCH(B4,Audit!$A$4:$A$22,0)),INDEX(Audit!$AL$4:$AL$22,MATCH(B4,Audit!$AK$4:$AK$22,0)))</f>
        <v>217738</v>
      </c>
      <c r="B4" t="s">
        <v>219</v>
      </c>
      <c r="C4" s="4">
        <f>IFERROR(INDEX(Audit!$AC$4:$AC$22,MATCH(B4,Audit!$A$4:$A$22,0)),INDEX(Audit!$BM$4:$BM$22,MATCH(B4,Audit!$AK$4:$AK$22,0)))</f>
        <v>213.18</v>
      </c>
      <c r="D4" s="4">
        <f>IFERROR(INDEX(Audit!$AB$4:$AB$22,MATCH(B4,Audit!$A$4:$A$22,0)),INDEX(Audit!$BL$4:$BL$22,MATCH(B4,Audit!$AK$4:$AK$22,0)))</f>
        <v>288.18</v>
      </c>
      <c r="E4" s="4">
        <f>ROUND(D4-C4,2)</f>
        <v>75</v>
      </c>
      <c r="F4" t="str">
        <f>LEFT(IFERROR(INDEX(Audit!$AH$4:$AH$22,MATCH(B4,Audit!$A$4:$A$22,0)),INDEX(Audit!$BR$4:$BR$22,MATCH(B4,Audit!$AK$4:$AK$22,0))),3)</f>
        <v>6.1</v>
      </c>
      <c r="G4" t="str">
        <f>INDEX($B$12:$B$13,MATCH(F4,$A$12:$A$13,0))</f>
        <v>Accessorial the bill of lading requested was not billed</v>
      </c>
    </row>
    <row r="5" spans="1:7" x14ac:dyDescent="0.2">
      <c r="A5">
        <f>IFERROR(INDEX(Audit!$B$4:$B$22,MATCH(B5,Audit!$A$4:$A$22,0)),INDEX(Audit!$AL$4:$AL$22,MATCH(B5,Audit!$AK$4:$AK$22,0)))</f>
        <v>217703</v>
      </c>
      <c r="B5" t="s">
        <v>222</v>
      </c>
      <c r="C5" s="4">
        <f>IFERROR(INDEX(Audit!$AC$4:$AC$22,MATCH(B5,Audit!$A$4:$A$22,0)),INDEX(Audit!$BM$4:$BM$22,MATCH(B5,Audit!$AK$4:$AK$22,0)))</f>
        <v>354.66</v>
      </c>
      <c r="D5" s="4">
        <f>IFERROR(INDEX(Audit!$AB$4:$AB$22,MATCH(B5,Audit!$A$4:$A$22,0)),INDEX(Audit!$BL$4:$BL$22,MATCH(B5,Audit!$AK$4:$AK$22,0)))</f>
        <v>355.43</v>
      </c>
      <c r="E5" s="4">
        <f>ROUND(D5-C5,2)</f>
        <v>0.77</v>
      </c>
      <c r="F5" t="str">
        <f>LEFT(IFERROR(INDEX(Audit!$AH$4:$AH$22,MATCH(B5,Audit!$A$4:$A$22,0)),INDEX(Audit!$BR$4:$BR$22,MATCH(B5,Audit!$AK$4:$AK$22,0))),3)</f>
        <v>5.2</v>
      </c>
      <c r="G5" t="str">
        <f>INDEX($B$12:$B$13,MATCH(F5,$A$12:$A$13,0))</f>
        <v>Fuel surcharge taken from a week other than the pickup week</v>
      </c>
    </row>
    <row r="6" spans="1:7" x14ac:dyDescent="0.2">
      <c r="A6">
        <f>IFERROR(INDEX(Audit!$B$4:$B$22,MATCH(B6,Audit!$A$4:$A$22,0)),INDEX(Audit!$AL$4:$AL$22,MATCH(B6,Audit!$AK$4:$AK$22,0)))</f>
        <v>217864</v>
      </c>
      <c r="B6" t="s">
        <v>250</v>
      </c>
      <c r="C6" s="4">
        <f>IFERROR(INDEX(Audit!$AC$4:$AC$22,MATCH(B6,Audit!$A$4:$A$22,0)),INDEX(Audit!$BM$4:$BM$22,MATCH(B6,Audit!$AK$4:$AK$22,0)))</f>
        <v>358.27</v>
      </c>
      <c r="D6" s="4">
        <f>IFERROR(INDEX(Audit!$AB$4:$AB$22,MATCH(B6,Audit!$A$4:$A$22,0)),INDEX(Audit!$BL$4:$BL$22,MATCH(B6,Audit!$AK$4:$AK$22,0)))</f>
        <v>359.68</v>
      </c>
      <c r="E6" s="4">
        <f>ROUND(D6-C6,2)</f>
        <v>1.41</v>
      </c>
      <c r="F6" t="str">
        <f>LEFT(IFERROR(INDEX(Audit!$AH$4:$AH$22,MATCH(B6,Audit!$A$4:$A$22,0)),INDEX(Audit!$BR$4:$BR$22,MATCH(B6,Audit!$AK$4:$AK$22,0))),3)</f>
        <v>5.2</v>
      </c>
      <c r="G6" t="str">
        <f>INDEX($B$12:$B$13,MATCH(F6,$A$12:$A$13,0))</f>
        <v>Fuel surcharge taken from a week other than the pickup week</v>
      </c>
    </row>
    <row r="7" spans="1:7" x14ac:dyDescent="0.2">
      <c r="A7" t="s">
        <v>394</v>
      </c>
      <c r="C7" s="4">
        <f>ROUND(SUM(C4:C6),2)</f>
        <v>926.11</v>
      </c>
      <c r="D7" s="4">
        <f>ROUND(SUM(D4:D6),2)</f>
        <v>1003.29</v>
      </c>
      <c r="E7" s="4">
        <f>ROUND(SUM(E4:E6),2)</f>
        <v>77.18</v>
      </c>
    </row>
    <row r="11" spans="1:7" x14ac:dyDescent="0.2">
      <c r="A11" t="s">
        <v>380</v>
      </c>
    </row>
    <row r="12" spans="1:7" x14ac:dyDescent="0.2">
      <c r="A12" t="s">
        <v>390</v>
      </c>
      <c r="B12" t="s">
        <v>395</v>
      </c>
    </row>
    <row r="13" spans="1:7" x14ac:dyDescent="0.2">
      <c r="A13" t="s">
        <v>388</v>
      </c>
      <c r="B13" t="s">
        <v>389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11"/>
  <sheetViews>
    <sheetView workbookViewId="0"/>
  </sheetViews>
  <sheetFormatPr baseColWidth="10" defaultColWidth="8.83203125" defaultRowHeight="15" x14ac:dyDescent="0.2"/>
  <cols>
    <col min="1" max="1" width="120" customWidth="1"/>
  </cols>
  <sheetData>
    <row r="1" spans="1:1" ht="17" x14ac:dyDescent="0.2">
      <c r="A1" s="1" t="s">
        <v>396</v>
      </c>
    </row>
    <row r="3" spans="1:1" ht="75" customHeight="1" x14ac:dyDescent="0.2">
      <c r="A3" s="8" t="s">
        <v>397</v>
      </c>
    </row>
    <row r="4" spans="1:1" ht="75" customHeight="1" x14ac:dyDescent="0.2">
      <c r="A4" s="8" t="s">
        <v>398</v>
      </c>
    </row>
    <row r="5" spans="1:1" ht="60" customHeight="1" x14ac:dyDescent="0.2">
      <c r="A5" s="8" t="s">
        <v>399</v>
      </c>
    </row>
    <row r="6" spans="1:1" ht="135" customHeight="1" x14ac:dyDescent="0.2">
      <c r="A6" s="8" t="s">
        <v>400</v>
      </c>
    </row>
    <row r="7" spans="1:1" ht="105" customHeight="1" x14ac:dyDescent="0.2">
      <c r="A7" s="8" t="s">
        <v>401</v>
      </c>
    </row>
    <row r="8" spans="1:1" ht="105" customHeight="1" x14ac:dyDescent="0.2">
      <c r="A8" s="8" t="s">
        <v>402</v>
      </c>
    </row>
    <row r="9" spans="1:1" ht="90" customHeight="1" x14ac:dyDescent="0.2">
      <c r="A9" s="8" t="s">
        <v>403</v>
      </c>
    </row>
    <row r="10" spans="1:1" ht="60" customHeight="1" x14ac:dyDescent="0.2">
      <c r="A10" s="8" t="s">
        <v>404</v>
      </c>
    </row>
    <row r="11" spans="1:1" ht="105" customHeight="1" x14ac:dyDescent="0.2">
      <c r="A11" s="8" t="s">
        <v>405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Summary</vt:lpstr>
      <vt:lpstr>Terms</vt:lpstr>
      <vt:lpstr>Tariff</vt:lpstr>
      <vt:lpstr>Fuel Index</vt:lpstr>
      <vt:lpstr>BOL</vt:lpstr>
      <vt:lpstr>Invoices</vt:lpstr>
      <vt:lpstr>Billing File</vt:lpstr>
      <vt:lpstr>Confirmations</vt:lpstr>
      <vt:lpstr>Audit</vt:lpstr>
      <vt:lpstr>Exceptions</vt:lpstr>
      <vt:lpstr>Claim Schedule</vt:lpstr>
      <vt:lpstr>Undercharges</vt:lpstr>
      <vt:lpstr>Note to Ingrid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Halvorsen Building Products</dc:creator>
  <dc:title xmlns:dc="http://purl.org/dc/elements/1.1/">Northline freight bill audit, September 2026</dc:title>
  <dcterms:created xmlns:dcterms="http://purl.org/dc/terms/" xmlns:xsi="http://www.w3.org/2001/XMLSchema-instance" xsi:type="dcterms:W3CDTF">2026-10-12T07:48:15Z</dcterms:created>
  <dcterms:modified xmlns:dcterms="http://purl.org/dc/terms/" xmlns:xsi="http://www.w3.org/2001/XMLSchema-instance" xsi:type="dcterms:W3CDTF">2026-10-16T09:31:42Z</dcterms:modified>
  <cp:lastModifiedBy>Halvorsen Building Products</cp:lastModifiedBy>
</cp:coreProperties>
</file>