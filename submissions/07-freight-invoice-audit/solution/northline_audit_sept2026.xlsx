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5BC1DAD7-3BF0-D64E-BE33-FB0056024E39}" xr6:coauthVersionLast="47" xr6:coauthVersionMax="47" xr10:uidLastSave="{00000000-0000-0000-0000-000000000000}"/>
  <bookViews>
    <workbookView xWindow="0" yWindow="600" windowWidth="21600" windowHeight="36520" xr2:uid="{00000000-000D-0000-FFFF-FFFF00000000}"/>
  </bookViews>
  <sheets>
    <sheet name="Summary" sheetId="1" r:id="rId1"/>
    <sheet name="Terms" sheetId="2" r:id="rId2"/>
    <sheet name="Tariff" sheetId="3" r:id="rId3"/>
    <sheet name="Fuel Index" sheetId="4" r:id="rId4"/>
    <sheet name="BOL" sheetId="5" r:id="rId5"/>
    <sheet name="Invoices" sheetId="6" r:id="rId6"/>
    <sheet name="Billing File" sheetId="7" r:id="rId7"/>
    <sheet name="Confirmations" sheetId="8" r:id="rId8"/>
    <sheet name="Pro Matches" sheetId="9" r:id="rId9"/>
    <sheet name="Audit" sheetId="10" r:id="rId10"/>
    <sheet name="Exceptions" sheetId="11" r:id="rId11"/>
    <sheet name="Claim Schedule" sheetId="12" r:id="rId12"/>
    <sheet name="Undercharges" sheetId="13" r:id="rId13"/>
    <sheet name="Note to Ingrid"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3" l="1"/>
  <c r="C5" i="13"/>
  <c r="C4" i="13"/>
  <c r="C7" i="13" s="1"/>
  <c r="C14" i="12"/>
  <c r="C13" i="12"/>
  <c r="C12" i="12"/>
  <c r="C11" i="12"/>
  <c r="C10" i="12"/>
  <c r="C9" i="12"/>
  <c r="C8" i="12"/>
  <c r="C7" i="12"/>
  <c r="C6" i="12"/>
  <c r="C5" i="12"/>
  <c r="C4" i="12"/>
  <c r="B21" i="11"/>
  <c r="D17" i="11"/>
  <c r="D16" i="11"/>
  <c r="D15" i="11"/>
  <c r="D14" i="11"/>
  <c r="D13" i="11"/>
  <c r="D12" i="11"/>
  <c r="D11" i="11"/>
  <c r="D10" i="11"/>
  <c r="D9" i="11"/>
  <c r="D8" i="11"/>
  <c r="D7" i="11"/>
  <c r="D6" i="11"/>
  <c r="D5" i="11"/>
  <c r="D4" i="11"/>
  <c r="CA26" i="10"/>
  <c r="BZ26" i="10"/>
  <c r="BY26" i="10"/>
  <c r="BW26" i="10"/>
  <c r="BA26" i="10"/>
  <c r="AW26" i="10"/>
  <c r="AQ26" i="10"/>
  <c r="AP26" i="10"/>
  <c r="AL26" i="10"/>
  <c r="AK26" i="10"/>
  <c r="AJ26" i="10"/>
  <c r="AH26" i="10"/>
  <c r="AF26" i="10"/>
  <c r="L26" i="10"/>
  <c r="H26" i="10"/>
  <c r="B26" i="10"/>
  <c r="C26" i="10" s="1"/>
  <c r="A26" i="10"/>
  <c r="CA25" i="10"/>
  <c r="BZ25" i="10"/>
  <c r="BY25" i="10"/>
  <c r="BW25" i="10"/>
  <c r="BA25" i="10"/>
  <c r="AW25" i="10"/>
  <c r="AQ25" i="10"/>
  <c r="AP25" i="10"/>
  <c r="AL25" i="10"/>
  <c r="AK25" i="10"/>
  <c r="AJ25" i="10"/>
  <c r="AH25" i="10"/>
  <c r="L25" i="10"/>
  <c r="H25" i="10"/>
  <c r="B25" i="10"/>
  <c r="A25" i="10"/>
  <c r="CA24" i="10"/>
  <c r="BZ24" i="10"/>
  <c r="BY24" i="10"/>
  <c r="BW24" i="10"/>
  <c r="BA24" i="10"/>
  <c r="AW24" i="10"/>
  <c r="AQ24" i="10"/>
  <c r="AP24" i="10"/>
  <c r="AL24" i="10"/>
  <c r="AK24" i="10"/>
  <c r="AJ24" i="10"/>
  <c r="AH24" i="10"/>
  <c r="L24" i="10"/>
  <c r="H24" i="10"/>
  <c r="B24" i="10"/>
  <c r="A24" i="10"/>
  <c r="CA23" i="10"/>
  <c r="BZ23" i="10"/>
  <c r="BY23" i="10"/>
  <c r="BW23" i="10"/>
  <c r="BA23" i="10"/>
  <c r="AW23" i="10"/>
  <c r="AQ23" i="10"/>
  <c r="AP23" i="10"/>
  <c r="AL23" i="10"/>
  <c r="AK23" i="10"/>
  <c r="AJ23" i="10"/>
  <c r="AH23" i="10"/>
  <c r="L23" i="10"/>
  <c r="H23" i="10"/>
  <c r="B23" i="10"/>
  <c r="A23" i="10"/>
  <c r="CA22" i="10"/>
  <c r="BZ22" i="10"/>
  <c r="BY22" i="10"/>
  <c r="BW22" i="10"/>
  <c r="BA22" i="10"/>
  <c r="AW22" i="10"/>
  <c r="AQ22" i="10"/>
  <c r="AP22" i="10"/>
  <c r="AL22" i="10"/>
  <c r="AK22" i="10"/>
  <c r="AJ22" i="10"/>
  <c r="AH22" i="10"/>
  <c r="L22" i="10"/>
  <c r="H22" i="10"/>
  <c r="B22" i="10"/>
  <c r="A22" i="10"/>
  <c r="CA21" i="10"/>
  <c r="BZ21" i="10"/>
  <c r="BY21" i="10"/>
  <c r="BW21" i="10"/>
  <c r="BA21" i="10"/>
  <c r="AW21" i="10"/>
  <c r="AQ21" i="10"/>
  <c r="AP21" i="10"/>
  <c r="AL21" i="10"/>
  <c r="AK21" i="10"/>
  <c r="AJ21" i="10"/>
  <c r="AH21" i="10"/>
  <c r="L21" i="10"/>
  <c r="H21" i="10"/>
  <c r="B21" i="10"/>
  <c r="A21" i="10"/>
  <c r="CA20" i="10"/>
  <c r="BZ20" i="10"/>
  <c r="BY20" i="10"/>
  <c r="BW20" i="10"/>
  <c r="BA20" i="10"/>
  <c r="AW20" i="10"/>
  <c r="AQ20" i="10"/>
  <c r="AP20" i="10"/>
  <c r="AL20" i="10"/>
  <c r="AK20" i="10"/>
  <c r="AJ20" i="10"/>
  <c r="AH20" i="10"/>
  <c r="L20" i="10"/>
  <c r="H20" i="10"/>
  <c r="B20" i="10"/>
  <c r="A20" i="10"/>
  <c r="CA19" i="10"/>
  <c r="BZ19" i="10"/>
  <c r="BY19" i="10"/>
  <c r="BW19" i="10"/>
  <c r="BU19" i="10"/>
  <c r="BA19" i="10"/>
  <c r="AW19" i="10"/>
  <c r="AQ19" i="10"/>
  <c r="AR19" i="10" s="1"/>
  <c r="AP19" i="10"/>
  <c r="AL19" i="10"/>
  <c r="AK19" i="10"/>
  <c r="AJ19" i="10"/>
  <c r="AH19" i="10"/>
  <c r="L19" i="10"/>
  <c r="H19" i="10"/>
  <c r="B19" i="10"/>
  <c r="A19" i="10"/>
  <c r="CA18" i="10"/>
  <c r="BZ18" i="10"/>
  <c r="BY18" i="10"/>
  <c r="BW18" i="10"/>
  <c r="BA18" i="10"/>
  <c r="AW18" i="10"/>
  <c r="AQ18" i="10"/>
  <c r="AP18" i="10"/>
  <c r="AL18" i="10"/>
  <c r="AK18" i="10"/>
  <c r="AJ18" i="10"/>
  <c r="AH18" i="10"/>
  <c r="L18" i="10"/>
  <c r="H18" i="10"/>
  <c r="B18" i="10"/>
  <c r="A18" i="10"/>
  <c r="CA17" i="10"/>
  <c r="BZ17" i="10"/>
  <c r="BY17" i="10"/>
  <c r="BW17" i="10"/>
  <c r="BA17" i="10"/>
  <c r="AW17" i="10"/>
  <c r="AQ17" i="10"/>
  <c r="AP17" i="10"/>
  <c r="AL17" i="10"/>
  <c r="AK17" i="10"/>
  <c r="AJ17" i="10"/>
  <c r="AH17" i="10"/>
  <c r="L17" i="10"/>
  <c r="H17" i="10"/>
  <c r="B17" i="10"/>
  <c r="A17" i="10"/>
  <c r="CA16" i="10"/>
  <c r="BZ16" i="10"/>
  <c r="BY16" i="10"/>
  <c r="BW16" i="10"/>
  <c r="BA16" i="10"/>
  <c r="AW16" i="10"/>
  <c r="AQ16" i="10"/>
  <c r="AP16" i="10"/>
  <c r="AL16" i="10"/>
  <c r="AK16" i="10"/>
  <c r="AJ16" i="10"/>
  <c r="AH16" i="10"/>
  <c r="L16" i="10"/>
  <c r="H16" i="10"/>
  <c r="B16" i="10"/>
  <c r="A16" i="10"/>
  <c r="CA15" i="10"/>
  <c r="BZ15" i="10"/>
  <c r="BY15" i="10"/>
  <c r="BW15" i="10"/>
  <c r="BA15" i="10"/>
  <c r="AW15" i="10"/>
  <c r="AQ15" i="10"/>
  <c r="AP15" i="10"/>
  <c r="AL15" i="10"/>
  <c r="AK15" i="10"/>
  <c r="AJ15" i="10"/>
  <c r="AH15" i="10"/>
  <c r="L15" i="10"/>
  <c r="H15" i="10"/>
  <c r="B15" i="10"/>
  <c r="A15" i="10"/>
  <c r="CA14" i="10"/>
  <c r="BZ14" i="10"/>
  <c r="BY14" i="10"/>
  <c r="BW14" i="10"/>
  <c r="BA14" i="10"/>
  <c r="AW14" i="10"/>
  <c r="AQ14" i="10"/>
  <c r="AP14" i="10"/>
  <c r="AL14" i="10"/>
  <c r="AK14" i="10"/>
  <c r="AJ14" i="10"/>
  <c r="AH14" i="10"/>
  <c r="L14" i="10"/>
  <c r="H14" i="10"/>
  <c r="B14" i="10"/>
  <c r="A14" i="10"/>
  <c r="CA13" i="10"/>
  <c r="BZ13" i="10"/>
  <c r="BY13" i="10"/>
  <c r="BW13" i="10"/>
  <c r="BA13" i="10"/>
  <c r="AW13" i="10"/>
  <c r="AQ13" i="10"/>
  <c r="AP13" i="10"/>
  <c r="AL13" i="10"/>
  <c r="AK13" i="10"/>
  <c r="AJ13" i="10"/>
  <c r="AH13" i="10"/>
  <c r="AF13" i="10"/>
  <c r="L13" i="10"/>
  <c r="H13" i="10"/>
  <c r="B13" i="10"/>
  <c r="C13" i="10" s="1"/>
  <c r="A13" i="10"/>
  <c r="CA12" i="10"/>
  <c r="BZ12" i="10"/>
  <c r="BY12" i="10"/>
  <c r="BW12" i="10"/>
  <c r="BA12" i="10"/>
  <c r="AW12" i="10"/>
  <c r="AQ12" i="10"/>
  <c r="AP12" i="10"/>
  <c r="AL12" i="10"/>
  <c r="AK12" i="10"/>
  <c r="AJ12" i="10"/>
  <c r="AH12" i="10"/>
  <c r="L12" i="10"/>
  <c r="H12" i="10"/>
  <c r="B12" i="10"/>
  <c r="A12" i="10"/>
  <c r="CA11" i="10"/>
  <c r="BZ11" i="10"/>
  <c r="BY11" i="10"/>
  <c r="BW11" i="10"/>
  <c r="BA11" i="10"/>
  <c r="AW11" i="10"/>
  <c r="AQ11" i="10"/>
  <c r="AP11" i="10"/>
  <c r="AL11" i="10"/>
  <c r="AK11" i="10"/>
  <c r="AJ11" i="10"/>
  <c r="AH11" i="10"/>
  <c r="L11" i="10"/>
  <c r="H11" i="10"/>
  <c r="B11" i="10"/>
  <c r="A11" i="10"/>
  <c r="CA10" i="10"/>
  <c r="BZ10" i="10"/>
  <c r="BY10" i="10"/>
  <c r="BW10" i="10"/>
  <c r="BA10" i="10"/>
  <c r="AW10" i="10"/>
  <c r="AQ10" i="10"/>
  <c r="AP10" i="10"/>
  <c r="AL10" i="10"/>
  <c r="AK10" i="10"/>
  <c r="AJ10" i="10"/>
  <c r="AH10" i="10"/>
  <c r="L10" i="10"/>
  <c r="H10" i="10"/>
  <c r="B10" i="10"/>
  <c r="A10" i="10"/>
  <c r="CA9" i="10"/>
  <c r="BZ9" i="10"/>
  <c r="BY9" i="10"/>
  <c r="BW9" i="10"/>
  <c r="BA9" i="10"/>
  <c r="AW9" i="10"/>
  <c r="AQ9" i="10"/>
  <c r="AP9" i="10"/>
  <c r="AL9" i="10"/>
  <c r="AK9" i="10"/>
  <c r="AJ9" i="10"/>
  <c r="AH9" i="10"/>
  <c r="L9" i="10"/>
  <c r="H9" i="10"/>
  <c r="B9" i="10"/>
  <c r="A9" i="10"/>
  <c r="CA8" i="10"/>
  <c r="BZ8" i="10"/>
  <c r="BY8" i="10"/>
  <c r="BW8" i="10"/>
  <c r="BA8" i="10"/>
  <c r="AW8" i="10"/>
  <c r="AQ8" i="10"/>
  <c r="AP8" i="10"/>
  <c r="AL8" i="10"/>
  <c r="AK8" i="10"/>
  <c r="AJ8" i="10"/>
  <c r="AH8" i="10"/>
  <c r="L8" i="10"/>
  <c r="H8" i="10"/>
  <c r="C8" i="10"/>
  <c r="B8" i="10"/>
  <c r="AF8" i="10" s="1"/>
  <c r="A8" i="10"/>
  <c r="CA7" i="10"/>
  <c r="BZ7" i="10"/>
  <c r="BY7" i="10"/>
  <c r="BW7" i="10"/>
  <c r="BA7" i="10"/>
  <c r="AW7" i="10"/>
  <c r="AQ7" i="10"/>
  <c r="AP7" i="10"/>
  <c r="AL7" i="10"/>
  <c r="AK7" i="10"/>
  <c r="AJ7" i="10"/>
  <c r="AH7" i="10"/>
  <c r="L7" i="10"/>
  <c r="H7" i="10"/>
  <c r="B7" i="10"/>
  <c r="A7" i="10"/>
  <c r="CA6" i="10"/>
  <c r="BZ6" i="10"/>
  <c r="BY6" i="10"/>
  <c r="BW6" i="10"/>
  <c r="BU6" i="10"/>
  <c r="BA6" i="10"/>
  <c r="AW6" i="10"/>
  <c r="AQ6" i="10"/>
  <c r="AR6" i="10" s="1"/>
  <c r="AP6" i="10"/>
  <c r="AL6" i="10"/>
  <c r="AK6" i="10"/>
  <c r="AJ6" i="10"/>
  <c r="AH6" i="10"/>
  <c r="L6" i="10"/>
  <c r="H6" i="10"/>
  <c r="B6" i="10"/>
  <c r="A6" i="10"/>
  <c r="CA5" i="10"/>
  <c r="BZ5" i="10"/>
  <c r="BY5" i="10"/>
  <c r="BW5" i="10"/>
  <c r="BA5" i="10"/>
  <c r="AW5" i="10"/>
  <c r="AQ5" i="10"/>
  <c r="AP5" i="10"/>
  <c r="AL5" i="10"/>
  <c r="AK5" i="10"/>
  <c r="AJ5" i="10"/>
  <c r="AH5" i="10"/>
  <c r="L5" i="10"/>
  <c r="H5" i="10"/>
  <c r="B5" i="10"/>
  <c r="A5" i="10"/>
  <c r="CA4" i="10"/>
  <c r="BZ4" i="10"/>
  <c r="BY4" i="10"/>
  <c r="BW4" i="10"/>
  <c r="BA4" i="10"/>
  <c r="AW4" i="10"/>
  <c r="AQ4" i="10"/>
  <c r="AP4" i="10"/>
  <c r="AL4" i="10"/>
  <c r="AK4" i="10"/>
  <c r="AJ4" i="10"/>
  <c r="AH4" i="10"/>
  <c r="L4" i="10"/>
  <c r="H4" i="10"/>
  <c r="B4" i="10"/>
  <c r="A4" i="10"/>
  <c r="G6" i="8"/>
  <c r="F6" i="8"/>
  <c r="H6" i="8" s="1"/>
  <c r="G5" i="8"/>
  <c r="F5" i="8"/>
  <c r="H5" i="8" s="1"/>
  <c r="G4" i="8"/>
  <c r="F4" i="8"/>
  <c r="H4" i="8" s="1"/>
  <c r="C12" i="4"/>
  <c r="C11" i="4"/>
  <c r="C10" i="4"/>
  <c r="C9" i="4"/>
  <c r="C8" i="4"/>
  <c r="C7" i="4"/>
  <c r="C6" i="4"/>
  <c r="C5" i="4"/>
  <c r="C4" i="4"/>
  <c r="B18" i="1"/>
  <c r="B15" i="1"/>
  <c r="B14" i="1"/>
  <c r="B13" i="1"/>
  <c r="B7" i="1"/>
  <c r="B6" i="1"/>
  <c r="B16" i="1" s="1"/>
  <c r="BW27" i="10" l="1"/>
  <c r="AR26" i="10"/>
  <c r="BU26" i="10"/>
  <c r="C15" i="12"/>
  <c r="C16" i="12" s="1"/>
  <c r="D18" i="11"/>
  <c r="D19" i="11" s="1"/>
  <c r="A15" i="12"/>
  <c r="B18" i="11"/>
  <c r="AH27" i="10"/>
  <c r="B29" i="10" s="1"/>
  <c r="D26" i="10"/>
  <c r="V26" i="10" s="1"/>
  <c r="W26" i="10" s="1"/>
  <c r="E26" i="10"/>
  <c r="F26" i="10"/>
  <c r="K26" i="10" s="1"/>
  <c r="G26" i="10"/>
  <c r="I26" i="10"/>
  <c r="J26" i="10" s="1"/>
  <c r="M26" i="10"/>
  <c r="Y26" i="10"/>
  <c r="Z26" i="10"/>
  <c r="AA26" i="10"/>
  <c r="AB26" i="10"/>
  <c r="AD26" i="10"/>
  <c r="BU25" i="10"/>
  <c r="AR25" i="10"/>
  <c r="AF25" i="10"/>
  <c r="C25" i="10"/>
  <c r="BU24" i="10"/>
  <c r="AR24" i="10"/>
  <c r="AF24" i="10"/>
  <c r="C24" i="10"/>
  <c r="BU23" i="10"/>
  <c r="AR23" i="10"/>
  <c r="AF23" i="10"/>
  <c r="C23" i="10"/>
  <c r="AR22" i="10"/>
  <c r="BU22" i="10"/>
  <c r="C22" i="10"/>
  <c r="AF22" i="10"/>
  <c r="AR21" i="10"/>
  <c r="BU21" i="10"/>
  <c r="AF21" i="10"/>
  <c r="C21" i="10"/>
  <c r="BU20" i="10"/>
  <c r="AR20" i="10"/>
  <c r="AF20" i="10"/>
  <c r="C20" i="10"/>
  <c r="AS19" i="10"/>
  <c r="BK19" i="10" s="1"/>
  <c r="BL19" i="10" s="1"/>
  <c r="AT19" i="10"/>
  <c r="AU19" i="10"/>
  <c r="AZ19" i="10" s="1"/>
  <c r="AV19" i="10"/>
  <c r="AX19" i="10"/>
  <c r="BB19" i="10"/>
  <c r="BN19" i="10"/>
  <c r="BO19" i="10"/>
  <c r="BP19" i="10"/>
  <c r="BQ19" i="10"/>
  <c r="BS19" i="10"/>
  <c r="C19" i="10"/>
  <c r="AF19" i="10"/>
  <c r="AR18" i="10"/>
  <c r="BU18" i="10"/>
  <c r="C18" i="10"/>
  <c r="AF18" i="10"/>
  <c r="AR17" i="10"/>
  <c r="BU17" i="10"/>
  <c r="C17" i="10"/>
  <c r="AF17" i="10"/>
  <c r="AR16" i="10"/>
  <c r="BU16" i="10"/>
  <c r="AF16" i="10"/>
  <c r="C16" i="10"/>
  <c r="AR15" i="10"/>
  <c r="BU15" i="10"/>
  <c r="C15" i="10"/>
  <c r="AF15" i="10"/>
  <c r="AR14" i="10"/>
  <c r="BU14" i="10"/>
  <c r="AF14" i="10"/>
  <c r="C14" i="10"/>
  <c r="AR13" i="10"/>
  <c r="BU13" i="10"/>
  <c r="D13" i="10"/>
  <c r="V13" i="10" s="1"/>
  <c r="W13" i="10" s="1"/>
  <c r="E13" i="10"/>
  <c r="F13" i="10"/>
  <c r="K13" i="10" s="1"/>
  <c r="G13" i="10"/>
  <c r="I13" i="10"/>
  <c r="J13" i="10" s="1"/>
  <c r="M13" i="10"/>
  <c r="Y13" i="10"/>
  <c r="Z13" i="10"/>
  <c r="AA13" i="10"/>
  <c r="AB13" i="10"/>
  <c r="AD13" i="10"/>
  <c r="B7" i="11"/>
  <c r="A5" i="12"/>
  <c r="AR12" i="10"/>
  <c r="BU12" i="10"/>
  <c r="AF12" i="10"/>
  <c r="C12" i="10"/>
  <c r="BU11" i="10"/>
  <c r="AR11" i="10"/>
  <c r="AF11" i="10"/>
  <c r="C11" i="10"/>
  <c r="AR10" i="10"/>
  <c r="BU10" i="10"/>
  <c r="C10" i="10"/>
  <c r="AF10" i="10"/>
  <c r="AR9" i="10"/>
  <c r="BU9" i="10"/>
  <c r="C9" i="10"/>
  <c r="AF9" i="10"/>
  <c r="BU8" i="10"/>
  <c r="AR8" i="10"/>
  <c r="Z8" i="10"/>
  <c r="D8" i="10"/>
  <c r="V8" i="10" s="1"/>
  <c r="W8" i="10" s="1"/>
  <c r="E8" i="10"/>
  <c r="F8" i="10"/>
  <c r="K8" i="10" s="1"/>
  <c r="I8" i="10"/>
  <c r="M8" i="10"/>
  <c r="Y8" i="10"/>
  <c r="AA8" i="10"/>
  <c r="AB8" i="10"/>
  <c r="AD8" i="10"/>
  <c r="G8" i="10"/>
  <c r="AR7" i="10"/>
  <c r="BU7" i="10"/>
  <c r="C7" i="10"/>
  <c r="AF7" i="10"/>
  <c r="AS6" i="10"/>
  <c r="BK6" i="10" s="1"/>
  <c r="BL6" i="10" s="1"/>
  <c r="AT6" i="10"/>
  <c r="AU6" i="10"/>
  <c r="AZ6" i="10" s="1"/>
  <c r="AV6" i="10"/>
  <c r="AX6" i="10"/>
  <c r="AY6" i="10" s="1"/>
  <c r="BB6" i="10"/>
  <c r="BN6" i="10"/>
  <c r="BO6" i="10"/>
  <c r="BP6" i="10"/>
  <c r="BQ6" i="10"/>
  <c r="BS6" i="10"/>
  <c r="AF6" i="10"/>
  <c r="C6" i="10"/>
  <c r="BU5" i="10"/>
  <c r="AR5" i="10"/>
  <c r="AF5" i="10"/>
  <c r="C5" i="10"/>
  <c r="BU4" i="10"/>
  <c r="AR4" i="10"/>
  <c r="AF4" i="10"/>
  <c r="C4" i="10"/>
  <c r="AS26" i="10" l="1"/>
  <c r="BK26" i="10" s="1"/>
  <c r="BL26" i="10" s="1"/>
  <c r="AT26" i="10"/>
  <c r="AU26" i="10"/>
  <c r="AZ26" i="10" s="1"/>
  <c r="AV26" i="10"/>
  <c r="AX26" i="10"/>
  <c r="AY26" i="10" s="1"/>
  <c r="BB26" i="10"/>
  <c r="BN26" i="10"/>
  <c r="BR26" i="10" s="1"/>
  <c r="BT26" i="10" s="1"/>
  <c r="BO26" i="10"/>
  <c r="BP26" i="10"/>
  <c r="BQ26" i="10"/>
  <c r="BS26" i="10"/>
  <c r="BV26" i="10"/>
  <c r="CB26" i="10"/>
  <c r="P26" i="10"/>
  <c r="N26" i="10"/>
  <c r="AN26" i="10"/>
  <c r="AS25" i="10"/>
  <c r="BK25" i="10" s="1"/>
  <c r="BL25" i="10" s="1"/>
  <c r="AT25" i="10"/>
  <c r="AU25" i="10"/>
  <c r="AZ25" i="10" s="1"/>
  <c r="AV25" i="10"/>
  <c r="AX25" i="10"/>
  <c r="AY25" i="10" s="1"/>
  <c r="BB25" i="10"/>
  <c r="BN25" i="10"/>
  <c r="BO25" i="10"/>
  <c r="BP25" i="10"/>
  <c r="BQ25" i="10"/>
  <c r="BS25" i="10"/>
  <c r="D25" i="10"/>
  <c r="V25" i="10" s="1"/>
  <c r="W25" i="10" s="1"/>
  <c r="E25" i="10"/>
  <c r="F25" i="10"/>
  <c r="K25" i="10" s="1"/>
  <c r="G25" i="10"/>
  <c r="I25" i="10"/>
  <c r="J25" i="10" s="1"/>
  <c r="M25" i="10"/>
  <c r="Y25" i="10"/>
  <c r="Z25" i="10"/>
  <c r="AA25" i="10"/>
  <c r="AB25" i="10"/>
  <c r="AD25" i="10"/>
  <c r="AS24" i="10"/>
  <c r="BK24" i="10" s="1"/>
  <c r="BL24" i="10" s="1"/>
  <c r="AT24" i="10"/>
  <c r="AU24" i="10"/>
  <c r="AZ24" i="10" s="1"/>
  <c r="AV24" i="10"/>
  <c r="AX24" i="10"/>
  <c r="BB24" i="10"/>
  <c r="BN24" i="10"/>
  <c r="BR24" i="10" s="1"/>
  <c r="BT24" i="10" s="1"/>
  <c r="BO24" i="10"/>
  <c r="BP24" i="10"/>
  <c r="BQ24" i="10"/>
  <c r="BS24" i="10"/>
  <c r="D24" i="10"/>
  <c r="V24" i="10" s="1"/>
  <c r="W24" i="10" s="1"/>
  <c r="E24" i="10"/>
  <c r="F24" i="10"/>
  <c r="K24" i="10" s="1"/>
  <c r="G24" i="10"/>
  <c r="I24" i="10"/>
  <c r="J24" i="10" s="1"/>
  <c r="M24" i="10"/>
  <c r="Y24" i="10"/>
  <c r="Z24" i="10"/>
  <c r="AA24" i="10"/>
  <c r="AB24" i="10"/>
  <c r="AD24" i="10"/>
  <c r="B10" i="11"/>
  <c r="A8" i="12"/>
  <c r="AS23" i="10"/>
  <c r="BK23" i="10" s="1"/>
  <c r="BL23" i="10" s="1"/>
  <c r="AT23" i="10"/>
  <c r="AU23" i="10"/>
  <c r="AZ23" i="10" s="1"/>
  <c r="AV23" i="10"/>
  <c r="AX23" i="10"/>
  <c r="AY23" i="10" s="1"/>
  <c r="BB23" i="10"/>
  <c r="BN23" i="10"/>
  <c r="BO23" i="10"/>
  <c r="BP23" i="10"/>
  <c r="BQ23" i="10"/>
  <c r="BS23" i="10"/>
  <c r="D23" i="10"/>
  <c r="V23" i="10" s="1"/>
  <c r="W23" i="10" s="1"/>
  <c r="E23" i="10"/>
  <c r="F23" i="10"/>
  <c r="K23" i="10" s="1"/>
  <c r="G23" i="10"/>
  <c r="I23" i="10"/>
  <c r="J23" i="10" s="1"/>
  <c r="M23" i="10"/>
  <c r="Y23" i="10"/>
  <c r="Z23" i="10"/>
  <c r="AA23" i="10"/>
  <c r="AB23" i="10"/>
  <c r="AD23" i="10"/>
  <c r="AS22" i="10"/>
  <c r="BK22" i="10" s="1"/>
  <c r="BL22" i="10" s="1"/>
  <c r="AT22" i="10"/>
  <c r="AU22" i="10"/>
  <c r="AZ22" i="10" s="1"/>
  <c r="AV22" i="10"/>
  <c r="AX22" i="10"/>
  <c r="AY22" i="10" s="1"/>
  <c r="BB22" i="10"/>
  <c r="BN22" i="10"/>
  <c r="BO22" i="10"/>
  <c r="BP22" i="10"/>
  <c r="BQ22" i="10"/>
  <c r="BS22" i="10"/>
  <c r="A14" i="12"/>
  <c r="B17" i="11"/>
  <c r="D22" i="10"/>
  <c r="V22" i="10" s="1"/>
  <c r="W22" i="10" s="1"/>
  <c r="E22" i="10"/>
  <c r="F22" i="10"/>
  <c r="K22" i="10" s="1"/>
  <c r="G22" i="10"/>
  <c r="I22" i="10"/>
  <c r="J22" i="10" s="1"/>
  <c r="M22" i="10"/>
  <c r="Y22" i="10"/>
  <c r="Z22" i="10"/>
  <c r="AA22" i="10"/>
  <c r="AB22" i="10"/>
  <c r="AD22" i="10"/>
  <c r="AS21" i="10"/>
  <c r="BK21" i="10" s="1"/>
  <c r="BL21" i="10" s="1"/>
  <c r="AT21" i="10"/>
  <c r="AU21" i="10"/>
  <c r="AZ21" i="10" s="1"/>
  <c r="AV21" i="10"/>
  <c r="AX21" i="10"/>
  <c r="AY21" i="10" s="1"/>
  <c r="BB21" i="10"/>
  <c r="BN21" i="10"/>
  <c r="BO21" i="10"/>
  <c r="BP21" i="10"/>
  <c r="BQ21" i="10"/>
  <c r="BS21" i="10"/>
  <c r="A13" i="12"/>
  <c r="B16" i="11"/>
  <c r="D21" i="10"/>
  <c r="V21" i="10" s="1"/>
  <c r="W21" i="10" s="1"/>
  <c r="E21" i="10"/>
  <c r="F21" i="10"/>
  <c r="K21" i="10" s="1"/>
  <c r="G21" i="10"/>
  <c r="I21" i="10"/>
  <c r="J21" i="10" s="1"/>
  <c r="M21" i="10"/>
  <c r="Y21" i="10"/>
  <c r="Z21" i="10"/>
  <c r="AA21" i="10"/>
  <c r="AB21" i="10"/>
  <c r="AD21" i="10"/>
  <c r="B9" i="11"/>
  <c r="A7" i="12"/>
  <c r="AS20" i="10"/>
  <c r="BK20" i="10" s="1"/>
  <c r="BL20" i="10" s="1"/>
  <c r="AT20" i="10"/>
  <c r="AU20" i="10"/>
  <c r="AZ20" i="10" s="1"/>
  <c r="AV20" i="10"/>
  <c r="AX20" i="10"/>
  <c r="AY20" i="10" s="1"/>
  <c r="BB20" i="10"/>
  <c r="BN20" i="10"/>
  <c r="BO20" i="10"/>
  <c r="BP20" i="10"/>
  <c r="BQ20" i="10"/>
  <c r="BS20" i="10"/>
  <c r="D20" i="10"/>
  <c r="V20" i="10" s="1"/>
  <c r="W20" i="10" s="1"/>
  <c r="E20" i="10"/>
  <c r="F20" i="10"/>
  <c r="K20" i="10" s="1"/>
  <c r="G20" i="10"/>
  <c r="I20" i="10"/>
  <c r="J20" i="10" s="1"/>
  <c r="M20" i="10"/>
  <c r="Y20" i="10"/>
  <c r="AC20" i="10" s="1"/>
  <c r="AE20" i="10" s="1"/>
  <c r="Z20" i="10"/>
  <c r="AA20" i="10"/>
  <c r="AB20" i="10"/>
  <c r="AD20" i="10"/>
  <c r="BC19" i="10"/>
  <c r="CC19" i="10"/>
  <c r="D19" i="10"/>
  <c r="V19" i="10" s="1"/>
  <c r="W19" i="10" s="1"/>
  <c r="E19" i="10"/>
  <c r="F19" i="10"/>
  <c r="K19" i="10" s="1"/>
  <c r="G19" i="10"/>
  <c r="I19" i="10"/>
  <c r="J19" i="10" s="1"/>
  <c r="M19" i="10"/>
  <c r="Y19" i="10"/>
  <c r="Z19" i="10"/>
  <c r="AA19" i="10"/>
  <c r="AB19" i="10"/>
  <c r="AD19" i="10"/>
  <c r="AS18" i="10"/>
  <c r="BK18" i="10" s="1"/>
  <c r="BL18" i="10" s="1"/>
  <c r="AT18" i="10"/>
  <c r="AU18" i="10"/>
  <c r="AZ18" i="10" s="1"/>
  <c r="AV18" i="10"/>
  <c r="AX18" i="10"/>
  <c r="AY18" i="10" s="1"/>
  <c r="BB18" i="10"/>
  <c r="BN18" i="10"/>
  <c r="BO18" i="10"/>
  <c r="BP18" i="10"/>
  <c r="BQ18" i="10"/>
  <c r="BS18" i="10"/>
  <c r="D18" i="10"/>
  <c r="V18" i="10" s="1"/>
  <c r="W18" i="10" s="1"/>
  <c r="E18" i="10"/>
  <c r="F18" i="10"/>
  <c r="K18" i="10" s="1"/>
  <c r="G18" i="10"/>
  <c r="I18" i="10"/>
  <c r="J18" i="10" s="1"/>
  <c r="M18" i="10"/>
  <c r="Y18" i="10"/>
  <c r="AC18" i="10" s="1"/>
  <c r="AE18" i="10" s="1"/>
  <c r="Z18" i="10"/>
  <c r="AA18" i="10"/>
  <c r="AB18" i="10"/>
  <c r="AD18" i="10"/>
  <c r="AS17" i="10"/>
  <c r="BK17" i="10" s="1"/>
  <c r="BL17" i="10" s="1"/>
  <c r="AT17" i="10"/>
  <c r="AU17" i="10"/>
  <c r="AZ17" i="10" s="1"/>
  <c r="AV17" i="10"/>
  <c r="AX17" i="10"/>
  <c r="AY17" i="10" s="1"/>
  <c r="BB17" i="10"/>
  <c r="BN17" i="10"/>
  <c r="BO17" i="10"/>
  <c r="BP17" i="10"/>
  <c r="BQ17" i="10"/>
  <c r="BS17" i="10"/>
  <c r="B15" i="11"/>
  <c r="A12" i="12"/>
  <c r="D17" i="10"/>
  <c r="V17" i="10" s="1"/>
  <c r="W17" i="10" s="1"/>
  <c r="E17" i="10"/>
  <c r="F17" i="10"/>
  <c r="K17" i="10" s="1"/>
  <c r="G17" i="10"/>
  <c r="I17" i="10"/>
  <c r="J17" i="10" s="1"/>
  <c r="M17" i="10"/>
  <c r="Y17" i="10"/>
  <c r="Z17" i="10"/>
  <c r="AA17" i="10"/>
  <c r="AB17" i="10"/>
  <c r="AD17" i="10"/>
  <c r="AS16" i="10"/>
  <c r="BK16" i="10" s="1"/>
  <c r="BL16" i="10" s="1"/>
  <c r="AT16" i="10"/>
  <c r="AU16" i="10"/>
  <c r="AZ16" i="10" s="1"/>
  <c r="AV16" i="10"/>
  <c r="AX16" i="10"/>
  <c r="AY16" i="10" s="1"/>
  <c r="BB16" i="10"/>
  <c r="BN16" i="10"/>
  <c r="BO16" i="10"/>
  <c r="BP16" i="10"/>
  <c r="BQ16" i="10"/>
  <c r="BS16" i="10"/>
  <c r="D16" i="10"/>
  <c r="V16" i="10" s="1"/>
  <c r="W16" i="10" s="1"/>
  <c r="E16" i="10"/>
  <c r="F16" i="10"/>
  <c r="K16" i="10" s="1"/>
  <c r="G16" i="10"/>
  <c r="I16" i="10"/>
  <c r="J16" i="10" s="1"/>
  <c r="M16" i="10"/>
  <c r="Y16" i="10"/>
  <c r="Z16" i="10"/>
  <c r="AA16" i="10"/>
  <c r="AB16" i="10"/>
  <c r="AD16" i="10"/>
  <c r="AS15" i="10"/>
  <c r="BK15" i="10" s="1"/>
  <c r="BL15" i="10" s="1"/>
  <c r="AT15" i="10"/>
  <c r="AU15" i="10"/>
  <c r="AZ15" i="10" s="1"/>
  <c r="AV15" i="10"/>
  <c r="AX15" i="10"/>
  <c r="AY15" i="10" s="1"/>
  <c r="BB15" i="10"/>
  <c r="BN15" i="10"/>
  <c r="BO15" i="10"/>
  <c r="BP15" i="10"/>
  <c r="BQ15" i="10"/>
  <c r="BS15" i="10"/>
  <c r="A11" i="12"/>
  <c r="B14" i="11"/>
  <c r="BV15" i="10"/>
  <c r="CB15" i="10"/>
  <c r="D15" i="10"/>
  <c r="V15" i="10" s="1"/>
  <c r="W15" i="10" s="1"/>
  <c r="E15" i="10"/>
  <c r="F15" i="10"/>
  <c r="K15" i="10" s="1"/>
  <c r="G15" i="10"/>
  <c r="I15" i="10"/>
  <c r="J15" i="10" s="1"/>
  <c r="M15" i="10"/>
  <c r="Y15" i="10"/>
  <c r="Z15" i="10"/>
  <c r="AA15" i="10"/>
  <c r="AB15" i="10"/>
  <c r="AD15" i="10"/>
  <c r="B8" i="11"/>
  <c r="A6" i="12"/>
  <c r="AS14" i="10"/>
  <c r="BK14" i="10" s="1"/>
  <c r="BL14" i="10" s="1"/>
  <c r="AT14" i="10"/>
  <c r="AU14" i="10"/>
  <c r="AZ14" i="10" s="1"/>
  <c r="AV14" i="10"/>
  <c r="AX14" i="10"/>
  <c r="AY14" i="10" s="1"/>
  <c r="BB14" i="10"/>
  <c r="BN14" i="10"/>
  <c r="BO14" i="10"/>
  <c r="BP14" i="10"/>
  <c r="BQ14" i="10"/>
  <c r="BS14" i="10"/>
  <c r="D14" i="10"/>
  <c r="V14" i="10" s="1"/>
  <c r="W14" i="10" s="1"/>
  <c r="E14" i="10"/>
  <c r="F14" i="10"/>
  <c r="K14" i="10" s="1"/>
  <c r="G14" i="10"/>
  <c r="I14" i="10"/>
  <c r="J14" i="10" s="1"/>
  <c r="Y14" i="10"/>
  <c r="Z14" i="10"/>
  <c r="AB14" i="10"/>
  <c r="AD14" i="10"/>
  <c r="M14" i="10"/>
  <c r="AA14" i="10"/>
  <c r="AS13" i="10"/>
  <c r="BK13" i="10" s="1"/>
  <c r="BL13" i="10" s="1"/>
  <c r="AT13" i="10"/>
  <c r="AU13" i="10"/>
  <c r="AZ13" i="10" s="1"/>
  <c r="AX13" i="10"/>
  <c r="BB13" i="10"/>
  <c r="BN13" i="10"/>
  <c r="BO13" i="10"/>
  <c r="BQ13" i="10"/>
  <c r="BS13" i="10"/>
  <c r="AV13" i="10"/>
  <c r="BP13" i="10"/>
  <c r="P13" i="10"/>
  <c r="N13" i="10"/>
  <c r="AN13" i="10"/>
  <c r="AS12" i="10"/>
  <c r="BK12" i="10" s="1"/>
  <c r="BL12" i="10" s="1"/>
  <c r="AT12" i="10"/>
  <c r="AU12" i="10"/>
  <c r="AZ12" i="10" s="1"/>
  <c r="AV12" i="10"/>
  <c r="AX12" i="10"/>
  <c r="AY12" i="10" s="1"/>
  <c r="BB12" i="10"/>
  <c r="BN12" i="10"/>
  <c r="BO12" i="10"/>
  <c r="BP12" i="10"/>
  <c r="BQ12" i="10"/>
  <c r="BS12" i="10"/>
  <c r="B13" i="11"/>
  <c r="A6" i="13"/>
  <c r="D12" i="10"/>
  <c r="V12" i="10" s="1"/>
  <c r="W12" i="10" s="1"/>
  <c r="E12" i="10"/>
  <c r="F12" i="10"/>
  <c r="K12" i="10" s="1"/>
  <c r="G12" i="10"/>
  <c r="I12" i="10"/>
  <c r="J12" i="10" s="1"/>
  <c r="M12" i="10"/>
  <c r="Y12" i="10"/>
  <c r="Z12" i="10"/>
  <c r="AA12" i="10"/>
  <c r="AB12" i="10"/>
  <c r="AD12" i="10"/>
  <c r="B6" i="11"/>
  <c r="A5" i="13"/>
  <c r="AS11" i="10"/>
  <c r="BK11" i="10" s="1"/>
  <c r="BL11" i="10" s="1"/>
  <c r="AT11" i="10"/>
  <c r="AU11" i="10"/>
  <c r="AZ11" i="10" s="1"/>
  <c r="AV11" i="10"/>
  <c r="AX11" i="10"/>
  <c r="AY11" i="10" s="1"/>
  <c r="BB11" i="10"/>
  <c r="BN11" i="10"/>
  <c r="BO11" i="10"/>
  <c r="BP11" i="10"/>
  <c r="BQ11" i="10"/>
  <c r="BS11" i="10"/>
  <c r="D11" i="10"/>
  <c r="V11" i="10" s="1"/>
  <c r="W11" i="10" s="1"/>
  <c r="E11" i="10"/>
  <c r="F11" i="10"/>
  <c r="K11" i="10" s="1"/>
  <c r="G11" i="10"/>
  <c r="I11" i="10"/>
  <c r="J11" i="10" s="1"/>
  <c r="M11" i="10"/>
  <c r="Y11" i="10"/>
  <c r="Z11" i="10"/>
  <c r="AA11" i="10"/>
  <c r="AB11" i="10"/>
  <c r="AD11" i="10"/>
  <c r="AS10" i="10"/>
  <c r="BK10" i="10" s="1"/>
  <c r="BL10" i="10" s="1"/>
  <c r="AT10" i="10"/>
  <c r="AU10" i="10"/>
  <c r="AZ10" i="10" s="1"/>
  <c r="AV10" i="10"/>
  <c r="AX10" i="10"/>
  <c r="AY10" i="10" s="1"/>
  <c r="BB10" i="10"/>
  <c r="BN10" i="10"/>
  <c r="BO10" i="10"/>
  <c r="BP10" i="10"/>
  <c r="BQ10" i="10"/>
  <c r="BS10" i="10"/>
  <c r="D10" i="10"/>
  <c r="V10" i="10" s="1"/>
  <c r="W10" i="10" s="1"/>
  <c r="E10" i="10"/>
  <c r="F10" i="10"/>
  <c r="K10" i="10" s="1"/>
  <c r="G10" i="10"/>
  <c r="I10" i="10"/>
  <c r="J10" i="10" s="1"/>
  <c r="M10" i="10"/>
  <c r="Y10" i="10"/>
  <c r="Z10" i="10"/>
  <c r="AA10" i="10"/>
  <c r="AB10" i="10"/>
  <c r="AD10" i="10"/>
  <c r="B5" i="11"/>
  <c r="A4" i="13"/>
  <c r="AS9" i="10"/>
  <c r="BK9" i="10" s="1"/>
  <c r="BL9" i="10" s="1"/>
  <c r="AT9" i="10"/>
  <c r="AU9" i="10"/>
  <c r="AZ9" i="10" s="1"/>
  <c r="AV9" i="10"/>
  <c r="AX9" i="10"/>
  <c r="AY9" i="10" s="1"/>
  <c r="BB9" i="10"/>
  <c r="BN9" i="10"/>
  <c r="BO9" i="10"/>
  <c r="BP9" i="10"/>
  <c r="BQ9" i="10"/>
  <c r="BS9" i="10"/>
  <c r="D9" i="10"/>
  <c r="V9" i="10" s="1"/>
  <c r="W9" i="10" s="1"/>
  <c r="E9" i="10"/>
  <c r="F9" i="10"/>
  <c r="K9" i="10" s="1"/>
  <c r="G9" i="10"/>
  <c r="I9" i="10"/>
  <c r="J9" i="10" s="1"/>
  <c r="M9" i="10"/>
  <c r="Y9" i="10"/>
  <c r="Z9" i="10"/>
  <c r="AA9" i="10"/>
  <c r="AB9" i="10"/>
  <c r="AD9" i="10"/>
  <c r="AT8" i="10"/>
  <c r="AU8" i="10"/>
  <c r="AZ8" i="10" s="1"/>
  <c r="AV8" i="10"/>
  <c r="AX8" i="10"/>
  <c r="AY8" i="10" s="1"/>
  <c r="A10" i="12"/>
  <c r="B12" i="11"/>
  <c r="AS8" i="10"/>
  <c r="BK8" i="10" s="1"/>
  <c r="BL8" i="10" s="1"/>
  <c r="BB8" i="10"/>
  <c r="BN8" i="10"/>
  <c r="BO8" i="10"/>
  <c r="BP8" i="10"/>
  <c r="BQ8" i="10"/>
  <c r="BS8" i="10"/>
  <c r="N8" i="10"/>
  <c r="AS7" i="10"/>
  <c r="BK7" i="10" s="1"/>
  <c r="BL7" i="10" s="1"/>
  <c r="AT7" i="10"/>
  <c r="AU7" i="10"/>
  <c r="AZ7" i="10" s="1"/>
  <c r="AV7" i="10"/>
  <c r="AX7" i="10"/>
  <c r="AY7" i="10" s="1"/>
  <c r="BB7" i="10"/>
  <c r="BN7" i="10"/>
  <c r="BO7" i="10"/>
  <c r="BP7" i="10"/>
  <c r="BQ7" i="10"/>
  <c r="BS7" i="10"/>
  <c r="D7" i="10"/>
  <c r="V7" i="10" s="1"/>
  <c r="W7" i="10" s="1"/>
  <c r="E7" i="10"/>
  <c r="F7" i="10"/>
  <c r="K7" i="10" s="1"/>
  <c r="G7" i="10"/>
  <c r="I7" i="10"/>
  <c r="J7" i="10" s="1"/>
  <c r="M7" i="10"/>
  <c r="Y7" i="10"/>
  <c r="Z7" i="10"/>
  <c r="AA7" i="10"/>
  <c r="AB7" i="10"/>
  <c r="AD7" i="10"/>
  <c r="BE6" i="10"/>
  <c r="BC6" i="10"/>
  <c r="CC6" i="10"/>
  <c r="D6" i="10"/>
  <c r="V6" i="10" s="1"/>
  <c r="W6" i="10" s="1"/>
  <c r="E6" i="10"/>
  <c r="F6" i="10"/>
  <c r="K6" i="10" s="1"/>
  <c r="G6" i="10"/>
  <c r="I6" i="10"/>
  <c r="J6" i="10" s="1"/>
  <c r="M6" i="10"/>
  <c r="Y6" i="10"/>
  <c r="Z6" i="10"/>
  <c r="AA6" i="10"/>
  <c r="AB6" i="10"/>
  <c r="AD6" i="10"/>
  <c r="AS5" i="10"/>
  <c r="BK5" i="10" s="1"/>
  <c r="BL5" i="10" s="1"/>
  <c r="AT5" i="10"/>
  <c r="AU5" i="10"/>
  <c r="AZ5" i="10" s="1"/>
  <c r="AV5" i="10"/>
  <c r="AX5" i="10"/>
  <c r="AY5" i="10" s="1"/>
  <c r="BB5" i="10"/>
  <c r="BN5" i="10"/>
  <c r="BO5" i="10"/>
  <c r="BP5" i="10"/>
  <c r="BQ5" i="10"/>
  <c r="BS5" i="10"/>
  <c r="B11" i="11"/>
  <c r="A9" i="12"/>
  <c r="D5" i="10"/>
  <c r="V5" i="10" s="1"/>
  <c r="W5" i="10" s="1"/>
  <c r="E5" i="10"/>
  <c r="F5" i="10"/>
  <c r="K5" i="10" s="1"/>
  <c r="G5" i="10"/>
  <c r="I5" i="10"/>
  <c r="J5" i="10" s="1"/>
  <c r="M5" i="10"/>
  <c r="Y5" i="10"/>
  <c r="Z5" i="10"/>
  <c r="AA5" i="10"/>
  <c r="AB5" i="10"/>
  <c r="AD5" i="10"/>
  <c r="AS4" i="10"/>
  <c r="BK4" i="10" s="1"/>
  <c r="BL4" i="10" s="1"/>
  <c r="AT4" i="10"/>
  <c r="AU4" i="10"/>
  <c r="AZ4" i="10" s="1"/>
  <c r="AV4" i="10"/>
  <c r="AX4" i="10"/>
  <c r="AY4" i="10" s="1"/>
  <c r="BB4" i="10"/>
  <c r="BN4" i="10"/>
  <c r="BO4" i="10"/>
  <c r="BP4" i="10"/>
  <c r="BQ4" i="10"/>
  <c r="BS4" i="10"/>
  <c r="D4" i="10"/>
  <c r="V4" i="10" s="1"/>
  <c r="W4" i="10" s="1"/>
  <c r="E4" i="10"/>
  <c r="F4" i="10"/>
  <c r="K4" i="10" s="1"/>
  <c r="G4" i="10"/>
  <c r="I4" i="10"/>
  <c r="J4" i="10" s="1"/>
  <c r="M4" i="10"/>
  <c r="Y4" i="10"/>
  <c r="Z4" i="10"/>
  <c r="AA4" i="10"/>
  <c r="AB4" i="10"/>
  <c r="AD4" i="10"/>
  <c r="A4" i="12"/>
  <c r="B4" i="11"/>
  <c r="AC13" i="10"/>
  <c r="AE13" i="10" s="1"/>
  <c r="AC26" i="10"/>
  <c r="AE26" i="10" s="1"/>
  <c r="AY19" i="10"/>
  <c r="BR19" i="10"/>
  <c r="BT19" i="10" s="1"/>
  <c r="J8" i="10"/>
  <c r="AN8" i="10" s="1"/>
  <c r="AC8" i="10"/>
  <c r="AE8" i="10" s="1"/>
  <c r="BR6" i="10"/>
  <c r="BT6" i="10" s="1"/>
  <c r="BE26" i="10" l="1"/>
  <c r="BC26" i="10"/>
  <c r="BD26" i="10" s="1"/>
  <c r="CC26" i="10"/>
  <c r="D15" i="12"/>
  <c r="E15" i="12" s="1"/>
  <c r="E18" i="11"/>
  <c r="F18" i="11" s="1"/>
  <c r="G18" i="11" s="1"/>
  <c r="BX26" i="10"/>
  <c r="C18" i="11"/>
  <c r="F15" i="12"/>
  <c r="G15" i="12" s="1"/>
  <c r="Q26" i="10"/>
  <c r="R26" i="10" s="1"/>
  <c r="T26" i="10" s="1"/>
  <c r="S26" i="10"/>
  <c r="O26" i="10"/>
  <c r="BE25" i="10"/>
  <c r="BC25" i="10"/>
  <c r="CC25" i="10"/>
  <c r="P25" i="10"/>
  <c r="N25" i="10"/>
  <c r="AN25" i="10"/>
  <c r="BC24" i="10"/>
  <c r="CC24" i="10"/>
  <c r="P24" i="10"/>
  <c r="N24" i="10"/>
  <c r="AN24" i="10"/>
  <c r="BE23" i="10"/>
  <c r="BC23" i="10"/>
  <c r="CC23" i="10"/>
  <c r="P23" i="10"/>
  <c r="N23" i="10"/>
  <c r="AN23" i="10"/>
  <c r="BE22" i="10"/>
  <c r="BC22" i="10"/>
  <c r="CC22" i="10"/>
  <c r="P22" i="10"/>
  <c r="N22" i="10"/>
  <c r="AN22" i="10"/>
  <c r="BE21" i="10"/>
  <c r="BC21" i="10"/>
  <c r="CC21" i="10"/>
  <c r="P21" i="10"/>
  <c r="N21" i="10"/>
  <c r="AN21" i="10"/>
  <c r="BE20" i="10"/>
  <c r="BC20" i="10"/>
  <c r="CC20" i="10"/>
  <c r="P20" i="10"/>
  <c r="N20" i="10"/>
  <c r="AN20" i="10"/>
  <c r="BD19" i="10"/>
  <c r="P19" i="10"/>
  <c r="N19" i="10"/>
  <c r="AN19" i="10"/>
  <c r="BE18" i="10"/>
  <c r="BC18" i="10"/>
  <c r="CC18" i="10"/>
  <c r="P18" i="10"/>
  <c r="N18" i="10"/>
  <c r="AN18" i="10"/>
  <c r="BE17" i="10"/>
  <c r="BC17" i="10"/>
  <c r="CC17" i="10"/>
  <c r="P17" i="10"/>
  <c r="N17" i="10"/>
  <c r="AN17" i="10"/>
  <c r="BE16" i="10"/>
  <c r="BC16" i="10"/>
  <c r="CC16" i="10"/>
  <c r="P16" i="10"/>
  <c r="N16" i="10"/>
  <c r="AN16" i="10"/>
  <c r="BE15" i="10"/>
  <c r="BC15" i="10"/>
  <c r="BD15" i="10" s="1"/>
  <c r="CC15" i="10"/>
  <c r="BX15" i="10"/>
  <c r="D11" i="12"/>
  <c r="E11" i="12" s="1"/>
  <c r="E14" i="11"/>
  <c r="F14" i="11" s="1"/>
  <c r="G14" i="11" s="1"/>
  <c r="F11" i="12"/>
  <c r="G11" i="12" s="1"/>
  <c r="C14" i="11"/>
  <c r="P15" i="10"/>
  <c r="N15" i="10"/>
  <c r="AN15" i="10"/>
  <c r="BE14" i="10"/>
  <c r="BC14" i="10"/>
  <c r="CC14" i="10"/>
  <c r="P14" i="10"/>
  <c r="AN14" i="10"/>
  <c r="N14" i="10"/>
  <c r="BC13" i="10"/>
  <c r="CC13" i="10"/>
  <c r="Q13" i="10"/>
  <c r="R13" i="10" s="1"/>
  <c r="T13" i="10" s="1"/>
  <c r="S13" i="10"/>
  <c r="O13" i="10"/>
  <c r="BE12" i="10"/>
  <c r="BC12" i="10"/>
  <c r="CC12" i="10"/>
  <c r="P12" i="10"/>
  <c r="N12" i="10"/>
  <c r="AN12" i="10"/>
  <c r="BE11" i="10"/>
  <c r="BC11" i="10"/>
  <c r="CC11" i="10"/>
  <c r="P11" i="10"/>
  <c r="N11" i="10"/>
  <c r="AN11" i="10"/>
  <c r="BE10" i="10"/>
  <c r="BC10" i="10"/>
  <c r="CC10" i="10"/>
  <c r="P10" i="10"/>
  <c r="N10" i="10"/>
  <c r="AN10" i="10"/>
  <c r="BE9" i="10"/>
  <c r="BC9" i="10"/>
  <c r="CC9" i="10"/>
  <c r="P9" i="10"/>
  <c r="N9" i="10"/>
  <c r="AN9" i="10"/>
  <c r="BE8" i="10"/>
  <c r="BC8" i="10"/>
  <c r="CC8" i="10"/>
  <c r="O8" i="10"/>
  <c r="BE7" i="10"/>
  <c r="BC7" i="10"/>
  <c r="CC7" i="10"/>
  <c r="P7" i="10"/>
  <c r="N7" i="10"/>
  <c r="AN7" i="10"/>
  <c r="BF6" i="10"/>
  <c r="BG6" i="10" s="1"/>
  <c r="BH6" i="10"/>
  <c r="BD6" i="10"/>
  <c r="P6" i="10"/>
  <c r="N6" i="10"/>
  <c r="AN6" i="10"/>
  <c r="BE5" i="10"/>
  <c r="BC5" i="10"/>
  <c r="CC5" i="10"/>
  <c r="P5" i="10"/>
  <c r="N5" i="10"/>
  <c r="AN5" i="10"/>
  <c r="BE4" i="10"/>
  <c r="BC4" i="10"/>
  <c r="CC4" i="10"/>
  <c r="P4" i="10"/>
  <c r="N4" i="10"/>
  <c r="AN4" i="10"/>
  <c r="BE19" i="10"/>
  <c r="P8" i="10"/>
  <c r="BR23" i="10"/>
  <c r="BT23" i="10" s="1"/>
  <c r="AC23" i="10"/>
  <c r="AE23" i="10" s="1"/>
  <c r="BR22" i="10"/>
  <c r="BT22" i="10" s="1"/>
  <c r="AC22" i="10"/>
  <c r="AE22" i="10" s="1"/>
  <c r="BR21" i="10"/>
  <c r="BT21" i="10" s="1"/>
  <c r="BR20" i="10"/>
  <c r="BT20" i="10" s="1"/>
  <c r="BR17" i="10"/>
  <c r="BT17" i="10" s="1"/>
  <c r="AC17" i="10"/>
  <c r="AE17" i="10" s="1"/>
  <c r="BR16" i="10"/>
  <c r="BT16" i="10" s="1"/>
  <c r="AC16" i="10"/>
  <c r="AE16" i="10" s="1"/>
  <c r="BR15" i="10"/>
  <c r="BT15" i="10" s="1"/>
  <c r="AC15" i="10"/>
  <c r="AE15" i="10" s="1"/>
  <c r="BR14" i="10"/>
  <c r="BT14" i="10" s="1"/>
  <c r="AC14" i="10"/>
  <c r="AE14" i="10" s="1"/>
  <c r="AY13" i="10"/>
  <c r="BR13" i="10"/>
  <c r="BT13" i="10" s="1"/>
  <c r="BR12" i="10"/>
  <c r="BT12" i="10" s="1"/>
  <c r="AC10" i="10"/>
  <c r="AE10" i="10" s="1"/>
  <c r="AY24" i="10"/>
  <c r="AC24" i="10"/>
  <c r="AE24" i="10" s="1"/>
  <c r="AC12" i="10"/>
  <c r="AE12" i="10" s="1"/>
  <c r="BR11" i="10"/>
  <c r="BT11" i="10" s="1"/>
  <c r="AC11" i="10"/>
  <c r="AE11" i="10" s="1"/>
  <c r="BR10" i="10"/>
  <c r="BT10" i="10" s="1"/>
  <c r="AC7" i="10"/>
  <c r="AE7" i="10" s="1"/>
  <c r="AC4" i="10"/>
  <c r="AE4" i="10" s="1"/>
  <c r="BR25" i="10"/>
  <c r="BT25" i="10" s="1"/>
  <c r="BR9" i="10"/>
  <c r="BT9" i="10" s="1"/>
  <c r="AC9" i="10"/>
  <c r="AE9" i="10" s="1"/>
  <c r="BR8" i="10"/>
  <c r="BT8" i="10" s="1"/>
  <c r="BR7" i="10"/>
  <c r="BT7" i="10" s="1"/>
  <c r="AC21" i="10"/>
  <c r="AE21" i="10" s="1"/>
  <c r="AC19" i="10"/>
  <c r="AE19" i="10" s="1"/>
  <c r="BR18" i="10"/>
  <c r="BT18" i="10" s="1"/>
  <c r="AC6" i="10"/>
  <c r="AE6" i="10" s="1"/>
  <c r="BR5" i="10"/>
  <c r="BT5" i="10" s="1"/>
  <c r="AC5" i="10"/>
  <c r="AE5" i="10" s="1"/>
  <c r="BR4" i="10"/>
  <c r="BT4" i="10" s="1"/>
  <c r="AC25" i="10"/>
  <c r="AE25" i="10" s="1"/>
  <c r="BF26" i="10" l="1"/>
  <c r="BG26" i="10" s="1"/>
  <c r="BH26" i="10"/>
  <c r="BF25" i="10"/>
  <c r="BD25" i="10"/>
  <c r="BH25" i="10" s="1"/>
  <c r="Q25" i="10"/>
  <c r="O25" i="10"/>
  <c r="S25" i="10" s="1"/>
  <c r="BD24" i="10"/>
  <c r="Q24" i="10"/>
  <c r="O24" i="10"/>
  <c r="S24" i="10" s="1"/>
  <c r="BF23" i="10"/>
  <c r="BD23" i="10"/>
  <c r="BH23" i="10" s="1"/>
  <c r="Q23" i="10"/>
  <c r="R23" i="10" s="1"/>
  <c r="O23" i="10"/>
  <c r="S23" i="10" s="1"/>
  <c r="T23" i="10" s="1"/>
  <c r="BF22" i="10"/>
  <c r="BD22" i="10"/>
  <c r="BH22" i="10" s="1"/>
  <c r="Q22" i="10"/>
  <c r="O22" i="10"/>
  <c r="BF21" i="10"/>
  <c r="CB21" i="10"/>
  <c r="BD21" i="10"/>
  <c r="BH21" i="10" s="1"/>
  <c r="Q21" i="10"/>
  <c r="O21" i="10"/>
  <c r="S21" i="10" s="1"/>
  <c r="BF20" i="10"/>
  <c r="BH20" i="10"/>
  <c r="BD20" i="10"/>
  <c r="Q20" i="10"/>
  <c r="O20" i="10"/>
  <c r="S20" i="10" s="1"/>
  <c r="Q19" i="10"/>
  <c r="O19" i="10"/>
  <c r="S19" i="10" s="1"/>
  <c r="BF18" i="10"/>
  <c r="BG18" i="10" s="1"/>
  <c r="BD18" i="10"/>
  <c r="BH18" i="10" s="1"/>
  <c r="Q18" i="10"/>
  <c r="O18" i="10"/>
  <c r="S18" i="10" s="1"/>
  <c r="BF17" i="10"/>
  <c r="BG17" i="10" s="1"/>
  <c r="BH17" i="10"/>
  <c r="CB17" i="10"/>
  <c r="BD17" i="10"/>
  <c r="Q17" i="10"/>
  <c r="O17" i="10"/>
  <c r="BF16" i="10"/>
  <c r="BD16" i="10"/>
  <c r="BH16" i="10" s="1"/>
  <c r="Q16" i="10"/>
  <c r="O16" i="10"/>
  <c r="S16" i="10" s="1"/>
  <c r="BF15" i="10"/>
  <c r="BG15" i="10" s="1"/>
  <c r="BH15" i="10"/>
  <c r="Q15" i="10"/>
  <c r="AM15" i="10"/>
  <c r="O15" i="10"/>
  <c r="S15" i="10" s="1"/>
  <c r="BF14" i="10"/>
  <c r="BG14" i="10" s="1"/>
  <c r="BD14" i="10"/>
  <c r="BH14" i="10" s="1"/>
  <c r="Q14" i="10"/>
  <c r="O14" i="10"/>
  <c r="S14" i="10" s="1"/>
  <c r="BD13" i="10"/>
  <c r="BF12" i="10"/>
  <c r="BD12" i="10"/>
  <c r="BH12" i="10" s="1"/>
  <c r="Q12" i="10"/>
  <c r="O12" i="10"/>
  <c r="S12" i="10" s="1"/>
  <c r="BF11" i="10"/>
  <c r="BD11" i="10"/>
  <c r="BH11" i="10" s="1"/>
  <c r="Q11" i="10"/>
  <c r="O11" i="10"/>
  <c r="S11" i="10" s="1"/>
  <c r="BF10" i="10"/>
  <c r="BD10" i="10"/>
  <c r="BH10" i="10" s="1"/>
  <c r="Q10" i="10"/>
  <c r="O10" i="10"/>
  <c r="S10" i="10" s="1"/>
  <c r="BF9" i="10"/>
  <c r="BD9" i="10"/>
  <c r="BH9" i="10" s="1"/>
  <c r="Q9" i="10"/>
  <c r="O9" i="10"/>
  <c r="S9" i="10" s="1"/>
  <c r="BF8" i="10"/>
  <c r="BD8" i="10"/>
  <c r="BH8" i="10" s="1"/>
  <c r="BF7" i="10"/>
  <c r="BD7" i="10"/>
  <c r="BH7" i="10" s="1"/>
  <c r="Q7" i="10"/>
  <c r="R7" i="10" s="1"/>
  <c r="T7" i="10" s="1"/>
  <c r="S7" i="10"/>
  <c r="O7" i="10"/>
  <c r="Q6" i="10"/>
  <c r="O6" i="10"/>
  <c r="S6" i="10" s="1"/>
  <c r="BF5" i="10"/>
  <c r="BG5" i="10" s="1"/>
  <c r="BH5" i="10"/>
  <c r="BD5" i="10"/>
  <c r="Q5" i="10"/>
  <c r="R5" i="10" s="1"/>
  <c r="O5" i="10"/>
  <c r="S5" i="10" s="1"/>
  <c r="T5" i="10" s="1"/>
  <c r="BF4" i="10"/>
  <c r="BD4" i="10"/>
  <c r="BH4" i="10" s="1"/>
  <c r="Q4" i="10"/>
  <c r="O4" i="10"/>
  <c r="S4" i="10" s="1"/>
  <c r="BF19" i="10"/>
  <c r="BG19" i="10" s="1"/>
  <c r="BH19" i="10"/>
  <c r="Q8" i="10"/>
  <c r="R8" i="10" s="1"/>
  <c r="S8" i="10"/>
  <c r="BE13" i="10"/>
  <c r="BE24" i="10"/>
  <c r="BI6" i="10"/>
  <c r="CC27" i="10"/>
  <c r="AN27" i="10"/>
  <c r="B30" i="10" s="1"/>
  <c r="B17" i="1" s="1"/>
  <c r="U26" i="10"/>
  <c r="AM26" i="10"/>
  <c r="U13" i="10"/>
  <c r="AM13" i="10"/>
  <c r="C16" i="11" l="1"/>
  <c r="F13" i="12"/>
  <c r="G13" i="12" s="1"/>
  <c r="C15" i="11"/>
  <c r="F12" i="12"/>
  <c r="G12" i="12" s="1"/>
  <c r="F6" i="12"/>
  <c r="G6" i="12" s="1"/>
  <c r="C8" i="11"/>
  <c r="BF13" i="10"/>
  <c r="BG13" i="10" s="1"/>
  <c r="BH13" i="10"/>
  <c r="BF24" i="10"/>
  <c r="BG24" i="10" s="1"/>
  <c r="BH24" i="10"/>
  <c r="CB6" i="10"/>
  <c r="BJ6" i="10"/>
  <c r="X26" i="10"/>
  <c r="AG26" i="10"/>
  <c r="AI26" i="10" s="1"/>
  <c r="X13" i="10"/>
  <c r="AG13" i="10" s="1"/>
  <c r="C7" i="11"/>
  <c r="F5" i="12"/>
  <c r="G5" i="12" s="1"/>
  <c r="BG22" i="10"/>
  <c r="BI22" i="10" s="1"/>
  <c r="R22" i="10"/>
  <c r="BG21" i="10"/>
  <c r="BI21" i="10" s="1"/>
  <c r="BJ21" i="10" s="1"/>
  <c r="R21" i="10"/>
  <c r="T21" i="10" s="1"/>
  <c r="BI18" i="10"/>
  <c r="BI5" i="10"/>
  <c r="R17" i="10"/>
  <c r="BG16" i="10"/>
  <c r="BI16" i="10" s="1"/>
  <c r="R16" i="10"/>
  <c r="T16" i="10" s="1"/>
  <c r="BI15" i="10"/>
  <c r="BJ15" i="10" s="1"/>
  <c r="BM15" i="10" s="1"/>
  <c r="R15" i="10"/>
  <c r="T15" i="10" s="1"/>
  <c r="U15" i="10" s="1"/>
  <c r="BI14" i="10"/>
  <c r="R14" i="10"/>
  <c r="T14" i="10" s="1"/>
  <c r="BG12" i="10"/>
  <c r="BI12" i="10" s="1"/>
  <c r="R12" i="10"/>
  <c r="T12" i="10" s="1"/>
  <c r="BG11" i="10"/>
  <c r="BI11" i="10" s="1"/>
  <c r="R11" i="10"/>
  <c r="T11" i="10" s="1"/>
  <c r="BG10" i="10"/>
  <c r="BI10" i="10" s="1"/>
  <c r="R10" i="10"/>
  <c r="T10" i="10" s="1"/>
  <c r="BG9" i="10"/>
  <c r="BI9" i="10" s="1"/>
  <c r="R9" i="10"/>
  <c r="T9" i="10" s="1"/>
  <c r="BG8" i="10"/>
  <c r="BI8" i="10" s="1"/>
  <c r="BG7" i="10"/>
  <c r="BI7" i="10" s="1"/>
  <c r="BG4" i="10"/>
  <c r="BI4" i="10" s="1"/>
  <c r="R4" i="10"/>
  <c r="T4" i="10" s="1"/>
  <c r="BI19" i="10"/>
  <c r="T8" i="10"/>
  <c r="BI26" i="10"/>
  <c r="BJ26" i="10" s="1"/>
  <c r="BM26" i="10" s="1"/>
  <c r="BG25" i="10"/>
  <c r="BI25" i="10" s="1"/>
  <c r="R25" i="10"/>
  <c r="T25" i="10" s="1"/>
  <c r="R24" i="10"/>
  <c r="T24" i="10" s="1"/>
  <c r="BG23" i="10"/>
  <c r="BI23" i="10" s="1"/>
  <c r="BG20" i="10"/>
  <c r="BI20" i="10" s="1"/>
  <c r="R20" i="10"/>
  <c r="T20" i="10" s="1"/>
  <c r="R19" i="10"/>
  <c r="T19" i="10" s="1"/>
  <c r="R18" i="10"/>
  <c r="T18" i="10" s="1"/>
  <c r="BI17" i="10"/>
  <c r="BJ17" i="10" s="1"/>
  <c r="R6" i="10"/>
  <c r="T6" i="10" s="1"/>
  <c r="AM23" i="10"/>
  <c r="U23" i="10"/>
  <c r="U7" i="10"/>
  <c r="AM7" i="10"/>
  <c r="AM5" i="10"/>
  <c r="U5" i="10"/>
  <c r="BM6" i="10" l="1"/>
  <c r="BV6" i="10"/>
  <c r="BX6" i="10" s="1"/>
  <c r="E7" i="11"/>
  <c r="F7" i="11" s="1"/>
  <c r="G7" i="11" s="1"/>
  <c r="D5" i="12"/>
  <c r="E5" i="12" s="1"/>
  <c r="AI13" i="10"/>
  <c r="CB22" i="10"/>
  <c r="BJ22" i="10"/>
  <c r="S22" i="10"/>
  <c r="T22" i="10"/>
  <c r="BM21" i="10"/>
  <c r="BV21" i="10"/>
  <c r="AM21" i="10"/>
  <c r="U21" i="10"/>
  <c r="CB18" i="10"/>
  <c r="BJ18" i="10"/>
  <c r="CB5" i="10"/>
  <c r="BJ5" i="10"/>
  <c r="S17" i="10"/>
  <c r="T17" i="10"/>
  <c r="CB16" i="10"/>
  <c r="BJ16" i="10"/>
  <c r="AM16" i="10"/>
  <c r="U16" i="10"/>
  <c r="X15" i="10"/>
  <c r="AG15" i="10" s="1"/>
  <c r="CB14" i="10"/>
  <c r="BJ14" i="10"/>
  <c r="AM14" i="10"/>
  <c r="U14" i="10"/>
  <c r="CB12" i="10"/>
  <c r="BJ12" i="10"/>
  <c r="AM12" i="10"/>
  <c r="U12" i="10"/>
  <c r="CB11" i="10"/>
  <c r="BJ11" i="10"/>
  <c r="AM11" i="10"/>
  <c r="U11" i="10"/>
  <c r="CB10" i="10"/>
  <c r="BJ10" i="10"/>
  <c r="AM10" i="10"/>
  <c r="U10" i="10"/>
  <c r="CB9" i="10"/>
  <c r="BJ9" i="10"/>
  <c r="AM9" i="10"/>
  <c r="U9" i="10"/>
  <c r="CB8" i="10"/>
  <c r="BJ8" i="10"/>
  <c r="CB7" i="10"/>
  <c r="BJ7" i="10"/>
  <c r="CB4" i="10"/>
  <c r="BJ4" i="10"/>
  <c r="AM4" i="10"/>
  <c r="U4" i="10"/>
  <c r="BJ19" i="10"/>
  <c r="CB19" i="10"/>
  <c r="U8" i="10"/>
  <c r="AM8" i="10"/>
  <c r="CB25" i="10"/>
  <c r="BJ25" i="10"/>
  <c r="AM25" i="10"/>
  <c r="U25" i="10"/>
  <c r="AM24" i="10"/>
  <c r="U24" i="10"/>
  <c r="CB23" i="10"/>
  <c r="BJ23" i="10"/>
  <c r="CB20" i="10"/>
  <c r="BJ20" i="10"/>
  <c r="AM20" i="10"/>
  <c r="U20" i="10"/>
  <c r="AM19" i="10"/>
  <c r="U19" i="10"/>
  <c r="AM18" i="10"/>
  <c r="U18" i="10"/>
  <c r="BM17" i="10"/>
  <c r="BV17" i="10" s="1"/>
  <c r="AM6" i="10"/>
  <c r="U6" i="10"/>
  <c r="X23" i="10"/>
  <c r="AG23" i="10"/>
  <c r="AI23" i="10" s="1"/>
  <c r="X7" i="10"/>
  <c r="AG7" i="10"/>
  <c r="AI7" i="10" s="1"/>
  <c r="X5" i="10"/>
  <c r="AG5" i="10"/>
  <c r="AI5" i="10" s="1"/>
  <c r="BI24" i="10"/>
  <c r="BI13" i="10"/>
  <c r="F14" i="12" l="1"/>
  <c r="G14" i="12" s="1"/>
  <c r="C17" i="11"/>
  <c r="BM22" i="10"/>
  <c r="BV22" i="10"/>
  <c r="AM22" i="10"/>
  <c r="U22" i="10"/>
  <c r="BX21" i="10"/>
  <c r="D13" i="12"/>
  <c r="E13" i="12" s="1"/>
  <c r="E16" i="11"/>
  <c r="F16" i="11" s="1"/>
  <c r="G16" i="11" s="1"/>
  <c r="C9" i="11"/>
  <c r="F7" i="12"/>
  <c r="G7" i="12" s="1"/>
  <c r="X21" i="10"/>
  <c r="AG21" i="10"/>
  <c r="BM18" i="10"/>
  <c r="BV18" i="10"/>
  <c r="BX18" i="10" s="1"/>
  <c r="C11" i="11"/>
  <c r="F9" i="12"/>
  <c r="G9" i="12" s="1"/>
  <c r="BM5" i="10"/>
  <c r="BV5" i="10"/>
  <c r="AM17" i="10"/>
  <c r="U17" i="10"/>
  <c r="BM16" i="10"/>
  <c r="BV16" i="10" s="1"/>
  <c r="BX16" i="10" s="1"/>
  <c r="X16" i="10"/>
  <c r="AG16" i="10"/>
  <c r="AI16" i="10" s="1"/>
  <c r="AI15" i="10"/>
  <c r="E8" i="11"/>
  <c r="F8" i="11" s="1"/>
  <c r="G8" i="11" s="1"/>
  <c r="D6" i="12"/>
  <c r="E6" i="12" s="1"/>
  <c r="BM14" i="10"/>
  <c r="BV14" i="10"/>
  <c r="BX14" i="10" s="1"/>
  <c r="X14" i="10"/>
  <c r="AG14" i="10"/>
  <c r="AI14" i="10" s="1"/>
  <c r="C13" i="11"/>
  <c r="F6" i="13"/>
  <c r="G6" i="13" s="1"/>
  <c r="BM12" i="10"/>
  <c r="BV12" i="10" s="1"/>
  <c r="C6" i="11"/>
  <c r="F5" i="13"/>
  <c r="G5" i="13" s="1"/>
  <c r="X12" i="10"/>
  <c r="AG12" i="10"/>
  <c r="BM11" i="10"/>
  <c r="BV11" i="10"/>
  <c r="BX11" i="10" s="1"/>
  <c r="X11" i="10"/>
  <c r="AG11" i="10" s="1"/>
  <c r="AI11" i="10" s="1"/>
  <c r="BM10" i="10"/>
  <c r="BV10" i="10"/>
  <c r="BX10" i="10" s="1"/>
  <c r="C5" i="11"/>
  <c r="F4" i="13"/>
  <c r="G4" i="13" s="1"/>
  <c r="X10" i="10"/>
  <c r="AG10" i="10" s="1"/>
  <c r="BM9" i="10"/>
  <c r="BV9" i="10"/>
  <c r="BX9" i="10" s="1"/>
  <c r="X9" i="10"/>
  <c r="AG9" i="10"/>
  <c r="AI9" i="10" s="1"/>
  <c r="C12" i="11"/>
  <c r="F10" i="12"/>
  <c r="G10" i="12" s="1"/>
  <c r="BM8" i="10"/>
  <c r="BV8" i="10" s="1"/>
  <c r="BM7" i="10"/>
  <c r="BV7" i="10"/>
  <c r="BX7" i="10" s="1"/>
  <c r="BM4" i="10"/>
  <c r="BV4" i="10"/>
  <c r="F4" i="12"/>
  <c r="C4" i="11"/>
  <c r="X4" i="10"/>
  <c r="AG4" i="10"/>
  <c r="BM19" i="10"/>
  <c r="BV19" i="10"/>
  <c r="BX19" i="10" s="1"/>
  <c r="X8" i="10"/>
  <c r="AG8" i="10" s="1"/>
  <c r="AI8" i="10" s="1"/>
  <c r="BM25" i="10"/>
  <c r="BV25" i="10"/>
  <c r="BX25" i="10" s="1"/>
  <c r="X25" i="10"/>
  <c r="AG25" i="10"/>
  <c r="AI25" i="10" s="1"/>
  <c r="F8" i="12"/>
  <c r="G8" i="12" s="1"/>
  <c r="C10" i="11"/>
  <c r="X24" i="10"/>
  <c r="AG24" i="10" s="1"/>
  <c r="BM23" i="10"/>
  <c r="BV23" i="10" s="1"/>
  <c r="BX23" i="10" s="1"/>
  <c r="BM20" i="10"/>
  <c r="BV20" i="10" s="1"/>
  <c r="BX20" i="10" s="1"/>
  <c r="X20" i="10"/>
  <c r="AG20" i="10"/>
  <c r="AI20" i="10" s="1"/>
  <c r="AG19" i="10"/>
  <c r="AI19" i="10" s="1"/>
  <c r="X19" i="10"/>
  <c r="X18" i="10"/>
  <c r="AG18" i="10"/>
  <c r="AI18" i="10" s="1"/>
  <c r="BX17" i="10"/>
  <c r="D12" i="12"/>
  <c r="E12" i="12" s="1"/>
  <c r="E15" i="11"/>
  <c r="F15" i="11" s="1"/>
  <c r="G15" i="11" s="1"/>
  <c r="X6" i="10"/>
  <c r="AG6" i="10"/>
  <c r="AI6" i="10" s="1"/>
  <c r="BJ24" i="10"/>
  <c r="CB24" i="10"/>
  <c r="BJ13" i="10"/>
  <c r="CB13" i="10"/>
  <c r="BX22" i="10" l="1"/>
  <c r="D14" i="12"/>
  <c r="E14" i="12" s="1"/>
  <c r="E17" i="11"/>
  <c r="F17" i="11" s="1"/>
  <c r="G17" i="11" s="1"/>
  <c r="X22" i="10"/>
  <c r="AG22" i="10"/>
  <c r="AI22" i="10" s="1"/>
  <c r="AI21" i="10"/>
  <c r="E9" i="11"/>
  <c r="F9" i="11" s="1"/>
  <c r="G9" i="11" s="1"/>
  <c r="D7" i="12"/>
  <c r="E7" i="12" s="1"/>
  <c r="BX5" i="10"/>
  <c r="E11" i="11"/>
  <c r="F11" i="11" s="1"/>
  <c r="G11" i="11" s="1"/>
  <c r="D9" i="12"/>
  <c r="E9" i="12" s="1"/>
  <c r="X17" i="10"/>
  <c r="AG17" i="10"/>
  <c r="AI17" i="10" s="1"/>
  <c r="BX12" i="10"/>
  <c r="E13" i="11"/>
  <c r="F13" i="11" s="1"/>
  <c r="G13" i="11" s="1"/>
  <c r="D6" i="13"/>
  <c r="E6" i="13" s="1"/>
  <c r="AI12" i="10"/>
  <c r="E6" i="11"/>
  <c r="F6" i="11" s="1"/>
  <c r="G6" i="11" s="1"/>
  <c r="D5" i="13"/>
  <c r="E5" i="13" s="1"/>
  <c r="AI10" i="10"/>
  <c r="E5" i="11"/>
  <c r="F5" i="11" s="1"/>
  <c r="G5" i="11" s="1"/>
  <c r="D4" i="13"/>
  <c r="BX8" i="10"/>
  <c r="E12" i="11"/>
  <c r="F12" i="11" s="1"/>
  <c r="G12" i="11" s="1"/>
  <c r="D10" i="12"/>
  <c r="E10" i="12" s="1"/>
  <c r="BX4" i="10"/>
  <c r="BX27" i="10" s="1"/>
  <c r="BV27" i="10"/>
  <c r="G4" i="12"/>
  <c r="B27" i="1"/>
  <c r="B29" i="1"/>
  <c r="B32" i="1"/>
  <c r="B30" i="1"/>
  <c r="B28" i="1"/>
  <c r="B20" i="1"/>
  <c r="B21" i="1"/>
  <c r="B22" i="1"/>
  <c r="B23" i="1"/>
  <c r="B24" i="1"/>
  <c r="B25" i="1"/>
  <c r="AI4" i="10"/>
  <c r="D4" i="12"/>
  <c r="AG27" i="10"/>
  <c r="B28" i="10" s="1"/>
  <c r="B8" i="1" s="1"/>
  <c r="B9" i="1" s="1"/>
  <c r="E4" i="11"/>
  <c r="AI24" i="10"/>
  <c r="D8" i="12"/>
  <c r="E8" i="12" s="1"/>
  <c r="E10" i="11"/>
  <c r="F10" i="11" s="1"/>
  <c r="G10" i="11" s="1"/>
  <c r="BM24" i="10"/>
  <c r="BV24" i="10"/>
  <c r="BX24" i="10" s="1"/>
  <c r="BM13" i="10"/>
  <c r="BV13" i="10"/>
  <c r="BX13" i="10" s="1"/>
  <c r="E4" i="13" l="1"/>
  <c r="E7" i="13" s="1"/>
  <c r="B11" i="1" s="1"/>
  <c r="D7" i="13"/>
  <c r="E4" i="12"/>
  <c r="D16" i="12"/>
  <c r="F4" i="11"/>
  <c r="E19" i="11"/>
  <c r="AI27" i="10"/>
  <c r="B31" i="1" l="1"/>
  <c r="E16" i="12"/>
  <c r="B10" i="1" s="1"/>
  <c r="B12" i="1" s="1"/>
  <c r="B34" i="1"/>
  <c r="B35" i="1" s="1"/>
  <c r="F19" i="11"/>
  <c r="G4" i="11"/>
</calcChain>
</file>

<file path=xl/sharedStrings.xml><?xml version="1.0" encoding="utf-8"?>
<sst xmlns="http://schemas.openxmlformats.org/spreadsheetml/2006/main" count="1139" uniqueCount="454">
  <si>
    <t>Northline freight bill audit, September 2026 freight bills, Halvorsen Building Products</t>
  </si>
  <si>
    <t>Prepared for Ingrid Solheim, controller; report prepared October 16, 2026</t>
  </si>
  <si>
    <t>Agreement NFL-2026-HBP; Northline freight bills dated in September 2026</t>
  </si>
  <si>
    <t>Finding</t>
  </si>
  <si>
    <t>Value</t>
  </si>
  <si>
    <t>Read from</t>
  </si>
  <si>
    <t>Freight bills in the file</t>
  </si>
  <si>
    <t>Invoices</t>
  </si>
  <si>
    <t>Total billed by Northline</t>
  </si>
  <si>
    <t>Total due under the contract</t>
  </si>
  <si>
    <t>Audit</t>
  </si>
  <si>
    <t>Net difference, billed less due</t>
  </si>
  <si>
    <t>Summary</t>
  </si>
  <si>
    <t>Overcharges claimed</t>
  </si>
  <si>
    <t>Claim Schedule</t>
  </si>
  <si>
    <t>Undercharges reported, not netted</t>
  </si>
  <si>
    <t>Undercharges</t>
  </si>
  <si>
    <t>Overcharges as a share of billings</t>
  </si>
  <si>
    <t>Freight bills claimed</t>
  </si>
  <si>
    <t>Freight bills underbilled</t>
  </si>
  <si>
    <t>Freight bills with an exception</t>
  </si>
  <si>
    <t>Exceptions</t>
  </si>
  <si>
    <t>Freight bills billed as the contract provides</t>
  </si>
  <si>
    <t>Billed items accepted on a document or a written confirmation</t>
  </si>
  <si>
    <t>Freight bills rated under a corrected pro number</t>
  </si>
  <si>
    <t>Pro Matches</t>
  </si>
  <si>
    <t>Exceptions by contract term</t>
  </si>
  <si>
    <t>Duplicate freight bills (7.1)</t>
  </si>
  <si>
    <t>Class not the product group class (4.3)</t>
  </si>
  <si>
    <t>Reweigh that does not hold (4.5)</t>
  </si>
  <si>
    <t>Deficit weight rule not applied (4.2)</t>
  </si>
  <si>
    <t>Fuel surcharge on the wrong week (5.2)</t>
  </si>
  <si>
    <t>Accessorial overbilled or omitted (6.1)</t>
  </si>
  <si>
    <t>Overcharges claimed by contract term</t>
  </si>
  <si>
    <t>Claimed under section 7.1, duplicate freight bills</t>
  </si>
  <si>
    <t>Claimed under section 4.2, deficit weight</t>
  </si>
  <si>
    <t>Claimed under section 4.3, class</t>
  </si>
  <si>
    <t>Claimed under section 4.5, reweigh</t>
  </si>
  <si>
    <t>Claimed under section 5.2, fuel week</t>
  </si>
  <si>
    <t>Claimed under section 6.1, accessorial overbilled</t>
  </si>
  <si>
    <t>Largest single exception</t>
  </si>
  <si>
    <t>Largest overcharge on one freight bill</t>
  </si>
  <si>
    <t>Freight bill carrying it</t>
  </si>
  <si>
    <t>Every value on this page reads from the tab named beside it; the Audit tab rates each freight bill from the BOL, Invoices, Tariff, Fuel Index, Billing File, Confirmations and Pro Matches tabs, which copy the files in the folder or record the audit's reading of them.</t>
  </si>
  <si>
    <t>Contract terms the audit applies, agreement NFL-2026-HBP</t>
  </si>
  <si>
    <t>Term</t>
  </si>
  <si>
    <t>Section</t>
  </si>
  <si>
    <t>Discount off the class-rated linehaul</t>
  </si>
  <si>
    <t>4.4</t>
  </si>
  <si>
    <t>Minimum charge, net of discount ($)</t>
  </si>
  <si>
    <t>Reweigh tolerance over declared weight</t>
  </si>
  <si>
    <t>4.5</t>
  </si>
  <si>
    <t>Overcharge claim window (days from bill date)</t>
  </si>
  <si>
    <t>7.2</t>
  </si>
  <si>
    <t>Carrier balance-due window on undercharges (days)</t>
  </si>
  <si>
    <t>7.3</t>
  </si>
  <si>
    <t>Percent divisor for the billed surcharge column</t>
  </si>
  <si>
    <t>Invoice file, FSC_PCT in percent</t>
  </si>
  <si>
    <t>Fuel percentage where the bulletin and the table disagree</t>
  </si>
  <si>
    <t>table governs</t>
  </si>
  <si>
    <t>5.3</t>
  </si>
  <si>
    <t>Rating method. The linehaul is the class 70 lane rate for the destination state at the shipment's weight break, times the class factor for the contract class, at the contract weight. The contract weight is the bill of lading weight, and the billed weight stands only on a certified scale ticket more than five percent over the declared weight; a reweigh with no certified ticket, or inside the tolerance, reverts to the bill of lading weight. The contract class is the product group class, and a billed class stands only on a signed inspection certificate in the billing file. The gross charge is the lesser of the own-break figure and the next break's minimum weight at the next break's rate. The net linehaul is the gross less the discount, rounded to the cent, with the minimum charge as a floor. The fuel surcharge is the net linehaul times the percentage the tariff table gives for the DOE index in force on the pickup date, rounded to the cent; where the bulletin disagrees with the table, the table governs. Accessorials are added at the Exhibit B flat rate where the bill of lading requests the service or the shipping desk confirmed it in writing before delivery, a redelivery included. A freight bill whose pro number matches no bill of lading is rated against the bill of lading its ship date, state, weight and class identify, under a corrected pro number. A second bill on a pro already billed is due at zero under section 7.1. Undercharges are reported and not netted under section 7.3.</t>
  </si>
  <si>
    <t>Exhibit B tariff tables, copied from northline_contract_rates_2026.xlsx</t>
  </si>
  <si>
    <t>DEST_STATE</t>
  </si>
  <si>
    <t>L5C</t>
  </si>
  <si>
    <t>5C</t>
  </si>
  <si>
    <t>1M</t>
  </si>
  <si>
    <t>2M</t>
  </si>
  <si>
    <t>5M</t>
  </si>
  <si>
    <t>NMFC_CLASS</t>
  </si>
  <si>
    <t>FACTOR</t>
  </si>
  <si>
    <t>PRODUCT_GROUP</t>
  </si>
  <si>
    <t>SERVICE</t>
  </si>
  <si>
    <t>BOL_FLAG</t>
  </si>
  <si>
    <t>CHARGE</t>
  </si>
  <si>
    <t>PRICE_AT_LEAST</t>
  </si>
  <si>
    <t>FSC_PCT</t>
  </si>
  <si>
    <t>MN</t>
  </si>
  <si>
    <t>Gypsum and cement board</t>
  </si>
  <si>
    <t>Liftgate delivery</t>
  </si>
  <si>
    <t>LIFTGATE</t>
  </si>
  <si>
    <t>SD</t>
  </si>
  <si>
    <t>Fasteners and hardware</t>
  </si>
  <si>
    <t>Residential delivery</t>
  </si>
  <si>
    <t>RESIDENTIAL</t>
  </si>
  <si>
    <t>MT</t>
  </si>
  <si>
    <t>Metal roofing panels</t>
  </si>
  <si>
    <t>Limited access delivery</t>
  </si>
  <si>
    <t>LIMITED_ACCESS</t>
  </si>
  <si>
    <t>IA</t>
  </si>
  <si>
    <t>Sealants and coatings</t>
  </si>
  <si>
    <t>Inside delivery</t>
  </si>
  <si>
    <t>INSIDE_DELIVERY</t>
  </si>
  <si>
    <t>WI</t>
  </si>
  <si>
    <t>Vinyl siding</t>
  </si>
  <si>
    <t>Redelivery</t>
  </si>
  <si>
    <t>None</t>
  </si>
  <si>
    <t>NE</t>
  </si>
  <si>
    <t>Windows and doors</t>
  </si>
  <si>
    <t>Reconsignment</t>
  </si>
  <si>
    <t>ND</t>
  </si>
  <si>
    <t>Minimum weight (lb)</t>
  </si>
  <si>
    <t>DOE index by week from the September bulletin, the surcharge percentage the tariff table gives it, and the percentage the bulletin printed</t>
  </si>
  <si>
    <t>INDEX_MONDAY</t>
  </si>
  <si>
    <t>DOE_PRICE</t>
  </si>
  <si>
    <t>BULLETIN_PCT</t>
  </si>
  <si>
    <t>08/03/2026</t>
  </si>
  <si>
    <t>08/10/2026</t>
  </si>
  <si>
    <t>08/17/2026</t>
  </si>
  <si>
    <t>08/24/2026</t>
  </si>
  <si>
    <t>08/31/2026</t>
  </si>
  <si>
    <t>09/07/2026</t>
  </si>
  <si>
    <t>09/14/2026</t>
  </si>
  <si>
    <t>09/21/2026</t>
  </si>
  <si>
    <t>09/28/2026</t>
  </si>
  <si>
    <t>FSC_PCT reads the tariff table at each week's DOE price and is the percentage the audit applies; BULLETIN_PCT is the figure printed in the bulletin, which is informational under section 5.3. The August weeks govern the two late-August pickups billed in September.</t>
  </si>
  <si>
    <t>Bills of lading, bills_of_lading_sept_2026.csv, copied line for line in the file's two side-by-side panels</t>
  </si>
  <si>
    <t>BOL_NO</t>
  </si>
  <si>
    <t>PRO_NO</t>
  </si>
  <si>
    <t>PICKUP_DATE</t>
  </si>
  <si>
    <t>CONSIGNEE_CITY</t>
  </si>
  <si>
    <t>PIECES</t>
  </si>
  <si>
    <t>WEIGHT_LB</t>
  </si>
  <si>
    <t>DELIVERED_DATE</t>
  </si>
  <si>
    <t>BOL_NO_2</t>
  </si>
  <si>
    <t>PRO_NO_2</t>
  </si>
  <si>
    <t>PICKUP_DATE_2</t>
  </si>
  <si>
    <t>CONSIGNEE_CITY_2</t>
  </si>
  <si>
    <t>DEST_STATE_2</t>
  </si>
  <si>
    <t>PRODUCT_GROUP_2</t>
  </si>
  <si>
    <t>PIECES_2</t>
  </si>
  <si>
    <t>WEIGHT_LB_2</t>
  </si>
  <si>
    <t>LIFTGATE_2</t>
  </si>
  <si>
    <t>RESIDENTIAL_2</t>
  </si>
  <si>
    <t>LIMITED_ACCESS_2</t>
  </si>
  <si>
    <t>INSIDE_DELIVERY_2</t>
  </si>
  <si>
    <t>DELIVERED_DATE_2</t>
  </si>
  <si>
    <t>HBP-44790</t>
  </si>
  <si>
    <t>08/27/2026</t>
  </si>
  <si>
    <t>Hudson</t>
  </si>
  <si>
    <t>N</t>
  </si>
  <si>
    <t>HBP-44826</t>
  </si>
  <si>
    <t>09/18/2026</t>
  </si>
  <si>
    <t>HBP-44802</t>
  </si>
  <si>
    <t>08/28/2026</t>
  </si>
  <si>
    <t>Aberdeen</t>
  </si>
  <si>
    <t>09/01/2026</t>
  </si>
  <si>
    <t>HBP-44853</t>
  </si>
  <si>
    <t>Bismarck</t>
  </si>
  <si>
    <t>Y</t>
  </si>
  <si>
    <t>09/22/2026</t>
  </si>
  <si>
    <t>HBP-44817</t>
  </si>
  <si>
    <t>Superior</t>
  </si>
  <si>
    <t>09/04/2026</t>
  </si>
  <si>
    <t>HBP-44896</t>
  </si>
  <si>
    <t>Fergus Falls</t>
  </si>
  <si>
    <t>HBP-44868</t>
  </si>
  <si>
    <t>Sioux City</t>
  </si>
  <si>
    <t>HBP-44918</t>
  </si>
  <si>
    <t>Eau Claire</t>
  </si>
  <si>
    <t>HBP-44843</t>
  </si>
  <si>
    <t>09/03/2026</t>
  </si>
  <si>
    <t>Moorhead</t>
  </si>
  <si>
    <t>HBP-44906</t>
  </si>
  <si>
    <t>Alexandria</t>
  </si>
  <si>
    <t>09/25/2026</t>
  </si>
  <si>
    <t>HBP-44895</t>
  </si>
  <si>
    <t>09/09/2026</t>
  </si>
  <si>
    <t>HBP-44913</t>
  </si>
  <si>
    <t>Glendive</t>
  </si>
  <si>
    <t>09/23/2026</t>
  </si>
  <si>
    <t>HBP-44832</t>
  </si>
  <si>
    <t>09/08/2026</t>
  </si>
  <si>
    <t>Miles City</t>
  </si>
  <si>
    <t>HBP-44863</t>
  </si>
  <si>
    <t>HBP-44839</t>
  </si>
  <si>
    <t>09/10/2026</t>
  </si>
  <si>
    <t>HBP-44885</t>
  </si>
  <si>
    <t>Mason City</t>
  </si>
  <si>
    <t>09/24/2026</t>
  </si>
  <si>
    <t>HBP-44875</t>
  </si>
  <si>
    <t>Minot</t>
  </si>
  <si>
    <t>HBP-44910</t>
  </si>
  <si>
    <t>HBP-44902</t>
  </si>
  <si>
    <t>HBP-44874</t>
  </si>
  <si>
    <t>Grand Island</t>
  </si>
  <si>
    <t>HBP-44858</t>
  </si>
  <si>
    <t>Brainerd</t>
  </si>
  <si>
    <t>09/11/2026</t>
  </si>
  <si>
    <t>HBP-44912</t>
  </si>
  <si>
    <t>Dickinson</t>
  </si>
  <si>
    <t>HBP-44861</t>
  </si>
  <si>
    <t>HBP-44901</t>
  </si>
  <si>
    <t>HBP-44820</t>
  </si>
  <si>
    <t>09/17/2026</t>
  </si>
  <si>
    <t>HBP-44923</t>
  </si>
  <si>
    <t>HBP-44856</t>
  </si>
  <si>
    <t>Norfolk</t>
  </si>
  <si>
    <t>HBP-44862</t>
  </si>
  <si>
    <t>09/29/2026</t>
  </si>
  <si>
    <t>HBP-44879</t>
  </si>
  <si>
    <t>09/15/2026</t>
  </si>
  <si>
    <t>HBP-44833</t>
  </si>
  <si>
    <t>Williston</t>
  </si>
  <si>
    <t>10/02/2026</t>
  </si>
  <si>
    <t>HBP-44908</t>
  </si>
  <si>
    <t>Detroit Lakes</t>
  </si>
  <si>
    <t>HBP-44891</t>
  </si>
  <si>
    <t>10/01/2026</t>
  </si>
  <si>
    <t>HBP-44828</t>
  </si>
  <si>
    <t>HBP-44822</t>
  </si>
  <si>
    <t>HBP-44838</t>
  </si>
  <si>
    <t>HBP-44847</t>
  </si>
  <si>
    <t>HBP-44870</t>
  </si>
  <si>
    <t>09/16/2026</t>
  </si>
  <si>
    <t>HBP-44921</t>
  </si>
  <si>
    <t>Watertown</t>
  </si>
  <si>
    <t>HBP-44899</t>
  </si>
  <si>
    <t>HBP-44849</t>
  </si>
  <si>
    <t>09/30/2026</t>
  </si>
  <si>
    <t>HBP-44883</t>
  </si>
  <si>
    <t>Jamestown</t>
  </si>
  <si>
    <t>HBP-44887</t>
  </si>
  <si>
    <t>Billings</t>
  </si>
  <si>
    <t>HBP-44915</t>
  </si>
  <si>
    <t>HBP-44927</t>
  </si>
  <si>
    <t>Northline freight bills, northline_invoices_sept_2026.csv, copied line for line in the file's two side-by-side panels</t>
  </si>
  <si>
    <t>INVOICE_NO</t>
  </si>
  <si>
    <t>INVOICE_DATE</t>
  </si>
  <si>
    <t>SHIP_DATE</t>
  </si>
  <si>
    <t>BILLED_WEIGHT</t>
  </si>
  <si>
    <t>BILLED_CLASS</t>
  </si>
  <si>
    <t>BASE_CHARGE</t>
  </si>
  <si>
    <t>DISCOUNT_AMT</t>
  </si>
  <si>
    <t>NET_LINEHAUL</t>
  </si>
  <si>
    <t>FSC_AMT</t>
  </si>
  <si>
    <t>ACCESSORIAL_DESC</t>
  </si>
  <si>
    <t>ACCESSORIAL_AMT</t>
  </si>
  <si>
    <t>INVOICE_TOTAL</t>
  </si>
  <si>
    <t>INVOICE_NO_2</t>
  </si>
  <si>
    <t>INVOICE_DATE_2</t>
  </si>
  <si>
    <t>SHIP_DATE_2</t>
  </si>
  <si>
    <t>BILLED_WEIGHT_2</t>
  </si>
  <si>
    <t>BILLED_CLASS_2</t>
  </si>
  <si>
    <t>BASE_CHARGE_2</t>
  </si>
  <si>
    <t>DISCOUNT_AMT_2</t>
  </si>
  <si>
    <t>NET_LINEHAUL_2</t>
  </si>
  <si>
    <t>FSC_PCT_2</t>
  </si>
  <si>
    <t>FSC_AMT_2</t>
  </si>
  <si>
    <t>ACCESSORIAL_DESC_2</t>
  </si>
  <si>
    <t>ACCESSORIAL_AMT_2</t>
  </si>
  <si>
    <t>INVOICE_TOTAL_2</t>
  </si>
  <si>
    <t>NFL-90302</t>
  </si>
  <si>
    <t>09/02/2026</t>
  </si>
  <si>
    <t>NFL-90338</t>
  </si>
  <si>
    <t>NFL-90304</t>
  </si>
  <si>
    <t>NFL-90339</t>
  </si>
  <si>
    <t>Residential delivery/Inside delivery/Liftgate delivery</t>
  </si>
  <si>
    <t>NFL-90311</t>
  </si>
  <si>
    <t>09/05/2026</t>
  </si>
  <si>
    <t>NFL-90340</t>
  </si>
  <si>
    <t>NFL-90313</t>
  </si>
  <si>
    <t>NFL-90341</t>
  </si>
  <si>
    <t>NFL-90314</t>
  </si>
  <si>
    <t>09/12/2026</t>
  </si>
  <si>
    <t>NFL-90342</t>
  </si>
  <si>
    <t>NFL-90316</t>
  </si>
  <si>
    <t>NFL-90343</t>
  </si>
  <si>
    <t>09/26/2026</t>
  </si>
  <si>
    <t>NFL-90317</t>
  </si>
  <si>
    <t>09/13/2026</t>
  </si>
  <si>
    <t>NFL-90344</t>
  </si>
  <si>
    <t>09/27/2026</t>
  </si>
  <si>
    <t>NFL-90318</t>
  </si>
  <si>
    <t>NFL-90345</t>
  </si>
  <si>
    <t>NFL-90319</t>
  </si>
  <si>
    <t>Liftgate delivery/Limited access delivery</t>
  </si>
  <si>
    <t>NFL-90346</t>
  </si>
  <si>
    <t>NFL-90320</t>
  </si>
  <si>
    <t>NFL-90347</t>
  </si>
  <si>
    <t>Liftgate delivery/Inside delivery</t>
  </si>
  <si>
    <t>NFL-90321</t>
  </si>
  <si>
    <t>NFL-90348</t>
  </si>
  <si>
    <t>NFL-90322</t>
  </si>
  <si>
    <t>NFL-90349</t>
  </si>
  <si>
    <t>NFL-90324</t>
  </si>
  <si>
    <t>NFL-90350</t>
  </si>
  <si>
    <t>NFL-90326</t>
  </si>
  <si>
    <t>NFL-90351</t>
  </si>
  <si>
    <t>NFL-90327</t>
  </si>
  <si>
    <t>09/19/2026</t>
  </si>
  <si>
    <t>NFL-90352</t>
  </si>
  <si>
    <t>NFL-90328</t>
  </si>
  <si>
    <t>NFL-90353</t>
  </si>
  <si>
    <t>NFL-90330</t>
  </si>
  <si>
    <t>09/20/2026</t>
  </si>
  <si>
    <t>NFL-90354</t>
  </si>
  <si>
    <t>NFL-90332</t>
  </si>
  <si>
    <t>NFL-90355</t>
  </si>
  <si>
    <t>NFL-90333</t>
  </si>
  <si>
    <t>NFL-90356</t>
  </si>
  <si>
    <t>NFL-90334</t>
  </si>
  <si>
    <t>NFL-90357</t>
  </si>
  <si>
    <t>NFL-90335</t>
  </si>
  <si>
    <t>NFL-90358</t>
  </si>
  <si>
    <t>Liftgate delivery/Residential delivery</t>
  </si>
  <si>
    <t>NFL-90336</t>
  </si>
  <si>
    <t>NFL-90359</t>
  </si>
  <si>
    <t>NFL-90337</t>
  </si>
  <si>
    <t>NFL-90360</t>
  </si>
  <si>
    <t>Documents Northline lists in its billing file, northline_billing_file_sept_2026.docx, with the audit's reading of each one</t>
  </si>
  <si>
    <t>FREIGHT_BILL</t>
  </si>
  <si>
    <t>DOCUMENT</t>
  </si>
  <si>
    <t>PARTICULARS</t>
  </si>
  <si>
    <t>READ_AS</t>
  </si>
  <si>
    <t>QUALIFIES</t>
  </si>
  <si>
    <t>APPLIES_TO</t>
  </si>
  <si>
    <t>Delivery receipt notation</t>
  </si>
  <si>
    <t>Gated yard, 48 minutes on site</t>
  </si>
  <si>
    <t>Delivery receipt</t>
  </si>
  <si>
    <t>No</t>
  </si>
  <si>
    <t>none</t>
  </si>
  <si>
    <t>Liftgate at a gated site, both services on the bill of lading</t>
  </si>
  <si>
    <t>Reclass notice</t>
  </si>
  <si>
    <t>Rating system entry from a density figure, initialed by a dock clerk, no inspector</t>
  </si>
  <si>
    <t>Not an inspection certificate</t>
  </si>
  <si>
    <t>4.3 class</t>
  </si>
  <si>
    <t>Inspection certificate</t>
  </si>
  <si>
    <t>Certificate 0931 signed by the Northline freight inspector, class 70</t>
  </si>
  <si>
    <t>Signed inspection certificate</t>
  </si>
  <si>
    <t>Yes</t>
  </si>
  <si>
    <t>Scale ticket</t>
  </si>
  <si>
    <t>Fargo Public Scale ticket 88213, net 3,010 lb, weighmaster signed</t>
  </si>
  <si>
    <t>Certified scale ticket</t>
  </si>
  <si>
    <t>4.5 weight</t>
  </si>
  <si>
    <t>Dock scale readout</t>
  </si>
  <si>
    <t>Forklift scale printout, 1,620 lb, initialed by the dock lead, no weighmaster and no certification</t>
  </si>
  <si>
    <t>Not a certified scale ticket</t>
  </si>
  <si>
    <t>Glendive platform scale ticket 4471, net 2,290 lb, weighmaster signed</t>
  </si>
  <si>
    <t>Residential address, service on the bill of lading</t>
  </si>
  <si>
    <t>Liftgate and inside delivery, both services on the bill of lading</t>
  </si>
  <si>
    <t>QUALIFIES reads Yes where the document is a certified scale ticket under section 4.5 or an inspection certificate signed by the carrier's inspector under section 4.3; a certified ticket inside the five percent tolerance still reverts to the bill of lading weight on the Audit tab.</t>
  </si>
  <si>
    <t>Services the shipping desk confirmed to Northline in writing, shipping_desk_correspondence_sept_2026.docx</t>
  </si>
  <si>
    <t>CONFIRMED_BY</t>
  </si>
  <si>
    <t>CONFIRMED_DATE</t>
  </si>
  <si>
    <t>DUE_UNDER_6_1</t>
  </si>
  <si>
    <t>Shipping lead's email to Northline customer service</t>
  </si>
  <si>
    <t>Section 6.1 makes a service billable where the bill of lading requests it or the shipper confirmed it in writing before delivery. The liftgate Northline asked about on the Bismarck delivery after the fact and the redelivery on the Sioux City sealants were declined and are not listed.</t>
  </si>
  <si>
    <t>Freight bills whose pro number matches no bill of lading, matched to the bill of lading the shipment identifies</t>
  </si>
  <si>
    <t>BILLED_PRO</t>
  </si>
  <si>
    <t>BOL_PRO</t>
  </si>
  <si>
    <t>BASIS</t>
  </si>
  <si>
    <t>No bill of lading carries 217876; HBP-44912 for pro 217867 matches the 09/23/2026 ship date, the state ND, the 1,720 lb weight and class 92.5, and no other freight bill bills pro 217867</t>
  </si>
  <si>
    <t>The Audit tab rates such a bill against the matched bill of lading under a corrected pro number and reports it to Northline for a corrected freight bill; it is rated, not set aside.</t>
  </si>
  <si>
    <t>Every freight bill rated under the contract beside what Northline billed; the left panel rates the invoice file's left panel, the right panel its right</t>
  </si>
  <si>
    <t>PRO_BILLED</t>
  </si>
  <si>
    <t>BOL_WEIGHT</t>
  </si>
  <si>
    <t>CERTIFIED_TICKET</t>
  </si>
  <si>
    <t>CONTRACT_WEIGHT</t>
  </si>
  <si>
    <t>GROUP_CLASS</t>
  </si>
  <si>
    <t>INSPECTION_CERT</t>
  </si>
  <si>
    <t>CONTRACT_CLASS</t>
  </si>
  <si>
    <t>CLASS_FACTOR</t>
  </si>
  <si>
    <t>BREAK</t>
  </si>
  <si>
    <t>RATE_CWT</t>
  </si>
  <si>
    <t>OWN_BREAK_CHARGE</t>
  </si>
  <si>
    <t>NEXT_BREAK_CHARGE</t>
  </si>
  <si>
    <t>GROSS_LINEHAUL</t>
  </si>
  <si>
    <t>FSC_MONDAY</t>
  </si>
  <si>
    <t>FSC_DUE</t>
  </si>
  <si>
    <t>BOL_ACCESSORIALS</t>
  </si>
  <si>
    <t>CONFIRMED_ACCESSORIALS</t>
  </si>
  <si>
    <t>ACCESSORIALS_DUE</t>
  </si>
  <si>
    <t>DUPLICATE</t>
  </si>
  <si>
    <t>CONTRACT_TOTAL</t>
  </si>
  <si>
    <t>BILLED_TOTAL</t>
  </si>
  <si>
    <t>VARIANCE</t>
  </si>
  <si>
    <t>BILLED_BASE</t>
  </si>
  <si>
    <t>BILLED_FSC_PCT</t>
  </si>
  <si>
    <t>BILLED_ACCESSORIALS</t>
  </si>
  <si>
    <t>EXCEPTION</t>
  </si>
  <si>
    <t>SETTLED_BY</t>
  </si>
  <si>
    <t>PRO_BILLED_2</t>
  </si>
  <si>
    <t>BOL_WEIGHT_2</t>
  </si>
  <si>
    <t>CERTIFIED_TICKET_2</t>
  </si>
  <si>
    <t>CONTRACT_WEIGHT_2</t>
  </si>
  <si>
    <t>GROUP_CLASS_2</t>
  </si>
  <si>
    <t>INSPECTION_CERT_2</t>
  </si>
  <si>
    <t>CONTRACT_CLASS_2</t>
  </si>
  <si>
    <t>CLASS_FACTOR_2</t>
  </si>
  <si>
    <t>BREAK_2</t>
  </si>
  <si>
    <t>RATE_CWT_2</t>
  </si>
  <si>
    <t>OWN_BREAK_CHARGE_2</t>
  </si>
  <si>
    <t>NEXT_BREAK_CHARGE_2</t>
  </si>
  <si>
    <t>GROSS_LINEHAUL_2</t>
  </si>
  <si>
    <t>FSC_MONDAY_2</t>
  </si>
  <si>
    <t>FSC_DUE_2</t>
  </si>
  <si>
    <t>BOL_ACCESSORIALS_2</t>
  </si>
  <si>
    <t>CONFIRMED_ACCESSORIALS_2</t>
  </si>
  <si>
    <t>ACCESSORIALS_DUE_2</t>
  </si>
  <si>
    <t>DUPLICATE_2</t>
  </si>
  <si>
    <t>CONTRACT_TOTAL_2</t>
  </si>
  <si>
    <t>BILLED_TOTAL_2</t>
  </si>
  <si>
    <t>VARIANCE_2</t>
  </si>
  <si>
    <t>BILLED_BASE_2</t>
  </si>
  <si>
    <t>BILLED_FSC_PCT_2</t>
  </si>
  <si>
    <t>BILLED_ACCESSORIALS_2</t>
  </si>
  <si>
    <t>EXCEPTION_2</t>
  </si>
  <si>
    <t>SETTLED_BY_2</t>
  </si>
  <si>
    <t>Totals</t>
  </si>
  <si>
    <t>Totals_2</t>
  </si>
  <si>
    <t>Total due under the contract, both panels</t>
  </si>
  <si>
    <t>Total billed, both panels</t>
  </si>
  <si>
    <t>Billed items accepted on a document or a written confirmation, both panels</t>
  </si>
  <si>
    <t>Each Audit panel reads the matching panel of the Invoices tab row for row, and the bill of lading fields are looked up in whichever BOL panel carries the pro. Terms B9 is the percent divisor for the invoice file's FSC_PCT column, which Northline states in whole percent. PRO_NO is the bill of lading pro the bill is rated against, which differs from PRO_BILLED only where the Pro Matches tab corrects it. SETTLED_BY names the document or written confirmation on which a billed item that disagrees with the bill of lading is accepted as billed, or the corrected pro number a bill is rated under.</t>
  </si>
  <si>
    <t>Freight bills that do not match the contract, with the section each exception rests on</t>
  </si>
  <si>
    <t>BILLED</t>
  </si>
  <si>
    <t>DUE</t>
  </si>
  <si>
    <t>DISPOSITION</t>
  </si>
  <si>
    <t>Exceptions listed</t>
  </si>
  <si>
    <t>Overcharge claim schedule under section 7.2, Halvorsen Building Products to Northline Freight Lines, September 2026 freight bills</t>
  </si>
  <si>
    <t>AMOUNT_BILLED</t>
  </si>
  <si>
    <t>AMOUNT_DUE</t>
  </si>
  <si>
    <t>DIFFERENCE</t>
  </si>
  <si>
    <t>SECTION</t>
  </si>
  <si>
    <t>Total claimed</t>
  </si>
  <si>
    <t>Basis text by section</t>
  </si>
  <si>
    <t>7.1</t>
  </si>
  <si>
    <t>Second freight bill on a pro number already billed, void under section 7.1</t>
  </si>
  <si>
    <t>4.3</t>
  </si>
  <si>
    <t>Billed at a class other than the product group class with no signed inspection certificate in the billing file</t>
  </si>
  <si>
    <t>Billed weight above the bill of lading weight with no certified scale ticket, or with a ticket inside the five percent tolerance</t>
  </si>
  <si>
    <t>4.2</t>
  </si>
  <si>
    <t>Rated at the shipment's own break where the next break's minimum weight rates lower</t>
  </si>
  <si>
    <t>5.2</t>
  </si>
  <si>
    <t>Fuel surcharge taken from a week other than the pickup week</t>
  </si>
  <si>
    <t>6.1</t>
  </si>
  <si>
    <t>Accessorial billed above the Exhibit B schedule: a service with no request on the bill of lading and no written confirmation before delivery, or a charge above the flat rate</t>
  </si>
  <si>
    <t>Freight bills where Northline billed less than the contract, reported under section 7.3 and not netted against the claim</t>
  </si>
  <si>
    <t>SHORTFALL</t>
  </si>
  <si>
    <t>Total reported</t>
  </si>
  <si>
    <t>Accessorial the bill of lading requested was not billed</t>
  </si>
  <si>
    <t>Note to Ingrid Solheim on the September Northline audit</t>
  </si>
  <si>
    <t>Ingrid, this is the audit of the Northline freight bills dated in September, which cover 44 shipments, two of them picked up in the last week of August and billed in September. Every figure on the summary reads from the tabs behind it, and the tabs behind read from the BOL and Invoices tabs, which copy the two files line for line in their two side-by-side panels, so nothing on the summary is typed in. The contract terms the audit applies are on the Terms and Tariff tabs with the section of the agreement each one comes from. The Billing File tab is my reading of the documents Northline listed in its transmittal, the Confirmations tab holds the three services the shipping desk confirmed to Northline in writing, and the Pro Matches tab holds the one freight bill whose pro number matches no bill of lading.</t>
  </si>
  <si>
    <t>Northline billed $24,281.01 on 46 freight bills. Rated under the agreement the same bills come to $22,823.31, so Northline billed $1,457.70 more than the contract allows on a net basis. That net figure is not the claim. The agreement does not let us net an undercharge against an overcharge, so the claim is the overcharges alone, $1,534.88 on 12 freight bills, and the undercharges go on their own list, $77.18 on 3 freight bills, reported to Northline and not deducted.</t>
  </si>
  <si>
    <t>The two duplicate freight bills are most of the claim, $1,051.33 between them. Northline billed pro 217883 twice, on NFL-90340 and again on NFL-90349, and pro 217841 twice, on NFL-90347 and again on NFL-90360. Section 7.1 makes the second bill on a pro void. If accounts payable has already paid either second bill, it stays on the claim; if not, return it unpaid and take it off the claim schedule before you file, because the schedule assumes payment.</t>
  </si>
  <si>
    <t>Five billed items disagree with the bill of lading and are accepted as billed, because a document in the file supports each one, so they are on no schedule. Northline's billing file holds a signed inspection certificate for the Norfolk gypsum board on NFL-90328, so the class 70 on that bill stands under section 4.3, and the bill is rated at $190.30 as billed. The file holds a certified scale ticket for the Glendive windows on NFL-90336 at 3,010 pounds against 2,790 declared, which is 7.9 percent over and outside the five percent tolerance, so the reweigh holds under section 4.5, and the bill is rated at $1,178.82 as billed. The shipping desk confirmed the liftgate on the Detroit Lakes siding, NFL-90330, to Northline in writing on September 16, two days before delivery, asked in writing on September 15 for the reconsignment of the Norfolk sealants on NFL-90324, and told Northline in writing on September 17 to redeliver the Watertown fasteners on NFL-90334 and bill the redelivery, so all three charges are due under section 6.1 as confirmed in writing before delivery.</t>
  </si>
  <si>
    <t>Two reweighs do not hold. NFL-90351 bills the Mason City roofing at 1,620 pounds against 1,310 on the bill of lading, and the only document behind it is a dock scale readout initialed by the dock lead, which is not a certified scale ticket, so the audit reverts to the bill of lading weight, $71.22 over. NFL-90355 bills the Glendive vinyl siding at 2,290 pounds on a certified ticket, but 2,290 is 3.6 percent over the 2,210 declared and inside the five percent tolerance, so section 4.5 sends that one back to the bill of lading weight as well, $25.07 over. If Northline produces a certified scale ticket for the Mason City shipment, that item comes off the claim, because 1,620 is 23.7 percent over the declared weight.</t>
  </si>
  <si>
    <t>NFL-90322 bills the Minot sealants at class 92.5 where the tariff puts sealants and coatings at class 85, $46.25 over. The billing file shows only a reclass notice from the rating system with a dock clerk's initials and no inspector, and Northline customer service confirmed to accounts payable on September 30 that no inspection was made, so section 4.3 does not let the reclass stand. Two bills were rated without the deficit weight rule in section 4.2, $162.52 together: on NFL-90332 the 4,650-pound Eau Claire shipment rates cheaper as 5,000 pounds at the 5M rate, and on NFL-90335 the 1,860-pound Jamestown shipment rates cheaper as 2,000 pounds at the 2M rate. Northline's system applied the rule correctly on the 4,120-pound Norfolk roofing on NFL-90359 and on the 890-pound Sioux City sealants on NFL-90342, so the two misses are worth raising with the pricing desk as a system question as well as a claim.</t>
  </si>
  <si>
    <t>Three accessorials are claimed, $173.00 together under section 6.1. The liftgate on NFL-90339 to Bismarck, $75.00, was not on the bill of lading, and the shipping desk gave Northline no confirmation when it asked the day after delivery. The redelivery on NFL-90342 to Sioux City, $88.00, was declined in writing on September 25 before the second attempt, because the driver arrived inside the receiver's posted hours. The liftgate on NFL-90320 to Grand Island was requested on the bill of lading but billed at $85.00 against the $75.00 schedule rate, $10.00 over.</t>
  </si>
  <si>
    <t>Four bills carry a fuel surcharge from the wrong week. NFL-90302 for the Hudson roofing picked up August 27 was rated on the August 31 index instead of the August 24 index, $2.48 over, and NFL-90356 for the Watertown siding was rated on the September 21 index instead of the September 28 index for its September 29 pickup, $3.01 over. NFL-90319 and NFL-90346 were rated on the week of their invoice date instead of the week of pickup, which undercharged us $0.77 and $1.41. Section 5.2 keys the surcharge to the pickup week regardless of the invoice date. NFL-90317 omitted the liftgate the Brainerd bill of lading requested, $75.00 under.</t>
  </si>
  <si>
    <t>Two things to know on fuel before Northline raises them. The bulletin prints 27.0 percent for the week of September 21, but the index of 3.803 falls in the 3.80 to 3.85 band of the tariff table at 27.5 percent, and the bills for that week carry 27.5 percent. Under section 5.3 the table governs, so those bills are correct. There is no fuel claim on that week. The bulletin's August reconciliation note explains the August 24 week, which is the week NFL-90302 should have carried.</t>
  </si>
  <si>
    <t>One freight bill, NFL-90352, bills pro 217876, which is on no bill of lading. It matches HBP-44912 for pro 217867, the Dickinson vinyl siding picked up September 23, on the ship date, the state, the 1,720 pounds and the class, and no other bill covers that shipment, so the audit rates it under the corrected pro number and finds it billed as the contract provides. Ask Northline for a corrected freight bill before it is paid, because the pro number on the bill is what their claims desk keys on.</t>
  </si>
  <si>
    <t>Three things the file does not settle. First, whether the two second bills on the duplicate pros were paid, which decides whether they are claimed or returned. Second, whether Northline holds a certified scale ticket for the Mason City reweigh; the claim letter should ask for it, because that document would take the item off the claim. Third, the agreement lets Northline issue a balance-due bill on the three undercharges within ninety days of each original bill, so accounts payable should expect a small bill on the Brainerd liftgate rather than paying it unasked. The claim window under section 7.2 is 180 days from each freight bill date, so there is time on every item. The duplicates are the cleanest to claim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</si>
</sst>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 x14ac:knownFonts="1">
    <font>
      <sz val="11"/>
      <color theme="1"/>
      <name val="Calibri"/>
      <family val="2"/>
      <scheme val="minor"/>
    </font>
    <font>
      <b/>
      <sz val="13"/>
      <name val="Calibri"/>
      <family val="2"/>
    </font>
    <font>
      <b/>
      <sz val="11"/>
      <name val="Calibri"/>
      <family val="2"/>
    </font>
  </fonts>
  <fills count="3">
    <fill>
      <patternFill patternType="none"/>
    </fill>
    <fill>
      <patternFill patternType="gray125"/>
    </fill>
    <fill>
      <patternFill patternType="solid">
        <fgColor rgb="FFDCE6F0"/>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2" borderId="0" xfId="0" applyFont="1" applyFill="1"/>
    <xf numFmtId="1" fontId="0" fillId="0" borderId="0" xfId="0" applyNumberFormat="1"/>
    <xf numFmtId="4" fontId="0" fillId="0" borderId="0" xfId="0" applyNumberFormat="1"/>
    <xf numFmtId="10" fontId="0" fillId="0" borderId="0" xfId="0" applyNumberFormat="1"/>
    <xf numFmtId="0" fontId="2" fillId="0" borderId="0" xfId="0" applyFont="1"/>
    <xf numFmtId="9" fontId="0" fillId="0" borderId="0" xfId="0" applyNumberFormat="1"/>
    <xf numFmtId="0" fontId="0" fillId="0" borderId="0" xfId="0" applyAlignment="1">
      <alignment vertical="top" wrapText="1"/>
    </xf>
    <xf numFmtId="2"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tabSelected="1" workbookViewId="0"/>
  </sheetViews>
  <sheetFormatPr baseColWidth="10" defaultColWidth="8.83203125" defaultRowHeight="15" x14ac:dyDescent="0.2"/>
  <cols>
    <col min="1" max="1" width="58" customWidth="1"/>
    <col min="2" max="2" width="16" customWidth="1"/>
    <col min="3" max="3" width="22" customWidth="1"/>
  </cols>
  <sheetData>
    <row r="1" spans="1:3" ht="17" x14ac:dyDescent="0.2">
      <c r="A1" s="1" t="s">
        <v>0</v>
      </c>
    </row>
    <row r="2" spans="1:3" x14ac:dyDescent="0.2">
      <c r="A2" t="s">
        <v>1</v>
      </c>
    </row>
    <row r="3" spans="1:3" x14ac:dyDescent="0.2">
      <c r="A3" t="s">
        <v>2</v>
      </c>
    </row>
    <row r="5" spans="1:3" x14ac:dyDescent="0.2">
      <c r="A5" s="2" t="s">
        <v>3</v>
      </c>
      <c r="B5" s="2" t="s">
        <v>4</v>
      </c>
      <c r="C5" s="2" t="s">
        <v>5</v>
      </c>
    </row>
    <row r="6" spans="1:3" x14ac:dyDescent="0.2">
      <c r="A6" t="s">
        <v>6</v>
      </c>
      <c r="B6" s="3">
        <f>COUNTA(Invoices!A4:A26,Invoices!P4:P26)</f>
        <v>46</v>
      </c>
      <c r="C6" t="s">
        <v>7</v>
      </c>
    </row>
    <row r="7" spans="1:3" x14ac:dyDescent="0.2">
      <c r="A7" t="s">
        <v>8</v>
      </c>
      <c r="B7" s="4">
        <f>ROUND(SUM(Invoices!O4:O26,Invoices!AD4:AD26),2)</f>
        <v>24281.01</v>
      </c>
      <c r="C7" t="s">
        <v>7</v>
      </c>
    </row>
    <row r="8" spans="1:3" x14ac:dyDescent="0.2">
      <c r="A8" t="s">
        <v>9</v>
      </c>
      <c r="B8" s="4">
        <f>Audit!B28</f>
        <v>22823.31</v>
      </c>
      <c r="C8" t="s">
        <v>10</v>
      </c>
    </row>
    <row r="9" spans="1:3" x14ac:dyDescent="0.2">
      <c r="A9" t="s">
        <v>11</v>
      </c>
      <c r="B9" s="4">
        <f>ROUND(B7-B8,2)</f>
        <v>1457.7</v>
      </c>
      <c r="C9" t="s">
        <v>12</v>
      </c>
    </row>
    <row r="10" spans="1:3" x14ac:dyDescent="0.2">
      <c r="A10" t="s">
        <v>13</v>
      </c>
      <c r="B10" s="4">
        <f>'Claim Schedule'!E16</f>
        <v>1534.88</v>
      </c>
      <c r="C10" t="s">
        <v>14</v>
      </c>
    </row>
    <row r="11" spans="1:3" x14ac:dyDescent="0.2">
      <c r="A11" t="s">
        <v>15</v>
      </c>
      <c r="B11" s="4">
        <f>Undercharges!E7</f>
        <v>77.18</v>
      </c>
      <c r="C11" t="s">
        <v>16</v>
      </c>
    </row>
    <row r="12" spans="1:3" x14ac:dyDescent="0.2">
      <c r="A12" t="s">
        <v>17</v>
      </c>
      <c r="B12" s="5">
        <f>ROUND(B10/B7,4)</f>
        <v>0.0632</v>
      </c>
      <c r="C12" t="s">
        <v>12</v>
      </c>
    </row>
    <row r="13" spans="1:3" x14ac:dyDescent="0.2">
      <c r="A13" t="s">
        <v>18</v>
      </c>
      <c r="B13" s="3">
        <f>COUNTA('Claim Schedule'!B4:B15)</f>
        <v>12</v>
      </c>
      <c r="C13" t="s">
        <v>14</v>
      </c>
    </row>
    <row r="14" spans="1:3" x14ac:dyDescent="0.2">
      <c r="A14" t="s">
        <v>19</v>
      </c>
      <c r="B14" s="3">
        <f>COUNTA(Undercharges!B4:B6)</f>
        <v>3</v>
      </c>
      <c r="C14" t="s">
        <v>16</v>
      </c>
    </row>
    <row r="15" spans="1:3" x14ac:dyDescent="0.2">
      <c r="A15" t="s">
        <v>20</v>
      </c>
      <c r="B15" s="3">
        <f>COUNTA(Exceptions!A4:A18)</f>
        <v>15</v>
      </c>
      <c r="C15" t="s">
        <v>21</v>
      </c>
    </row>
    <row r="16" spans="1:3" x14ac:dyDescent="0.2">
      <c r="A16" t="s">
        <v>22</v>
      </c>
      <c r="B16" s="3">
        <f>B6-B15</f>
        <v>31</v>
      </c>
      <c r="C16" t="s">
        <v>12</v>
      </c>
    </row>
    <row r="17" spans="1:3" x14ac:dyDescent="0.2">
      <c r="A17" t="s">
        <v>23</v>
      </c>
      <c r="B17" s="3">
        <f>Audit!B30</f>
        <v>5</v>
      </c>
      <c r="C17" t="s">
        <v>10</v>
      </c>
    </row>
    <row r="18" spans="1:3" x14ac:dyDescent="0.2">
      <c r="A18" t="s">
        <v>24</v>
      </c>
      <c r="B18" s="3">
        <f>COUNTA('Pro Matches'!A4:A4)</f>
        <v>1</v>
      </c>
      <c r="C18" t="s">
        <v>25</v>
      </c>
    </row>
    <row r="19" spans="1:3" x14ac:dyDescent="0.2">
      <c r="A19" s="6" t="s">
        <v>26</v>
      </c>
    </row>
    <row r="20" spans="1:3" x14ac:dyDescent="0.2">
      <c r="A20" t="s">
        <v>27</v>
      </c>
      <c r="B20" s="3">
        <f>COUNTIF(Exceptions!C4:C18,"7.1*")</f>
        <v>2</v>
      </c>
      <c r="C20" t="s">
        <v>21</v>
      </c>
    </row>
    <row r="21" spans="1:3" x14ac:dyDescent="0.2">
      <c r="A21" t="s">
        <v>28</v>
      </c>
      <c r="B21" s="3">
        <f>COUNTIF(Exceptions!C4:C18,"4.3*")</f>
        <v>1</v>
      </c>
      <c r="C21" t="s">
        <v>21</v>
      </c>
    </row>
    <row r="22" spans="1:3" x14ac:dyDescent="0.2">
      <c r="A22" t="s">
        <v>29</v>
      </c>
      <c r="B22" s="3">
        <f>COUNTIF(Exceptions!C4:C18,"4.5*")</f>
        <v>2</v>
      </c>
      <c r="C22" t="s">
        <v>21</v>
      </c>
    </row>
    <row r="23" spans="1:3" x14ac:dyDescent="0.2">
      <c r="A23" t="s">
        <v>30</v>
      </c>
      <c r="B23" s="3">
        <f>COUNTIF(Exceptions!C4:C18,"4.2*")</f>
        <v>2</v>
      </c>
      <c r="C23" t="s">
        <v>21</v>
      </c>
    </row>
    <row r="24" spans="1:3" x14ac:dyDescent="0.2">
      <c r="A24" t="s">
        <v>31</v>
      </c>
      <c r="B24" s="3">
        <f>COUNTIF(Exceptions!C4:C18,"5.2*")</f>
        <v>4</v>
      </c>
      <c r="C24" t="s">
        <v>21</v>
      </c>
    </row>
    <row r="25" spans="1:3" x14ac:dyDescent="0.2">
      <c r="A25" t="s">
        <v>32</v>
      </c>
      <c r="B25" s="3">
        <f>COUNTIF(Exceptions!C4:C18,"6.1*")</f>
        <v>4</v>
      </c>
      <c r="C25" t="s">
        <v>21</v>
      </c>
    </row>
    <row r="26" spans="1:3" x14ac:dyDescent="0.2">
      <c r="A26" s="6" t="s">
        <v>33</v>
      </c>
    </row>
    <row r="27" spans="1:3" x14ac:dyDescent="0.2">
      <c r="A27" t="s">
        <v>34</v>
      </c>
      <c r="B27" s="4">
        <f>ROUND(SUMIF('Claim Schedule'!F4:F15,"7.1",'Claim Schedule'!E4:E15),2)</f>
        <v>1051.33</v>
      </c>
      <c r="C27" t="s">
        <v>14</v>
      </c>
    </row>
    <row r="28" spans="1:3" x14ac:dyDescent="0.2">
      <c r="A28" t="s">
        <v>35</v>
      </c>
      <c r="B28" s="4">
        <f>ROUND(SUMIF('Claim Schedule'!F4:F15,"4.2",'Claim Schedule'!E4:E15),2)</f>
        <v>162.52</v>
      </c>
      <c r="C28" t="s">
        <v>14</v>
      </c>
    </row>
    <row r="29" spans="1:3" x14ac:dyDescent="0.2">
      <c r="A29" t="s">
        <v>36</v>
      </c>
      <c r="B29" s="4">
        <f>ROUND(SUMIF('Claim Schedule'!F4:F15,"4.3",'Claim Schedule'!E4:E15),2)</f>
        <v>46.25</v>
      </c>
      <c r="C29" t="s">
        <v>14</v>
      </c>
    </row>
    <row r="30" spans="1:3" x14ac:dyDescent="0.2">
      <c r="A30" t="s">
        <v>37</v>
      </c>
      <c r="B30" s="4">
        <f>ROUND(SUMIF('Claim Schedule'!F4:F15,"4.5",'Claim Schedule'!E4:E15),2)</f>
        <v>96.29</v>
      </c>
      <c r="C30" t="s">
        <v>14</v>
      </c>
    </row>
    <row r="31" spans="1:3" x14ac:dyDescent="0.2">
      <c r="A31" t="s">
        <v>38</v>
      </c>
      <c r="B31" s="4">
        <f>ROUND(SUMIF('Claim Schedule'!F4:F15,"5.2",'Claim Schedule'!E4:E15),2)</f>
        <v>5.49</v>
      </c>
      <c r="C31" t="s">
        <v>14</v>
      </c>
    </row>
    <row r="32" spans="1:3" x14ac:dyDescent="0.2">
      <c r="A32" t="s">
        <v>39</v>
      </c>
      <c r="B32" s="4">
        <f>ROUND(SUMIF('Claim Schedule'!F4:F15,"6.1",'Claim Schedule'!E4:E15),2)</f>
        <v>173</v>
      </c>
      <c r="C32" t="s">
        <v>14</v>
      </c>
    </row>
    <row r="33" spans="1:3" x14ac:dyDescent="0.2">
      <c r="A33" s="6" t="s">
        <v>40</v>
      </c>
    </row>
    <row r="34" spans="1:3" x14ac:dyDescent="0.2">
      <c r="A34" t="s">
        <v>41</v>
      </c>
      <c r="B34" s="4">
        <f>MAX('Claim Schedule'!E4:E15)</f>
        <v>603.63</v>
      </c>
      <c r="C34" t="s">
        <v>14</v>
      </c>
    </row>
    <row r="35" spans="1:3" x14ac:dyDescent="0.2">
      <c r="A35" t="s">
        <v>42</v>
      </c>
      <c r="B35" t="str">
        <f>INDEX('Claim Schedule'!B4:B15,MATCH(B34,'Claim Schedule'!E4:E15,0))</f>
        <v>NFL-90360</v>
      </c>
      <c r="C35" t="s">
        <v>14</v>
      </c>
    </row>
    <row r="38" spans="1:3" x14ac:dyDescent="0.2">
      <c r="A38"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heetViews>
  <sheetFormatPr baseColWidth="10" defaultColWidth="8.83203125" defaultRowHeight="15" x14ac:dyDescent="0.2"/>
  <cols>
    <col min="1" max="1" width="52" customWidth="1"/>
    <col min="2" max="2" width="14" customWidth="1"/>
    <col min="3" max="3" width="44" customWidth="1"/>
  </cols>
  <sheetData>
    <row r="1" spans="1:3" ht="17" x14ac:dyDescent="0.2">
      <c r="A1" s="1" t="s">
        <v>44</v>
      </c>
    </row>
    <row r="3" spans="1:3" x14ac:dyDescent="0.2">
      <c r="A3" s="2" t="s">
        <v>45</v>
      </c>
      <c r="B3" s="2" t="s">
        <v>4</v>
      </c>
      <c r="C3" s="2" t="s">
        <v>46</v>
      </c>
    </row>
    <row r="4" spans="1:3" x14ac:dyDescent="0.2">
      <c r="A4" t="s">
        <v>47</v>
      </c>
      <c r="B4" s="7">
        <v>0.62</v>
      </c>
      <c r="C4" t="s">
        <v>48</v>
      </c>
    </row>
    <row r="5" spans="1:3" x14ac:dyDescent="0.2">
      <c r="A5" t="s">
        <v>49</v>
      </c>
      <c r="B5" s="4">
        <v>118.4</v>
      </c>
      <c r="C5" t="s">
        <v>48</v>
      </c>
    </row>
    <row r="6" spans="1:3" x14ac:dyDescent="0.2">
      <c r="A6" t="s">
        <v>50</v>
      </c>
      <c r="B6" s="7">
        <v>0.05</v>
      </c>
      <c r="C6" t="s">
        <v>51</v>
      </c>
    </row>
    <row r="7" spans="1:3" x14ac:dyDescent="0.2">
      <c r="A7" t="s">
        <v>52</v>
      </c>
      <c r="B7" s="3">
        <v>180</v>
      </c>
      <c r="C7" t="s">
        <v>53</v>
      </c>
    </row>
    <row r="8" spans="1:3" x14ac:dyDescent="0.2">
      <c r="A8" t="s">
        <v>54</v>
      </c>
      <c r="B8" s="3">
        <v>90</v>
      </c>
      <c r="C8" t="s">
        <v>55</v>
      </c>
    </row>
    <row r="9" spans="1:3" x14ac:dyDescent="0.2">
      <c r="A9" t="s">
        <v>56</v>
      </c>
      <c r="B9" s="3">
        <v>100</v>
      </c>
      <c r="C9" t="s">
        <v>57</v>
      </c>
    </row>
    <row r="10" spans="1:3" x14ac:dyDescent="0.2">
      <c r="A10" t="s">
        <v>58</v>
      </c>
      <c r="B10" t="s">
        <v>59</v>
      </c>
      <c r="C10" t="s">
        <v>60</v>
      </c>
    </row>
    <row r="12" spans="1:3" ht="175" customHeight="1" x14ac:dyDescent="0.2">
      <c r="A12" s="8" t="s">
        <v>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1"/>
  <sheetViews>
    <sheetView workbookViewId="0"/>
  </sheetViews>
  <sheetFormatPr baseColWidth="10" defaultColWidth="8.83203125" defaultRowHeight="15" x14ac:dyDescent="0.2"/>
  <cols>
    <col min="1" max="1" width="12" customWidth="1"/>
    <col min="2" max="2" width="9" customWidth="1"/>
    <col min="8" max="8" width="12" customWidth="1"/>
    <col min="9" max="9" width="9" customWidth="1"/>
    <col min="11" max="11" width="26" customWidth="1"/>
    <col min="12" max="12" width="12" customWidth="1"/>
    <col min="13" max="13" width="24" customWidth="1"/>
    <col min="14" max="14" width="16" customWidth="1"/>
    <col min="15" max="15" width="9" customWidth="1"/>
    <col min="17" max="17" width="15" customWidth="1"/>
    <col min="18" max="18" width="9" customWidth="1"/>
  </cols>
  <sheetData>
    <row r="1" spans="1:18" ht="17" x14ac:dyDescent="0.2">
      <c r="A1" s="1" t="s">
        <v>62</v>
      </c>
    </row>
    <row r="3" spans="1:18" x14ac:dyDescent="0.2">
      <c r="A3" s="2" t="s">
        <v>63</v>
      </c>
      <c r="B3" s="2" t="s">
        <v>64</v>
      </c>
      <c r="C3" s="2" t="s">
        <v>65</v>
      </c>
      <c r="D3" s="2" t="s">
        <v>66</v>
      </c>
      <c r="E3" s="2" t="s">
        <v>67</v>
      </c>
      <c r="F3" s="2" t="s">
        <v>68</v>
      </c>
      <c r="H3" s="2" t="s">
        <v>69</v>
      </c>
      <c r="I3" s="2" t="s">
        <v>70</v>
      </c>
      <c r="K3" s="2" t="s">
        <v>71</v>
      </c>
      <c r="L3" s="2" t="s">
        <v>69</v>
      </c>
      <c r="M3" s="2" t="s">
        <v>72</v>
      </c>
      <c r="N3" s="2" t="s">
        <v>73</v>
      </c>
      <c r="O3" s="2" t="s">
        <v>74</v>
      </c>
      <c r="Q3" s="2" t="s">
        <v>75</v>
      </c>
      <c r="R3" s="2" t="s">
        <v>76</v>
      </c>
    </row>
    <row r="4" spans="1:18" x14ac:dyDescent="0.2">
      <c r="A4" t="s">
        <v>77</v>
      </c>
      <c r="B4" s="9">
        <v>58.4</v>
      </c>
      <c r="C4" s="9">
        <v>49.1</v>
      </c>
      <c r="D4" s="9">
        <v>41.75</v>
      </c>
      <c r="E4" s="9">
        <v>34.2</v>
      </c>
      <c r="F4" s="9">
        <v>27.85</v>
      </c>
      <c r="H4">
        <v>50</v>
      </c>
      <c r="I4" s="9">
        <v>0.8</v>
      </c>
      <c r="K4" t="s">
        <v>78</v>
      </c>
      <c r="L4">
        <v>55</v>
      </c>
      <c r="M4" t="s">
        <v>79</v>
      </c>
      <c r="N4" t="s">
        <v>80</v>
      </c>
      <c r="O4" s="4">
        <v>75</v>
      </c>
      <c r="Q4" s="10">
        <v>3</v>
      </c>
      <c r="R4" s="11">
        <v>0.195</v>
      </c>
    </row>
    <row r="5" spans="1:18" x14ac:dyDescent="0.2">
      <c r="A5" t="s">
        <v>81</v>
      </c>
      <c r="B5" s="9">
        <v>61.2</v>
      </c>
      <c r="C5" s="9">
        <v>51.65</v>
      </c>
      <c r="D5" s="9">
        <v>43.9</v>
      </c>
      <c r="E5" s="9">
        <v>36.05</v>
      </c>
      <c r="F5" s="9">
        <v>29.4</v>
      </c>
      <c r="H5">
        <v>55</v>
      </c>
      <c r="I5" s="9">
        <v>0.88</v>
      </c>
      <c r="K5" t="s">
        <v>82</v>
      </c>
      <c r="L5">
        <v>60</v>
      </c>
      <c r="M5" t="s">
        <v>83</v>
      </c>
      <c r="N5" t="s">
        <v>84</v>
      </c>
      <c r="O5" s="4">
        <v>95</v>
      </c>
      <c r="Q5" s="10">
        <v>3.1</v>
      </c>
      <c r="R5" s="11">
        <v>0.205</v>
      </c>
    </row>
    <row r="6" spans="1:18" x14ac:dyDescent="0.2">
      <c r="A6" t="s">
        <v>85</v>
      </c>
      <c r="B6" s="9">
        <v>84.7</v>
      </c>
      <c r="C6" s="9">
        <v>71.3</v>
      </c>
      <c r="D6" s="9">
        <v>60.85</v>
      </c>
      <c r="E6" s="9">
        <v>49.95</v>
      </c>
      <c r="F6" s="9">
        <v>40.6</v>
      </c>
      <c r="H6">
        <v>60</v>
      </c>
      <c r="I6" s="9">
        <v>0.94</v>
      </c>
      <c r="K6" t="s">
        <v>86</v>
      </c>
      <c r="L6">
        <v>70</v>
      </c>
      <c r="M6" t="s">
        <v>87</v>
      </c>
      <c r="N6" t="s">
        <v>88</v>
      </c>
      <c r="O6" s="4">
        <v>85</v>
      </c>
      <c r="Q6" s="10">
        <v>3.2</v>
      </c>
      <c r="R6" s="11">
        <v>0.215</v>
      </c>
    </row>
    <row r="7" spans="1:18" x14ac:dyDescent="0.2">
      <c r="A7" t="s">
        <v>89</v>
      </c>
      <c r="B7" s="9">
        <v>66.35</v>
      </c>
      <c r="C7" s="9">
        <v>55.9</v>
      </c>
      <c r="D7" s="9">
        <v>47.6</v>
      </c>
      <c r="E7" s="9">
        <v>39.1</v>
      </c>
      <c r="F7" s="9">
        <v>31.85</v>
      </c>
      <c r="H7">
        <v>70</v>
      </c>
      <c r="I7" s="9">
        <v>1</v>
      </c>
      <c r="K7" t="s">
        <v>90</v>
      </c>
      <c r="L7">
        <v>85</v>
      </c>
      <c r="M7" t="s">
        <v>91</v>
      </c>
      <c r="N7" t="s">
        <v>92</v>
      </c>
      <c r="O7" s="4">
        <v>60</v>
      </c>
      <c r="Q7" s="10">
        <v>3.3</v>
      </c>
      <c r="R7" s="11">
        <v>0.225</v>
      </c>
    </row>
    <row r="8" spans="1:18" x14ac:dyDescent="0.2">
      <c r="A8" t="s">
        <v>93</v>
      </c>
      <c r="B8" s="9">
        <v>70.15</v>
      </c>
      <c r="C8" s="9">
        <v>59.05</v>
      </c>
      <c r="D8" s="9">
        <v>50.3</v>
      </c>
      <c r="E8" s="9">
        <v>41.3</v>
      </c>
      <c r="F8" s="9">
        <v>33.65</v>
      </c>
      <c r="H8">
        <v>85</v>
      </c>
      <c r="I8" s="9">
        <v>1.15</v>
      </c>
      <c r="K8" t="s">
        <v>94</v>
      </c>
      <c r="L8">
        <v>92.5</v>
      </c>
      <c r="M8" t="s">
        <v>95</v>
      </c>
      <c r="N8" t="s">
        <v>96</v>
      </c>
      <c r="O8" s="4">
        <v>88</v>
      </c>
      <c r="Q8" s="10">
        <v>3.4</v>
      </c>
      <c r="R8" s="11">
        <v>0.235</v>
      </c>
    </row>
    <row r="9" spans="1:18" x14ac:dyDescent="0.2">
      <c r="A9" t="s">
        <v>97</v>
      </c>
      <c r="B9" s="9">
        <v>69.4</v>
      </c>
      <c r="C9" s="9">
        <v>58.45</v>
      </c>
      <c r="D9" s="9">
        <v>49.8</v>
      </c>
      <c r="E9" s="9">
        <v>40.9</v>
      </c>
      <c r="F9" s="9">
        <v>33.3</v>
      </c>
      <c r="H9">
        <v>92.5</v>
      </c>
      <c r="I9" s="9">
        <v>1.3</v>
      </c>
      <c r="K9" t="s">
        <v>98</v>
      </c>
      <c r="L9">
        <v>100</v>
      </c>
      <c r="M9" t="s">
        <v>99</v>
      </c>
      <c r="N9" t="s">
        <v>96</v>
      </c>
      <c r="O9" s="4">
        <v>110</v>
      </c>
      <c r="Q9" s="10">
        <v>3.5</v>
      </c>
      <c r="R9" s="11">
        <v>0.245</v>
      </c>
    </row>
    <row r="10" spans="1:18" x14ac:dyDescent="0.2">
      <c r="A10" t="s">
        <v>100</v>
      </c>
      <c r="B10" s="9">
        <v>44.9</v>
      </c>
      <c r="C10" s="9">
        <v>37.8</v>
      </c>
      <c r="D10" s="9">
        <v>32.15</v>
      </c>
      <c r="E10" s="9">
        <v>26.4</v>
      </c>
      <c r="F10" s="9">
        <v>21.5</v>
      </c>
      <c r="H10">
        <v>100</v>
      </c>
      <c r="I10" s="9">
        <v>1.45</v>
      </c>
      <c r="Q10" s="10">
        <v>3.55</v>
      </c>
      <c r="R10" s="11">
        <v>0.25</v>
      </c>
    </row>
    <row r="11" spans="1:18" x14ac:dyDescent="0.2">
      <c r="Q11" s="10">
        <v>3.6</v>
      </c>
      <c r="R11" s="11">
        <v>0.255</v>
      </c>
    </row>
    <row r="12" spans="1:18" x14ac:dyDescent="0.2">
      <c r="A12" t="s">
        <v>101</v>
      </c>
      <c r="B12">
        <v>1</v>
      </c>
      <c r="C12">
        <v>500</v>
      </c>
      <c r="D12">
        <v>1000</v>
      </c>
      <c r="E12">
        <v>2000</v>
      </c>
      <c r="F12">
        <v>5000</v>
      </c>
      <c r="Q12" s="10">
        <v>3.65</v>
      </c>
      <c r="R12" s="11">
        <v>0.26</v>
      </c>
    </row>
    <row r="13" spans="1:18" x14ac:dyDescent="0.2">
      <c r="Q13" s="10">
        <v>3.7</v>
      </c>
      <c r="R13" s="11">
        <v>0.265</v>
      </c>
    </row>
    <row r="14" spans="1:18" x14ac:dyDescent="0.2">
      <c r="Q14" s="10">
        <v>3.75</v>
      </c>
      <c r="R14" s="11">
        <v>0.27</v>
      </c>
    </row>
    <row r="15" spans="1:18" x14ac:dyDescent="0.2">
      <c r="Q15" s="10">
        <v>3.8</v>
      </c>
      <c r="R15" s="11">
        <v>0.275</v>
      </c>
    </row>
    <row r="16" spans="1:18" x14ac:dyDescent="0.2">
      <c r="Q16" s="10">
        <v>3.85</v>
      </c>
      <c r="R16" s="11">
        <v>0.28</v>
      </c>
    </row>
    <row r="17" spans="17:18" x14ac:dyDescent="0.2">
      <c r="Q17" s="10">
        <v>3.9</v>
      </c>
      <c r="R17" s="11">
        <v>0.285</v>
      </c>
    </row>
    <row r="18" spans="17:18" x14ac:dyDescent="0.2">
      <c r="Q18" s="10">
        <v>3.95</v>
      </c>
      <c r="R18" s="11">
        <v>0.29</v>
      </c>
    </row>
    <row r="19" spans="17:18" x14ac:dyDescent="0.2">
      <c r="Q19" s="10">
        <v>4</v>
      </c>
      <c r="R19" s="11">
        <v>0.295</v>
      </c>
    </row>
    <row r="20" spans="17:18" x14ac:dyDescent="0.2">
      <c r="Q20" s="10">
        <v>4.1</v>
      </c>
      <c r="R20" s="11">
        <v>0.305</v>
      </c>
    </row>
    <row r="21" spans="17:18" x14ac:dyDescent="0.2">
      <c r="Q21" s="10">
        <v>4.2</v>
      </c>
      <c r="R21" s="11">
        <v>0.315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sheetViews>
  <sheetFormatPr baseColWidth="10" defaultColWidth="8.83203125" defaultRowHeight="15" x14ac:dyDescent="0.2"/>
  <cols>
    <col min="1" max="1" width="16" customWidth="1"/>
    <col min="2" max="2" width="12" customWidth="1"/>
    <col min="3" max="3" width="10" customWidth="1"/>
    <col min="4" max="4" width="14" customWidth="1"/>
  </cols>
  <sheetData>
    <row r="1" spans="1:4" ht="17" x14ac:dyDescent="0.2">
      <c r="A1" s="1" t="s">
        <v>102</v>
      </c>
    </row>
    <row r="3" spans="1:4" x14ac:dyDescent="0.2">
      <c r="A3" s="2" t="s">
        <v>103</v>
      </c>
      <c r="B3" s="2" t="s">
        <v>104</v>
      </c>
      <c r="C3" s="2" t="s">
        <v>76</v>
      </c>
      <c r="D3" s="2" t="s">
        <v>105</v>
      </c>
    </row>
    <row r="4" spans="1:4" x14ac:dyDescent="0.2">
      <c r="A4" t="s">
        <v>106</v>
      </c>
      <c r="B4" s="10">
        <v>3.618</v>
      </c>
      <c r="C4" s="11">
        <f>VLOOKUP(B4,Tariff!$Q$4:$R$21,2,TRUE)</f>
        <v>0.255</v>
      </c>
      <c r="D4" s="11">
        <v>0.255</v>
      </c>
    </row>
    <row r="5" spans="1:4" x14ac:dyDescent="0.2">
      <c r="A5" t="s">
        <v>107</v>
      </c>
      <c r="B5" s="10">
        <v>3.641</v>
      </c>
      <c r="C5" s="11">
        <f>VLOOKUP(B5,Tariff!$Q$4:$R$21,2,TRUE)</f>
        <v>0.255</v>
      </c>
      <c r="D5" s="11">
        <v>0.255</v>
      </c>
    </row>
    <row r="6" spans="1:4" x14ac:dyDescent="0.2">
      <c r="A6" t="s">
        <v>108</v>
      </c>
      <c r="B6" s="10">
        <v>3.677</v>
      </c>
      <c r="C6" s="11">
        <f>VLOOKUP(B6,Tariff!$Q$4:$R$21,2,TRUE)</f>
        <v>0.26</v>
      </c>
      <c r="D6" s="11">
        <v>0.26</v>
      </c>
    </row>
    <row r="7" spans="1:4" x14ac:dyDescent="0.2">
      <c r="A7" t="s">
        <v>109</v>
      </c>
      <c r="B7" s="10">
        <v>3.664</v>
      </c>
      <c r="C7" s="11">
        <f>VLOOKUP(B7,Tariff!$Q$4:$R$21,2,TRUE)</f>
        <v>0.26</v>
      </c>
      <c r="D7" s="11">
        <v>0.26</v>
      </c>
    </row>
    <row r="8" spans="1:4" x14ac:dyDescent="0.2">
      <c r="A8" t="s">
        <v>110</v>
      </c>
      <c r="B8" s="10">
        <v>3.712</v>
      </c>
      <c r="C8" s="11">
        <f>VLOOKUP(B8,Tariff!$Q$4:$R$21,2,TRUE)</f>
        <v>0.265</v>
      </c>
      <c r="D8" s="11">
        <v>0.265</v>
      </c>
    </row>
    <row r="9" spans="1:4" x14ac:dyDescent="0.2">
      <c r="A9" t="s">
        <v>111</v>
      </c>
      <c r="B9" s="10">
        <v>3.748</v>
      </c>
      <c r="C9" s="11">
        <f>VLOOKUP(B9,Tariff!$Q$4:$R$21,2,TRUE)</f>
        <v>0.265</v>
      </c>
      <c r="D9" s="11">
        <v>0.265</v>
      </c>
    </row>
    <row r="10" spans="1:4" x14ac:dyDescent="0.2">
      <c r="A10" t="s">
        <v>112</v>
      </c>
      <c r="B10" s="10">
        <v>3.691</v>
      </c>
      <c r="C10" s="11">
        <f>VLOOKUP(B10,Tariff!$Q$4:$R$21,2,TRUE)</f>
        <v>0.26</v>
      </c>
      <c r="D10" s="11">
        <v>0.26</v>
      </c>
    </row>
    <row r="11" spans="1:4" x14ac:dyDescent="0.2">
      <c r="A11" t="s">
        <v>113</v>
      </c>
      <c r="B11" s="10">
        <v>3.803</v>
      </c>
      <c r="C11" s="11">
        <f>VLOOKUP(B11,Tariff!$Q$4:$R$21,2,TRUE)</f>
        <v>0.275</v>
      </c>
      <c r="D11" s="11">
        <v>0.27</v>
      </c>
    </row>
    <row r="12" spans="1:4" x14ac:dyDescent="0.2">
      <c r="A12" t="s">
        <v>114</v>
      </c>
      <c r="B12" s="10">
        <v>3.779</v>
      </c>
      <c r="C12" s="11">
        <f>VLOOKUP(B12,Tariff!$Q$4:$R$21,2,TRUE)</f>
        <v>0.27</v>
      </c>
      <c r="D12" s="11">
        <v>0.27</v>
      </c>
    </row>
    <row r="14" spans="1:4" x14ac:dyDescent="0.2">
      <c r="A14" t="s">
        <v>115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5"/>
  <sheetViews>
    <sheetView workbookViewId="0"/>
  </sheetViews>
  <sheetFormatPr baseColWidth="10" defaultColWidth="8.83203125" defaultRowHeight="15" x14ac:dyDescent="0.2"/>
  <cols>
    <col min="1" max="1" width="12" customWidth="1"/>
    <col min="2" max="2" width="10" customWidth="1"/>
    <col min="3" max="3" width="12" customWidth="1"/>
    <col min="4" max="4" width="16" customWidth="1"/>
    <col min="5" max="5" width="10" customWidth="1"/>
    <col min="6" max="6" width="24" customWidth="1"/>
    <col min="13" max="13" width="14" customWidth="1"/>
    <col min="14" max="14" width="12" customWidth="1"/>
    <col min="15" max="15" width="10" customWidth="1"/>
    <col min="16" max="16" width="12" customWidth="1"/>
    <col min="17" max="17" width="16" customWidth="1"/>
    <col min="18" max="18" width="10" customWidth="1"/>
    <col min="19" max="19" width="24" customWidth="1"/>
    <col min="26" max="26" width="14" customWidth="1"/>
  </cols>
  <sheetData>
    <row r="1" spans="1:26" ht="17" x14ac:dyDescent="0.2">
      <c r="A1" s="1" t="s">
        <v>116</v>
      </c>
    </row>
    <row r="3" spans="1:26" x14ac:dyDescent="0.2">
      <c r="A3" s="2" t="s">
        <v>117</v>
      </c>
      <c r="B3" s="2" t="s">
        <v>118</v>
      </c>
      <c r="C3" s="2" t="s">
        <v>119</v>
      </c>
      <c r="D3" s="2" t="s">
        <v>120</v>
      </c>
      <c r="E3" s="2" t="s">
        <v>63</v>
      </c>
      <c r="F3" s="2" t="s">
        <v>71</v>
      </c>
      <c r="G3" s="2" t="s">
        <v>121</v>
      </c>
      <c r="H3" s="2" t="s">
        <v>122</v>
      </c>
      <c r="I3" s="2" t="s">
        <v>80</v>
      </c>
      <c r="J3" s="2" t="s">
        <v>84</v>
      </c>
      <c r="K3" s="2" t="s">
        <v>88</v>
      </c>
      <c r="L3" s="2" t="s">
        <v>92</v>
      </c>
      <c r="M3" s="2" t="s">
        <v>123</v>
      </c>
      <c r="N3" s="2" t="s">
        <v>124</v>
      </c>
      <c r="O3" s="2" t="s">
        <v>125</v>
      </c>
      <c r="P3" s="2" t="s">
        <v>126</v>
      </c>
      <c r="Q3" s="2" t="s">
        <v>127</v>
      </c>
      <c r="R3" s="2" t="s">
        <v>128</v>
      </c>
      <c r="S3" s="2" t="s">
        <v>129</v>
      </c>
      <c r="T3" s="2" t="s">
        <v>130</v>
      </c>
      <c r="U3" s="2" t="s">
        <v>131</v>
      </c>
      <c r="V3" s="2" t="s">
        <v>132</v>
      </c>
      <c r="W3" s="2" t="s">
        <v>133</v>
      </c>
      <c r="X3" s="2" t="s">
        <v>134</v>
      </c>
      <c r="Y3" s="2" t="s">
        <v>135</v>
      </c>
      <c r="Z3" s="2" t="s">
        <v>136</v>
      </c>
    </row>
    <row r="4" spans="1:26" x14ac:dyDescent="0.2">
      <c r="A4" t="s">
        <v>137</v>
      </c>
      <c r="B4">
        <v>217598</v>
      </c>
      <c r="C4" t="s">
        <v>138</v>
      </c>
      <c r="D4" t="s">
        <v>139</v>
      </c>
      <c r="E4" t="s">
        <v>93</v>
      </c>
      <c r="F4" t="s">
        <v>86</v>
      </c>
      <c r="G4">
        <v>9</v>
      </c>
      <c r="H4">
        <v>3150</v>
      </c>
      <c r="I4" t="s">
        <v>140</v>
      </c>
      <c r="J4" t="s">
        <v>140</v>
      </c>
      <c r="K4" t="s">
        <v>140</v>
      </c>
      <c r="L4" t="s">
        <v>140</v>
      </c>
      <c r="M4" t="s">
        <v>110</v>
      </c>
      <c r="N4" t="s">
        <v>141</v>
      </c>
      <c r="O4">
        <v>217666</v>
      </c>
      <c r="P4" t="s">
        <v>142</v>
      </c>
      <c r="Q4" t="s">
        <v>139</v>
      </c>
      <c r="R4" t="s">
        <v>93</v>
      </c>
      <c r="S4" t="s">
        <v>78</v>
      </c>
      <c r="T4">
        <v>2</v>
      </c>
      <c r="U4">
        <v>905</v>
      </c>
      <c r="V4" t="s">
        <v>140</v>
      </c>
      <c r="W4" t="s">
        <v>140</v>
      </c>
      <c r="X4" t="s">
        <v>140</v>
      </c>
      <c r="Y4" t="s">
        <v>140</v>
      </c>
      <c r="Z4" t="s">
        <v>113</v>
      </c>
    </row>
    <row r="5" spans="1:26" x14ac:dyDescent="0.2">
      <c r="A5" t="s">
        <v>143</v>
      </c>
      <c r="B5">
        <v>217611</v>
      </c>
      <c r="C5" t="s">
        <v>144</v>
      </c>
      <c r="D5" t="s">
        <v>145</v>
      </c>
      <c r="E5" t="s">
        <v>81</v>
      </c>
      <c r="F5" t="s">
        <v>78</v>
      </c>
      <c r="G5">
        <v>3</v>
      </c>
      <c r="H5">
        <v>1180</v>
      </c>
      <c r="I5" t="s">
        <v>140</v>
      </c>
      <c r="J5" t="s">
        <v>140</v>
      </c>
      <c r="K5" t="s">
        <v>140</v>
      </c>
      <c r="L5" t="s">
        <v>140</v>
      </c>
      <c r="M5" t="s">
        <v>146</v>
      </c>
      <c r="N5" t="s">
        <v>147</v>
      </c>
      <c r="O5">
        <v>217724</v>
      </c>
      <c r="P5" t="s">
        <v>142</v>
      </c>
      <c r="Q5" t="s">
        <v>148</v>
      </c>
      <c r="R5" t="s">
        <v>100</v>
      </c>
      <c r="S5" t="s">
        <v>78</v>
      </c>
      <c r="T5">
        <v>8</v>
      </c>
      <c r="U5">
        <v>1450</v>
      </c>
      <c r="V5" t="s">
        <v>140</v>
      </c>
      <c r="W5" t="s">
        <v>149</v>
      </c>
      <c r="X5" t="s">
        <v>140</v>
      </c>
      <c r="Y5" t="s">
        <v>149</v>
      </c>
      <c r="Z5" t="s">
        <v>150</v>
      </c>
    </row>
    <row r="6" spans="1:26" x14ac:dyDescent="0.2">
      <c r="A6" t="s">
        <v>151</v>
      </c>
      <c r="B6">
        <v>217645</v>
      </c>
      <c r="C6" t="s">
        <v>146</v>
      </c>
      <c r="D6" t="s">
        <v>152</v>
      </c>
      <c r="E6" t="s">
        <v>93</v>
      </c>
      <c r="F6" t="s">
        <v>86</v>
      </c>
      <c r="G6">
        <v>2</v>
      </c>
      <c r="H6">
        <v>1240</v>
      </c>
      <c r="I6" t="s">
        <v>140</v>
      </c>
      <c r="J6" t="s">
        <v>140</v>
      </c>
      <c r="K6" t="s">
        <v>149</v>
      </c>
      <c r="L6" t="s">
        <v>140</v>
      </c>
      <c r="M6" t="s">
        <v>153</v>
      </c>
      <c r="N6" t="s">
        <v>154</v>
      </c>
      <c r="O6">
        <v>217833</v>
      </c>
      <c r="P6" t="s">
        <v>142</v>
      </c>
      <c r="Q6" t="s">
        <v>155</v>
      </c>
      <c r="R6" t="s">
        <v>77</v>
      </c>
      <c r="S6" t="s">
        <v>94</v>
      </c>
      <c r="T6">
        <v>2</v>
      </c>
      <c r="U6">
        <v>950</v>
      </c>
      <c r="V6" t="s">
        <v>149</v>
      </c>
      <c r="W6" t="s">
        <v>149</v>
      </c>
      <c r="X6" t="s">
        <v>140</v>
      </c>
      <c r="Y6" t="s">
        <v>140</v>
      </c>
      <c r="Z6" t="s">
        <v>113</v>
      </c>
    </row>
    <row r="7" spans="1:26" x14ac:dyDescent="0.2">
      <c r="A7" t="s">
        <v>156</v>
      </c>
      <c r="B7">
        <v>217763</v>
      </c>
      <c r="C7" t="s">
        <v>146</v>
      </c>
      <c r="D7" t="s">
        <v>157</v>
      </c>
      <c r="E7" t="s">
        <v>89</v>
      </c>
      <c r="F7" t="s">
        <v>82</v>
      </c>
      <c r="G7">
        <v>7</v>
      </c>
      <c r="H7">
        <v>1620</v>
      </c>
      <c r="I7" t="s">
        <v>149</v>
      </c>
      <c r="J7" t="s">
        <v>140</v>
      </c>
      <c r="K7" t="s">
        <v>140</v>
      </c>
      <c r="L7" t="s">
        <v>140</v>
      </c>
      <c r="M7" t="s">
        <v>153</v>
      </c>
      <c r="N7" t="s">
        <v>158</v>
      </c>
      <c r="O7">
        <v>217883</v>
      </c>
      <c r="P7" t="s">
        <v>142</v>
      </c>
      <c r="Q7" t="s">
        <v>159</v>
      </c>
      <c r="R7" t="s">
        <v>93</v>
      </c>
      <c r="S7" t="s">
        <v>98</v>
      </c>
      <c r="T7">
        <v>3</v>
      </c>
      <c r="U7">
        <v>1010</v>
      </c>
      <c r="V7" t="s">
        <v>140</v>
      </c>
      <c r="W7" t="s">
        <v>149</v>
      </c>
      <c r="X7" t="s">
        <v>140</v>
      </c>
      <c r="Y7" t="s">
        <v>140</v>
      </c>
      <c r="Z7" t="s">
        <v>113</v>
      </c>
    </row>
    <row r="8" spans="1:26" x14ac:dyDescent="0.2">
      <c r="A8" t="s">
        <v>160</v>
      </c>
      <c r="B8">
        <v>217703</v>
      </c>
      <c r="C8" t="s">
        <v>161</v>
      </c>
      <c r="D8" t="s">
        <v>162</v>
      </c>
      <c r="E8" t="s">
        <v>77</v>
      </c>
      <c r="F8" t="s">
        <v>90</v>
      </c>
      <c r="G8">
        <v>4</v>
      </c>
      <c r="H8">
        <v>720</v>
      </c>
      <c r="I8" t="s">
        <v>149</v>
      </c>
      <c r="J8" t="s">
        <v>140</v>
      </c>
      <c r="K8" t="s">
        <v>149</v>
      </c>
      <c r="L8" t="s">
        <v>140</v>
      </c>
      <c r="M8" t="s">
        <v>111</v>
      </c>
      <c r="N8" t="s">
        <v>163</v>
      </c>
      <c r="O8">
        <v>217851</v>
      </c>
      <c r="P8" t="s">
        <v>113</v>
      </c>
      <c r="Q8" t="s">
        <v>164</v>
      </c>
      <c r="R8" t="s">
        <v>77</v>
      </c>
      <c r="S8" t="s">
        <v>90</v>
      </c>
      <c r="T8">
        <v>11</v>
      </c>
      <c r="U8">
        <v>4470</v>
      </c>
      <c r="V8" t="s">
        <v>140</v>
      </c>
      <c r="W8" t="s">
        <v>140</v>
      </c>
      <c r="X8" t="s">
        <v>140</v>
      </c>
      <c r="Y8" t="s">
        <v>140</v>
      </c>
      <c r="Z8" t="s">
        <v>165</v>
      </c>
    </row>
    <row r="9" spans="1:26" x14ac:dyDescent="0.2">
      <c r="A9" t="s">
        <v>166</v>
      </c>
      <c r="B9">
        <v>217822</v>
      </c>
      <c r="C9" t="s">
        <v>111</v>
      </c>
      <c r="D9" t="s">
        <v>139</v>
      </c>
      <c r="E9" t="s">
        <v>93</v>
      </c>
      <c r="F9" t="s">
        <v>86</v>
      </c>
      <c r="G9">
        <v>8</v>
      </c>
      <c r="H9">
        <v>4210</v>
      </c>
      <c r="I9" t="s">
        <v>149</v>
      </c>
      <c r="J9" t="s">
        <v>140</v>
      </c>
      <c r="K9" t="s">
        <v>140</v>
      </c>
      <c r="L9" t="s">
        <v>140</v>
      </c>
      <c r="M9" t="s">
        <v>167</v>
      </c>
      <c r="N9" t="s">
        <v>168</v>
      </c>
      <c r="O9">
        <v>217864</v>
      </c>
      <c r="P9" t="s">
        <v>113</v>
      </c>
      <c r="Q9" t="s">
        <v>169</v>
      </c>
      <c r="R9" t="s">
        <v>85</v>
      </c>
      <c r="S9" t="s">
        <v>86</v>
      </c>
      <c r="T9">
        <v>2</v>
      </c>
      <c r="U9">
        <v>1220</v>
      </c>
      <c r="V9" t="s">
        <v>140</v>
      </c>
      <c r="W9" t="s">
        <v>140</v>
      </c>
      <c r="X9" t="s">
        <v>140</v>
      </c>
      <c r="Y9" t="s">
        <v>140</v>
      </c>
      <c r="Z9" t="s">
        <v>170</v>
      </c>
    </row>
    <row r="10" spans="1:26" x14ac:dyDescent="0.2">
      <c r="A10" t="s">
        <v>171</v>
      </c>
      <c r="B10">
        <v>217675</v>
      </c>
      <c r="C10" t="s">
        <v>172</v>
      </c>
      <c r="D10" t="s">
        <v>173</v>
      </c>
      <c r="E10" t="s">
        <v>85</v>
      </c>
      <c r="F10" t="s">
        <v>82</v>
      </c>
      <c r="G10">
        <v>3</v>
      </c>
      <c r="H10">
        <v>1760</v>
      </c>
      <c r="I10" t="s">
        <v>140</v>
      </c>
      <c r="J10" t="s">
        <v>140</v>
      </c>
      <c r="K10" t="s">
        <v>140</v>
      </c>
      <c r="L10" t="s">
        <v>140</v>
      </c>
      <c r="M10" t="s">
        <v>112</v>
      </c>
      <c r="N10" t="s">
        <v>174</v>
      </c>
      <c r="O10">
        <v>217757</v>
      </c>
      <c r="P10" t="s">
        <v>150</v>
      </c>
      <c r="Q10" t="s">
        <v>159</v>
      </c>
      <c r="R10" t="s">
        <v>93</v>
      </c>
      <c r="S10" t="s">
        <v>98</v>
      </c>
      <c r="T10">
        <v>1</v>
      </c>
      <c r="U10">
        <v>830</v>
      </c>
      <c r="V10" t="s">
        <v>140</v>
      </c>
      <c r="W10" t="s">
        <v>140</v>
      </c>
      <c r="X10" t="s">
        <v>140</v>
      </c>
      <c r="Y10" t="s">
        <v>140</v>
      </c>
      <c r="Z10" t="s">
        <v>165</v>
      </c>
    </row>
    <row r="11" spans="1:26" x14ac:dyDescent="0.2">
      <c r="A11" t="s">
        <v>175</v>
      </c>
      <c r="B11">
        <v>217700</v>
      </c>
      <c r="C11" t="s">
        <v>167</v>
      </c>
      <c r="D11" t="s">
        <v>145</v>
      </c>
      <c r="E11" t="s">
        <v>81</v>
      </c>
      <c r="F11" t="s">
        <v>86</v>
      </c>
      <c r="G11">
        <v>6</v>
      </c>
      <c r="H11">
        <v>1980</v>
      </c>
      <c r="I11" t="s">
        <v>140</v>
      </c>
      <c r="J11" t="s">
        <v>140</v>
      </c>
      <c r="K11" t="s">
        <v>140</v>
      </c>
      <c r="L11" t="s">
        <v>140</v>
      </c>
      <c r="M11" t="s">
        <v>176</v>
      </c>
      <c r="N11" t="s">
        <v>177</v>
      </c>
      <c r="O11">
        <v>217803</v>
      </c>
      <c r="P11" t="s">
        <v>150</v>
      </c>
      <c r="Q11" t="s">
        <v>178</v>
      </c>
      <c r="R11" t="s">
        <v>89</v>
      </c>
      <c r="S11" t="s">
        <v>94</v>
      </c>
      <c r="T11">
        <v>11</v>
      </c>
      <c r="U11">
        <v>3560</v>
      </c>
      <c r="V11" t="s">
        <v>140</v>
      </c>
      <c r="W11" t="s">
        <v>140</v>
      </c>
      <c r="X11" t="s">
        <v>140</v>
      </c>
      <c r="Y11" t="s">
        <v>149</v>
      </c>
      <c r="Z11" t="s">
        <v>179</v>
      </c>
    </row>
    <row r="12" spans="1:26" x14ac:dyDescent="0.2">
      <c r="A12" t="s">
        <v>180</v>
      </c>
      <c r="B12">
        <v>217784</v>
      </c>
      <c r="C12" t="s">
        <v>167</v>
      </c>
      <c r="D12" t="s">
        <v>181</v>
      </c>
      <c r="E12" t="s">
        <v>100</v>
      </c>
      <c r="F12" t="s">
        <v>90</v>
      </c>
      <c r="G12">
        <v>14</v>
      </c>
      <c r="H12">
        <v>2430</v>
      </c>
      <c r="I12" t="s">
        <v>140</v>
      </c>
      <c r="J12" t="s">
        <v>140</v>
      </c>
      <c r="K12" t="s">
        <v>149</v>
      </c>
      <c r="L12" t="s">
        <v>140</v>
      </c>
      <c r="M12" t="s">
        <v>112</v>
      </c>
      <c r="N12" t="s">
        <v>182</v>
      </c>
      <c r="O12">
        <v>217894</v>
      </c>
      <c r="P12" t="s">
        <v>150</v>
      </c>
      <c r="Q12" t="s">
        <v>157</v>
      </c>
      <c r="R12" t="s">
        <v>89</v>
      </c>
      <c r="S12" t="s">
        <v>90</v>
      </c>
      <c r="T12">
        <v>5</v>
      </c>
      <c r="U12">
        <v>890</v>
      </c>
      <c r="V12" t="s">
        <v>140</v>
      </c>
      <c r="W12" t="s">
        <v>140</v>
      </c>
      <c r="X12" t="s">
        <v>140</v>
      </c>
      <c r="Y12" t="s">
        <v>140</v>
      </c>
      <c r="Z12" t="s">
        <v>165</v>
      </c>
    </row>
    <row r="13" spans="1:26" x14ac:dyDescent="0.2">
      <c r="A13" t="s">
        <v>183</v>
      </c>
      <c r="B13">
        <v>217846</v>
      </c>
      <c r="C13" t="s">
        <v>167</v>
      </c>
      <c r="D13" t="s">
        <v>139</v>
      </c>
      <c r="E13" t="s">
        <v>93</v>
      </c>
      <c r="F13" t="s">
        <v>98</v>
      </c>
      <c r="G13">
        <v>9</v>
      </c>
      <c r="H13">
        <v>1590</v>
      </c>
      <c r="I13" t="s">
        <v>149</v>
      </c>
      <c r="J13" t="s">
        <v>140</v>
      </c>
      <c r="K13" t="s">
        <v>140</v>
      </c>
      <c r="L13" t="s">
        <v>140</v>
      </c>
      <c r="M13" t="s">
        <v>112</v>
      </c>
      <c r="N13" t="s">
        <v>184</v>
      </c>
      <c r="O13">
        <v>217775</v>
      </c>
      <c r="P13" t="s">
        <v>170</v>
      </c>
      <c r="Q13" t="s">
        <v>185</v>
      </c>
      <c r="R13" t="s">
        <v>97</v>
      </c>
      <c r="S13" t="s">
        <v>94</v>
      </c>
      <c r="T13">
        <v>2</v>
      </c>
      <c r="U13">
        <v>1040</v>
      </c>
      <c r="V13" t="s">
        <v>140</v>
      </c>
      <c r="W13" t="s">
        <v>140</v>
      </c>
      <c r="X13" t="s">
        <v>140</v>
      </c>
      <c r="Y13" t="s">
        <v>140</v>
      </c>
      <c r="Z13" t="s">
        <v>114</v>
      </c>
    </row>
    <row r="14" spans="1:26" x14ac:dyDescent="0.2">
      <c r="A14" t="s">
        <v>186</v>
      </c>
      <c r="B14">
        <v>217738</v>
      </c>
      <c r="C14" t="s">
        <v>176</v>
      </c>
      <c r="D14" t="s">
        <v>187</v>
      </c>
      <c r="E14" t="s">
        <v>77</v>
      </c>
      <c r="F14" t="s">
        <v>82</v>
      </c>
      <c r="G14">
        <v>2</v>
      </c>
      <c r="H14">
        <v>1130</v>
      </c>
      <c r="I14" t="s">
        <v>149</v>
      </c>
      <c r="J14" t="s">
        <v>140</v>
      </c>
      <c r="K14" t="s">
        <v>140</v>
      </c>
      <c r="L14" t="s">
        <v>140</v>
      </c>
      <c r="M14" t="s">
        <v>188</v>
      </c>
      <c r="N14" t="s">
        <v>189</v>
      </c>
      <c r="O14">
        <v>217867</v>
      </c>
      <c r="P14" t="s">
        <v>170</v>
      </c>
      <c r="Q14" t="s">
        <v>190</v>
      </c>
      <c r="R14" t="s">
        <v>100</v>
      </c>
      <c r="S14" t="s">
        <v>94</v>
      </c>
      <c r="T14">
        <v>4</v>
      </c>
      <c r="U14">
        <v>1720</v>
      </c>
      <c r="V14" t="s">
        <v>140</v>
      </c>
      <c r="W14" t="s">
        <v>140</v>
      </c>
      <c r="X14" t="s">
        <v>140</v>
      </c>
      <c r="Y14" t="s">
        <v>140</v>
      </c>
      <c r="Z14" t="s">
        <v>114</v>
      </c>
    </row>
    <row r="15" spans="1:26" x14ac:dyDescent="0.2">
      <c r="A15" t="s">
        <v>191</v>
      </c>
      <c r="B15">
        <v>217836</v>
      </c>
      <c r="C15" t="s">
        <v>176</v>
      </c>
      <c r="D15" t="s">
        <v>185</v>
      </c>
      <c r="E15" t="s">
        <v>97</v>
      </c>
      <c r="F15" t="s">
        <v>98</v>
      </c>
      <c r="G15">
        <v>5</v>
      </c>
      <c r="H15">
        <v>2360</v>
      </c>
      <c r="I15" t="s">
        <v>149</v>
      </c>
      <c r="J15" t="s">
        <v>140</v>
      </c>
      <c r="K15" t="s">
        <v>140</v>
      </c>
      <c r="L15" t="s">
        <v>140</v>
      </c>
      <c r="M15" t="s">
        <v>112</v>
      </c>
      <c r="N15" t="s">
        <v>192</v>
      </c>
      <c r="O15">
        <v>217841</v>
      </c>
      <c r="P15" t="s">
        <v>179</v>
      </c>
      <c r="Q15" t="s">
        <v>173</v>
      </c>
      <c r="R15" t="s">
        <v>85</v>
      </c>
      <c r="S15" t="s">
        <v>82</v>
      </c>
      <c r="T15">
        <v>5</v>
      </c>
      <c r="U15">
        <v>2060</v>
      </c>
      <c r="V15" t="s">
        <v>149</v>
      </c>
      <c r="W15" t="s">
        <v>140</v>
      </c>
      <c r="X15" t="s">
        <v>140</v>
      </c>
      <c r="Y15" t="s">
        <v>149</v>
      </c>
      <c r="Z15" t="s">
        <v>114</v>
      </c>
    </row>
    <row r="16" spans="1:26" x14ac:dyDescent="0.2">
      <c r="A16" t="s">
        <v>193</v>
      </c>
      <c r="B16">
        <v>217649</v>
      </c>
      <c r="C16" t="s">
        <v>112</v>
      </c>
      <c r="D16" t="s">
        <v>164</v>
      </c>
      <c r="E16" t="s">
        <v>77</v>
      </c>
      <c r="F16" t="s">
        <v>90</v>
      </c>
      <c r="G16">
        <v>2</v>
      </c>
      <c r="H16">
        <v>380</v>
      </c>
      <c r="I16" t="s">
        <v>140</v>
      </c>
      <c r="J16" t="s">
        <v>140</v>
      </c>
      <c r="K16" t="s">
        <v>140</v>
      </c>
      <c r="L16" t="s">
        <v>140</v>
      </c>
      <c r="M16" t="s">
        <v>194</v>
      </c>
      <c r="N16" t="s">
        <v>195</v>
      </c>
      <c r="O16">
        <v>217902</v>
      </c>
      <c r="P16" t="s">
        <v>179</v>
      </c>
      <c r="Q16" t="s">
        <v>152</v>
      </c>
      <c r="R16" t="s">
        <v>93</v>
      </c>
      <c r="S16" t="s">
        <v>78</v>
      </c>
      <c r="T16">
        <v>2</v>
      </c>
      <c r="U16">
        <v>620</v>
      </c>
      <c r="V16" t="s">
        <v>140</v>
      </c>
      <c r="W16" t="s">
        <v>140</v>
      </c>
      <c r="X16" t="s">
        <v>149</v>
      </c>
      <c r="Y16" t="s">
        <v>140</v>
      </c>
      <c r="Z16" t="s">
        <v>114</v>
      </c>
    </row>
    <row r="17" spans="1:26" x14ac:dyDescent="0.2">
      <c r="A17" t="s">
        <v>196</v>
      </c>
      <c r="B17">
        <v>217733</v>
      </c>
      <c r="C17" t="s">
        <v>112</v>
      </c>
      <c r="D17" t="s">
        <v>197</v>
      </c>
      <c r="E17" t="s">
        <v>97</v>
      </c>
      <c r="F17" t="s">
        <v>90</v>
      </c>
      <c r="G17">
        <v>2</v>
      </c>
      <c r="H17">
        <v>640</v>
      </c>
      <c r="I17" t="s">
        <v>140</v>
      </c>
      <c r="J17" t="s">
        <v>140</v>
      </c>
      <c r="K17" t="s">
        <v>140</v>
      </c>
      <c r="L17" t="s">
        <v>140</v>
      </c>
      <c r="M17" t="s">
        <v>142</v>
      </c>
      <c r="N17" t="s">
        <v>198</v>
      </c>
      <c r="O17">
        <v>217750</v>
      </c>
      <c r="P17" t="s">
        <v>165</v>
      </c>
      <c r="Q17" t="s">
        <v>169</v>
      </c>
      <c r="R17" t="s">
        <v>85</v>
      </c>
      <c r="S17" t="s">
        <v>78</v>
      </c>
      <c r="T17">
        <v>7</v>
      </c>
      <c r="U17">
        <v>2980</v>
      </c>
      <c r="V17" t="s">
        <v>149</v>
      </c>
      <c r="W17" t="s">
        <v>140</v>
      </c>
      <c r="X17" t="s">
        <v>140</v>
      </c>
      <c r="Y17" t="s">
        <v>140</v>
      </c>
      <c r="Z17" t="s">
        <v>199</v>
      </c>
    </row>
    <row r="18" spans="1:26" x14ac:dyDescent="0.2">
      <c r="A18" t="s">
        <v>200</v>
      </c>
      <c r="B18">
        <v>217792</v>
      </c>
      <c r="C18" t="s">
        <v>112</v>
      </c>
      <c r="D18" t="s">
        <v>197</v>
      </c>
      <c r="E18" t="s">
        <v>97</v>
      </c>
      <c r="F18" t="s">
        <v>78</v>
      </c>
      <c r="G18">
        <v>2</v>
      </c>
      <c r="H18">
        <v>680</v>
      </c>
      <c r="I18" t="s">
        <v>140</v>
      </c>
      <c r="J18" t="s">
        <v>140</v>
      </c>
      <c r="K18" t="s">
        <v>140</v>
      </c>
      <c r="L18" t="s">
        <v>140</v>
      </c>
      <c r="M18" t="s">
        <v>201</v>
      </c>
      <c r="N18" t="s">
        <v>202</v>
      </c>
      <c r="O18">
        <v>217687</v>
      </c>
      <c r="P18" t="s">
        <v>114</v>
      </c>
      <c r="Q18" t="s">
        <v>203</v>
      </c>
      <c r="R18" t="s">
        <v>100</v>
      </c>
      <c r="S18" t="s">
        <v>78</v>
      </c>
      <c r="T18">
        <v>3</v>
      </c>
      <c r="U18">
        <v>460</v>
      </c>
      <c r="V18" t="s">
        <v>140</v>
      </c>
      <c r="W18" t="s">
        <v>140</v>
      </c>
      <c r="X18" t="s">
        <v>140</v>
      </c>
      <c r="Y18" t="s">
        <v>140</v>
      </c>
      <c r="Z18" t="s">
        <v>204</v>
      </c>
    </row>
    <row r="19" spans="1:26" x14ac:dyDescent="0.2">
      <c r="A19" t="s">
        <v>205</v>
      </c>
      <c r="B19">
        <v>217861</v>
      </c>
      <c r="C19" t="s">
        <v>112</v>
      </c>
      <c r="D19" t="s">
        <v>206</v>
      </c>
      <c r="E19" t="s">
        <v>77</v>
      </c>
      <c r="F19" t="s">
        <v>94</v>
      </c>
      <c r="G19">
        <v>2</v>
      </c>
      <c r="H19">
        <v>770</v>
      </c>
      <c r="I19" t="s">
        <v>140</v>
      </c>
      <c r="J19" t="s">
        <v>140</v>
      </c>
      <c r="K19" t="s">
        <v>140</v>
      </c>
      <c r="L19" t="s">
        <v>140</v>
      </c>
      <c r="M19" t="s">
        <v>142</v>
      </c>
      <c r="N19" t="s">
        <v>207</v>
      </c>
      <c r="O19">
        <v>217820</v>
      </c>
      <c r="P19" t="s">
        <v>114</v>
      </c>
      <c r="Q19" t="s">
        <v>178</v>
      </c>
      <c r="R19" t="s">
        <v>89</v>
      </c>
      <c r="S19" t="s">
        <v>86</v>
      </c>
      <c r="T19">
        <v>3</v>
      </c>
      <c r="U19">
        <v>1310</v>
      </c>
      <c r="V19" t="s">
        <v>140</v>
      </c>
      <c r="W19" t="s">
        <v>140</v>
      </c>
      <c r="X19" t="s">
        <v>140</v>
      </c>
      <c r="Y19" t="s">
        <v>140</v>
      </c>
      <c r="Z19" t="s">
        <v>208</v>
      </c>
    </row>
    <row r="20" spans="1:26" x14ac:dyDescent="0.2">
      <c r="A20" t="s">
        <v>209</v>
      </c>
      <c r="B20">
        <v>217669</v>
      </c>
      <c r="C20" t="s">
        <v>201</v>
      </c>
      <c r="D20" t="s">
        <v>173</v>
      </c>
      <c r="E20" t="s">
        <v>85</v>
      </c>
      <c r="F20" t="s">
        <v>86</v>
      </c>
      <c r="G20">
        <v>30</v>
      </c>
      <c r="H20">
        <v>5380</v>
      </c>
      <c r="I20" t="s">
        <v>140</v>
      </c>
      <c r="J20" t="s">
        <v>140</v>
      </c>
      <c r="K20" t="s">
        <v>140</v>
      </c>
      <c r="L20" t="s">
        <v>140</v>
      </c>
      <c r="M20" t="s">
        <v>142</v>
      </c>
      <c r="N20" t="s">
        <v>210</v>
      </c>
      <c r="O20">
        <v>217654</v>
      </c>
      <c r="P20" t="s">
        <v>199</v>
      </c>
      <c r="Q20" t="s">
        <v>178</v>
      </c>
      <c r="R20" t="s">
        <v>89</v>
      </c>
      <c r="S20" t="s">
        <v>98</v>
      </c>
      <c r="T20">
        <v>6</v>
      </c>
      <c r="U20">
        <v>2650</v>
      </c>
      <c r="V20" t="s">
        <v>140</v>
      </c>
      <c r="W20" t="s">
        <v>140</v>
      </c>
      <c r="X20" t="s">
        <v>140</v>
      </c>
      <c r="Y20" t="s">
        <v>140</v>
      </c>
      <c r="Z20" t="s">
        <v>204</v>
      </c>
    </row>
    <row r="21" spans="1:26" x14ac:dyDescent="0.2">
      <c r="A21" t="s">
        <v>211</v>
      </c>
      <c r="B21">
        <v>217692</v>
      </c>
      <c r="C21" t="s">
        <v>201</v>
      </c>
      <c r="D21" t="s">
        <v>159</v>
      </c>
      <c r="E21" t="s">
        <v>93</v>
      </c>
      <c r="F21" t="s">
        <v>86</v>
      </c>
      <c r="G21">
        <v>10</v>
      </c>
      <c r="H21">
        <v>4650</v>
      </c>
      <c r="I21" t="s">
        <v>149</v>
      </c>
      <c r="J21" t="s">
        <v>140</v>
      </c>
      <c r="K21" t="s">
        <v>140</v>
      </c>
      <c r="L21" t="s">
        <v>140</v>
      </c>
      <c r="M21" t="s">
        <v>142</v>
      </c>
      <c r="N21" t="s">
        <v>212</v>
      </c>
      <c r="O21">
        <v>217712</v>
      </c>
      <c r="P21" t="s">
        <v>199</v>
      </c>
      <c r="Q21" t="s">
        <v>169</v>
      </c>
      <c r="R21" t="s">
        <v>85</v>
      </c>
      <c r="S21" t="s">
        <v>94</v>
      </c>
      <c r="T21">
        <v>12</v>
      </c>
      <c r="U21">
        <v>2210</v>
      </c>
      <c r="V21" t="s">
        <v>140</v>
      </c>
      <c r="W21" t="s">
        <v>140</v>
      </c>
      <c r="X21" t="s">
        <v>140</v>
      </c>
      <c r="Y21" t="s">
        <v>140</v>
      </c>
      <c r="Z21" t="s">
        <v>204</v>
      </c>
    </row>
    <row r="22" spans="1:26" x14ac:dyDescent="0.2">
      <c r="A22" t="s">
        <v>213</v>
      </c>
      <c r="B22">
        <v>217766</v>
      </c>
      <c r="C22" t="s">
        <v>214</v>
      </c>
      <c r="D22" t="s">
        <v>169</v>
      </c>
      <c r="E22" t="s">
        <v>85</v>
      </c>
      <c r="F22" t="s">
        <v>82</v>
      </c>
      <c r="G22">
        <v>15</v>
      </c>
      <c r="H22">
        <v>5960</v>
      </c>
      <c r="I22" t="s">
        <v>140</v>
      </c>
      <c r="J22" t="s">
        <v>140</v>
      </c>
      <c r="K22" t="s">
        <v>140</v>
      </c>
      <c r="L22" t="s">
        <v>140</v>
      </c>
      <c r="M22" t="s">
        <v>194</v>
      </c>
      <c r="N22" t="s">
        <v>215</v>
      </c>
      <c r="O22">
        <v>217888</v>
      </c>
      <c r="P22" t="s">
        <v>199</v>
      </c>
      <c r="Q22" t="s">
        <v>216</v>
      </c>
      <c r="R22" t="s">
        <v>81</v>
      </c>
      <c r="S22" t="s">
        <v>94</v>
      </c>
      <c r="T22">
        <v>14</v>
      </c>
      <c r="U22">
        <v>3380</v>
      </c>
      <c r="V22" t="s">
        <v>140</v>
      </c>
      <c r="W22" t="s">
        <v>149</v>
      </c>
      <c r="X22" t="s">
        <v>140</v>
      </c>
      <c r="Y22" t="s">
        <v>140</v>
      </c>
      <c r="Z22" t="s">
        <v>204</v>
      </c>
    </row>
    <row r="23" spans="1:26" x14ac:dyDescent="0.2">
      <c r="A23" t="s">
        <v>217</v>
      </c>
      <c r="B23">
        <v>217858</v>
      </c>
      <c r="C23" t="s">
        <v>214</v>
      </c>
      <c r="D23" t="s">
        <v>216</v>
      </c>
      <c r="E23" t="s">
        <v>81</v>
      </c>
      <c r="F23" t="s">
        <v>82</v>
      </c>
      <c r="G23">
        <v>6</v>
      </c>
      <c r="H23">
        <v>1540</v>
      </c>
      <c r="I23" t="s">
        <v>140</v>
      </c>
      <c r="J23" t="s">
        <v>140</v>
      </c>
      <c r="K23" t="s">
        <v>140</v>
      </c>
      <c r="L23" t="s">
        <v>140</v>
      </c>
      <c r="M23" t="s">
        <v>142</v>
      </c>
      <c r="N23" t="s">
        <v>218</v>
      </c>
      <c r="O23">
        <v>217720</v>
      </c>
      <c r="P23" t="s">
        <v>219</v>
      </c>
      <c r="Q23" t="s">
        <v>139</v>
      </c>
      <c r="R23" t="s">
        <v>93</v>
      </c>
      <c r="S23" t="s">
        <v>86</v>
      </c>
      <c r="T23">
        <v>27</v>
      </c>
      <c r="U23">
        <v>4890</v>
      </c>
      <c r="V23" t="s">
        <v>140</v>
      </c>
      <c r="W23" t="s">
        <v>140</v>
      </c>
      <c r="X23" t="s">
        <v>140</v>
      </c>
      <c r="Y23" t="s">
        <v>140</v>
      </c>
      <c r="Z23" t="s">
        <v>204</v>
      </c>
    </row>
    <row r="24" spans="1:26" x14ac:dyDescent="0.2">
      <c r="A24" t="s">
        <v>220</v>
      </c>
      <c r="B24">
        <v>217798</v>
      </c>
      <c r="C24" t="s">
        <v>194</v>
      </c>
      <c r="D24" t="s">
        <v>221</v>
      </c>
      <c r="E24" t="s">
        <v>100</v>
      </c>
      <c r="F24" t="s">
        <v>98</v>
      </c>
      <c r="G24">
        <v>3</v>
      </c>
      <c r="H24">
        <v>1860</v>
      </c>
      <c r="I24" t="s">
        <v>140</v>
      </c>
      <c r="J24" t="s">
        <v>149</v>
      </c>
      <c r="K24" t="s">
        <v>140</v>
      </c>
      <c r="L24" t="s">
        <v>140</v>
      </c>
      <c r="M24" t="s">
        <v>113</v>
      </c>
      <c r="N24" t="s">
        <v>222</v>
      </c>
      <c r="O24">
        <v>217810</v>
      </c>
      <c r="P24" t="s">
        <v>219</v>
      </c>
      <c r="Q24" t="s">
        <v>223</v>
      </c>
      <c r="R24" t="s">
        <v>85</v>
      </c>
      <c r="S24" t="s">
        <v>82</v>
      </c>
      <c r="T24">
        <v>3</v>
      </c>
      <c r="U24">
        <v>510</v>
      </c>
      <c r="V24" t="s">
        <v>149</v>
      </c>
      <c r="W24" t="s">
        <v>149</v>
      </c>
      <c r="X24" t="s">
        <v>140</v>
      </c>
      <c r="Y24" t="s">
        <v>140</v>
      </c>
      <c r="Z24" t="s">
        <v>204</v>
      </c>
    </row>
    <row r="25" spans="1:26" x14ac:dyDescent="0.2">
      <c r="A25" t="s">
        <v>224</v>
      </c>
      <c r="B25">
        <v>217873</v>
      </c>
      <c r="C25" t="s">
        <v>194</v>
      </c>
      <c r="D25" t="s">
        <v>169</v>
      </c>
      <c r="E25" t="s">
        <v>85</v>
      </c>
      <c r="F25" t="s">
        <v>98</v>
      </c>
      <c r="G25">
        <v>7</v>
      </c>
      <c r="H25">
        <v>2790</v>
      </c>
      <c r="I25" t="s">
        <v>149</v>
      </c>
      <c r="J25" t="s">
        <v>140</v>
      </c>
      <c r="K25" t="s">
        <v>140</v>
      </c>
      <c r="L25" t="s">
        <v>149</v>
      </c>
      <c r="M25" t="s">
        <v>142</v>
      </c>
      <c r="N25" t="s">
        <v>225</v>
      </c>
      <c r="O25">
        <v>217915</v>
      </c>
      <c r="P25" t="s">
        <v>219</v>
      </c>
      <c r="Q25" t="s">
        <v>197</v>
      </c>
      <c r="R25" t="s">
        <v>97</v>
      </c>
      <c r="S25" t="s">
        <v>86</v>
      </c>
      <c r="T25">
        <v>22</v>
      </c>
      <c r="U25">
        <v>4120</v>
      </c>
      <c r="V25" t="s">
        <v>140</v>
      </c>
      <c r="W25" t="s">
        <v>140</v>
      </c>
      <c r="X25" t="s">
        <v>140</v>
      </c>
      <c r="Y25" t="s">
        <v>140</v>
      </c>
      <c r="Z25" t="s">
        <v>204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6"/>
  <sheetViews>
    <sheetView workbookViewId="0"/>
  </sheetViews>
  <sheetFormatPr baseColWidth="10" defaultColWidth="8.83203125" defaultRowHeight="15" x14ac:dyDescent="0.2"/>
  <cols>
    <col min="1" max="1" width="12" customWidth="1"/>
    <col min="2" max="2" width="10" customWidth="1"/>
    <col min="3" max="4" width="12" customWidth="1"/>
    <col min="5" max="5" width="10" customWidth="1"/>
    <col min="6" max="6" width="12" customWidth="1"/>
    <col min="11" max="11" width="9" customWidth="1"/>
    <col min="13" max="13" width="40" customWidth="1"/>
    <col min="16" max="16" width="12" customWidth="1"/>
    <col min="17" max="17" width="10" customWidth="1"/>
    <col min="18" max="19" width="12" customWidth="1"/>
    <col min="20" max="20" width="10" customWidth="1"/>
    <col min="21" max="21" width="12" customWidth="1"/>
    <col min="26" max="26" width="9" customWidth="1"/>
    <col min="28" max="28" width="40" customWidth="1"/>
  </cols>
  <sheetData>
    <row r="1" spans="1:30" ht="17" x14ac:dyDescent="0.2">
      <c r="A1" s="1" t="s">
        <v>226</v>
      </c>
    </row>
    <row r="3" spans="1:30" x14ac:dyDescent="0.2">
      <c r="A3" s="2" t="s">
        <v>227</v>
      </c>
      <c r="B3" s="2" t="s">
        <v>118</v>
      </c>
      <c r="C3" s="2" t="s">
        <v>228</v>
      </c>
      <c r="D3" s="2" t="s">
        <v>229</v>
      </c>
      <c r="E3" s="2" t="s">
        <v>63</v>
      </c>
      <c r="F3" s="2" t="s">
        <v>230</v>
      </c>
      <c r="G3" s="2" t="s">
        <v>231</v>
      </c>
      <c r="H3" s="2" t="s">
        <v>232</v>
      </c>
      <c r="I3" s="2" t="s">
        <v>233</v>
      </c>
      <c r="J3" s="2" t="s">
        <v>234</v>
      </c>
      <c r="K3" s="2" t="s">
        <v>76</v>
      </c>
      <c r="L3" s="2" t="s">
        <v>235</v>
      </c>
      <c r="M3" s="2" t="s">
        <v>236</v>
      </c>
      <c r="N3" s="2" t="s">
        <v>237</v>
      </c>
      <c r="O3" s="2" t="s">
        <v>238</v>
      </c>
      <c r="P3" s="2" t="s">
        <v>239</v>
      </c>
      <c r="Q3" s="2" t="s">
        <v>125</v>
      </c>
      <c r="R3" s="2" t="s">
        <v>240</v>
      </c>
      <c r="S3" s="2" t="s">
        <v>241</v>
      </c>
      <c r="T3" s="2" t="s">
        <v>128</v>
      </c>
      <c r="U3" s="2" t="s">
        <v>242</v>
      </c>
      <c r="V3" s="2" t="s">
        <v>243</v>
      </c>
      <c r="W3" s="2" t="s">
        <v>244</v>
      </c>
      <c r="X3" s="2" t="s">
        <v>245</v>
      </c>
      <c r="Y3" s="2" t="s">
        <v>246</v>
      </c>
      <c r="Z3" s="2" t="s">
        <v>247</v>
      </c>
      <c r="AA3" s="2" t="s">
        <v>248</v>
      </c>
      <c r="AB3" s="2" t="s">
        <v>249</v>
      </c>
      <c r="AC3" s="2" t="s">
        <v>250</v>
      </c>
      <c r="AD3" s="2" t="s">
        <v>251</v>
      </c>
    </row>
    <row r="4" spans="1:30" x14ac:dyDescent="0.2">
      <c r="A4" t="s">
        <v>252</v>
      </c>
      <c r="B4">
        <v>217598</v>
      </c>
      <c r="C4" t="s">
        <v>253</v>
      </c>
      <c r="D4" t="s">
        <v>138</v>
      </c>
      <c r="E4" t="s">
        <v>93</v>
      </c>
      <c r="F4">
        <v>3150</v>
      </c>
      <c r="G4">
        <v>70</v>
      </c>
      <c r="H4" s="4">
        <v>1300.95</v>
      </c>
      <c r="I4" s="4">
        <v>806.59</v>
      </c>
      <c r="J4" s="4">
        <v>494.36</v>
      </c>
      <c r="K4">
        <v>26.5</v>
      </c>
      <c r="L4" s="4">
        <v>131.01</v>
      </c>
      <c r="M4" t="s">
        <v>96</v>
      </c>
      <c r="N4" s="4">
        <v>0</v>
      </c>
      <c r="O4" s="4">
        <v>625.37</v>
      </c>
      <c r="P4" t="s">
        <v>254</v>
      </c>
      <c r="Q4">
        <v>217666</v>
      </c>
      <c r="R4" t="s">
        <v>170</v>
      </c>
      <c r="S4" t="s">
        <v>142</v>
      </c>
      <c r="T4" t="s">
        <v>93</v>
      </c>
      <c r="U4">
        <v>905</v>
      </c>
      <c r="V4">
        <v>55</v>
      </c>
      <c r="W4" s="4">
        <v>442.64</v>
      </c>
      <c r="X4" s="4">
        <v>274.44</v>
      </c>
      <c r="Y4" s="4">
        <v>168.2</v>
      </c>
      <c r="Z4">
        <v>26</v>
      </c>
      <c r="AA4" s="4">
        <v>43.73</v>
      </c>
      <c r="AB4" t="s">
        <v>96</v>
      </c>
      <c r="AC4" s="4">
        <v>0</v>
      </c>
      <c r="AD4" s="4">
        <v>211.93</v>
      </c>
    </row>
    <row r="5" spans="1:30" x14ac:dyDescent="0.2">
      <c r="A5" t="s">
        <v>255</v>
      </c>
      <c r="B5">
        <v>217611</v>
      </c>
      <c r="C5" t="s">
        <v>161</v>
      </c>
      <c r="D5" t="s">
        <v>144</v>
      </c>
      <c r="E5" t="s">
        <v>81</v>
      </c>
      <c r="F5">
        <v>1180</v>
      </c>
      <c r="G5">
        <v>55</v>
      </c>
      <c r="H5" s="4">
        <v>455.86</v>
      </c>
      <c r="I5" s="4">
        <v>282.63</v>
      </c>
      <c r="J5" s="4">
        <v>173.23</v>
      </c>
      <c r="K5">
        <v>26</v>
      </c>
      <c r="L5" s="4">
        <v>45.04</v>
      </c>
      <c r="M5" t="s">
        <v>96</v>
      </c>
      <c r="N5" s="4">
        <v>0</v>
      </c>
      <c r="O5" s="4">
        <v>218.27</v>
      </c>
      <c r="P5" t="s">
        <v>256</v>
      </c>
      <c r="Q5">
        <v>217724</v>
      </c>
      <c r="R5" t="s">
        <v>170</v>
      </c>
      <c r="S5" t="s">
        <v>142</v>
      </c>
      <c r="T5" t="s">
        <v>100</v>
      </c>
      <c r="U5">
        <v>1450</v>
      </c>
      <c r="V5">
        <v>55</v>
      </c>
      <c r="W5" s="4">
        <v>410.23</v>
      </c>
      <c r="X5" s="4">
        <v>254.34</v>
      </c>
      <c r="Y5" s="4">
        <v>155.89</v>
      </c>
      <c r="Z5">
        <v>26</v>
      </c>
      <c r="AA5" s="4">
        <v>40.53</v>
      </c>
      <c r="AB5" t="s">
        <v>257</v>
      </c>
      <c r="AC5" s="4">
        <v>230</v>
      </c>
      <c r="AD5" s="4">
        <v>426.42</v>
      </c>
    </row>
    <row r="6" spans="1:30" x14ac:dyDescent="0.2">
      <c r="A6" t="s">
        <v>258</v>
      </c>
      <c r="B6">
        <v>217645</v>
      </c>
      <c r="C6" t="s">
        <v>259</v>
      </c>
      <c r="D6" t="s">
        <v>146</v>
      </c>
      <c r="E6" t="s">
        <v>93</v>
      </c>
      <c r="F6">
        <v>1240</v>
      </c>
      <c r="G6">
        <v>70</v>
      </c>
      <c r="H6" s="4">
        <v>623.72</v>
      </c>
      <c r="I6" s="4">
        <v>386.71</v>
      </c>
      <c r="J6" s="4">
        <v>237.01</v>
      </c>
      <c r="K6">
        <v>26.5</v>
      </c>
      <c r="L6" s="4">
        <v>62.81</v>
      </c>
      <c r="M6" t="s">
        <v>87</v>
      </c>
      <c r="N6" s="4">
        <v>85</v>
      </c>
      <c r="O6" s="4">
        <v>384.82</v>
      </c>
      <c r="P6" t="s">
        <v>260</v>
      </c>
      <c r="Q6">
        <v>217883</v>
      </c>
      <c r="R6" t="s">
        <v>170</v>
      </c>
      <c r="S6" t="s">
        <v>142</v>
      </c>
      <c r="T6" t="s">
        <v>93</v>
      </c>
      <c r="U6">
        <v>1010</v>
      </c>
      <c r="V6">
        <v>100</v>
      </c>
      <c r="W6" s="4">
        <v>736.64</v>
      </c>
      <c r="X6" s="4">
        <v>456.72</v>
      </c>
      <c r="Y6" s="4">
        <v>279.92</v>
      </c>
      <c r="Z6">
        <v>26</v>
      </c>
      <c r="AA6" s="4">
        <v>72.78</v>
      </c>
      <c r="AB6" t="s">
        <v>83</v>
      </c>
      <c r="AC6" s="4">
        <v>95</v>
      </c>
      <c r="AD6" s="4">
        <v>447.7</v>
      </c>
    </row>
    <row r="7" spans="1:30" x14ac:dyDescent="0.2">
      <c r="A7" t="s">
        <v>261</v>
      </c>
      <c r="B7">
        <v>217763</v>
      </c>
      <c r="C7" t="s">
        <v>111</v>
      </c>
      <c r="D7" t="s">
        <v>146</v>
      </c>
      <c r="E7" t="s">
        <v>89</v>
      </c>
      <c r="F7">
        <v>1620</v>
      </c>
      <c r="G7">
        <v>60</v>
      </c>
      <c r="H7" s="4">
        <v>724.85</v>
      </c>
      <c r="I7" s="4">
        <v>449.41</v>
      </c>
      <c r="J7" s="4">
        <v>275.44</v>
      </c>
      <c r="K7">
        <v>26.5</v>
      </c>
      <c r="L7" s="4">
        <v>72.99</v>
      </c>
      <c r="M7" t="s">
        <v>79</v>
      </c>
      <c r="N7" s="4">
        <v>75</v>
      </c>
      <c r="O7" s="4">
        <v>423.43</v>
      </c>
      <c r="P7" t="s">
        <v>262</v>
      </c>
      <c r="Q7">
        <v>217803</v>
      </c>
      <c r="R7" t="s">
        <v>165</v>
      </c>
      <c r="S7" t="s">
        <v>150</v>
      </c>
      <c r="T7" t="s">
        <v>89</v>
      </c>
      <c r="U7">
        <v>3560</v>
      </c>
      <c r="V7">
        <v>92.5</v>
      </c>
      <c r="W7" s="4">
        <v>1809.55</v>
      </c>
      <c r="X7" s="4">
        <v>1121.92</v>
      </c>
      <c r="Y7" s="4">
        <v>687.63</v>
      </c>
      <c r="Z7">
        <v>27.5</v>
      </c>
      <c r="AA7" s="4">
        <v>189.1</v>
      </c>
      <c r="AB7" t="s">
        <v>91</v>
      </c>
      <c r="AC7" s="4">
        <v>60</v>
      </c>
      <c r="AD7" s="4">
        <v>936.73</v>
      </c>
    </row>
    <row r="8" spans="1:30" x14ac:dyDescent="0.2">
      <c r="A8" t="s">
        <v>263</v>
      </c>
      <c r="B8">
        <v>217822</v>
      </c>
      <c r="C8" t="s">
        <v>264</v>
      </c>
      <c r="D8" t="s">
        <v>111</v>
      </c>
      <c r="E8" t="s">
        <v>93</v>
      </c>
      <c r="F8">
        <v>4210</v>
      </c>
      <c r="G8">
        <v>70</v>
      </c>
      <c r="H8" s="4">
        <v>1682.5</v>
      </c>
      <c r="I8" s="4">
        <v>1043.15</v>
      </c>
      <c r="J8" s="4">
        <v>639.35</v>
      </c>
      <c r="K8">
        <v>26.5</v>
      </c>
      <c r="L8" s="4">
        <v>169.43</v>
      </c>
      <c r="M8" t="s">
        <v>79</v>
      </c>
      <c r="N8" s="4">
        <v>75</v>
      </c>
      <c r="O8" s="4">
        <v>883.78</v>
      </c>
      <c r="P8" t="s">
        <v>265</v>
      </c>
      <c r="Q8">
        <v>217894</v>
      </c>
      <c r="R8" t="s">
        <v>165</v>
      </c>
      <c r="S8" t="s">
        <v>150</v>
      </c>
      <c r="T8" t="s">
        <v>89</v>
      </c>
      <c r="U8">
        <v>890</v>
      </c>
      <c r="V8">
        <v>85</v>
      </c>
      <c r="W8" s="4">
        <v>547.4</v>
      </c>
      <c r="X8" s="4">
        <v>339.39</v>
      </c>
      <c r="Y8" s="4">
        <v>208.01</v>
      </c>
      <c r="Z8">
        <v>27.5</v>
      </c>
      <c r="AA8" s="4">
        <v>57.2</v>
      </c>
      <c r="AB8" t="s">
        <v>95</v>
      </c>
      <c r="AC8" s="4">
        <v>88</v>
      </c>
      <c r="AD8" s="4">
        <v>353.21</v>
      </c>
    </row>
    <row r="9" spans="1:30" x14ac:dyDescent="0.2">
      <c r="A9" t="s">
        <v>266</v>
      </c>
      <c r="B9">
        <v>217675</v>
      </c>
      <c r="C9" t="s">
        <v>264</v>
      </c>
      <c r="D9" t="s">
        <v>172</v>
      </c>
      <c r="E9" t="s">
        <v>85</v>
      </c>
      <c r="F9">
        <v>1760</v>
      </c>
      <c r="G9">
        <v>60</v>
      </c>
      <c r="H9" s="4">
        <v>939.06</v>
      </c>
      <c r="I9" s="4">
        <v>582.22</v>
      </c>
      <c r="J9" s="4">
        <v>356.84</v>
      </c>
      <c r="K9">
        <v>26.5</v>
      </c>
      <c r="L9" s="4">
        <v>94.56</v>
      </c>
      <c r="M9" t="s">
        <v>96</v>
      </c>
      <c r="N9" s="4">
        <v>0</v>
      </c>
      <c r="O9" s="4">
        <v>451.4</v>
      </c>
      <c r="P9" t="s">
        <v>267</v>
      </c>
      <c r="Q9">
        <v>217757</v>
      </c>
      <c r="R9" t="s">
        <v>268</v>
      </c>
      <c r="S9" t="s">
        <v>150</v>
      </c>
      <c r="T9" t="s">
        <v>93</v>
      </c>
      <c r="U9">
        <v>830</v>
      </c>
      <c r="V9">
        <v>100</v>
      </c>
      <c r="W9" s="4">
        <v>710.67</v>
      </c>
      <c r="X9" s="4">
        <v>440.62</v>
      </c>
      <c r="Y9" s="4">
        <v>270.05</v>
      </c>
      <c r="Z9">
        <v>27.5</v>
      </c>
      <c r="AA9" s="4">
        <v>74.26</v>
      </c>
      <c r="AB9" t="s">
        <v>96</v>
      </c>
      <c r="AC9" s="4">
        <v>0</v>
      </c>
      <c r="AD9" s="4">
        <v>344.31</v>
      </c>
    </row>
    <row r="10" spans="1:30" x14ac:dyDescent="0.2">
      <c r="A10" t="s">
        <v>269</v>
      </c>
      <c r="B10">
        <v>217738</v>
      </c>
      <c r="C10" t="s">
        <v>270</v>
      </c>
      <c r="D10" t="s">
        <v>176</v>
      </c>
      <c r="E10" t="s">
        <v>77</v>
      </c>
      <c r="F10">
        <v>1130</v>
      </c>
      <c r="G10">
        <v>60</v>
      </c>
      <c r="H10" s="4">
        <v>443.47</v>
      </c>
      <c r="I10" s="4">
        <v>274.95</v>
      </c>
      <c r="J10" s="4">
        <v>168.52</v>
      </c>
      <c r="K10">
        <v>26.5</v>
      </c>
      <c r="L10" s="4">
        <v>44.66</v>
      </c>
      <c r="M10" t="s">
        <v>96</v>
      </c>
      <c r="N10" s="4">
        <v>0</v>
      </c>
      <c r="O10" s="4">
        <v>213.18</v>
      </c>
      <c r="P10" t="s">
        <v>271</v>
      </c>
      <c r="Q10">
        <v>217851</v>
      </c>
      <c r="R10" t="s">
        <v>272</v>
      </c>
      <c r="S10" t="s">
        <v>113</v>
      </c>
      <c r="T10" t="s">
        <v>77</v>
      </c>
      <c r="U10">
        <v>4470</v>
      </c>
      <c r="V10">
        <v>85</v>
      </c>
      <c r="W10" s="4">
        <v>1601.38</v>
      </c>
      <c r="X10" s="4">
        <v>992.86</v>
      </c>
      <c r="Y10" s="4">
        <v>608.52</v>
      </c>
      <c r="Z10">
        <v>27.5</v>
      </c>
      <c r="AA10" s="4">
        <v>167.34</v>
      </c>
      <c r="AB10" t="s">
        <v>96</v>
      </c>
      <c r="AC10" s="4">
        <v>0</v>
      </c>
      <c r="AD10" s="4">
        <v>775.86</v>
      </c>
    </row>
    <row r="11" spans="1:30" x14ac:dyDescent="0.2">
      <c r="A11" t="s">
        <v>273</v>
      </c>
      <c r="B11">
        <v>217846</v>
      </c>
      <c r="C11" t="s">
        <v>112</v>
      </c>
      <c r="D11" t="s">
        <v>167</v>
      </c>
      <c r="E11" t="s">
        <v>93</v>
      </c>
      <c r="F11">
        <v>1590</v>
      </c>
      <c r="G11">
        <v>100</v>
      </c>
      <c r="H11" s="4">
        <v>1159.67</v>
      </c>
      <c r="I11" s="4">
        <v>719</v>
      </c>
      <c r="J11" s="4">
        <v>440.67</v>
      </c>
      <c r="K11">
        <v>26.5</v>
      </c>
      <c r="L11" s="4">
        <v>116.78</v>
      </c>
      <c r="M11" t="s">
        <v>79</v>
      </c>
      <c r="N11" s="4">
        <v>75</v>
      </c>
      <c r="O11" s="4">
        <v>632.45</v>
      </c>
      <c r="P11" t="s">
        <v>274</v>
      </c>
      <c r="Q11">
        <v>217775</v>
      </c>
      <c r="R11" t="s">
        <v>199</v>
      </c>
      <c r="S11" t="s">
        <v>170</v>
      </c>
      <c r="T11" t="s">
        <v>97</v>
      </c>
      <c r="U11">
        <v>1040</v>
      </c>
      <c r="V11">
        <v>92.5</v>
      </c>
      <c r="W11" s="4">
        <v>673.3</v>
      </c>
      <c r="X11" s="4">
        <v>417.45</v>
      </c>
      <c r="Y11" s="4">
        <v>255.85</v>
      </c>
      <c r="Z11">
        <v>27.5</v>
      </c>
      <c r="AA11" s="4">
        <v>70.36</v>
      </c>
      <c r="AB11" t="s">
        <v>96</v>
      </c>
      <c r="AC11" s="4">
        <v>0</v>
      </c>
      <c r="AD11" s="4">
        <v>326.21</v>
      </c>
    </row>
    <row r="12" spans="1:30" x14ac:dyDescent="0.2">
      <c r="A12" t="s">
        <v>275</v>
      </c>
      <c r="B12">
        <v>217703</v>
      </c>
      <c r="C12" t="s">
        <v>201</v>
      </c>
      <c r="D12" t="s">
        <v>161</v>
      </c>
      <c r="E12" t="s">
        <v>77</v>
      </c>
      <c r="F12">
        <v>720</v>
      </c>
      <c r="G12">
        <v>85</v>
      </c>
      <c r="H12" s="4">
        <v>406.55</v>
      </c>
      <c r="I12" s="4">
        <v>252.06</v>
      </c>
      <c r="J12" s="4">
        <v>154.49</v>
      </c>
      <c r="K12">
        <v>26</v>
      </c>
      <c r="L12" s="4">
        <v>40.17</v>
      </c>
      <c r="M12" t="s">
        <v>276</v>
      </c>
      <c r="N12" s="4">
        <v>160</v>
      </c>
      <c r="O12" s="4">
        <v>354.66</v>
      </c>
      <c r="P12" t="s">
        <v>277</v>
      </c>
      <c r="Q12">
        <v>217864</v>
      </c>
      <c r="R12" t="s">
        <v>219</v>
      </c>
      <c r="S12" t="s">
        <v>113</v>
      </c>
      <c r="T12" t="s">
        <v>85</v>
      </c>
      <c r="U12">
        <v>1220</v>
      </c>
      <c r="V12">
        <v>70</v>
      </c>
      <c r="W12" s="4">
        <v>742.37</v>
      </c>
      <c r="X12" s="4">
        <v>460.27</v>
      </c>
      <c r="Y12" s="4">
        <v>282.1</v>
      </c>
      <c r="Z12">
        <v>27</v>
      </c>
      <c r="AA12" s="4">
        <v>76.17</v>
      </c>
      <c r="AB12" t="s">
        <v>96</v>
      </c>
      <c r="AC12" s="4">
        <v>0</v>
      </c>
      <c r="AD12" s="4">
        <v>358.27</v>
      </c>
    </row>
    <row r="13" spans="1:30" x14ac:dyDescent="0.2">
      <c r="A13" t="s">
        <v>278</v>
      </c>
      <c r="B13">
        <v>217836</v>
      </c>
      <c r="C13" t="s">
        <v>214</v>
      </c>
      <c r="D13" t="s">
        <v>176</v>
      </c>
      <c r="E13" t="s">
        <v>97</v>
      </c>
      <c r="F13">
        <v>2360</v>
      </c>
      <c r="G13">
        <v>100</v>
      </c>
      <c r="H13" s="4">
        <v>1399.6</v>
      </c>
      <c r="I13" s="4">
        <v>867.75</v>
      </c>
      <c r="J13" s="4">
        <v>531.85</v>
      </c>
      <c r="K13">
        <v>26.5</v>
      </c>
      <c r="L13" s="4">
        <v>140.94</v>
      </c>
      <c r="M13" t="s">
        <v>79</v>
      </c>
      <c r="N13" s="4">
        <v>85</v>
      </c>
      <c r="O13" s="4">
        <v>757.79</v>
      </c>
      <c r="P13" t="s">
        <v>279</v>
      </c>
      <c r="Q13">
        <v>217841</v>
      </c>
      <c r="R13" t="s">
        <v>219</v>
      </c>
      <c r="S13" t="s">
        <v>179</v>
      </c>
      <c r="T13" t="s">
        <v>85</v>
      </c>
      <c r="U13">
        <v>2060</v>
      </c>
      <c r="V13">
        <v>60</v>
      </c>
      <c r="W13" s="4">
        <v>967.23</v>
      </c>
      <c r="X13" s="4">
        <v>599.68</v>
      </c>
      <c r="Y13" s="4">
        <v>367.55</v>
      </c>
      <c r="Z13">
        <v>27.5</v>
      </c>
      <c r="AA13" s="4">
        <v>101.08</v>
      </c>
      <c r="AB13" t="s">
        <v>280</v>
      </c>
      <c r="AC13" s="4">
        <v>135</v>
      </c>
      <c r="AD13" s="4">
        <v>603.63</v>
      </c>
    </row>
    <row r="14" spans="1:30" x14ac:dyDescent="0.2">
      <c r="A14" t="s">
        <v>281</v>
      </c>
      <c r="B14">
        <v>217700</v>
      </c>
      <c r="C14" t="s">
        <v>201</v>
      </c>
      <c r="D14" t="s">
        <v>167</v>
      </c>
      <c r="E14" t="s">
        <v>81</v>
      </c>
      <c r="F14">
        <v>1980</v>
      </c>
      <c r="G14">
        <v>70</v>
      </c>
      <c r="H14" s="4">
        <v>721</v>
      </c>
      <c r="I14" s="4">
        <v>447.02</v>
      </c>
      <c r="J14" s="4">
        <v>273.98</v>
      </c>
      <c r="K14">
        <v>26.5</v>
      </c>
      <c r="L14" s="4">
        <v>72.6</v>
      </c>
      <c r="M14" t="s">
        <v>96</v>
      </c>
      <c r="N14" s="4">
        <v>0</v>
      </c>
      <c r="O14" s="4">
        <v>346.58</v>
      </c>
      <c r="P14" t="s">
        <v>282</v>
      </c>
      <c r="Q14">
        <v>217750</v>
      </c>
      <c r="R14" t="s">
        <v>219</v>
      </c>
      <c r="S14" t="s">
        <v>165</v>
      </c>
      <c r="T14" t="s">
        <v>85</v>
      </c>
      <c r="U14">
        <v>2980</v>
      </c>
      <c r="V14">
        <v>55</v>
      </c>
      <c r="W14" s="4">
        <v>1309.89</v>
      </c>
      <c r="X14" s="4">
        <v>812.13</v>
      </c>
      <c r="Y14" s="4">
        <v>497.76</v>
      </c>
      <c r="Z14">
        <v>27.5</v>
      </c>
      <c r="AA14" s="4">
        <v>136.88</v>
      </c>
      <c r="AB14" t="s">
        <v>79</v>
      </c>
      <c r="AC14" s="4">
        <v>75</v>
      </c>
      <c r="AD14" s="4">
        <v>709.64</v>
      </c>
    </row>
    <row r="15" spans="1:30" x14ac:dyDescent="0.2">
      <c r="A15" t="s">
        <v>283</v>
      </c>
      <c r="B15">
        <v>217784</v>
      </c>
      <c r="C15" t="s">
        <v>201</v>
      </c>
      <c r="D15" t="s">
        <v>167</v>
      </c>
      <c r="E15" t="s">
        <v>100</v>
      </c>
      <c r="F15">
        <v>2430</v>
      </c>
      <c r="G15">
        <v>92.5</v>
      </c>
      <c r="H15" s="4">
        <v>833.98</v>
      </c>
      <c r="I15" s="4">
        <v>517.07</v>
      </c>
      <c r="J15" s="4">
        <v>316.91</v>
      </c>
      <c r="K15">
        <v>26.5</v>
      </c>
      <c r="L15" s="4">
        <v>83.98</v>
      </c>
      <c r="M15" t="s">
        <v>87</v>
      </c>
      <c r="N15" s="4">
        <v>85</v>
      </c>
      <c r="O15" s="4">
        <v>485.89</v>
      </c>
      <c r="P15" t="s">
        <v>284</v>
      </c>
      <c r="Q15">
        <v>217883</v>
      </c>
      <c r="R15" t="s">
        <v>208</v>
      </c>
      <c r="S15" t="s">
        <v>142</v>
      </c>
      <c r="T15" t="s">
        <v>93</v>
      </c>
      <c r="U15">
        <v>1010</v>
      </c>
      <c r="V15">
        <v>100</v>
      </c>
      <c r="W15" s="4">
        <v>736.64</v>
      </c>
      <c r="X15" s="4">
        <v>456.72</v>
      </c>
      <c r="Y15" s="4">
        <v>279.92</v>
      </c>
      <c r="Z15">
        <v>26</v>
      </c>
      <c r="AA15" s="4">
        <v>72.78</v>
      </c>
      <c r="AB15" t="s">
        <v>83</v>
      </c>
      <c r="AC15" s="4">
        <v>95</v>
      </c>
      <c r="AD15" s="4">
        <v>447.7</v>
      </c>
    </row>
    <row r="16" spans="1:30" x14ac:dyDescent="0.2">
      <c r="A16" t="s">
        <v>285</v>
      </c>
      <c r="B16">
        <v>217733</v>
      </c>
      <c r="C16" t="s">
        <v>142</v>
      </c>
      <c r="D16" t="s">
        <v>112</v>
      </c>
      <c r="E16" t="s">
        <v>97</v>
      </c>
      <c r="F16">
        <v>640</v>
      </c>
      <c r="G16">
        <v>85</v>
      </c>
      <c r="H16" s="4">
        <v>430.19</v>
      </c>
      <c r="I16" s="4">
        <v>266.72</v>
      </c>
      <c r="J16" s="4">
        <v>163.47</v>
      </c>
      <c r="K16">
        <v>26</v>
      </c>
      <c r="L16" s="4">
        <v>42.5</v>
      </c>
      <c r="M16" t="s">
        <v>99</v>
      </c>
      <c r="N16" s="4">
        <v>110</v>
      </c>
      <c r="O16" s="4">
        <v>315.97</v>
      </c>
      <c r="P16" t="s">
        <v>286</v>
      </c>
      <c r="Q16">
        <v>217687</v>
      </c>
      <c r="R16" t="s">
        <v>204</v>
      </c>
      <c r="S16" t="s">
        <v>114</v>
      </c>
      <c r="T16" t="s">
        <v>100</v>
      </c>
      <c r="U16">
        <v>460</v>
      </c>
      <c r="V16">
        <v>55</v>
      </c>
      <c r="W16" s="4">
        <v>166.32</v>
      </c>
      <c r="X16" s="4">
        <v>47.92</v>
      </c>
      <c r="Y16" s="4">
        <v>118.4</v>
      </c>
      <c r="Z16">
        <v>27</v>
      </c>
      <c r="AA16" s="4">
        <v>31.97</v>
      </c>
      <c r="AB16" t="s">
        <v>96</v>
      </c>
      <c r="AC16" s="4">
        <v>0</v>
      </c>
      <c r="AD16" s="4">
        <v>150.37</v>
      </c>
    </row>
    <row r="17" spans="1:30" x14ac:dyDescent="0.2">
      <c r="A17" t="s">
        <v>287</v>
      </c>
      <c r="B17">
        <v>217669</v>
      </c>
      <c r="C17" t="s">
        <v>142</v>
      </c>
      <c r="D17" t="s">
        <v>201</v>
      </c>
      <c r="E17" t="s">
        <v>85</v>
      </c>
      <c r="F17">
        <v>5380</v>
      </c>
      <c r="G17">
        <v>70</v>
      </c>
      <c r="H17" s="4">
        <v>2184.28</v>
      </c>
      <c r="I17" s="4">
        <v>1354.25</v>
      </c>
      <c r="J17" s="4">
        <v>830.03</v>
      </c>
      <c r="K17">
        <v>26</v>
      </c>
      <c r="L17" s="4">
        <v>215.81</v>
      </c>
      <c r="M17" t="s">
        <v>96</v>
      </c>
      <c r="N17" s="4">
        <v>0</v>
      </c>
      <c r="O17" s="4">
        <v>1045.84</v>
      </c>
      <c r="P17" t="s">
        <v>288</v>
      </c>
      <c r="Q17">
        <v>217820</v>
      </c>
      <c r="R17" t="s">
        <v>204</v>
      </c>
      <c r="S17" t="s">
        <v>114</v>
      </c>
      <c r="T17" t="s">
        <v>89</v>
      </c>
      <c r="U17">
        <v>1620</v>
      </c>
      <c r="V17">
        <v>70</v>
      </c>
      <c r="W17" s="4">
        <v>771.12</v>
      </c>
      <c r="X17" s="4">
        <v>478.09</v>
      </c>
      <c r="Y17" s="4">
        <v>293.03</v>
      </c>
      <c r="Z17">
        <v>27</v>
      </c>
      <c r="AA17" s="4">
        <v>79.12</v>
      </c>
      <c r="AB17" t="s">
        <v>96</v>
      </c>
      <c r="AC17" s="4">
        <v>0</v>
      </c>
      <c r="AD17" s="4">
        <v>372.15</v>
      </c>
    </row>
    <row r="18" spans="1:30" x14ac:dyDescent="0.2">
      <c r="A18" t="s">
        <v>289</v>
      </c>
      <c r="B18">
        <v>217649</v>
      </c>
      <c r="C18" t="s">
        <v>290</v>
      </c>
      <c r="D18" t="s">
        <v>112</v>
      </c>
      <c r="E18" t="s">
        <v>77</v>
      </c>
      <c r="F18">
        <v>380</v>
      </c>
      <c r="G18">
        <v>85</v>
      </c>
      <c r="H18" s="4">
        <v>255.21</v>
      </c>
      <c r="I18" s="4">
        <v>136.81</v>
      </c>
      <c r="J18" s="4">
        <v>118.4</v>
      </c>
      <c r="K18">
        <v>26</v>
      </c>
      <c r="L18" s="4">
        <v>30.78</v>
      </c>
      <c r="M18" t="s">
        <v>96</v>
      </c>
      <c r="N18" s="4">
        <v>0</v>
      </c>
      <c r="O18" s="4">
        <v>149.18</v>
      </c>
      <c r="P18" t="s">
        <v>291</v>
      </c>
      <c r="Q18">
        <v>217876</v>
      </c>
      <c r="R18" t="s">
        <v>204</v>
      </c>
      <c r="S18" t="s">
        <v>170</v>
      </c>
      <c r="T18" t="s">
        <v>100</v>
      </c>
      <c r="U18">
        <v>1720</v>
      </c>
      <c r="V18">
        <v>92.5</v>
      </c>
      <c r="W18" s="4">
        <v>686.4</v>
      </c>
      <c r="X18" s="4">
        <v>425.57</v>
      </c>
      <c r="Y18" s="4">
        <v>260.83</v>
      </c>
      <c r="Z18">
        <v>27.5</v>
      </c>
      <c r="AA18" s="4">
        <v>71.73</v>
      </c>
      <c r="AB18" t="s">
        <v>96</v>
      </c>
      <c r="AC18" s="4">
        <v>0</v>
      </c>
      <c r="AD18" s="4">
        <v>332.56</v>
      </c>
    </row>
    <row r="19" spans="1:30" x14ac:dyDescent="0.2">
      <c r="A19" t="s">
        <v>292</v>
      </c>
      <c r="B19">
        <v>217792</v>
      </c>
      <c r="C19" t="s">
        <v>290</v>
      </c>
      <c r="D19" t="s">
        <v>112</v>
      </c>
      <c r="E19" t="s">
        <v>97</v>
      </c>
      <c r="F19">
        <v>680</v>
      </c>
      <c r="G19">
        <v>70</v>
      </c>
      <c r="H19" s="4">
        <v>397.46</v>
      </c>
      <c r="I19" s="4">
        <v>246.43</v>
      </c>
      <c r="J19" s="4">
        <v>151.03</v>
      </c>
      <c r="K19">
        <v>26</v>
      </c>
      <c r="L19" s="4">
        <v>39.27</v>
      </c>
      <c r="M19" t="s">
        <v>96</v>
      </c>
      <c r="N19" s="4">
        <v>0</v>
      </c>
      <c r="O19" s="4">
        <v>190.3</v>
      </c>
      <c r="P19" t="s">
        <v>293</v>
      </c>
      <c r="Q19">
        <v>217654</v>
      </c>
      <c r="R19" t="s">
        <v>204</v>
      </c>
      <c r="S19" t="s">
        <v>199</v>
      </c>
      <c r="T19" t="s">
        <v>89</v>
      </c>
      <c r="U19">
        <v>2650</v>
      </c>
      <c r="V19">
        <v>100</v>
      </c>
      <c r="W19" s="4">
        <v>1502.42</v>
      </c>
      <c r="X19" s="4">
        <v>931.5</v>
      </c>
      <c r="Y19" s="4">
        <v>570.92</v>
      </c>
      <c r="Z19">
        <v>27</v>
      </c>
      <c r="AA19" s="4">
        <v>154.15</v>
      </c>
      <c r="AB19" t="s">
        <v>96</v>
      </c>
      <c r="AC19" s="4">
        <v>0</v>
      </c>
      <c r="AD19" s="4">
        <v>725.07</v>
      </c>
    </row>
    <row r="20" spans="1:30" x14ac:dyDescent="0.2">
      <c r="A20" t="s">
        <v>294</v>
      </c>
      <c r="B20">
        <v>217861</v>
      </c>
      <c r="C20" t="s">
        <v>295</v>
      </c>
      <c r="D20" t="s">
        <v>112</v>
      </c>
      <c r="E20" t="s">
        <v>77</v>
      </c>
      <c r="F20">
        <v>770</v>
      </c>
      <c r="G20">
        <v>92.5</v>
      </c>
      <c r="H20" s="4">
        <v>491.49</v>
      </c>
      <c r="I20" s="4">
        <v>304.72</v>
      </c>
      <c r="J20" s="4">
        <v>186.77</v>
      </c>
      <c r="K20">
        <v>26</v>
      </c>
      <c r="L20" s="4">
        <v>48.56</v>
      </c>
      <c r="M20" t="s">
        <v>79</v>
      </c>
      <c r="N20" s="4">
        <v>75</v>
      </c>
      <c r="O20" s="4">
        <v>310.33</v>
      </c>
      <c r="P20" t="s">
        <v>296</v>
      </c>
      <c r="Q20">
        <v>217902</v>
      </c>
      <c r="R20" t="s">
        <v>204</v>
      </c>
      <c r="S20" t="s">
        <v>179</v>
      </c>
      <c r="T20" t="s">
        <v>93</v>
      </c>
      <c r="U20">
        <v>620</v>
      </c>
      <c r="V20">
        <v>55</v>
      </c>
      <c r="W20" s="4">
        <v>322.18</v>
      </c>
      <c r="X20" s="4">
        <v>199.75</v>
      </c>
      <c r="Y20" s="4">
        <v>122.43</v>
      </c>
      <c r="Z20">
        <v>27.5</v>
      </c>
      <c r="AA20" s="4">
        <v>33.67</v>
      </c>
      <c r="AB20" t="s">
        <v>87</v>
      </c>
      <c r="AC20" s="4">
        <v>85</v>
      </c>
      <c r="AD20" s="4">
        <v>241.1</v>
      </c>
    </row>
    <row r="21" spans="1:30" x14ac:dyDescent="0.2">
      <c r="A21" t="s">
        <v>297</v>
      </c>
      <c r="B21">
        <v>217692</v>
      </c>
      <c r="C21" t="s">
        <v>295</v>
      </c>
      <c r="D21" t="s">
        <v>201</v>
      </c>
      <c r="E21" t="s">
        <v>93</v>
      </c>
      <c r="F21">
        <v>4650</v>
      </c>
      <c r="G21">
        <v>70</v>
      </c>
      <c r="H21" s="4">
        <v>1920.45</v>
      </c>
      <c r="I21" s="4">
        <v>1190.68</v>
      </c>
      <c r="J21" s="4">
        <v>729.77</v>
      </c>
      <c r="K21">
        <v>26</v>
      </c>
      <c r="L21" s="4">
        <v>189.74</v>
      </c>
      <c r="M21" t="s">
        <v>79</v>
      </c>
      <c r="N21" s="4">
        <v>75</v>
      </c>
      <c r="O21" s="4">
        <v>994.51</v>
      </c>
      <c r="P21" t="s">
        <v>298</v>
      </c>
      <c r="Q21">
        <v>217712</v>
      </c>
      <c r="R21" t="s">
        <v>204</v>
      </c>
      <c r="S21" t="s">
        <v>199</v>
      </c>
      <c r="T21" t="s">
        <v>85</v>
      </c>
      <c r="U21">
        <v>2290</v>
      </c>
      <c r="V21">
        <v>92.5</v>
      </c>
      <c r="W21" s="4">
        <v>1487.01</v>
      </c>
      <c r="X21" s="4">
        <v>921.95</v>
      </c>
      <c r="Y21" s="4">
        <v>565.06</v>
      </c>
      <c r="Z21">
        <v>27</v>
      </c>
      <c r="AA21" s="4">
        <v>152.57</v>
      </c>
      <c r="AB21" t="s">
        <v>96</v>
      </c>
      <c r="AC21" s="4">
        <v>0</v>
      </c>
      <c r="AD21" s="4">
        <v>717.63</v>
      </c>
    </row>
    <row r="22" spans="1:30" x14ac:dyDescent="0.2">
      <c r="A22" t="s">
        <v>299</v>
      </c>
      <c r="B22">
        <v>217766</v>
      </c>
      <c r="C22" t="s">
        <v>113</v>
      </c>
      <c r="D22" t="s">
        <v>214</v>
      </c>
      <c r="E22" t="s">
        <v>85</v>
      </c>
      <c r="F22">
        <v>5960</v>
      </c>
      <c r="G22">
        <v>60</v>
      </c>
      <c r="H22" s="4">
        <v>2274.57</v>
      </c>
      <c r="I22" s="4">
        <v>1410.23</v>
      </c>
      <c r="J22" s="4">
        <v>864.34</v>
      </c>
      <c r="K22">
        <v>26</v>
      </c>
      <c r="L22" s="4">
        <v>224.73</v>
      </c>
      <c r="M22" t="s">
        <v>96</v>
      </c>
      <c r="N22" s="4">
        <v>0</v>
      </c>
      <c r="O22" s="4">
        <v>1089.07</v>
      </c>
      <c r="P22" t="s">
        <v>300</v>
      </c>
      <c r="Q22">
        <v>217888</v>
      </c>
      <c r="R22" t="s">
        <v>204</v>
      </c>
      <c r="S22" t="s">
        <v>199</v>
      </c>
      <c r="T22" t="s">
        <v>81</v>
      </c>
      <c r="U22">
        <v>3380</v>
      </c>
      <c r="V22">
        <v>92.5</v>
      </c>
      <c r="W22" s="4">
        <v>1584.04</v>
      </c>
      <c r="X22" s="4">
        <v>982.1</v>
      </c>
      <c r="Y22" s="4">
        <v>601.94</v>
      </c>
      <c r="Z22">
        <v>27.5</v>
      </c>
      <c r="AA22" s="4">
        <v>165.53</v>
      </c>
      <c r="AB22" t="s">
        <v>83</v>
      </c>
      <c r="AC22" s="4">
        <v>95</v>
      </c>
      <c r="AD22" s="4">
        <v>862.47</v>
      </c>
    </row>
    <row r="23" spans="1:30" x14ac:dyDescent="0.2">
      <c r="A23" t="s">
        <v>301</v>
      </c>
      <c r="B23">
        <v>217858</v>
      </c>
      <c r="C23" t="s">
        <v>113</v>
      </c>
      <c r="D23" t="s">
        <v>214</v>
      </c>
      <c r="E23" t="s">
        <v>81</v>
      </c>
      <c r="F23">
        <v>1540</v>
      </c>
      <c r="G23">
        <v>60</v>
      </c>
      <c r="H23" s="4">
        <v>635.5</v>
      </c>
      <c r="I23" s="4">
        <v>394.01</v>
      </c>
      <c r="J23" s="4">
        <v>241.49</v>
      </c>
      <c r="K23">
        <v>26</v>
      </c>
      <c r="L23" s="4">
        <v>62.79</v>
      </c>
      <c r="M23" t="s">
        <v>95</v>
      </c>
      <c r="N23" s="4">
        <v>88</v>
      </c>
      <c r="O23" s="4">
        <v>392.28</v>
      </c>
      <c r="P23" t="s">
        <v>302</v>
      </c>
      <c r="Q23">
        <v>217720</v>
      </c>
      <c r="R23" t="s">
        <v>204</v>
      </c>
      <c r="S23" t="s">
        <v>219</v>
      </c>
      <c r="T23" t="s">
        <v>93</v>
      </c>
      <c r="U23">
        <v>4890</v>
      </c>
      <c r="V23">
        <v>70</v>
      </c>
      <c r="W23" s="4">
        <v>1682.5</v>
      </c>
      <c r="X23" s="4">
        <v>1043.15</v>
      </c>
      <c r="Y23" s="4">
        <v>639.35</v>
      </c>
      <c r="Z23">
        <v>27</v>
      </c>
      <c r="AA23" s="4">
        <v>172.62</v>
      </c>
      <c r="AB23" t="s">
        <v>96</v>
      </c>
      <c r="AC23" s="4">
        <v>0</v>
      </c>
      <c r="AD23" s="4">
        <v>811.97</v>
      </c>
    </row>
    <row r="24" spans="1:30" x14ac:dyDescent="0.2">
      <c r="A24" t="s">
        <v>303</v>
      </c>
      <c r="B24">
        <v>217798</v>
      </c>
      <c r="C24" t="s">
        <v>113</v>
      </c>
      <c r="D24" t="s">
        <v>194</v>
      </c>
      <c r="E24" t="s">
        <v>100</v>
      </c>
      <c r="F24">
        <v>1860</v>
      </c>
      <c r="G24">
        <v>100</v>
      </c>
      <c r="H24" s="4">
        <v>867.09</v>
      </c>
      <c r="I24" s="4">
        <v>537.6</v>
      </c>
      <c r="J24" s="4">
        <v>329.49</v>
      </c>
      <c r="K24">
        <v>26</v>
      </c>
      <c r="L24" s="4">
        <v>85.67</v>
      </c>
      <c r="M24" t="s">
        <v>83</v>
      </c>
      <c r="N24" s="4">
        <v>95</v>
      </c>
      <c r="O24" s="4">
        <v>510.16</v>
      </c>
      <c r="P24" t="s">
        <v>304</v>
      </c>
      <c r="Q24">
        <v>217810</v>
      </c>
      <c r="R24" t="s">
        <v>204</v>
      </c>
      <c r="S24" t="s">
        <v>219</v>
      </c>
      <c r="T24" t="s">
        <v>85</v>
      </c>
      <c r="U24">
        <v>510</v>
      </c>
      <c r="V24">
        <v>60</v>
      </c>
      <c r="W24" s="4">
        <v>341.81</v>
      </c>
      <c r="X24" s="4">
        <v>211.92</v>
      </c>
      <c r="Y24" s="4">
        <v>129.89</v>
      </c>
      <c r="Z24">
        <v>27</v>
      </c>
      <c r="AA24" s="4">
        <v>35.07</v>
      </c>
      <c r="AB24" t="s">
        <v>305</v>
      </c>
      <c r="AC24" s="4">
        <v>170</v>
      </c>
      <c r="AD24" s="4">
        <v>334.96</v>
      </c>
    </row>
    <row r="25" spans="1:30" x14ac:dyDescent="0.2">
      <c r="A25" t="s">
        <v>306</v>
      </c>
      <c r="B25">
        <v>217873</v>
      </c>
      <c r="C25" t="s">
        <v>113</v>
      </c>
      <c r="D25" t="s">
        <v>194</v>
      </c>
      <c r="E25" t="s">
        <v>85</v>
      </c>
      <c r="F25">
        <v>3010</v>
      </c>
      <c r="G25">
        <v>100</v>
      </c>
      <c r="H25" s="4">
        <v>2180.07</v>
      </c>
      <c r="I25" s="4">
        <v>1351.64</v>
      </c>
      <c r="J25" s="4">
        <v>828.43</v>
      </c>
      <c r="K25">
        <v>26</v>
      </c>
      <c r="L25" s="4">
        <v>215.39</v>
      </c>
      <c r="M25" t="s">
        <v>280</v>
      </c>
      <c r="N25" s="4">
        <v>135</v>
      </c>
      <c r="O25" s="4">
        <v>1178.82</v>
      </c>
      <c r="P25" t="s">
        <v>307</v>
      </c>
      <c r="Q25">
        <v>217915</v>
      </c>
      <c r="R25" t="s">
        <v>204</v>
      </c>
      <c r="S25" t="s">
        <v>219</v>
      </c>
      <c r="T25" t="s">
        <v>97</v>
      </c>
      <c r="U25">
        <v>4120</v>
      </c>
      <c r="V25">
        <v>70</v>
      </c>
      <c r="W25" s="4">
        <v>1665</v>
      </c>
      <c r="X25" s="4">
        <v>1032.3</v>
      </c>
      <c r="Y25" s="4">
        <v>632.7</v>
      </c>
      <c r="Z25">
        <v>27</v>
      </c>
      <c r="AA25" s="4">
        <v>170.83</v>
      </c>
      <c r="AB25" t="s">
        <v>96</v>
      </c>
      <c r="AC25" s="4">
        <v>0</v>
      </c>
      <c r="AD25" s="4">
        <v>803.53</v>
      </c>
    </row>
    <row r="26" spans="1:30" x14ac:dyDescent="0.2">
      <c r="A26" t="s">
        <v>308</v>
      </c>
      <c r="B26">
        <v>217833</v>
      </c>
      <c r="C26" t="s">
        <v>113</v>
      </c>
      <c r="D26" t="s">
        <v>142</v>
      </c>
      <c r="E26" t="s">
        <v>77</v>
      </c>
      <c r="F26">
        <v>950</v>
      </c>
      <c r="G26">
        <v>92.5</v>
      </c>
      <c r="H26" s="4">
        <v>542.75</v>
      </c>
      <c r="I26" s="4">
        <v>336.5</v>
      </c>
      <c r="J26" s="4">
        <v>206.25</v>
      </c>
      <c r="K26">
        <v>26</v>
      </c>
      <c r="L26" s="4">
        <v>53.63</v>
      </c>
      <c r="M26" t="s">
        <v>305</v>
      </c>
      <c r="N26" s="4">
        <v>170</v>
      </c>
      <c r="O26" s="4">
        <v>429.88</v>
      </c>
      <c r="P26" t="s">
        <v>309</v>
      </c>
      <c r="Q26">
        <v>217841</v>
      </c>
      <c r="R26" t="s">
        <v>204</v>
      </c>
      <c r="S26" t="s">
        <v>179</v>
      </c>
      <c r="T26" t="s">
        <v>85</v>
      </c>
      <c r="U26">
        <v>2060</v>
      </c>
      <c r="V26">
        <v>60</v>
      </c>
      <c r="W26" s="4">
        <v>967.23</v>
      </c>
      <c r="X26" s="4">
        <v>599.68</v>
      </c>
      <c r="Y26" s="4">
        <v>367.55</v>
      </c>
      <c r="Z26">
        <v>27.5</v>
      </c>
      <c r="AA26" s="4">
        <v>101.08</v>
      </c>
      <c r="AB26" t="s">
        <v>280</v>
      </c>
      <c r="AC26" s="4">
        <v>135</v>
      </c>
      <c r="AD26" s="4">
        <v>603.63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
  <sheetViews>
    <sheetView workbookViewId="0"/>
  </sheetViews>
  <sheetFormatPr baseColWidth="10" defaultColWidth="8.83203125" defaultRowHeight="15" x14ac:dyDescent="0.2"/>
  <cols>
    <col min="1" max="1" width="10" customWidth="1"/>
    <col min="2" max="2" width="13" customWidth="1"/>
    <col min="3" max="3" width="26" customWidth="1"/>
    <col min="4" max="4" width="70" customWidth="1"/>
    <col min="5" max="5" width="30" customWidth="1"/>
    <col min="6" max="6" width="11" customWidth="1"/>
    <col min="7" max="7" width="12" customWidth="1"/>
  </cols>
  <sheetData>
    <row r="1" spans="1:7" ht="17" x14ac:dyDescent="0.2">
      <c r="A1" s="1" t="s">
        <v>310</v>
      </c>
    </row>
    <row r="3" spans="1:7" x14ac:dyDescent="0.2">
      <c r="A3" s="2" t="s">
        <v>118</v>
      </c>
      <c r="B3" s="2" t="s">
        <v>311</v>
      </c>
      <c r="C3" s="2" t="s">
        <v>312</v>
      </c>
      <c r="D3" s="2" t="s">
        <v>313</v>
      </c>
      <c r="E3" s="2" t="s">
        <v>314</v>
      </c>
      <c r="F3" s="2" t="s">
        <v>315</v>
      </c>
      <c r="G3" s="2" t="s">
        <v>316</v>
      </c>
    </row>
    <row r="4" spans="1:7" x14ac:dyDescent="0.2">
      <c r="A4">
        <v>217645</v>
      </c>
      <c r="B4" t="s">
        <v>258</v>
      </c>
      <c r="C4" t="s">
        <v>317</v>
      </c>
      <c r="D4" t="s">
        <v>318</v>
      </c>
      <c r="E4" t="s">
        <v>319</v>
      </c>
      <c r="F4" t="s">
        <v>320</v>
      </c>
      <c r="G4" t="s">
        <v>321</v>
      </c>
    </row>
    <row r="5" spans="1:7" x14ac:dyDescent="0.2">
      <c r="A5">
        <v>217703</v>
      </c>
      <c r="B5" t="s">
        <v>275</v>
      </c>
      <c r="C5" t="s">
        <v>317</v>
      </c>
      <c r="D5" t="s">
        <v>322</v>
      </c>
      <c r="E5" t="s">
        <v>319</v>
      </c>
      <c r="F5" t="s">
        <v>320</v>
      </c>
      <c r="G5" t="s">
        <v>321</v>
      </c>
    </row>
    <row r="6" spans="1:7" x14ac:dyDescent="0.2">
      <c r="A6">
        <v>217784</v>
      </c>
      <c r="B6" t="s">
        <v>283</v>
      </c>
      <c r="C6" t="s">
        <v>323</v>
      </c>
      <c r="D6" t="s">
        <v>324</v>
      </c>
      <c r="E6" t="s">
        <v>325</v>
      </c>
      <c r="F6" t="s">
        <v>320</v>
      </c>
      <c r="G6" t="s">
        <v>326</v>
      </c>
    </row>
    <row r="7" spans="1:7" x14ac:dyDescent="0.2">
      <c r="A7">
        <v>217792</v>
      </c>
      <c r="B7" t="s">
        <v>292</v>
      </c>
      <c r="C7" t="s">
        <v>327</v>
      </c>
      <c r="D7" t="s">
        <v>328</v>
      </c>
      <c r="E7" t="s">
        <v>329</v>
      </c>
      <c r="F7" t="s">
        <v>330</v>
      </c>
      <c r="G7" t="s">
        <v>326</v>
      </c>
    </row>
    <row r="8" spans="1:7" x14ac:dyDescent="0.2">
      <c r="A8">
        <v>217873</v>
      </c>
      <c r="B8" t="s">
        <v>306</v>
      </c>
      <c r="C8" t="s">
        <v>331</v>
      </c>
      <c r="D8" t="s">
        <v>332</v>
      </c>
      <c r="E8" t="s">
        <v>333</v>
      </c>
      <c r="F8" t="s">
        <v>330</v>
      </c>
      <c r="G8" t="s">
        <v>334</v>
      </c>
    </row>
    <row r="9" spans="1:7" x14ac:dyDescent="0.2">
      <c r="A9">
        <v>217820</v>
      </c>
      <c r="B9" t="s">
        <v>288</v>
      </c>
      <c r="C9" t="s">
        <v>335</v>
      </c>
      <c r="D9" t="s">
        <v>336</v>
      </c>
      <c r="E9" t="s">
        <v>337</v>
      </c>
      <c r="F9" t="s">
        <v>320</v>
      </c>
      <c r="G9" t="s">
        <v>334</v>
      </c>
    </row>
    <row r="10" spans="1:7" x14ac:dyDescent="0.2">
      <c r="A10">
        <v>217712</v>
      </c>
      <c r="B10" t="s">
        <v>298</v>
      </c>
      <c r="C10" t="s">
        <v>331</v>
      </c>
      <c r="D10" t="s">
        <v>338</v>
      </c>
      <c r="E10" t="s">
        <v>333</v>
      </c>
      <c r="F10" t="s">
        <v>330</v>
      </c>
      <c r="G10" t="s">
        <v>334</v>
      </c>
    </row>
    <row r="11" spans="1:7" x14ac:dyDescent="0.2">
      <c r="A11">
        <v>217883</v>
      </c>
      <c r="B11" t="s">
        <v>260</v>
      </c>
      <c r="C11" t="s">
        <v>317</v>
      </c>
      <c r="D11" t="s">
        <v>339</v>
      </c>
      <c r="E11" t="s">
        <v>319</v>
      </c>
      <c r="F11" t="s">
        <v>320</v>
      </c>
      <c r="G11" t="s">
        <v>321</v>
      </c>
    </row>
    <row r="12" spans="1:7" x14ac:dyDescent="0.2">
      <c r="A12">
        <v>217841</v>
      </c>
      <c r="B12" t="s">
        <v>279</v>
      </c>
      <c r="C12" t="s">
        <v>317</v>
      </c>
      <c r="D12" t="s">
        <v>340</v>
      </c>
      <c r="E12" t="s">
        <v>319</v>
      </c>
      <c r="F12" t="s">
        <v>320</v>
      </c>
      <c r="G12" t="s">
        <v>321</v>
      </c>
    </row>
    <row r="14" spans="1:7" x14ac:dyDescent="0.2">
      <c r="A14" t="s">
        <v>341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
  <sheetViews>
    <sheetView workbookViewId="0"/>
  </sheetViews>
  <sheetFormatPr baseColWidth="10" defaultColWidth="8.83203125" defaultRowHeight="15" x14ac:dyDescent="0.2"/>
  <cols>
    <col min="1" max="1" width="10" customWidth="1"/>
    <col min="2" max="2" width="13" customWidth="1"/>
    <col min="3" max="3" width="20" customWidth="1"/>
    <col min="4" max="4" width="48" customWidth="1"/>
    <col min="5" max="6" width="16" customWidth="1"/>
    <col min="7" max="7" width="10" customWidth="1"/>
    <col min="8" max="8" width="14" customWidth="1"/>
  </cols>
  <sheetData>
    <row r="1" spans="1:8" ht="17" x14ac:dyDescent="0.2">
      <c r="A1" s="1" t="s">
        <v>342</v>
      </c>
    </row>
    <row r="3" spans="1:8" x14ac:dyDescent="0.2">
      <c r="A3" s="2" t="s">
        <v>118</v>
      </c>
      <c r="B3" s="2" t="s">
        <v>311</v>
      </c>
      <c r="C3" s="2" t="s">
        <v>72</v>
      </c>
      <c r="D3" s="2" t="s">
        <v>343</v>
      </c>
      <c r="E3" s="2" t="s">
        <v>344</v>
      </c>
      <c r="F3" s="2" t="s">
        <v>123</v>
      </c>
      <c r="G3" s="2" t="s">
        <v>74</v>
      </c>
      <c r="H3" s="2" t="s">
        <v>345</v>
      </c>
    </row>
    <row r="4" spans="1:8" x14ac:dyDescent="0.2">
      <c r="A4">
        <v>217861</v>
      </c>
      <c r="B4" t="s">
        <v>294</v>
      </c>
      <c r="C4" t="s">
        <v>79</v>
      </c>
      <c r="D4" t="s">
        <v>346</v>
      </c>
      <c r="E4" t="s">
        <v>214</v>
      </c>
      <c r="F4" t="str">
        <f>IFERROR(INDEX(BOL!$M$4:$M$25,MATCH(A4,BOL!$B$4:$B$25,0)),INDEX(BOL!$Z$4:$Z$25,MATCH(A4,BOL!$O$4:$O$25,0)))</f>
        <v>09/18/2026</v>
      </c>
      <c r="G4" s="4">
        <f>INDEX(Tariff!$O$4:$O$9,MATCH(C4,Tariff!$M$4:$M$9,0))</f>
        <v>75</v>
      </c>
      <c r="H4" t="str">
        <f>IF(DATEVALUE(E4)&lt;DATEVALUE(F4),"Yes","No")</f>
        <v>Yes</v>
      </c>
    </row>
    <row r="5" spans="1:8" x14ac:dyDescent="0.2">
      <c r="A5">
        <v>217733</v>
      </c>
      <c r="B5" t="s">
        <v>285</v>
      </c>
      <c r="C5" t="s">
        <v>99</v>
      </c>
      <c r="D5" t="s">
        <v>346</v>
      </c>
      <c r="E5" t="s">
        <v>201</v>
      </c>
      <c r="F5" t="str">
        <f>IFERROR(INDEX(BOL!$M$4:$M$25,MATCH(A5,BOL!$B$4:$B$25,0)),INDEX(BOL!$Z$4:$Z$25,MATCH(A5,BOL!$O$4:$O$25,0)))</f>
        <v>09/18/2026</v>
      </c>
      <c r="G5" s="4">
        <f>INDEX(Tariff!$O$4:$O$9,MATCH(C5,Tariff!$M$4:$M$9,0))</f>
        <v>110</v>
      </c>
      <c r="H5" t="str">
        <f>IF(DATEVALUE(E5)&lt;DATEVALUE(F5),"Yes","No")</f>
        <v>Yes</v>
      </c>
    </row>
    <row r="6" spans="1:8" x14ac:dyDescent="0.2">
      <c r="A6">
        <v>217858</v>
      </c>
      <c r="B6" t="s">
        <v>301</v>
      </c>
      <c r="C6" t="s">
        <v>95</v>
      </c>
      <c r="D6" t="s">
        <v>346</v>
      </c>
      <c r="E6" t="s">
        <v>194</v>
      </c>
      <c r="F6" t="str">
        <f>IFERROR(INDEX(BOL!$M$4:$M$25,MATCH(A6,BOL!$B$4:$B$25,0)),INDEX(BOL!$Z$4:$Z$25,MATCH(A6,BOL!$O$4:$O$25,0)))</f>
        <v>09/18/2026</v>
      </c>
      <c r="G6" s="4">
        <f>INDEX(Tariff!$O$4:$O$9,MATCH(C6,Tariff!$M$4:$M$9,0))</f>
        <v>88</v>
      </c>
      <c r="H6" t="str">
        <f>IF(DATEVALUE(E6)&lt;DATEVALUE(F6),"Yes","No")</f>
        <v>Yes</v>
      </c>
    </row>
    <row r="8" spans="1:8" x14ac:dyDescent="0.2">
      <c r="A8" t="s">
        <v>347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sheetViews>
  <sheetFormatPr baseColWidth="10" defaultColWidth="8.83203125" defaultRowHeight="15" x14ac:dyDescent="0.2"/>
  <cols>
    <col min="1" max="1" width="12" customWidth="1"/>
    <col min="2" max="2" width="13" customWidth="1"/>
    <col min="3" max="3" width="10" customWidth="1"/>
    <col min="4" max="4" width="12" customWidth="1"/>
    <col min="5" max="5" width="120" customWidth="1"/>
  </cols>
  <sheetData>
    <row r="1" spans="1:5" ht="17" x14ac:dyDescent="0.2">
      <c r="A1" s="1" t="s">
        <v>348</v>
      </c>
    </row>
    <row r="3" spans="1:5" x14ac:dyDescent="0.2">
      <c r="A3" s="2" t="s">
        <v>349</v>
      </c>
      <c r="B3" s="2" t="s">
        <v>311</v>
      </c>
      <c r="C3" s="2" t="s">
        <v>350</v>
      </c>
      <c r="D3" s="2" t="s">
        <v>117</v>
      </c>
      <c r="E3" s="2" t="s">
        <v>351</v>
      </c>
    </row>
    <row r="4" spans="1:5" x14ac:dyDescent="0.2">
      <c r="A4">
        <v>217876</v>
      </c>
      <c r="B4" t="s">
        <v>291</v>
      </c>
      <c r="C4">
        <v>217867</v>
      </c>
      <c r="D4" t="s">
        <v>189</v>
      </c>
      <c r="E4" t="s">
        <v>352</v>
      </c>
    </row>
    <row r="6" spans="1:5" x14ac:dyDescent="0.2">
      <c r="A6" t="s">
        <v>353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C32"/>
  <sheetViews>
    <sheetView workbookViewId="0"/>
  </sheetViews>
  <sheetFormatPr baseColWidth="10" defaultColWidth="8.83203125" defaultRowHeight="15" x14ac:dyDescent="0.2"/>
  <cols>
    <col min="1" max="1" width="12" customWidth="1"/>
    <col min="2" max="2" width="11" customWidth="1"/>
    <col min="3" max="3" width="10" customWidth="1"/>
    <col min="4" max="4" width="12" customWidth="1"/>
    <col min="5" max="5" width="8" customWidth="1"/>
    <col min="6" max="6" width="24" customWidth="1"/>
    <col min="22" max="22" width="12" customWidth="1"/>
    <col min="39" max="39" width="28" customWidth="1"/>
    <col min="40" max="40" width="26" customWidth="1"/>
    <col min="42" max="42" width="12" customWidth="1"/>
    <col min="43" max="43" width="11" customWidth="1"/>
    <col min="44" max="44" width="10" customWidth="1"/>
    <col min="45" max="45" width="12" customWidth="1"/>
    <col min="46" max="46" width="8" customWidth="1"/>
    <col min="47" max="47" width="24" customWidth="1"/>
    <col min="63" max="63" width="12" customWidth="1"/>
    <col min="80" max="80" width="28" customWidth="1"/>
    <col min="81" max="81" width="26" customWidth="1"/>
  </cols>
  <sheetData>
    <row r="1" spans="1:81" ht="17" x14ac:dyDescent="0.2">
      <c r="A1" s="1" t="s">
        <v>354</v>
      </c>
    </row>
    <row r="3" spans="1:81" x14ac:dyDescent="0.2">
      <c r="A3" s="2" t="s">
        <v>227</v>
      </c>
      <c r="B3" s="2" t="s">
        <v>355</v>
      </c>
      <c r="C3" s="2" t="s">
        <v>118</v>
      </c>
      <c r="D3" s="2" t="s">
        <v>119</v>
      </c>
      <c r="E3" s="2" t="s">
        <v>63</v>
      </c>
      <c r="F3" s="2" t="s">
        <v>71</v>
      </c>
      <c r="G3" s="2" t="s">
        <v>356</v>
      </c>
      <c r="H3" s="2" t="s">
        <v>230</v>
      </c>
      <c r="I3" s="2" t="s">
        <v>357</v>
      </c>
      <c r="J3" s="2" t="s">
        <v>358</v>
      </c>
      <c r="K3" s="2" t="s">
        <v>359</v>
      </c>
      <c r="L3" s="2" t="s">
        <v>231</v>
      </c>
      <c r="M3" s="2" t="s">
        <v>360</v>
      </c>
      <c r="N3" s="2" t="s">
        <v>361</v>
      </c>
      <c r="O3" s="2" t="s">
        <v>362</v>
      </c>
      <c r="P3" s="2" t="s">
        <v>363</v>
      </c>
      <c r="Q3" s="2" t="s">
        <v>364</v>
      </c>
      <c r="R3" s="2" t="s">
        <v>365</v>
      </c>
      <c r="S3" s="2" t="s">
        <v>366</v>
      </c>
      <c r="T3" s="2" t="s">
        <v>367</v>
      </c>
      <c r="U3" s="2" t="s">
        <v>234</v>
      </c>
      <c r="V3" s="2" t="s">
        <v>368</v>
      </c>
      <c r="W3" s="2" t="s">
        <v>76</v>
      </c>
      <c r="X3" s="2" t="s">
        <v>369</v>
      </c>
      <c r="Y3" s="2" t="s">
        <v>80</v>
      </c>
      <c r="Z3" s="2" t="s">
        <v>84</v>
      </c>
      <c r="AA3" s="2" t="s">
        <v>88</v>
      </c>
      <c r="AB3" s="2" t="s">
        <v>92</v>
      </c>
      <c r="AC3" s="2" t="s">
        <v>370</v>
      </c>
      <c r="AD3" s="2" t="s">
        <v>371</v>
      </c>
      <c r="AE3" s="2" t="s">
        <v>372</v>
      </c>
      <c r="AF3" s="2" t="s">
        <v>373</v>
      </c>
      <c r="AG3" s="2" t="s">
        <v>374</v>
      </c>
      <c r="AH3" s="2" t="s">
        <v>375</v>
      </c>
      <c r="AI3" s="2" t="s">
        <v>376</v>
      </c>
      <c r="AJ3" s="2" t="s">
        <v>377</v>
      </c>
      <c r="AK3" s="2" t="s">
        <v>378</v>
      </c>
      <c r="AL3" s="2" t="s">
        <v>379</v>
      </c>
      <c r="AM3" s="2" t="s">
        <v>380</v>
      </c>
      <c r="AN3" s="2" t="s">
        <v>381</v>
      </c>
      <c r="AP3" s="2" t="s">
        <v>239</v>
      </c>
      <c r="AQ3" s="2" t="s">
        <v>382</v>
      </c>
      <c r="AR3" s="2" t="s">
        <v>125</v>
      </c>
      <c r="AS3" s="2" t="s">
        <v>126</v>
      </c>
      <c r="AT3" s="2" t="s">
        <v>128</v>
      </c>
      <c r="AU3" s="2" t="s">
        <v>129</v>
      </c>
      <c r="AV3" s="2" t="s">
        <v>383</v>
      </c>
      <c r="AW3" s="2" t="s">
        <v>242</v>
      </c>
      <c r="AX3" s="2" t="s">
        <v>384</v>
      </c>
      <c r="AY3" s="2" t="s">
        <v>385</v>
      </c>
      <c r="AZ3" s="2" t="s">
        <v>386</v>
      </c>
      <c r="BA3" s="2" t="s">
        <v>243</v>
      </c>
      <c r="BB3" s="2" t="s">
        <v>387</v>
      </c>
      <c r="BC3" s="2" t="s">
        <v>388</v>
      </c>
      <c r="BD3" s="2" t="s">
        <v>389</v>
      </c>
      <c r="BE3" s="2" t="s">
        <v>390</v>
      </c>
      <c r="BF3" s="2" t="s">
        <v>391</v>
      </c>
      <c r="BG3" s="2" t="s">
        <v>392</v>
      </c>
      <c r="BH3" s="2" t="s">
        <v>393</v>
      </c>
      <c r="BI3" s="2" t="s">
        <v>394</v>
      </c>
      <c r="BJ3" s="2" t="s">
        <v>246</v>
      </c>
      <c r="BK3" s="2" t="s">
        <v>395</v>
      </c>
      <c r="BL3" s="2" t="s">
        <v>247</v>
      </c>
      <c r="BM3" s="2" t="s">
        <v>396</v>
      </c>
      <c r="BN3" s="2" t="s">
        <v>132</v>
      </c>
      <c r="BO3" s="2" t="s">
        <v>133</v>
      </c>
      <c r="BP3" s="2" t="s">
        <v>134</v>
      </c>
      <c r="BQ3" s="2" t="s">
        <v>135</v>
      </c>
      <c r="BR3" s="2" t="s">
        <v>397</v>
      </c>
      <c r="BS3" s="2" t="s">
        <v>398</v>
      </c>
      <c r="BT3" s="2" t="s">
        <v>399</v>
      </c>
      <c r="BU3" s="2" t="s">
        <v>400</v>
      </c>
      <c r="BV3" s="2" t="s">
        <v>401</v>
      </c>
      <c r="BW3" s="2" t="s">
        <v>402</v>
      </c>
      <c r="BX3" s="2" t="s">
        <v>403</v>
      </c>
      <c r="BY3" s="2" t="s">
        <v>404</v>
      </c>
      <c r="BZ3" s="2" t="s">
        <v>405</v>
      </c>
      <c r="CA3" s="2" t="s">
        <v>406</v>
      </c>
      <c r="CB3" s="2" t="s">
        <v>407</v>
      </c>
      <c r="CC3" s="2" t="s">
        <v>408</v>
      </c>
    </row>
    <row r="4" spans="1:81" x14ac:dyDescent="0.2">
      <c r="A4" t="str">
        <f>Invoices!A4</f>
        <v>NFL-90302</v>
      </c>
      <c r="B4">
        <f>Invoices!B4</f>
        <v>217598</v>
      </c>
      <c r="C4">
        <f>IFERROR(INDEX('Pro Matches'!$C$4:$C$4,MATCH(B4,'Pro Matches'!$A$4:$A$4,0)),B4)</f>
        <v>217598</v>
      </c>
      <c r="D4" t="str">
        <f>IFERROR(INDEX(BOL!$C$4:$C$25,MATCH(C4,BOL!$B$4:$B$25,0)),INDEX(BOL!$P$4:$P$25,MATCH(C4,BOL!$O$4:$O$25,0)))</f>
        <v>08/27/2026</v>
      </c>
      <c r="E4" t="str">
        <f>IFERROR(INDEX(BOL!$E$4:$E$25,MATCH(C4,BOL!$B$4:$B$25,0)),INDEX(BOL!$R$4:$R$25,MATCH(C4,BOL!$O$4:$O$25,0)))</f>
        <v>WI</v>
      </c>
      <c r="F4" t="str">
        <f>IFERROR(INDEX(BOL!$F$4:$F$25,MATCH(C4,BOL!$B$4:$B$25,0)),INDEX(BOL!$S$4:$S$25,MATCH(C4,BOL!$O$4:$O$25,0)))</f>
        <v>Metal roofing panels</v>
      </c>
      <c r="G4">
        <f>IFERROR(INDEX(BOL!$H$4:$H$25,MATCH(C4,BOL!$B$4:$B$25,0)),INDEX(BOL!$U$4:$U$25,MATCH(C4,BOL!$O$4:$O$25,0)))</f>
        <v>3150</v>
      </c>
      <c r="H4">
        <f>Invoices!F4</f>
        <v>3150</v>
      </c>
      <c r="I4" t="str">
        <f>IF(COUNTIFS('Billing File'!$A$4:$A$12,C4,'Billing File'!$G$4:$G$12,"4.5 weight",'Billing File'!$F$4:$F$12,"Yes")&gt;0,"Yes","No")</f>
        <v>No</v>
      </c>
      <c r="J4">
        <f>IF(AND(I4="Yes",H4&gt;G4*(1+Terms!$B$6)),H4,G4)</f>
        <v>3150</v>
      </c>
      <c r="K4">
        <f>INDEX(Tariff!$L$4:$L$9,MATCH(F4,Tariff!$K$4:$K$9,0))</f>
        <v>70</v>
      </c>
      <c r="L4">
        <f>Invoices!G4</f>
        <v>70</v>
      </c>
      <c r="M4" t="str">
        <f>IF(COUNTIFS('Billing File'!$A$4:$A$12,C4,'Billing File'!$G$4:$G$12,"4.3 class",'Billing File'!$F$4:$F$12,"Yes")&gt;0,"Yes","No")</f>
        <v>No</v>
      </c>
      <c r="N4">
        <f t="shared" ref="N4:N26" si="0">IF(M4="Yes",L4,K4)</f>
        <v>70</v>
      </c>
      <c r="O4" s="9">
        <f>INDEX(Tariff!$I$4:$I$10,MATCH(N4,Tariff!$H$4:$H$10,0))</f>
        <v>1</v>
      </c>
      <c r="P4">
        <f>MATCH(J4,Tariff!$B$12:$F$12,1)</f>
        <v>4</v>
      </c>
      <c r="Q4" s="9">
        <f>INDEX(Tariff!$B$4:$F$10,MATCH(E4,Tariff!$A$4:$A$10,0),P4)</f>
        <v>41.3</v>
      </c>
      <c r="R4" s="4">
        <f t="shared" ref="R4:R26" si="1">ROUND(J4/100*Q4*O4,2)</f>
        <v>1300.95</v>
      </c>
      <c r="S4" s="4">
        <f>IF(P4&lt;5,ROUND(INDEX(Tariff!$B$12:$F$12,P4+1)/100*INDEX(Tariff!$B$4:$F$10,MATCH(E4,Tariff!$A$4:$A$10,0),P4+1)*O4,2),R4)</f>
        <v>1682.5</v>
      </c>
      <c r="T4" s="4">
        <f t="shared" ref="T4:T26" si="2">MIN(R4,S4)</f>
        <v>1300.95</v>
      </c>
      <c r="U4" s="4">
        <f>MAX(ROUND(T4*(1-Terms!$B$4),2),Terms!$B$5)</f>
        <v>494.36</v>
      </c>
      <c r="V4" t="str">
        <f t="shared" ref="V4:V26" si="3">TEXT(DATEVALUE(D4)-WEEKDAY(DATEVALUE(D4),2)+1,"mm/dd/yyyy")</f>
        <v>08/24/2026</v>
      </c>
      <c r="W4" s="11">
        <f>INDEX('Fuel Index'!$C$4:$C$12,MATCH(V4,'Fuel Index'!$A$4:$A$12,0))</f>
        <v>0.26</v>
      </c>
      <c r="X4" s="4">
        <f t="shared" ref="X4:X26" si="4">ROUND(U4*W4,2)</f>
        <v>128.53</v>
      </c>
      <c r="Y4" t="str">
        <f>IFERROR(INDEX(BOL!$I$4:$I$25,MATCH(C4,BOL!$B$4:$B$25,0)),INDEX(BOL!$V$4:$V$25,MATCH(C4,BOL!$O$4:$O$25,0)))</f>
        <v>N</v>
      </c>
      <c r="Z4" t="str">
        <f>IFERROR(INDEX(BOL!$J$4:$J$25,MATCH(C4,BOL!$B$4:$B$25,0)),INDEX(BOL!$W$4:$W$25,MATCH(C4,BOL!$O$4:$O$25,0)))</f>
        <v>N</v>
      </c>
      <c r="AA4" t="str">
        <f>IFERROR(INDEX(BOL!$K$4:$K$25,MATCH(C4,BOL!$B$4:$B$25,0)),INDEX(BOL!$X$4:$X$25,MATCH(C4,BOL!$O$4:$O$25,0)))</f>
        <v>N</v>
      </c>
      <c r="AB4" t="str">
        <f>IFERROR(INDEX(BOL!$L$4:$L$25,MATCH(C4,BOL!$B$4:$B$25,0)),INDEX(BOL!$Y$4:$Y$25,MATCH(C4,BOL!$O$4:$O$25,0)))</f>
        <v>N</v>
      </c>
      <c r="AC4" s="4">
        <f>(Y4="Y")*Tariff!$O$4+(Z4="Y")*Tariff!$O$5+(AA4="Y")*Tariff!$O$6+(AB4="Y")*Tariff!$O$7</f>
        <v>0</v>
      </c>
      <c r="AD4" s="4">
        <f>SUMIFS(Confirmations!$G$4:$G$6,Confirmations!$A$4:$A$6,C4,Confirmations!$H$4:$H$6,"Yes")</f>
        <v>0</v>
      </c>
      <c r="AE4" s="4">
        <f t="shared" ref="AE4:AE26" si="5">AC4+AD4</f>
        <v>0</v>
      </c>
      <c r="AF4" t="str">
        <f>IF(COUNTIFS(Invoices!$B$4:$Q$26,B4,Invoices!$A$4:$P$26,"&lt;"&amp;A4)&gt;0,"Yes","No")</f>
        <v>No</v>
      </c>
      <c r="AG4" s="4">
        <f t="shared" ref="AG4:AG26" si="6">IF(AF4="Yes",0,ROUND(U4+X4+AE4,2))</f>
        <v>622.89</v>
      </c>
      <c r="AH4" s="4">
        <f>Invoices!O4</f>
        <v>625.37</v>
      </c>
      <c r="AI4" s="4">
        <f t="shared" ref="AI4:AI26" si="7">ROUND(AH4-AG4,2)</f>
        <v>2.48</v>
      </c>
      <c r="AJ4" s="4">
        <f>Invoices!H4</f>
        <v>1300.95</v>
      </c>
      <c r="AK4" s="11">
        <f>ROUND(Invoices!K4/Terms!$B$9,4)</f>
        <v>0.265</v>
      </c>
      <c r="AL4" s="4">
        <f>Invoices!N4</f>
        <v>0</v>
      </c>
      <c r="AM4" t="str">
        <f t="shared" ref="AM4:AM26" si="8">IF(AF4="Yes","7.1 duplicate bill",IF(L4&lt;&gt;N4,"4.3 class",IF(H4&lt;&gt;J4,"4.5 reweigh",IF(AJ4&lt;&gt;T4,"4.2 deficit weight",IF(AK4&lt;&gt;ROUND(W4,4),"5.2 fuel week",IF(AL4&gt;AE4,"6.1 accessorial overbilled",IF(AL4&lt;AE4,"6.1 accessorial omitted","")))))))</f>
        <v>5.2 fuel week</v>
      </c>
      <c r="AN4" t="str">
        <f t="shared" ref="AN4:AN26" si="9">IF(AND(M4="Yes",L4&lt;&gt;K4),"4.3 inspection certificate",IF(AND(I4="Yes",H4&lt;&gt;G4,H4=J4),"4.5 certified scale ticket",IF(AD4&gt;0,"6.1 written confirmation",IF(C4&lt;&gt;B4,"corrected pro number",""))))</f>
        <v/>
      </c>
      <c r="AP4" t="str">
        <f>Invoices!P4</f>
        <v>NFL-90338</v>
      </c>
      <c r="AQ4">
        <f>Invoices!Q4</f>
        <v>217666</v>
      </c>
      <c r="AR4">
        <f>IFERROR(INDEX('Pro Matches'!$C$4:$C$4,MATCH(AQ4,'Pro Matches'!$A$4:$A$4,0)),AQ4)</f>
        <v>217666</v>
      </c>
      <c r="AS4" t="str">
        <f>IFERROR(INDEX(BOL!$C$4:$C$25,MATCH(AR4,BOL!$B$4:$B$25,0)),INDEX(BOL!$P$4:$P$25,MATCH(AR4,BOL!$O$4:$O$25,0)))</f>
        <v>09/18/2026</v>
      </c>
      <c r="AT4" t="str">
        <f>IFERROR(INDEX(BOL!$E$4:$E$25,MATCH(AR4,BOL!$B$4:$B$25,0)),INDEX(BOL!$R$4:$R$25,MATCH(AR4,BOL!$O$4:$O$25,0)))</f>
        <v>WI</v>
      </c>
      <c r="AU4" t="str">
        <f>IFERROR(INDEX(BOL!$F$4:$F$25,MATCH(AR4,BOL!$B$4:$B$25,0)),INDEX(BOL!$S$4:$S$25,MATCH(AR4,BOL!$O$4:$O$25,0)))</f>
        <v>Gypsum and cement board</v>
      </c>
      <c r="AV4">
        <f>IFERROR(INDEX(BOL!$H$4:$H$25,MATCH(AR4,BOL!$B$4:$B$25,0)),INDEX(BOL!$U$4:$U$25,MATCH(AR4,BOL!$O$4:$O$25,0)))</f>
        <v>905</v>
      </c>
      <c r="AW4">
        <f>Invoices!U4</f>
        <v>905</v>
      </c>
      <c r="AX4" t="str">
        <f>IF(COUNTIFS('Billing File'!$A$4:$A$12,AR4,'Billing File'!$G$4:$G$12,"4.5 weight",'Billing File'!$F$4:$F$12,"Yes")&gt;0,"Yes","No")</f>
        <v>No</v>
      </c>
      <c r="AY4">
        <f>IF(AND(AX4="Yes",AW4&gt;AV4*(1+Terms!$B$6)),AW4,AV4)</f>
        <v>905</v>
      </c>
      <c r="AZ4">
        <f>INDEX(Tariff!$L$4:$L$9,MATCH(AU4,Tariff!$K$4:$K$9,0))</f>
        <v>55</v>
      </c>
      <c r="BA4">
        <f>Invoices!V4</f>
        <v>55</v>
      </c>
      <c r="BB4" t="str">
        <f>IF(COUNTIFS('Billing File'!$A$4:$A$12,AR4,'Billing File'!$G$4:$G$12,"4.3 class",'Billing File'!$F$4:$F$12,"Yes")&gt;0,"Yes","No")</f>
        <v>No</v>
      </c>
      <c r="BC4">
        <f t="shared" ref="BC4:BC26" si="10">IF(BB4="Yes",BA4,AZ4)</f>
        <v>55</v>
      </c>
      <c r="BD4" s="9">
        <f>INDEX(Tariff!$I$4:$I$10,MATCH(BC4,Tariff!$H$4:$H$10,0))</f>
        <v>0.88</v>
      </c>
      <c r="BE4">
        <f>MATCH(AY4,Tariff!$B$12:$F$12,1)</f>
        <v>2</v>
      </c>
      <c r="BF4" s="9">
        <f>INDEX(Tariff!$B$4:$F$10,MATCH(AT4,Tariff!$A$4:$A$10,0),BE4)</f>
        <v>59.05</v>
      </c>
      <c r="BG4" s="4">
        <f t="shared" ref="BG4:BG26" si="11">ROUND(AY4/100*BF4*BD4,2)</f>
        <v>470.27</v>
      </c>
      <c r="BH4" s="4">
        <f>IF(BE4&lt;5,ROUND(INDEX(Tariff!$B$12:$F$12,BE4+1)/100*INDEX(Tariff!$B$4:$F$10,MATCH(AT4,Tariff!$A$4:$A$10,0),BE4+1)*BD4,2),BG4)</f>
        <v>442.64</v>
      </c>
      <c r="BI4" s="4">
        <f t="shared" ref="BI4:BI26" si="12">MIN(BG4,BH4)</f>
        <v>442.64</v>
      </c>
      <c r="BJ4" s="4">
        <f>MAX(ROUND(BI4*(1-Terms!$B$4),2),Terms!$B$5)</f>
        <v>168.2</v>
      </c>
      <c r="BK4" t="str">
        <f t="shared" ref="BK4:BK26" si="13">TEXT(DATEVALUE(AS4)-WEEKDAY(DATEVALUE(AS4),2)+1,"mm/dd/yyyy")</f>
        <v>09/14/2026</v>
      </c>
      <c r="BL4" s="11">
        <f>INDEX('Fuel Index'!$C$4:$C$12,MATCH(BK4,'Fuel Index'!$A$4:$A$12,0))</f>
        <v>0.26</v>
      </c>
      <c r="BM4" s="4">
        <f t="shared" ref="BM4:BM26" si="14">ROUND(BJ4*BL4,2)</f>
        <v>43.73</v>
      </c>
      <c r="BN4" t="str">
        <f>IFERROR(INDEX(BOL!$I$4:$I$25,MATCH(AR4,BOL!$B$4:$B$25,0)),INDEX(BOL!$V$4:$V$25,MATCH(AR4,BOL!$O$4:$O$25,0)))</f>
        <v>N</v>
      </c>
      <c r="BO4" t="str">
        <f>IFERROR(INDEX(BOL!$J$4:$J$25,MATCH(AR4,BOL!$B$4:$B$25,0)),INDEX(BOL!$W$4:$W$25,MATCH(AR4,BOL!$O$4:$O$25,0)))</f>
        <v>N</v>
      </c>
      <c r="BP4" t="str">
        <f>IFERROR(INDEX(BOL!$K$4:$K$25,MATCH(AR4,BOL!$B$4:$B$25,0)),INDEX(BOL!$X$4:$X$25,MATCH(AR4,BOL!$O$4:$O$25,0)))</f>
        <v>N</v>
      </c>
      <c r="BQ4" t="str">
        <f>IFERROR(INDEX(BOL!$L$4:$L$25,MATCH(AR4,BOL!$B$4:$B$25,0)),INDEX(BOL!$Y$4:$Y$25,MATCH(AR4,BOL!$O$4:$O$25,0)))</f>
        <v>N</v>
      </c>
      <c r="BR4" s="4">
        <f>(BN4="Y")*Tariff!$O$4+(BO4="Y")*Tariff!$O$5+(BP4="Y")*Tariff!$O$6+(BQ4="Y")*Tariff!$O$7</f>
        <v>0</v>
      </c>
      <c r="BS4" s="4">
        <f>SUMIFS(Confirmations!$G$4:$G$6,Confirmations!$A$4:$A$6,AR4,Confirmations!$H$4:$H$6,"Yes")</f>
        <v>0</v>
      </c>
      <c r="BT4" s="4">
        <f t="shared" ref="BT4:BT26" si="15">BR4+BS4</f>
        <v>0</v>
      </c>
      <c r="BU4" t="str">
        <f>IF(COUNTIFS(Invoices!$B$4:$Q$26,AQ4,Invoices!$A$4:$P$26,"&lt;"&amp;AP4)&gt;0,"Yes","No")</f>
        <v>No</v>
      </c>
      <c r="BV4" s="4">
        <f t="shared" ref="BV4:BV26" si="16">IF(BU4="Yes",0,ROUND(BJ4+BM4+BT4,2))</f>
        <v>211.93</v>
      </c>
      <c r="BW4" s="4">
        <f>Invoices!AD4</f>
        <v>211.93</v>
      </c>
      <c r="BX4" s="4">
        <f t="shared" ref="BX4:BX26" si="17">ROUND(BW4-BV4,2)</f>
        <v>0</v>
      </c>
      <c r="BY4" s="4">
        <f>Invoices!W4</f>
        <v>442.64</v>
      </c>
      <c r="BZ4" s="11">
        <f>ROUND(Invoices!Z4/Terms!$B$9,4)</f>
        <v>0.26</v>
      </c>
      <c r="CA4" s="4">
        <f>Invoices!AC4</f>
        <v>0</v>
      </c>
      <c r="CB4" t="str">
        <f t="shared" ref="CB4:CB26" si="18">IF(BU4="Yes","7.1 duplicate bill",IF(BA4&lt;&gt;BC4,"4.3 class",IF(AW4&lt;&gt;AY4,"4.5 reweigh",IF(BY4&lt;&gt;BI4,"4.2 deficit weight",IF(BZ4&lt;&gt;ROUND(BL4,4),"5.2 fuel week",IF(CA4&gt;BT4,"6.1 accessorial overbilled",IF(CA4&lt;BT4,"6.1 accessorial omitted","")))))))</f>
        <v/>
      </c>
      <c r="CC4" t="str">
        <f t="shared" ref="CC4:CC26" si="19">IF(AND(BB4="Yes",BA4&lt;&gt;AZ4),"4.3 inspection certificate",IF(AND(AX4="Yes",AW4&lt;&gt;AV4,AW4=AY4),"4.5 certified scale ticket",IF(BS4&gt;0,"6.1 written confirmation",IF(AR4&lt;&gt;AQ4,"corrected pro number",""))))</f>
        <v/>
      </c>
    </row>
    <row r="5" spans="1:81" x14ac:dyDescent="0.2">
      <c r="A5" t="str">
        <f>Invoices!A5</f>
        <v>NFL-90304</v>
      </c>
      <c r="B5">
        <f>Invoices!B5</f>
        <v>217611</v>
      </c>
      <c r="C5">
        <f>IFERROR(INDEX('Pro Matches'!$C$4:$C$4,MATCH(B5,'Pro Matches'!$A$4:$A$4,0)),B5)</f>
        <v>217611</v>
      </c>
      <c r="D5" t="str">
        <f>IFERROR(INDEX(BOL!$C$4:$C$25,MATCH(C5,BOL!$B$4:$B$25,0)),INDEX(BOL!$P$4:$P$25,MATCH(C5,BOL!$O$4:$O$25,0)))</f>
        <v>08/28/2026</v>
      </c>
      <c r="E5" t="str">
        <f>IFERROR(INDEX(BOL!$E$4:$E$25,MATCH(C5,BOL!$B$4:$B$25,0)),INDEX(BOL!$R$4:$R$25,MATCH(C5,BOL!$O$4:$O$25,0)))</f>
        <v>SD</v>
      </c>
      <c r="F5" t="str">
        <f>IFERROR(INDEX(BOL!$F$4:$F$25,MATCH(C5,BOL!$B$4:$B$25,0)),INDEX(BOL!$S$4:$S$25,MATCH(C5,BOL!$O$4:$O$25,0)))</f>
        <v>Gypsum and cement board</v>
      </c>
      <c r="G5">
        <f>IFERROR(INDEX(BOL!$H$4:$H$25,MATCH(C5,BOL!$B$4:$B$25,0)),INDEX(BOL!$U$4:$U$25,MATCH(C5,BOL!$O$4:$O$25,0)))</f>
        <v>1180</v>
      </c>
      <c r="H5">
        <f>Invoices!F5</f>
        <v>1180</v>
      </c>
      <c r="I5" t="str">
        <f>IF(COUNTIFS('Billing File'!$A$4:$A$12,C5,'Billing File'!$G$4:$G$12,"4.5 weight",'Billing File'!$F$4:$F$12,"Yes")&gt;0,"Yes","No")</f>
        <v>No</v>
      </c>
      <c r="J5">
        <f>IF(AND(I5="Yes",H5&gt;G5*(1+Terms!$B$6)),H5,G5)</f>
        <v>1180</v>
      </c>
      <c r="K5">
        <f>INDEX(Tariff!$L$4:$L$9,MATCH(F5,Tariff!$K$4:$K$9,0))</f>
        <v>55</v>
      </c>
      <c r="L5">
        <f>Invoices!G5</f>
        <v>55</v>
      </c>
      <c r="M5" t="str">
        <f>IF(COUNTIFS('Billing File'!$A$4:$A$12,C5,'Billing File'!$G$4:$G$12,"4.3 class",'Billing File'!$F$4:$F$12,"Yes")&gt;0,"Yes","No")</f>
        <v>No</v>
      </c>
      <c r="N5">
        <f t="shared" si="0"/>
        <v>55</v>
      </c>
      <c r="O5" s="9">
        <f>INDEX(Tariff!$I$4:$I$10,MATCH(N5,Tariff!$H$4:$H$10,0))</f>
        <v>0.88</v>
      </c>
      <c r="P5">
        <f>MATCH(J5,Tariff!$B$12:$F$12,1)</f>
        <v>3</v>
      </c>
      <c r="Q5" s="9">
        <f>INDEX(Tariff!$B$4:$F$10,MATCH(E5,Tariff!$A$4:$A$10,0),P5)</f>
        <v>43.9</v>
      </c>
      <c r="R5" s="4">
        <f t="shared" si="1"/>
        <v>455.86</v>
      </c>
      <c r="S5" s="4">
        <f>IF(P5&lt;5,ROUND(INDEX(Tariff!$B$12:$F$12,P5+1)/100*INDEX(Tariff!$B$4:$F$10,MATCH(E5,Tariff!$A$4:$A$10,0),P5+1)*O5,2),R5)</f>
        <v>634.48</v>
      </c>
      <c r="T5" s="4">
        <f t="shared" si="2"/>
        <v>455.86</v>
      </c>
      <c r="U5" s="4">
        <f>MAX(ROUND(T5*(1-Terms!$B$4),2),Terms!$B$5)</f>
        <v>173.23</v>
      </c>
      <c r="V5" t="str">
        <f t="shared" si="3"/>
        <v>08/24/2026</v>
      </c>
      <c r="W5" s="11">
        <f>INDEX('Fuel Index'!$C$4:$C$12,MATCH(V5,'Fuel Index'!$A$4:$A$12,0))</f>
        <v>0.26</v>
      </c>
      <c r="X5" s="4">
        <f t="shared" si="4"/>
        <v>45.04</v>
      </c>
      <c r="Y5" t="str">
        <f>IFERROR(INDEX(BOL!$I$4:$I$25,MATCH(C5,BOL!$B$4:$B$25,0)),INDEX(BOL!$V$4:$V$25,MATCH(C5,BOL!$O$4:$O$25,0)))</f>
        <v>N</v>
      </c>
      <c r="Z5" t="str">
        <f>IFERROR(INDEX(BOL!$J$4:$J$25,MATCH(C5,BOL!$B$4:$B$25,0)),INDEX(BOL!$W$4:$W$25,MATCH(C5,BOL!$O$4:$O$25,0)))</f>
        <v>N</v>
      </c>
      <c r="AA5" t="str">
        <f>IFERROR(INDEX(BOL!$K$4:$K$25,MATCH(C5,BOL!$B$4:$B$25,0)),INDEX(BOL!$X$4:$X$25,MATCH(C5,BOL!$O$4:$O$25,0)))</f>
        <v>N</v>
      </c>
      <c r="AB5" t="str">
        <f>IFERROR(INDEX(BOL!$L$4:$L$25,MATCH(C5,BOL!$B$4:$B$25,0)),INDEX(BOL!$Y$4:$Y$25,MATCH(C5,BOL!$O$4:$O$25,0)))</f>
        <v>N</v>
      </c>
      <c r="AC5" s="4">
        <f>(Y5="Y")*Tariff!$O$4+(Z5="Y")*Tariff!$O$5+(AA5="Y")*Tariff!$O$6+(AB5="Y")*Tariff!$O$7</f>
        <v>0</v>
      </c>
      <c r="AD5" s="4">
        <f>SUMIFS(Confirmations!$G$4:$G$6,Confirmations!$A$4:$A$6,C5,Confirmations!$H$4:$H$6,"Yes")</f>
        <v>0</v>
      </c>
      <c r="AE5" s="4">
        <f t="shared" si="5"/>
        <v>0</v>
      </c>
      <c r="AF5" t="str">
        <f>IF(COUNTIFS(Invoices!$B$4:$Q$26,B5,Invoices!$A$4:$P$26,"&lt;"&amp;A5)&gt;0,"Yes","No")</f>
        <v>No</v>
      </c>
      <c r="AG5" s="4">
        <f t="shared" si="6"/>
        <v>218.27</v>
      </c>
      <c r="AH5" s="4">
        <f>Invoices!O5</f>
        <v>218.27</v>
      </c>
      <c r="AI5" s="4">
        <f t="shared" si="7"/>
        <v>0</v>
      </c>
      <c r="AJ5" s="4">
        <f>Invoices!H5</f>
        <v>455.86</v>
      </c>
      <c r="AK5" s="11">
        <f>ROUND(Invoices!K5/Terms!$B$9,4)</f>
        <v>0.26</v>
      </c>
      <c r="AL5" s="4">
        <f>Invoices!N5</f>
        <v>0</v>
      </c>
      <c r="AM5" t="str">
        <f t="shared" si="8"/>
        <v/>
      </c>
      <c r="AN5" t="str">
        <f t="shared" si="9"/>
        <v/>
      </c>
      <c r="AP5" t="str">
        <f>Invoices!P5</f>
        <v>NFL-90339</v>
      </c>
      <c r="AQ5">
        <f>Invoices!Q5</f>
        <v>217724</v>
      </c>
      <c r="AR5">
        <f>IFERROR(INDEX('Pro Matches'!$C$4:$C$4,MATCH(AQ5,'Pro Matches'!$A$4:$A$4,0)),AQ5)</f>
        <v>217724</v>
      </c>
      <c r="AS5" t="str">
        <f>IFERROR(INDEX(BOL!$C$4:$C$25,MATCH(AR5,BOL!$B$4:$B$25,0)),INDEX(BOL!$P$4:$P$25,MATCH(AR5,BOL!$O$4:$O$25,0)))</f>
        <v>09/18/2026</v>
      </c>
      <c r="AT5" t="str">
        <f>IFERROR(INDEX(BOL!$E$4:$E$25,MATCH(AR5,BOL!$B$4:$B$25,0)),INDEX(BOL!$R$4:$R$25,MATCH(AR5,BOL!$O$4:$O$25,0)))</f>
        <v>ND</v>
      </c>
      <c r="AU5" t="str">
        <f>IFERROR(INDEX(BOL!$F$4:$F$25,MATCH(AR5,BOL!$B$4:$B$25,0)),INDEX(BOL!$S$4:$S$25,MATCH(AR5,BOL!$O$4:$O$25,0)))</f>
        <v>Gypsum and cement board</v>
      </c>
      <c r="AV5">
        <f>IFERROR(INDEX(BOL!$H$4:$H$25,MATCH(AR5,BOL!$B$4:$B$25,0)),INDEX(BOL!$U$4:$U$25,MATCH(AR5,BOL!$O$4:$O$25,0)))</f>
        <v>1450</v>
      </c>
      <c r="AW5">
        <f>Invoices!U5</f>
        <v>1450</v>
      </c>
      <c r="AX5" t="str">
        <f>IF(COUNTIFS('Billing File'!$A$4:$A$12,AR5,'Billing File'!$G$4:$G$12,"4.5 weight",'Billing File'!$F$4:$F$12,"Yes")&gt;0,"Yes","No")</f>
        <v>No</v>
      </c>
      <c r="AY5">
        <f>IF(AND(AX5="Yes",AW5&gt;AV5*(1+Terms!$B$6)),AW5,AV5)</f>
        <v>1450</v>
      </c>
      <c r="AZ5">
        <f>INDEX(Tariff!$L$4:$L$9,MATCH(AU5,Tariff!$K$4:$K$9,0))</f>
        <v>55</v>
      </c>
      <c r="BA5">
        <f>Invoices!V5</f>
        <v>55</v>
      </c>
      <c r="BB5" t="str">
        <f>IF(COUNTIFS('Billing File'!$A$4:$A$12,AR5,'Billing File'!$G$4:$G$12,"4.3 class",'Billing File'!$F$4:$F$12,"Yes")&gt;0,"Yes","No")</f>
        <v>No</v>
      </c>
      <c r="BC5">
        <f t="shared" si="10"/>
        <v>55</v>
      </c>
      <c r="BD5" s="9">
        <f>INDEX(Tariff!$I$4:$I$10,MATCH(BC5,Tariff!$H$4:$H$10,0))</f>
        <v>0.88</v>
      </c>
      <c r="BE5">
        <f>MATCH(AY5,Tariff!$B$12:$F$12,1)</f>
        <v>3</v>
      </c>
      <c r="BF5" s="9">
        <f>INDEX(Tariff!$B$4:$F$10,MATCH(AT5,Tariff!$A$4:$A$10,0),BE5)</f>
        <v>32.15</v>
      </c>
      <c r="BG5" s="4">
        <f t="shared" si="11"/>
        <v>410.23</v>
      </c>
      <c r="BH5" s="4">
        <f>IF(BE5&lt;5,ROUND(INDEX(Tariff!$B$12:$F$12,BE5+1)/100*INDEX(Tariff!$B$4:$F$10,MATCH(AT5,Tariff!$A$4:$A$10,0),BE5+1)*BD5,2),BG5)</f>
        <v>464.64</v>
      </c>
      <c r="BI5" s="4">
        <f t="shared" si="12"/>
        <v>410.23</v>
      </c>
      <c r="BJ5" s="4">
        <f>MAX(ROUND(BI5*(1-Terms!$B$4),2),Terms!$B$5)</f>
        <v>155.89</v>
      </c>
      <c r="BK5" t="str">
        <f t="shared" si="13"/>
        <v>09/14/2026</v>
      </c>
      <c r="BL5" s="11">
        <f>INDEX('Fuel Index'!$C$4:$C$12,MATCH(BK5,'Fuel Index'!$A$4:$A$12,0))</f>
        <v>0.26</v>
      </c>
      <c r="BM5" s="4">
        <f t="shared" si="14"/>
        <v>40.53</v>
      </c>
      <c r="BN5" t="str">
        <f>IFERROR(INDEX(BOL!$I$4:$I$25,MATCH(AR5,BOL!$B$4:$B$25,0)),INDEX(BOL!$V$4:$V$25,MATCH(AR5,BOL!$O$4:$O$25,0)))</f>
        <v>N</v>
      </c>
      <c r="BO5" t="str">
        <f>IFERROR(INDEX(BOL!$J$4:$J$25,MATCH(AR5,BOL!$B$4:$B$25,0)),INDEX(BOL!$W$4:$W$25,MATCH(AR5,BOL!$O$4:$O$25,0)))</f>
        <v>Y</v>
      </c>
      <c r="BP5" t="str">
        <f>IFERROR(INDEX(BOL!$K$4:$K$25,MATCH(AR5,BOL!$B$4:$B$25,0)),INDEX(BOL!$X$4:$X$25,MATCH(AR5,BOL!$O$4:$O$25,0)))</f>
        <v>N</v>
      </c>
      <c r="BQ5" t="str">
        <f>IFERROR(INDEX(BOL!$L$4:$L$25,MATCH(AR5,BOL!$B$4:$B$25,0)),INDEX(BOL!$Y$4:$Y$25,MATCH(AR5,BOL!$O$4:$O$25,0)))</f>
        <v>Y</v>
      </c>
      <c r="BR5" s="4">
        <f>(BN5="Y")*Tariff!$O$4+(BO5="Y")*Tariff!$O$5+(BP5="Y")*Tariff!$O$6+(BQ5="Y")*Tariff!$O$7</f>
        <v>155</v>
      </c>
      <c r="BS5" s="4">
        <f>SUMIFS(Confirmations!$G$4:$G$6,Confirmations!$A$4:$A$6,AR5,Confirmations!$H$4:$H$6,"Yes")</f>
        <v>0</v>
      </c>
      <c r="BT5" s="4">
        <f t="shared" si="15"/>
        <v>155</v>
      </c>
      <c r="BU5" t="str">
        <f>IF(COUNTIFS(Invoices!$B$4:$Q$26,AQ5,Invoices!$A$4:$P$26,"&lt;"&amp;AP5)&gt;0,"Yes","No")</f>
        <v>No</v>
      </c>
      <c r="BV5" s="4">
        <f t="shared" si="16"/>
        <v>351.42</v>
      </c>
      <c r="BW5" s="4">
        <f>Invoices!AD5</f>
        <v>426.42</v>
      </c>
      <c r="BX5" s="4">
        <f t="shared" si="17"/>
        <v>75</v>
      </c>
      <c r="BY5" s="4">
        <f>Invoices!W5</f>
        <v>410.23</v>
      </c>
      <c r="BZ5" s="11">
        <f>ROUND(Invoices!Z5/Terms!$B$9,4)</f>
        <v>0.26</v>
      </c>
      <c r="CA5" s="4">
        <f>Invoices!AC5</f>
        <v>230</v>
      </c>
      <c r="CB5" t="str">
        <f t="shared" si="18"/>
        <v>6.1 accessorial overbilled</v>
      </c>
      <c r="CC5" t="str">
        <f t="shared" si="19"/>
        <v/>
      </c>
    </row>
    <row r="6" spans="1:81" x14ac:dyDescent="0.2">
      <c r="A6" t="str">
        <f>Invoices!A6</f>
        <v>NFL-90311</v>
      </c>
      <c r="B6">
        <f>Invoices!B6</f>
        <v>217645</v>
      </c>
      <c r="C6">
        <f>IFERROR(INDEX('Pro Matches'!$C$4:$C$4,MATCH(B6,'Pro Matches'!$A$4:$A$4,0)),B6)</f>
        <v>217645</v>
      </c>
      <c r="D6" t="str">
        <f>IFERROR(INDEX(BOL!$C$4:$C$25,MATCH(C6,BOL!$B$4:$B$25,0)),INDEX(BOL!$P$4:$P$25,MATCH(C6,BOL!$O$4:$O$25,0)))</f>
        <v>09/01/2026</v>
      </c>
      <c r="E6" t="str">
        <f>IFERROR(INDEX(BOL!$E$4:$E$25,MATCH(C6,BOL!$B$4:$B$25,0)),INDEX(BOL!$R$4:$R$25,MATCH(C6,BOL!$O$4:$O$25,0)))</f>
        <v>WI</v>
      </c>
      <c r="F6" t="str">
        <f>IFERROR(INDEX(BOL!$F$4:$F$25,MATCH(C6,BOL!$B$4:$B$25,0)),INDEX(BOL!$S$4:$S$25,MATCH(C6,BOL!$O$4:$O$25,0)))</f>
        <v>Metal roofing panels</v>
      </c>
      <c r="G6">
        <f>IFERROR(INDEX(BOL!$H$4:$H$25,MATCH(C6,BOL!$B$4:$B$25,0)),INDEX(BOL!$U$4:$U$25,MATCH(C6,BOL!$O$4:$O$25,0)))</f>
        <v>1240</v>
      </c>
      <c r="H6">
        <f>Invoices!F6</f>
        <v>1240</v>
      </c>
      <c r="I6" t="str">
        <f>IF(COUNTIFS('Billing File'!$A$4:$A$12,C6,'Billing File'!$G$4:$G$12,"4.5 weight",'Billing File'!$F$4:$F$12,"Yes")&gt;0,"Yes","No")</f>
        <v>No</v>
      </c>
      <c r="J6">
        <f>IF(AND(I6="Yes",H6&gt;G6*(1+Terms!$B$6)),H6,G6)</f>
        <v>1240</v>
      </c>
      <c r="K6">
        <f>INDEX(Tariff!$L$4:$L$9,MATCH(F6,Tariff!$K$4:$K$9,0))</f>
        <v>70</v>
      </c>
      <c r="L6">
        <f>Invoices!G6</f>
        <v>70</v>
      </c>
      <c r="M6" t="str">
        <f>IF(COUNTIFS('Billing File'!$A$4:$A$12,C6,'Billing File'!$G$4:$G$12,"4.3 class",'Billing File'!$F$4:$F$12,"Yes")&gt;0,"Yes","No")</f>
        <v>No</v>
      </c>
      <c r="N6">
        <f t="shared" si="0"/>
        <v>70</v>
      </c>
      <c r="O6" s="9">
        <f>INDEX(Tariff!$I$4:$I$10,MATCH(N6,Tariff!$H$4:$H$10,0))</f>
        <v>1</v>
      </c>
      <c r="P6">
        <f>MATCH(J6,Tariff!$B$12:$F$12,1)</f>
        <v>3</v>
      </c>
      <c r="Q6" s="9">
        <f>INDEX(Tariff!$B$4:$F$10,MATCH(E6,Tariff!$A$4:$A$10,0),P6)</f>
        <v>50.3</v>
      </c>
      <c r="R6" s="4">
        <f t="shared" si="1"/>
        <v>623.72</v>
      </c>
      <c r="S6" s="4">
        <f>IF(P6&lt;5,ROUND(INDEX(Tariff!$B$12:$F$12,P6+1)/100*INDEX(Tariff!$B$4:$F$10,MATCH(E6,Tariff!$A$4:$A$10,0),P6+1)*O6,2),R6)</f>
        <v>826</v>
      </c>
      <c r="T6" s="4">
        <f t="shared" si="2"/>
        <v>623.72</v>
      </c>
      <c r="U6" s="4">
        <f>MAX(ROUND(T6*(1-Terms!$B$4),2),Terms!$B$5)</f>
        <v>237.01</v>
      </c>
      <c r="V6" t="str">
        <f t="shared" si="3"/>
        <v>08/31/2026</v>
      </c>
      <c r="W6" s="11">
        <f>INDEX('Fuel Index'!$C$4:$C$12,MATCH(V6,'Fuel Index'!$A$4:$A$12,0))</f>
        <v>0.265</v>
      </c>
      <c r="X6" s="4">
        <f t="shared" si="4"/>
        <v>62.81</v>
      </c>
      <c r="Y6" t="str">
        <f>IFERROR(INDEX(BOL!$I$4:$I$25,MATCH(C6,BOL!$B$4:$B$25,0)),INDEX(BOL!$V$4:$V$25,MATCH(C6,BOL!$O$4:$O$25,0)))</f>
        <v>N</v>
      </c>
      <c r="Z6" t="str">
        <f>IFERROR(INDEX(BOL!$J$4:$J$25,MATCH(C6,BOL!$B$4:$B$25,0)),INDEX(BOL!$W$4:$W$25,MATCH(C6,BOL!$O$4:$O$25,0)))</f>
        <v>N</v>
      </c>
      <c r="AA6" t="str">
        <f>IFERROR(INDEX(BOL!$K$4:$K$25,MATCH(C6,BOL!$B$4:$B$25,0)),INDEX(BOL!$X$4:$X$25,MATCH(C6,BOL!$O$4:$O$25,0)))</f>
        <v>Y</v>
      </c>
      <c r="AB6" t="str">
        <f>IFERROR(INDEX(BOL!$L$4:$L$25,MATCH(C6,BOL!$B$4:$B$25,0)),INDEX(BOL!$Y$4:$Y$25,MATCH(C6,BOL!$O$4:$O$25,0)))</f>
        <v>N</v>
      </c>
      <c r="AC6" s="4">
        <f>(Y6="Y")*Tariff!$O$4+(Z6="Y")*Tariff!$O$5+(AA6="Y")*Tariff!$O$6+(AB6="Y")*Tariff!$O$7</f>
        <v>85</v>
      </c>
      <c r="AD6" s="4">
        <f>SUMIFS(Confirmations!$G$4:$G$6,Confirmations!$A$4:$A$6,C6,Confirmations!$H$4:$H$6,"Yes")</f>
        <v>0</v>
      </c>
      <c r="AE6" s="4">
        <f t="shared" si="5"/>
        <v>85</v>
      </c>
      <c r="AF6" t="str">
        <f>IF(COUNTIFS(Invoices!$B$4:$Q$26,B6,Invoices!$A$4:$P$26,"&lt;"&amp;A6)&gt;0,"Yes","No")</f>
        <v>No</v>
      </c>
      <c r="AG6" s="4">
        <f t="shared" si="6"/>
        <v>384.82</v>
      </c>
      <c r="AH6" s="4">
        <f>Invoices!O6</f>
        <v>384.82</v>
      </c>
      <c r="AI6" s="4">
        <f t="shared" si="7"/>
        <v>0</v>
      </c>
      <c r="AJ6" s="4">
        <f>Invoices!H6</f>
        <v>623.72</v>
      </c>
      <c r="AK6" s="11">
        <f>ROUND(Invoices!K6/Terms!$B$9,4)</f>
        <v>0.265</v>
      </c>
      <c r="AL6" s="4">
        <f>Invoices!N6</f>
        <v>85</v>
      </c>
      <c r="AM6" t="str">
        <f t="shared" si="8"/>
        <v/>
      </c>
      <c r="AN6" t="str">
        <f t="shared" si="9"/>
        <v/>
      </c>
      <c r="AP6" t="str">
        <f>Invoices!P6</f>
        <v>NFL-90340</v>
      </c>
      <c r="AQ6">
        <f>Invoices!Q6</f>
        <v>217883</v>
      </c>
      <c r="AR6">
        <f>IFERROR(INDEX('Pro Matches'!$C$4:$C$4,MATCH(AQ6,'Pro Matches'!$A$4:$A$4,0)),AQ6)</f>
        <v>217883</v>
      </c>
      <c r="AS6" t="str">
        <f>IFERROR(INDEX(BOL!$C$4:$C$25,MATCH(AR6,BOL!$B$4:$B$25,0)),INDEX(BOL!$P$4:$P$25,MATCH(AR6,BOL!$O$4:$O$25,0)))</f>
        <v>09/18/2026</v>
      </c>
      <c r="AT6" t="str">
        <f>IFERROR(INDEX(BOL!$E$4:$E$25,MATCH(AR6,BOL!$B$4:$B$25,0)),INDEX(BOL!$R$4:$R$25,MATCH(AR6,BOL!$O$4:$O$25,0)))</f>
        <v>WI</v>
      </c>
      <c r="AU6" t="str">
        <f>IFERROR(INDEX(BOL!$F$4:$F$25,MATCH(AR6,BOL!$B$4:$B$25,0)),INDEX(BOL!$S$4:$S$25,MATCH(AR6,BOL!$O$4:$O$25,0)))</f>
        <v>Windows and doors</v>
      </c>
      <c r="AV6">
        <f>IFERROR(INDEX(BOL!$H$4:$H$25,MATCH(AR6,BOL!$B$4:$B$25,0)),INDEX(BOL!$U$4:$U$25,MATCH(AR6,BOL!$O$4:$O$25,0)))</f>
        <v>1010</v>
      </c>
      <c r="AW6">
        <f>Invoices!U6</f>
        <v>1010</v>
      </c>
      <c r="AX6" t="str">
        <f>IF(COUNTIFS('Billing File'!$A$4:$A$12,AR6,'Billing File'!$G$4:$G$12,"4.5 weight",'Billing File'!$F$4:$F$12,"Yes")&gt;0,"Yes","No")</f>
        <v>No</v>
      </c>
      <c r="AY6">
        <f>IF(AND(AX6="Yes",AW6&gt;AV6*(1+Terms!$B$6)),AW6,AV6)</f>
        <v>1010</v>
      </c>
      <c r="AZ6">
        <f>INDEX(Tariff!$L$4:$L$9,MATCH(AU6,Tariff!$K$4:$K$9,0))</f>
        <v>100</v>
      </c>
      <c r="BA6">
        <f>Invoices!V6</f>
        <v>100</v>
      </c>
      <c r="BB6" t="str">
        <f>IF(COUNTIFS('Billing File'!$A$4:$A$12,AR6,'Billing File'!$G$4:$G$12,"4.3 class",'Billing File'!$F$4:$F$12,"Yes")&gt;0,"Yes","No")</f>
        <v>No</v>
      </c>
      <c r="BC6">
        <f t="shared" si="10"/>
        <v>100</v>
      </c>
      <c r="BD6" s="9">
        <f>INDEX(Tariff!$I$4:$I$10,MATCH(BC6,Tariff!$H$4:$H$10,0))</f>
        <v>1.45</v>
      </c>
      <c r="BE6">
        <f>MATCH(AY6,Tariff!$B$12:$F$12,1)</f>
        <v>3</v>
      </c>
      <c r="BF6" s="9">
        <f>INDEX(Tariff!$B$4:$F$10,MATCH(AT6,Tariff!$A$4:$A$10,0),BE6)</f>
        <v>50.3</v>
      </c>
      <c r="BG6" s="4">
        <f t="shared" si="11"/>
        <v>736.64</v>
      </c>
      <c r="BH6" s="4">
        <f>IF(BE6&lt;5,ROUND(INDEX(Tariff!$B$12:$F$12,BE6+1)/100*INDEX(Tariff!$B$4:$F$10,MATCH(AT6,Tariff!$A$4:$A$10,0),BE6+1)*BD6,2),BG6)</f>
        <v>1197.7</v>
      </c>
      <c r="BI6" s="4">
        <f t="shared" si="12"/>
        <v>736.64</v>
      </c>
      <c r="BJ6" s="4">
        <f>MAX(ROUND(BI6*(1-Terms!$B$4),2),Terms!$B$5)</f>
        <v>279.92</v>
      </c>
      <c r="BK6" t="str">
        <f t="shared" si="13"/>
        <v>09/14/2026</v>
      </c>
      <c r="BL6" s="11">
        <f>INDEX('Fuel Index'!$C$4:$C$12,MATCH(BK6,'Fuel Index'!$A$4:$A$12,0))</f>
        <v>0.26</v>
      </c>
      <c r="BM6" s="4">
        <f t="shared" si="14"/>
        <v>72.78</v>
      </c>
      <c r="BN6" t="str">
        <f>IFERROR(INDEX(BOL!$I$4:$I$25,MATCH(AR6,BOL!$B$4:$B$25,0)),INDEX(BOL!$V$4:$V$25,MATCH(AR6,BOL!$O$4:$O$25,0)))</f>
        <v>N</v>
      </c>
      <c r="BO6" t="str">
        <f>IFERROR(INDEX(BOL!$J$4:$J$25,MATCH(AR6,BOL!$B$4:$B$25,0)),INDEX(BOL!$W$4:$W$25,MATCH(AR6,BOL!$O$4:$O$25,0)))</f>
        <v>Y</v>
      </c>
      <c r="BP6" t="str">
        <f>IFERROR(INDEX(BOL!$K$4:$K$25,MATCH(AR6,BOL!$B$4:$B$25,0)),INDEX(BOL!$X$4:$X$25,MATCH(AR6,BOL!$O$4:$O$25,0)))</f>
        <v>N</v>
      </c>
      <c r="BQ6" t="str">
        <f>IFERROR(INDEX(BOL!$L$4:$L$25,MATCH(AR6,BOL!$B$4:$B$25,0)),INDEX(BOL!$Y$4:$Y$25,MATCH(AR6,BOL!$O$4:$O$25,0)))</f>
        <v>N</v>
      </c>
      <c r="BR6" s="4">
        <f>(BN6="Y")*Tariff!$O$4+(BO6="Y")*Tariff!$O$5+(BP6="Y")*Tariff!$O$6+(BQ6="Y")*Tariff!$O$7</f>
        <v>95</v>
      </c>
      <c r="BS6" s="4">
        <f>SUMIFS(Confirmations!$G$4:$G$6,Confirmations!$A$4:$A$6,AR6,Confirmations!$H$4:$H$6,"Yes")</f>
        <v>0</v>
      </c>
      <c r="BT6" s="4">
        <f t="shared" si="15"/>
        <v>95</v>
      </c>
      <c r="BU6" t="str">
        <f>IF(COUNTIFS(Invoices!$B$4:$Q$26,AQ6,Invoices!$A$4:$P$26,"&lt;"&amp;AP6)&gt;0,"Yes","No")</f>
        <v>No</v>
      </c>
      <c r="BV6" s="4">
        <f t="shared" si="16"/>
        <v>447.7</v>
      </c>
      <c r="BW6" s="4">
        <f>Invoices!AD6</f>
        <v>447.7</v>
      </c>
      <c r="BX6" s="4">
        <f t="shared" si="17"/>
        <v>0</v>
      </c>
      <c r="BY6" s="4">
        <f>Invoices!W6</f>
        <v>736.64</v>
      </c>
      <c r="BZ6" s="11">
        <f>ROUND(Invoices!Z6/Terms!$B$9,4)</f>
        <v>0.26</v>
      </c>
      <c r="CA6" s="4">
        <f>Invoices!AC6</f>
        <v>95</v>
      </c>
      <c r="CB6" t="str">
        <f t="shared" si="18"/>
        <v/>
      </c>
      <c r="CC6" t="str">
        <f t="shared" si="19"/>
        <v/>
      </c>
    </row>
    <row r="7" spans="1:81" x14ac:dyDescent="0.2">
      <c r="A7" t="str">
        <f>Invoices!A7</f>
        <v>NFL-90313</v>
      </c>
      <c r="B7">
        <f>Invoices!B7</f>
        <v>217763</v>
      </c>
      <c r="C7">
        <f>IFERROR(INDEX('Pro Matches'!$C$4:$C$4,MATCH(B7,'Pro Matches'!$A$4:$A$4,0)),B7)</f>
        <v>217763</v>
      </c>
      <c r="D7" t="str">
        <f>IFERROR(INDEX(BOL!$C$4:$C$25,MATCH(C7,BOL!$B$4:$B$25,0)),INDEX(BOL!$P$4:$P$25,MATCH(C7,BOL!$O$4:$O$25,0)))</f>
        <v>09/01/2026</v>
      </c>
      <c r="E7" t="str">
        <f>IFERROR(INDEX(BOL!$E$4:$E$25,MATCH(C7,BOL!$B$4:$B$25,0)),INDEX(BOL!$R$4:$R$25,MATCH(C7,BOL!$O$4:$O$25,0)))</f>
        <v>IA</v>
      </c>
      <c r="F7" t="str">
        <f>IFERROR(INDEX(BOL!$F$4:$F$25,MATCH(C7,BOL!$B$4:$B$25,0)),INDEX(BOL!$S$4:$S$25,MATCH(C7,BOL!$O$4:$O$25,0)))</f>
        <v>Fasteners and hardware</v>
      </c>
      <c r="G7">
        <f>IFERROR(INDEX(BOL!$H$4:$H$25,MATCH(C7,BOL!$B$4:$B$25,0)),INDEX(BOL!$U$4:$U$25,MATCH(C7,BOL!$O$4:$O$25,0)))</f>
        <v>1620</v>
      </c>
      <c r="H7">
        <f>Invoices!F7</f>
        <v>1620</v>
      </c>
      <c r="I7" t="str">
        <f>IF(COUNTIFS('Billing File'!$A$4:$A$12,C7,'Billing File'!$G$4:$G$12,"4.5 weight",'Billing File'!$F$4:$F$12,"Yes")&gt;0,"Yes","No")</f>
        <v>No</v>
      </c>
      <c r="J7">
        <f>IF(AND(I7="Yes",H7&gt;G7*(1+Terms!$B$6)),H7,G7)</f>
        <v>1620</v>
      </c>
      <c r="K7">
        <f>INDEX(Tariff!$L$4:$L$9,MATCH(F7,Tariff!$K$4:$K$9,0))</f>
        <v>60</v>
      </c>
      <c r="L7">
        <f>Invoices!G7</f>
        <v>60</v>
      </c>
      <c r="M7" t="str">
        <f>IF(COUNTIFS('Billing File'!$A$4:$A$12,C7,'Billing File'!$G$4:$G$12,"4.3 class",'Billing File'!$F$4:$F$12,"Yes")&gt;0,"Yes","No")</f>
        <v>No</v>
      </c>
      <c r="N7">
        <f t="shared" si="0"/>
        <v>60</v>
      </c>
      <c r="O7" s="9">
        <f>INDEX(Tariff!$I$4:$I$10,MATCH(N7,Tariff!$H$4:$H$10,0))</f>
        <v>0.94</v>
      </c>
      <c r="P7">
        <f>MATCH(J7,Tariff!$B$12:$F$12,1)</f>
        <v>3</v>
      </c>
      <c r="Q7" s="9">
        <f>INDEX(Tariff!$B$4:$F$10,MATCH(E7,Tariff!$A$4:$A$10,0),P7)</f>
        <v>47.6</v>
      </c>
      <c r="R7" s="4">
        <f t="shared" si="1"/>
        <v>724.85</v>
      </c>
      <c r="S7" s="4">
        <f>IF(P7&lt;5,ROUND(INDEX(Tariff!$B$12:$F$12,P7+1)/100*INDEX(Tariff!$B$4:$F$10,MATCH(E7,Tariff!$A$4:$A$10,0),P7+1)*O7,2),R7)</f>
        <v>735.08</v>
      </c>
      <c r="T7" s="4">
        <f t="shared" si="2"/>
        <v>724.85</v>
      </c>
      <c r="U7" s="4">
        <f>MAX(ROUND(T7*(1-Terms!$B$4),2),Terms!$B$5)</f>
        <v>275.44</v>
      </c>
      <c r="V7" t="str">
        <f t="shared" si="3"/>
        <v>08/31/2026</v>
      </c>
      <c r="W7" s="11">
        <f>INDEX('Fuel Index'!$C$4:$C$12,MATCH(V7,'Fuel Index'!$A$4:$A$12,0))</f>
        <v>0.265</v>
      </c>
      <c r="X7" s="4">
        <f t="shared" si="4"/>
        <v>72.99</v>
      </c>
      <c r="Y7" t="str">
        <f>IFERROR(INDEX(BOL!$I$4:$I$25,MATCH(C7,BOL!$B$4:$B$25,0)),INDEX(BOL!$V$4:$V$25,MATCH(C7,BOL!$O$4:$O$25,0)))</f>
        <v>Y</v>
      </c>
      <c r="Z7" t="str">
        <f>IFERROR(INDEX(BOL!$J$4:$J$25,MATCH(C7,BOL!$B$4:$B$25,0)),INDEX(BOL!$W$4:$W$25,MATCH(C7,BOL!$O$4:$O$25,0)))</f>
        <v>N</v>
      </c>
      <c r="AA7" t="str">
        <f>IFERROR(INDEX(BOL!$K$4:$K$25,MATCH(C7,BOL!$B$4:$B$25,0)),INDEX(BOL!$X$4:$X$25,MATCH(C7,BOL!$O$4:$O$25,0)))</f>
        <v>N</v>
      </c>
      <c r="AB7" t="str">
        <f>IFERROR(INDEX(BOL!$L$4:$L$25,MATCH(C7,BOL!$B$4:$B$25,0)),INDEX(BOL!$Y$4:$Y$25,MATCH(C7,BOL!$O$4:$O$25,0)))</f>
        <v>N</v>
      </c>
      <c r="AC7" s="4">
        <f>(Y7="Y")*Tariff!$O$4+(Z7="Y")*Tariff!$O$5+(AA7="Y")*Tariff!$O$6+(AB7="Y")*Tariff!$O$7</f>
        <v>75</v>
      </c>
      <c r="AD7" s="4">
        <f>SUMIFS(Confirmations!$G$4:$G$6,Confirmations!$A$4:$A$6,C7,Confirmations!$H$4:$H$6,"Yes")</f>
        <v>0</v>
      </c>
      <c r="AE7" s="4">
        <f t="shared" si="5"/>
        <v>75</v>
      </c>
      <c r="AF7" t="str">
        <f>IF(COUNTIFS(Invoices!$B$4:$Q$26,B7,Invoices!$A$4:$P$26,"&lt;"&amp;A7)&gt;0,"Yes","No")</f>
        <v>No</v>
      </c>
      <c r="AG7" s="4">
        <f t="shared" si="6"/>
        <v>423.43</v>
      </c>
      <c r="AH7" s="4">
        <f>Invoices!O7</f>
        <v>423.43</v>
      </c>
      <c r="AI7" s="4">
        <f t="shared" si="7"/>
        <v>0</v>
      </c>
      <c r="AJ7" s="4">
        <f>Invoices!H7</f>
        <v>724.85</v>
      </c>
      <c r="AK7" s="11">
        <f>ROUND(Invoices!K7/Terms!$B$9,4)</f>
        <v>0.265</v>
      </c>
      <c r="AL7" s="4">
        <f>Invoices!N7</f>
        <v>75</v>
      </c>
      <c r="AM7" t="str">
        <f t="shared" si="8"/>
        <v/>
      </c>
      <c r="AN7" t="str">
        <f t="shared" si="9"/>
        <v/>
      </c>
      <c r="AP7" t="str">
        <f>Invoices!P7</f>
        <v>NFL-90341</v>
      </c>
      <c r="AQ7">
        <f>Invoices!Q7</f>
        <v>217803</v>
      </c>
      <c r="AR7">
        <f>IFERROR(INDEX('Pro Matches'!$C$4:$C$4,MATCH(AQ7,'Pro Matches'!$A$4:$A$4,0)),AQ7)</f>
        <v>217803</v>
      </c>
      <c r="AS7" t="str">
        <f>IFERROR(INDEX(BOL!$C$4:$C$25,MATCH(AR7,BOL!$B$4:$B$25,0)),INDEX(BOL!$P$4:$P$25,MATCH(AR7,BOL!$O$4:$O$25,0)))</f>
        <v>09/22/2026</v>
      </c>
      <c r="AT7" t="str">
        <f>IFERROR(INDEX(BOL!$E$4:$E$25,MATCH(AR7,BOL!$B$4:$B$25,0)),INDEX(BOL!$R$4:$R$25,MATCH(AR7,BOL!$O$4:$O$25,0)))</f>
        <v>IA</v>
      </c>
      <c r="AU7" t="str">
        <f>IFERROR(INDEX(BOL!$F$4:$F$25,MATCH(AR7,BOL!$B$4:$B$25,0)),INDEX(BOL!$S$4:$S$25,MATCH(AR7,BOL!$O$4:$O$25,0)))</f>
        <v>Vinyl siding</v>
      </c>
      <c r="AV7">
        <f>IFERROR(INDEX(BOL!$H$4:$H$25,MATCH(AR7,BOL!$B$4:$B$25,0)),INDEX(BOL!$U$4:$U$25,MATCH(AR7,BOL!$O$4:$O$25,0)))</f>
        <v>3560</v>
      </c>
      <c r="AW7">
        <f>Invoices!U7</f>
        <v>3560</v>
      </c>
      <c r="AX7" t="str">
        <f>IF(COUNTIFS('Billing File'!$A$4:$A$12,AR7,'Billing File'!$G$4:$G$12,"4.5 weight",'Billing File'!$F$4:$F$12,"Yes")&gt;0,"Yes","No")</f>
        <v>No</v>
      </c>
      <c r="AY7">
        <f>IF(AND(AX7="Yes",AW7&gt;AV7*(1+Terms!$B$6)),AW7,AV7)</f>
        <v>3560</v>
      </c>
      <c r="AZ7">
        <f>INDEX(Tariff!$L$4:$L$9,MATCH(AU7,Tariff!$K$4:$K$9,0))</f>
        <v>92.5</v>
      </c>
      <c r="BA7">
        <f>Invoices!V7</f>
        <v>92.5</v>
      </c>
      <c r="BB7" t="str">
        <f>IF(COUNTIFS('Billing File'!$A$4:$A$12,AR7,'Billing File'!$G$4:$G$12,"4.3 class",'Billing File'!$F$4:$F$12,"Yes")&gt;0,"Yes","No")</f>
        <v>No</v>
      </c>
      <c r="BC7">
        <f t="shared" si="10"/>
        <v>92.5</v>
      </c>
      <c r="BD7" s="9">
        <f>INDEX(Tariff!$I$4:$I$10,MATCH(BC7,Tariff!$H$4:$H$10,0))</f>
        <v>1.3</v>
      </c>
      <c r="BE7">
        <f>MATCH(AY7,Tariff!$B$12:$F$12,1)</f>
        <v>4</v>
      </c>
      <c r="BF7" s="9">
        <f>INDEX(Tariff!$B$4:$F$10,MATCH(AT7,Tariff!$A$4:$A$10,0),BE7)</f>
        <v>39.1</v>
      </c>
      <c r="BG7" s="4">
        <f t="shared" si="11"/>
        <v>1809.55</v>
      </c>
      <c r="BH7" s="4">
        <f>IF(BE7&lt;5,ROUND(INDEX(Tariff!$B$12:$F$12,BE7+1)/100*INDEX(Tariff!$B$4:$F$10,MATCH(AT7,Tariff!$A$4:$A$10,0),BE7+1)*BD7,2),BG7)</f>
        <v>2070.25</v>
      </c>
      <c r="BI7" s="4">
        <f t="shared" si="12"/>
        <v>1809.55</v>
      </c>
      <c r="BJ7" s="4">
        <f>MAX(ROUND(BI7*(1-Terms!$B$4),2),Terms!$B$5)</f>
        <v>687.63</v>
      </c>
      <c r="BK7" t="str">
        <f t="shared" si="13"/>
        <v>09/21/2026</v>
      </c>
      <c r="BL7" s="11">
        <f>INDEX('Fuel Index'!$C$4:$C$12,MATCH(BK7,'Fuel Index'!$A$4:$A$12,0))</f>
        <v>0.275</v>
      </c>
      <c r="BM7" s="4">
        <f t="shared" si="14"/>
        <v>189.1</v>
      </c>
      <c r="BN7" t="str">
        <f>IFERROR(INDEX(BOL!$I$4:$I$25,MATCH(AR7,BOL!$B$4:$B$25,0)),INDEX(BOL!$V$4:$V$25,MATCH(AR7,BOL!$O$4:$O$25,0)))</f>
        <v>N</v>
      </c>
      <c r="BO7" t="str">
        <f>IFERROR(INDEX(BOL!$J$4:$J$25,MATCH(AR7,BOL!$B$4:$B$25,0)),INDEX(BOL!$W$4:$W$25,MATCH(AR7,BOL!$O$4:$O$25,0)))</f>
        <v>N</v>
      </c>
      <c r="BP7" t="str">
        <f>IFERROR(INDEX(BOL!$K$4:$K$25,MATCH(AR7,BOL!$B$4:$B$25,0)),INDEX(BOL!$X$4:$X$25,MATCH(AR7,BOL!$O$4:$O$25,0)))</f>
        <v>N</v>
      </c>
      <c r="BQ7" t="str">
        <f>IFERROR(INDEX(BOL!$L$4:$L$25,MATCH(AR7,BOL!$B$4:$B$25,0)),INDEX(BOL!$Y$4:$Y$25,MATCH(AR7,BOL!$O$4:$O$25,0)))</f>
        <v>Y</v>
      </c>
      <c r="BR7" s="4">
        <f>(BN7="Y")*Tariff!$O$4+(BO7="Y")*Tariff!$O$5+(BP7="Y")*Tariff!$O$6+(BQ7="Y")*Tariff!$O$7</f>
        <v>60</v>
      </c>
      <c r="BS7" s="4">
        <f>SUMIFS(Confirmations!$G$4:$G$6,Confirmations!$A$4:$A$6,AR7,Confirmations!$H$4:$H$6,"Yes")</f>
        <v>0</v>
      </c>
      <c r="BT7" s="4">
        <f t="shared" si="15"/>
        <v>60</v>
      </c>
      <c r="BU7" t="str">
        <f>IF(COUNTIFS(Invoices!$B$4:$Q$26,AQ7,Invoices!$A$4:$P$26,"&lt;"&amp;AP7)&gt;0,"Yes","No")</f>
        <v>No</v>
      </c>
      <c r="BV7" s="4">
        <f t="shared" si="16"/>
        <v>936.73</v>
      </c>
      <c r="BW7" s="4">
        <f>Invoices!AD7</f>
        <v>936.73</v>
      </c>
      <c r="BX7" s="4">
        <f t="shared" si="17"/>
        <v>0</v>
      </c>
      <c r="BY7" s="4">
        <f>Invoices!W7</f>
        <v>1809.55</v>
      </c>
      <c r="BZ7" s="11">
        <f>ROUND(Invoices!Z7/Terms!$B$9,4)</f>
        <v>0.275</v>
      </c>
      <c r="CA7" s="4">
        <f>Invoices!AC7</f>
        <v>60</v>
      </c>
      <c r="CB7" t="str">
        <f t="shared" si="18"/>
        <v/>
      </c>
      <c r="CC7" t="str">
        <f t="shared" si="19"/>
        <v/>
      </c>
    </row>
    <row r="8" spans="1:81" x14ac:dyDescent="0.2">
      <c r="A8" t="str">
        <f>Invoices!A8</f>
        <v>NFL-90314</v>
      </c>
      <c r="B8">
        <f>Invoices!B8</f>
        <v>217822</v>
      </c>
      <c r="C8">
        <f>IFERROR(INDEX('Pro Matches'!$C$4:$C$4,MATCH(B8,'Pro Matches'!$A$4:$A$4,0)),B8)</f>
        <v>217822</v>
      </c>
      <c r="D8" t="str">
        <f>IFERROR(INDEX(BOL!$C$4:$C$25,MATCH(C8,BOL!$B$4:$B$25,0)),INDEX(BOL!$P$4:$P$25,MATCH(C8,BOL!$O$4:$O$25,0)))</f>
        <v>09/07/2026</v>
      </c>
      <c r="E8" t="str">
        <f>IFERROR(INDEX(BOL!$E$4:$E$25,MATCH(C8,BOL!$B$4:$B$25,0)),INDEX(BOL!$R$4:$R$25,MATCH(C8,BOL!$O$4:$O$25,0)))</f>
        <v>WI</v>
      </c>
      <c r="F8" t="str">
        <f>IFERROR(INDEX(BOL!$F$4:$F$25,MATCH(C8,BOL!$B$4:$B$25,0)),INDEX(BOL!$S$4:$S$25,MATCH(C8,BOL!$O$4:$O$25,0)))</f>
        <v>Metal roofing panels</v>
      </c>
      <c r="G8">
        <f>IFERROR(INDEX(BOL!$H$4:$H$25,MATCH(C8,BOL!$B$4:$B$25,0)),INDEX(BOL!$U$4:$U$25,MATCH(C8,BOL!$O$4:$O$25,0)))</f>
        <v>4210</v>
      </c>
      <c r="H8">
        <f>Invoices!F8</f>
        <v>4210</v>
      </c>
      <c r="I8" t="str">
        <f>IF(COUNTIFS('Billing File'!$A$4:$A$12,C8,'Billing File'!$G$4:$G$12,"4.5 weight",'Billing File'!$F$4:$F$12,"Yes")&gt;0,"Yes","No")</f>
        <v>No</v>
      </c>
      <c r="J8">
        <f>IF(AND(I8="Yes",H8&gt;G8*(1+Terms!$B$6)),H8,G8)</f>
        <v>4210</v>
      </c>
      <c r="K8">
        <f>INDEX(Tariff!$L$4:$L$9,MATCH(F8,Tariff!$K$4:$K$9,0))</f>
        <v>70</v>
      </c>
      <c r="L8">
        <f>Invoices!G8</f>
        <v>70</v>
      </c>
      <c r="M8" t="str">
        <f>IF(COUNTIFS('Billing File'!$A$4:$A$12,C8,'Billing File'!$G$4:$G$12,"4.3 class",'Billing File'!$F$4:$F$12,"Yes")&gt;0,"Yes","No")</f>
        <v>No</v>
      </c>
      <c r="N8">
        <f t="shared" si="0"/>
        <v>70</v>
      </c>
      <c r="O8" s="9">
        <f>INDEX(Tariff!$I$4:$I$10,MATCH(N8,Tariff!$H$4:$H$10,0))</f>
        <v>1</v>
      </c>
      <c r="P8">
        <f>MATCH(J8,Tariff!$B$12:$F$12,1)</f>
        <v>4</v>
      </c>
      <c r="Q8" s="9">
        <f>INDEX(Tariff!$B$4:$F$10,MATCH(E8,Tariff!$A$4:$A$10,0),P8)</f>
        <v>41.3</v>
      </c>
      <c r="R8" s="4">
        <f t="shared" si="1"/>
        <v>1738.73</v>
      </c>
      <c r="S8" s="4">
        <f>IF(P8&lt;5,ROUND(INDEX(Tariff!$B$12:$F$12,P8+1)/100*INDEX(Tariff!$B$4:$F$10,MATCH(E8,Tariff!$A$4:$A$10,0),P8+1)*O8,2),R8)</f>
        <v>1682.5</v>
      </c>
      <c r="T8" s="4">
        <f t="shared" si="2"/>
        <v>1682.5</v>
      </c>
      <c r="U8" s="4">
        <f>MAX(ROUND(T8*(1-Terms!$B$4),2),Terms!$B$5)</f>
        <v>639.35</v>
      </c>
      <c r="V8" t="str">
        <f t="shared" si="3"/>
        <v>09/07/2026</v>
      </c>
      <c r="W8" s="11">
        <f>INDEX('Fuel Index'!$C$4:$C$12,MATCH(V8,'Fuel Index'!$A$4:$A$12,0))</f>
        <v>0.265</v>
      </c>
      <c r="X8" s="4">
        <f t="shared" si="4"/>
        <v>169.43</v>
      </c>
      <c r="Y8" t="str">
        <f>IFERROR(INDEX(BOL!$I$4:$I$25,MATCH(C8,BOL!$B$4:$B$25,0)),INDEX(BOL!$V$4:$V$25,MATCH(C8,BOL!$O$4:$O$25,0)))</f>
        <v>Y</v>
      </c>
      <c r="Z8" t="str">
        <f>IFERROR(INDEX(BOL!$J$4:$J$25,MATCH(C8,BOL!$B$4:$B$25,0)),INDEX(BOL!$W$4:$W$25,MATCH(C8,BOL!$O$4:$O$25,0)))</f>
        <v>N</v>
      </c>
      <c r="AA8" t="str">
        <f>IFERROR(INDEX(BOL!$K$4:$K$25,MATCH(C8,BOL!$B$4:$B$25,0)),INDEX(BOL!$X$4:$X$25,MATCH(C8,BOL!$O$4:$O$25,0)))</f>
        <v>N</v>
      </c>
      <c r="AB8" t="str">
        <f>IFERROR(INDEX(BOL!$L$4:$L$25,MATCH(C8,BOL!$B$4:$B$25,0)),INDEX(BOL!$Y$4:$Y$25,MATCH(C8,BOL!$O$4:$O$25,0)))</f>
        <v>N</v>
      </c>
      <c r="AC8" s="4">
        <f>(Y8="Y")*Tariff!$O$4+(Z8="Y")*Tariff!$O$5+(AA8="Y")*Tariff!$O$6+(AB8="Y")*Tariff!$O$7</f>
        <v>75</v>
      </c>
      <c r="AD8" s="4">
        <f>SUMIFS(Confirmations!$G$4:$G$6,Confirmations!$A$4:$A$6,C8,Confirmations!$H$4:$H$6,"Yes")</f>
        <v>0</v>
      </c>
      <c r="AE8" s="4">
        <f t="shared" si="5"/>
        <v>75</v>
      </c>
      <c r="AF8" t="str">
        <f>IF(COUNTIFS(Invoices!$B$4:$Q$26,B8,Invoices!$A$4:$P$26,"&lt;"&amp;A8)&gt;0,"Yes","No")</f>
        <v>No</v>
      </c>
      <c r="AG8" s="4">
        <f t="shared" si="6"/>
        <v>883.78</v>
      </c>
      <c r="AH8" s="4">
        <f>Invoices!O8</f>
        <v>883.78</v>
      </c>
      <c r="AI8" s="4">
        <f t="shared" si="7"/>
        <v>0</v>
      </c>
      <c r="AJ8" s="4">
        <f>Invoices!H8</f>
        <v>1682.5</v>
      </c>
      <c r="AK8" s="11">
        <f>ROUND(Invoices!K8/Terms!$B$9,4)</f>
        <v>0.265</v>
      </c>
      <c r="AL8" s="4">
        <f>Invoices!N8</f>
        <v>75</v>
      </c>
      <c r="AM8" t="str">
        <f t="shared" si="8"/>
        <v/>
      </c>
      <c r="AN8" t="str">
        <f t="shared" si="9"/>
        <v/>
      </c>
      <c r="AP8" t="str">
        <f>Invoices!P8</f>
        <v>NFL-90342</v>
      </c>
      <c r="AQ8">
        <f>Invoices!Q8</f>
        <v>217894</v>
      </c>
      <c r="AR8">
        <f>IFERROR(INDEX('Pro Matches'!$C$4:$C$4,MATCH(AQ8,'Pro Matches'!$A$4:$A$4,0)),AQ8)</f>
        <v>217894</v>
      </c>
      <c r="AS8" t="str">
        <f>IFERROR(INDEX(BOL!$C$4:$C$25,MATCH(AR8,BOL!$B$4:$B$25,0)),INDEX(BOL!$P$4:$P$25,MATCH(AR8,BOL!$O$4:$O$25,0)))</f>
        <v>09/22/2026</v>
      </c>
      <c r="AT8" t="str">
        <f>IFERROR(INDEX(BOL!$E$4:$E$25,MATCH(AR8,BOL!$B$4:$B$25,0)),INDEX(BOL!$R$4:$R$25,MATCH(AR8,BOL!$O$4:$O$25,0)))</f>
        <v>IA</v>
      </c>
      <c r="AU8" t="str">
        <f>IFERROR(INDEX(BOL!$F$4:$F$25,MATCH(AR8,BOL!$B$4:$B$25,0)),INDEX(BOL!$S$4:$S$25,MATCH(AR8,BOL!$O$4:$O$25,0)))</f>
        <v>Sealants and coatings</v>
      </c>
      <c r="AV8">
        <f>IFERROR(INDEX(BOL!$H$4:$H$25,MATCH(AR8,BOL!$B$4:$B$25,0)),INDEX(BOL!$U$4:$U$25,MATCH(AR8,BOL!$O$4:$O$25,0)))</f>
        <v>890</v>
      </c>
      <c r="AW8">
        <f>Invoices!U8</f>
        <v>890</v>
      </c>
      <c r="AX8" t="str">
        <f>IF(COUNTIFS('Billing File'!$A$4:$A$12,AR8,'Billing File'!$G$4:$G$12,"4.5 weight",'Billing File'!$F$4:$F$12,"Yes")&gt;0,"Yes","No")</f>
        <v>No</v>
      </c>
      <c r="AY8">
        <f>IF(AND(AX8="Yes",AW8&gt;AV8*(1+Terms!$B$6)),AW8,AV8)</f>
        <v>890</v>
      </c>
      <c r="AZ8">
        <f>INDEX(Tariff!$L$4:$L$9,MATCH(AU8,Tariff!$K$4:$K$9,0))</f>
        <v>85</v>
      </c>
      <c r="BA8">
        <f>Invoices!V8</f>
        <v>85</v>
      </c>
      <c r="BB8" t="str">
        <f>IF(COUNTIFS('Billing File'!$A$4:$A$12,AR8,'Billing File'!$G$4:$G$12,"4.3 class",'Billing File'!$F$4:$F$12,"Yes")&gt;0,"Yes","No")</f>
        <v>No</v>
      </c>
      <c r="BC8">
        <f t="shared" si="10"/>
        <v>85</v>
      </c>
      <c r="BD8" s="9">
        <f>INDEX(Tariff!$I$4:$I$10,MATCH(BC8,Tariff!$H$4:$H$10,0))</f>
        <v>1.15</v>
      </c>
      <c r="BE8">
        <f>MATCH(AY8,Tariff!$B$12:$F$12,1)</f>
        <v>2</v>
      </c>
      <c r="BF8" s="9">
        <f>INDEX(Tariff!$B$4:$F$10,MATCH(AT8,Tariff!$A$4:$A$10,0),BE8)</f>
        <v>55.9</v>
      </c>
      <c r="BG8" s="4">
        <f t="shared" si="11"/>
        <v>572.14</v>
      </c>
      <c r="BH8" s="4">
        <f>IF(BE8&lt;5,ROUND(INDEX(Tariff!$B$12:$F$12,BE8+1)/100*INDEX(Tariff!$B$4:$F$10,MATCH(AT8,Tariff!$A$4:$A$10,0),BE8+1)*BD8,2),BG8)</f>
        <v>547.4</v>
      </c>
      <c r="BI8" s="4">
        <f t="shared" si="12"/>
        <v>547.4</v>
      </c>
      <c r="BJ8" s="4">
        <f>MAX(ROUND(BI8*(1-Terms!$B$4),2),Terms!$B$5)</f>
        <v>208.01</v>
      </c>
      <c r="BK8" t="str">
        <f t="shared" si="13"/>
        <v>09/21/2026</v>
      </c>
      <c r="BL8" s="11">
        <f>INDEX('Fuel Index'!$C$4:$C$12,MATCH(BK8,'Fuel Index'!$A$4:$A$12,0))</f>
        <v>0.275</v>
      </c>
      <c r="BM8" s="4">
        <f t="shared" si="14"/>
        <v>57.2</v>
      </c>
      <c r="BN8" t="str">
        <f>IFERROR(INDEX(BOL!$I$4:$I$25,MATCH(AR8,BOL!$B$4:$B$25,0)),INDEX(BOL!$V$4:$V$25,MATCH(AR8,BOL!$O$4:$O$25,0)))</f>
        <v>N</v>
      </c>
      <c r="BO8" t="str">
        <f>IFERROR(INDEX(BOL!$J$4:$J$25,MATCH(AR8,BOL!$B$4:$B$25,0)),INDEX(BOL!$W$4:$W$25,MATCH(AR8,BOL!$O$4:$O$25,0)))</f>
        <v>N</v>
      </c>
      <c r="BP8" t="str">
        <f>IFERROR(INDEX(BOL!$K$4:$K$25,MATCH(AR8,BOL!$B$4:$B$25,0)),INDEX(BOL!$X$4:$X$25,MATCH(AR8,BOL!$O$4:$O$25,0)))</f>
        <v>N</v>
      </c>
      <c r="BQ8" t="str">
        <f>IFERROR(INDEX(BOL!$L$4:$L$25,MATCH(AR8,BOL!$B$4:$B$25,0)),INDEX(BOL!$Y$4:$Y$25,MATCH(AR8,BOL!$O$4:$O$25,0)))</f>
        <v>N</v>
      </c>
      <c r="BR8" s="4">
        <f>(BN8="Y")*Tariff!$O$4+(BO8="Y")*Tariff!$O$5+(BP8="Y")*Tariff!$O$6+(BQ8="Y")*Tariff!$O$7</f>
        <v>0</v>
      </c>
      <c r="BS8" s="4">
        <f>SUMIFS(Confirmations!$G$4:$G$6,Confirmations!$A$4:$A$6,AR8,Confirmations!$H$4:$H$6,"Yes")</f>
        <v>0</v>
      </c>
      <c r="BT8" s="4">
        <f t="shared" si="15"/>
        <v>0</v>
      </c>
      <c r="BU8" t="str">
        <f>IF(COUNTIFS(Invoices!$B$4:$Q$26,AQ8,Invoices!$A$4:$P$26,"&lt;"&amp;AP8)&gt;0,"Yes","No")</f>
        <v>No</v>
      </c>
      <c r="BV8" s="4">
        <f t="shared" si="16"/>
        <v>265.21</v>
      </c>
      <c r="BW8" s="4">
        <f>Invoices!AD8</f>
        <v>353.21</v>
      </c>
      <c r="BX8" s="4">
        <f t="shared" si="17"/>
        <v>88</v>
      </c>
      <c r="BY8" s="4">
        <f>Invoices!W8</f>
        <v>547.4</v>
      </c>
      <c r="BZ8" s="11">
        <f>ROUND(Invoices!Z8/Terms!$B$9,4)</f>
        <v>0.275</v>
      </c>
      <c r="CA8" s="4">
        <f>Invoices!AC8</f>
        <v>88</v>
      </c>
      <c r="CB8" t="str">
        <f t="shared" si="18"/>
        <v>6.1 accessorial overbilled</v>
      </c>
      <c r="CC8" t="str">
        <f t="shared" si="19"/>
        <v/>
      </c>
    </row>
    <row r="9" spans="1:81" x14ac:dyDescent="0.2">
      <c r="A9" t="str">
        <f>Invoices!A9</f>
        <v>NFL-90316</v>
      </c>
      <c r="B9">
        <f>Invoices!B9</f>
        <v>217675</v>
      </c>
      <c r="C9">
        <f>IFERROR(INDEX('Pro Matches'!$C$4:$C$4,MATCH(B9,'Pro Matches'!$A$4:$A$4,0)),B9)</f>
        <v>217675</v>
      </c>
      <c r="D9" t="str">
        <f>IFERROR(INDEX(BOL!$C$4:$C$25,MATCH(C9,BOL!$B$4:$B$25,0)),INDEX(BOL!$P$4:$P$25,MATCH(C9,BOL!$O$4:$O$25,0)))</f>
        <v>09/08/2026</v>
      </c>
      <c r="E9" t="str">
        <f>IFERROR(INDEX(BOL!$E$4:$E$25,MATCH(C9,BOL!$B$4:$B$25,0)),INDEX(BOL!$R$4:$R$25,MATCH(C9,BOL!$O$4:$O$25,0)))</f>
        <v>MT</v>
      </c>
      <c r="F9" t="str">
        <f>IFERROR(INDEX(BOL!$F$4:$F$25,MATCH(C9,BOL!$B$4:$B$25,0)),INDEX(BOL!$S$4:$S$25,MATCH(C9,BOL!$O$4:$O$25,0)))</f>
        <v>Fasteners and hardware</v>
      </c>
      <c r="G9">
        <f>IFERROR(INDEX(BOL!$H$4:$H$25,MATCH(C9,BOL!$B$4:$B$25,0)),INDEX(BOL!$U$4:$U$25,MATCH(C9,BOL!$O$4:$O$25,0)))</f>
        <v>1760</v>
      </c>
      <c r="H9">
        <f>Invoices!F9</f>
        <v>1760</v>
      </c>
      <c r="I9" t="str">
        <f>IF(COUNTIFS('Billing File'!$A$4:$A$12,C9,'Billing File'!$G$4:$G$12,"4.5 weight",'Billing File'!$F$4:$F$12,"Yes")&gt;0,"Yes","No")</f>
        <v>No</v>
      </c>
      <c r="J9">
        <f>IF(AND(I9="Yes",H9&gt;G9*(1+Terms!$B$6)),H9,G9)</f>
        <v>1760</v>
      </c>
      <c r="K9">
        <f>INDEX(Tariff!$L$4:$L$9,MATCH(F9,Tariff!$K$4:$K$9,0))</f>
        <v>60</v>
      </c>
      <c r="L9">
        <f>Invoices!G9</f>
        <v>60</v>
      </c>
      <c r="M9" t="str">
        <f>IF(COUNTIFS('Billing File'!$A$4:$A$12,C9,'Billing File'!$G$4:$G$12,"4.3 class",'Billing File'!$F$4:$F$12,"Yes")&gt;0,"Yes","No")</f>
        <v>No</v>
      </c>
      <c r="N9">
        <f t="shared" si="0"/>
        <v>60</v>
      </c>
      <c r="O9" s="9">
        <f>INDEX(Tariff!$I$4:$I$10,MATCH(N9,Tariff!$H$4:$H$10,0))</f>
        <v>0.94</v>
      </c>
      <c r="P9">
        <f>MATCH(J9,Tariff!$B$12:$F$12,1)</f>
        <v>3</v>
      </c>
      <c r="Q9" s="9">
        <f>INDEX(Tariff!$B$4:$F$10,MATCH(E9,Tariff!$A$4:$A$10,0),P9)</f>
        <v>60.85</v>
      </c>
      <c r="R9" s="4">
        <f t="shared" si="1"/>
        <v>1006.7</v>
      </c>
      <c r="S9" s="4">
        <f>IF(P9&lt;5,ROUND(INDEX(Tariff!$B$12:$F$12,P9+1)/100*INDEX(Tariff!$B$4:$F$10,MATCH(E9,Tariff!$A$4:$A$10,0),P9+1)*O9,2),R9)</f>
        <v>939.06</v>
      </c>
      <c r="T9" s="4">
        <f t="shared" si="2"/>
        <v>939.06</v>
      </c>
      <c r="U9" s="4">
        <f>MAX(ROUND(T9*(1-Terms!$B$4),2),Terms!$B$5)</f>
        <v>356.84</v>
      </c>
      <c r="V9" t="str">
        <f t="shared" si="3"/>
        <v>09/07/2026</v>
      </c>
      <c r="W9" s="11">
        <f>INDEX('Fuel Index'!$C$4:$C$12,MATCH(V9,'Fuel Index'!$A$4:$A$12,0))</f>
        <v>0.265</v>
      </c>
      <c r="X9" s="4">
        <f t="shared" si="4"/>
        <v>94.56</v>
      </c>
      <c r="Y9" t="str">
        <f>IFERROR(INDEX(BOL!$I$4:$I$25,MATCH(C9,BOL!$B$4:$B$25,0)),INDEX(BOL!$V$4:$V$25,MATCH(C9,BOL!$O$4:$O$25,0)))</f>
        <v>N</v>
      </c>
      <c r="Z9" t="str">
        <f>IFERROR(INDEX(BOL!$J$4:$J$25,MATCH(C9,BOL!$B$4:$B$25,0)),INDEX(BOL!$W$4:$W$25,MATCH(C9,BOL!$O$4:$O$25,0)))</f>
        <v>N</v>
      </c>
      <c r="AA9" t="str">
        <f>IFERROR(INDEX(BOL!$K$4:$K$25,MATCH(C9,BOL!$B$4:$B$25,0)),INDEX(BOL!$X$4:$X$25,MATCH(C9,BOL!$O$4:$O$25,0)))</f>
        <v>N</v>
      </c>
      <c r="AB9" t="str">
        <f>IFERROR(INDEX(BOL!$L$4:$L$25,MATCH(C9,BOL!$B$4:$B$25,0)),INDEX(BOL!$Y$4:$Y$25,MATCH(C9,BOL!$O$4:$O$25,0)))</f>
        <v>N</v>
      </c>
      <c r="AC9" s="4">
        <f>(Y9="Y")*Tariff!$O$4+(Z9="Y")*Tariff!$O$5+(AA9="Y")*Tariff!$O$6+(AB9="Y")*Tariff!$O$7</f>
        <v>0</v>
      </c>
      <c r="AD9" s="4">
        <f>SUMIFS(Confirmations!$G$4:$G$6,Confirmations!$A$4:$A$6,C9,Confirmations!$H$4:$H$6,"Yes")</f>
        <v>0</v>
      </c>
      <c r="AE9" s="4">
        <f t="shared" si="5"/>
        <v>0</v>
      </c>
      <c r="AF9" t="str">
        <f>IF(COUNTIFS(Invoices!$B$4:$Q$26,B9,Invoices!$A$4:$P$26,"&lt;"&amp;A9)&gt;0,"Yes","No")</f>
        <v>No</v>
      </c>
      <c r="AG9" s="4">
        <f t="shared" si="6"/>
        <v>451.4</v>
      </c>
      <c r="AH9" s="4">
        <f>Invoices!O9</f>
        <v>451.4</v>
      </c>
      <c r="AI9" s="4">
        <f t="shared" si="7"/>
        <v>0</v>
      </c>
      <c r="AJ9" s="4">
        <f>Invoices!H9</f>
        <v>939.06</v>
      </c>
      <c r="AK9" s="11">
        <f>ROUND(Invoices!K9/Terms!$B$9,4)</f>
        <v>0.265</v>
      </c>
      <c r="AL9" s="4">
        <f>Invoices!N9</f>
        <v>0</v>
      </c>
      <c r="AM9" t="str">
        <f t="shared" si="8"/>
        <v/>
      </c>
      <c r="AN9" t="str">
        <f t="shared" si="9"/>
        <v/>
      </c>
      <c r="AP9" t="str">
        <f>Invoices!P9</f>
        <v>NFL-90343</v>
      </c>
      <c r="AQ9">
        <f>Invoices!Q9</f>
        <v>217757</v>
      </c>
      <c r="AR9">
        <f>IFERROR(INDEX('Pro Matches'!$C$4:$C$4,MATCH(AQ9,'Pro Matches'!$A$4:$A$4,0)),AQ9)</f>
        <v>217757</v>
      </c>
      <c r="AS9" t="str">
        <f>IFERROR(INDEX(BOL!$C$4:$C$25,MATCH(AR9,BOL!$B$4:$B$25,0)),INDEX(BOL!$P$4:$P$25,MATCH(AR9,BOL!$O$4:$O$25,0)))</f>
        <v>09/22/2026</v>
      </c>
      <c r="AT9" t="str">
        <f>IFERROR(INDEX(BOL!$E$4:$E$25,MATCH(AR9,BOL!$B$4:$B$25,0)),INDEX(BOL!$R$4:$R$25,MATCH(AR9,BOL!$O$4:$O$25,0)))</f>
        <v>WI</v>
      </c>
      <c r="AU9" t="str">
        <f>IFERROR(INDEX(BOL!$F$4:$F$25,MATCH(AR9,BOL!$B$4:$B$25,0)),INDEX(BOL!$S$4:$S$25,MATCH(AR9,BOL!$O$4:$O$25,0)))</f>
        <v>Windows and doors</v>
      </c>
      <c r="AV9">
        <f>IFERROR(INDEX(BOL!$H$4:$H$25,MATCH(AR9,BOL!$B$4:$B$25,0)),INDEX(BOL!$U$4:$U$25,MATCH(AR9,BOL!$O$4:$O$25,0)))</f>
        <v>830</v>
      </c>
      <c r="AW9">
        <f>Invoices!U9</f>
        <v>830</v>
      </c>
      <c r="AX9" t="str">
        <f>IF(COUNTIFS('Billing File'!$A$4:$A$12,AR9,'Billing File'!$G$4:$G$12,"4.5 weight",'Billing File'!$F$4:$F$12,"Yes")&gt;0,"Yes","No")</f>
        <v>No</v>
      </c>
      <c r="AY9">
        <f>IF(AND(AX9="Yes",AW9&gt;AV9*(1+Terms!$B$6)),AW9,AV9)</f>
        <v>830</v>
      </c>
      <c r="AZ9">
        <f>INDEX(Tariff!$L$4:$L$9,MATCH(AU9,Tariff!$K$4:$K$9,0))</f>
        <v>100</v>
      </c>
      <c r="BA9">
        <f>Invoices!V9</f>
        <v>100</v>
      </c>
      <c r="BB9" t="str">
        <f>IF(COUNTIFS('Billing File'!$A$4:$A$12,AR9,'Billing File'!$G$4:$G$12,"4.3 class",'Billing File'!$F$4:$F$12,"Yes")&gt;0,"Yes","No")</f>
        <v>No</v>
      </c>
      <c r="BC9">
        <f t="shared" si="10"/>
        <v>100</v>
      </c>
      <c r="BD9" s="9">
        <f>INDEX(Tariff!$I$4:$I$10,MATCH(BC9,Tariff!$H$4:$H$10,0))</f>
        <v>1.45</v>
      </c>
      <c r="BE9">
        <f>MATCH(AY9,Tariff!$B$12:$F$12,1)</f>
        <v>2</v>
      </c>
      <c r="BF9" s="9">
        <f>INDEX(Tariff!$B$4:$F$10,MATCH(AT9,Tariff!$A$4:$A$10,0),BE9)</f>
        <v>59.05</v>
      </c>
      <c r="BG9" s="4">
        <f t="shared" si="11"/>
        <v>710.67</v>
      </c>
      <c r="BH9" s="4">
        <f>IF(BE9&lt;5,ROUND(INDEX(Tariff!$B$12:$F$12,BE9+1)/100*INDEX(Tariff!$B$4:$F$10,MATCH(AT9,Tariff!$A$4:$A$10,0),BE9+1)*BD9,2),BG9)</f>
        <v>729.35</v>
      </c>
      <c r="BI9" s="4">
        <f t="shared" si="12"/>
        <v>710.67</v>
      </c>
      <c r="BJ9" s="4">
        <f>MAX(ROUND(BI9*(1-Terms!$B$4),2),Terms!$B$5)</f>
        <v>270.05</v>
      </c>
      <c r="BK9" t="str">
        <f t="shared" si="13"/>
        <v>09/21/2026</v>
      </c>
      <c r="BL9" s="11">
        <f>INDEX('Fuel Index'!$C$4:$C$12,MATCH(BK9,'Fuel Index'!$A$4:$A$12,0))</f>
        <v>0.275</v>
      </c>
      <c r="BM9" s="4">
        <f t="shared" si="14"/>
        <v>74.26</v>
      </c>
      <c r="BN9" t="str">
        <f>IFERROR(INDEX(BOL!$I$4:$I$25,MATCH(AR9,BOL!$B$4:$B$25,0)),INDEX(BOL!$V$4:$V$25,MATCH(AR9,BOL!$O$4:$O$25,0)))</f>
        <v>N</v>
      </c>
      <c r="BO9" t="str">
        <f>IFERROR(INDEX(BOL!$J$4:$J$25,MATCH(AR9,BOL!$B$4:$B$25,0)),INDEX(BOL!$W$4:$W$25,MATCH(AR9,BOL!$O$4:$O$25,0)))</f>
        <v>N</v>
      </c>
      <c r="BP9" t="str">
        <f>IFERROR(INDEX(BOL!$K$4:$K$25,MATCH(AR9,BOL!$B$4:$B$25,0)),INDEX(BOL!$X$4:$X$25,MATCH(AR9,BOL!$O$4:$O$25,0)))</f>
        <v>N</v>
      </c>
      <c r="BQ9" t="str">
        <f>IFERROR(INDEX(BOL!$L$4:$L$25,MATCH(AR9,BOL!$B$4:$B$25,0)),INDEX(BOL!$Y$4:$Y$25,MATCH(AR9,BOL!$O$4:$O$25,0)))</f>
        <v>N</v>
      </c>
      <c r="BR9" s="4">
        <f>(BN9="Y")*Tariff!$O$4+(BO9="Y")*Tariff!$O$5+(BP9="Y")*Tariff!$O$6+(BQ9="Y")*Tariff!$O$7</f>
        <v>0</v>
      </c>
      <c r="BS9" s="4">
        <f>SUMIFS(Confirmations!$G$4:$G$6,Confirmations!$A$4:$A$6,AR9,Confirmations!$H$4:$H$6,"Yes")</f>
        <v>0</v>
      </c>
      <c r="BT9" s="4">
        <f t="shared" si="15"/>
        <v>0</v>
      </c>
      <c r="BU9" t="str">
        <f>IF(COUNTIFS(Invoices!$B$4:$Q$26,AQ9,Invoices!$A$4:$P$26,"&lt;"&amp;AP9)&gt;0,"Yes","No")</f>
        <v>No</v>
      </c>
      <c r="BV9" s="4">
        <f t="shared" si="16"/>
        <v>344.31</v>
      </c>
      <c r="BW9" s="4">
        <f>Invoices!AD9</f>
        <v>344.31</v>
      </c>
      <c r="BX9" s="4">
        <f t="shared" si="17"/>
        <v>0</v>
      </c>
      <c r="BY9" s="4">
        <f>Invoices!W9</f>
        <v>710.67</v>
      </c>
      <c r="BZ9" s="11">
        <f>ROUND(Invoices!Z9/Terms!$B$9,4)</f>
        <v>0.275</v>
      </c>
      <c r="CA9" s="4">
        <f>Invoices!AC9</f>
        <v>0</v>
      </c>
      <c r="CB9" t="str">
        <f t="shared" si="18"/>
        <v/>
      </c>
      <c r="CC9" t="str">
        <f t="shared" si="19"/>
        <v/>
      </c>
    </row>
    <row r="10" spans="1:81" x14ac:dyDescent="0.2">
      <c r="A10" t="str">
        <f>Invoices!A10</f>
        <v>NFL-90317</v>
      </c>
      <c r="B10">
        <f>Invoices!B10</f>
        <v>217738</v>
      </c>
      <c r="C10">
        <f>IFERROR(INDEX('Pro Matches'!$C$4:$C$4,MATCH(B10,'Pro Matches'!$A$4:$A$4,0)),B10)</f>
        <v>217738</v>
      </c>
      <c r="D10" t="str">
        <f>IFERROR(INDEX(BOL!$C$4:$C$25,MATCH(C10,BOL!$B$4:$B$25,0)),INDEX(BOL!$P$4:$P$25,MATCH(C10,BOL!$O$4:$O$25,0)))</f>
        <v>09/10/2026</v>
      </c>
      <c r="E10" t="str">
        <f>IFERROR(INDEX(BOL!$E$4:$E$25,MATCH(C10,BOL!$B$4:$B$25,0)),INDEX(BOL!$R$4:$R$25,MATCH(C10,BOL!$O$4:$O$25,0)))</f>
        <v>MN</v>
      </c>
      <c r="F10" t="str">
        <f>IFERROR(INDEX(BOL!$F$4:$F$25,MATCH(C10,BOL!$B$4:$B$25,0)),INDEX(BOL!$S$4:$S$25,MATCH(C10,BOL!$O$4:$O$25,0)))</f>
        <v>Fasteners and hardware</v>
      </c>
      <c r="G10">
        <f>IFERROR(INDEX(BOL!$H$4:$H$25,MATCH(C10,BOL!$B$4:$B$25,0)),INDEX(BOL!$U$4:$U$25,MATCH(C10,BOL!$O$4:$O$25,0)))</f>
        <v>1130</v>
      </c>
      <c r="H10">
        <f>Invoices!F10</f>
        <v>1130</v>
      </c>
      <c r="I10" t="str">
        <f>IF(COUNTIFS('Billing File'!$A$4:$A$12,C10,'Billing File'!$G$4:$G$12,"4.5 weight",'Billing File'!$F$4:$F$12,"Yes")&gt;0,"Yes","No")</f>
        <v>No</v>
      </c>
      <c r="J10">
        <f>IF(AND(I10="Yes",H10&gt;G10*(1+Terms!$B$6)),H10,G10)</f>
        <v>1130</v>
      </c>
      <c r="K10">
        <f>INDEX(Tariff!$L$4:$L$9,MATCH(F10,Tariff!$K$4:$K$9,0))</f>
        <v>60</v>
      </c>
      <c r="L10">
        <f>Invoices!G10</f>
        <v>60</v>
      </c>
      <c r="M10" t="str">
        <f>IF(COUNTIFS('Billing File'!$A$4:$A$12,C10,'Billing File'!$G$4:$G$12,"4.3 class",'Billing File'!$F$4:$F$12,"Yes")&gt;0,"Yes","No")</f>
        <v>No</v>
      </c>
      <c r="N10">
        <f t="shared" si="0"/>
        <v>60</v>
      </c>
      <c r="O10" s="9">
        <f>INDEX(Tariff!$I$4:$I$10,MATCH(N10,Tariff!$H$4:$H$10,0))</f>
        <v>0.94</v>
      </c>
      <c r="P10">
        <f>MATCH(J10,Tariff!$B$12:$F$12,1)</f>
        <v>3</v>
      </c>
      <c r="Q10" s="9">
        <f>INDEX(Tariff!$B$4:$F$10,MATCH(E10,Tariff!$A$4:$A$10,0),P10)</f>
        <v>41.75</v>
      </c>
      <c r="R10" s="4">
        <f t="shared" si="1"/>
        <v>443.47</v>
      </c>
      <c r="S10" s="4">
        <f>IF(P10&lt;5,ROUND(INDEX(Tariff!$B$12:$F$12,P10+1)/100*INDEX(Tariff!$B$4:$F$10,MATCH(E10,Tariff!$A$4:$A$10,0),P10+1)*O10,2),R10)</f>
        <v>642.96</v>
      </c>
      <c r="T10" s="4">
        <f t="shared" si="2"/>
        <v>443.47</v>
      </c>
      <c r="U10" s="4">
        <f>MAX(ROUND(T10*(1-Terms!$B$4),2),Terms!$B$5)</f>
        <v>168.52</v>
      </c>
      <c r="V10" t="str">
        <f t="shared" si="3"/>
        <v>09/07/2026</v>
      </c>
      <c r="W10" s="11">
        <f>INDEX('Fuel Index'!$C$4:$C$12,MATCH(V10,'Fuel Index'!$A$4:$A$12,0))</f>
        <v>0.265</v>
      </c>
      <c r="X10" s="4">
        <f t="shared" si="4"/>
        <v>44.66</v>
      </c>
      <c r="Y10" t="str">
        <f>IFERROR(INDEX(BOL!$I$4:$I$25,MATCH(C10,BOL!$B$4:$B$25,0)),INDEX(BOL!$V$4:$V$25,MATCH(C10,BOL!$O$4:$O$25,0)))</f>
        <v>Y</v>
      </c>
      <c r="Z10" t="str">
        <f>IFERROR(INDEX(BOL!$J$4:$J$25,MATCH(C10,BOL!$B$4:$B$25,0)),INDEX(BOL!$W$4:$W$25,MATCH(C10,BOL!$O$4:$O$25,0)))</f>
        <v>N</v>
      </c>
      <c r="AA10" t="str">
        <f>IFERROR(INDEX(BOL!$K$4:$K$25,MATCH(C10,BOL!$B$4:$B$25,0)),INDEX(BOL!$X$4:$X$25,MATCH(C10,BOL!$O$4:$O$25,0)))</f>
        <v>N</v>
      </c>
      <c r="AB10" t="str">
        <f>IFERROR(INDEX(BOL!$L$4:$L$25,MATCH(C10,BOL!$B$4:$B$25,0)),INDEX(BOL!$Y$4:$Y$25,MATCH(C10,BOL!$O$4:$O$25,0)))</f>
        <v>N</v>
      </c>
      <c r="AC10" s="4">
        <f>(Y10="Y")*Tariff!$O$4+(Z10="Y")*Tariff!$O$5+(AA10="Y")*Tariff!$O$6+(AB10="Y")*Tariff!$O$7</f>
        <v>75</v>
      </c>
      <c r="AD10" s="4">
        <f>SUMIFS(Confirmations!$G$4:$G$6,Confirmations!$A$4:$A$6,C10,Confirmations!$H$4:$H$6,"Yes")</f>
        <v>0</v>
      </c>
      <c r="AE10" s="4">
        <f t="shared" si="5"/>
        <v>75</v>
      </c>
      <c r="AF10" t="str">
        <f>IF(COUNTIFS(Invoices!$B$4:$Q$26,B10,Invoices!$A$4:$P$26,"&lt;"&amp;A10)&gt;0,"Yes","No")</f>
        <v>No</v>
      </c>
      <c r="AG10" s="4">
        <f t="shared" si="6"/>
        <v>288.18</v>
      </c>
      <c r="AH10" s="4">
        <f>Invoices!O10</f>
        <v>213.18</v>
      </c>
      <c r="AI10" s="4">
        <f t="shared" si="7"/>
        <v>-75</v>
      </c>
      <c r="AJ10" s="4">
        <f>Invoices!H10</f>
        <v>443.47</v>
      </c>
      <c r="AK10" s="11">
        <f>ROUND(Invoices!K10/Terms!$B$9,4)</f>
        <v>0.265</v>
      </c>
      <c r="AL10" s="4">
        <f>Invoices!N10</f>
        <v>0</v>
      </c>
      <c r="AM10" t="str">
        <f t="shared" si="8"/>
        <v>6.1 accessorial omitted</v>
      </c>
      <c r="AN10" t="str">
        <f t="shared" si="9"/>
        <v/>
      </c>
      <c r="AP10" t="str">
        <f>Invoices!P10</f>
        <v>NFL-90344</v>
      </c>
      <c r="AQ10">
        <f>Invoices!Q10</f>
        <v>217851</v>
      </c>
      <c r="AR10">
        <f>IFERROR(INDEX('Pro Matches'!$C$4:$C$4,MATCH(AQ10,'Pro Matches'!$A$4:$A$4,0)),AQ10)</f>
        <v>217851</v>
      </c>
      <c r="AS10" t="str">
        <f>IFERROR(INDEX(BOL!$C$4:$C$25,MATCH(AR10,BOL!$B$4:$B$25,0)),INDEX(BOL!$P$4:$P$25,MATCH(AR10,BOL!$O$4:$O$25,0)))</f>
        <v>09/21/2026</v>
      </c>
      <c r="AT10" t="str">
        <f>IFERROR(INDEX(BOL!$E$4:$E$25,MATCH(AR10,BOL!$B$4:$B$25,0)),INDEX(BOL!$R$4:$R$25,MATCH(AR10,BOL!$O$4:$O$25,0)))</f>
        <v>MN</v>
      </c>
      <c r="AU10" t="str">
        <f>IFERROR(INDEX(BOL!$F$4:$F$25,MATCH(AR10,BOL!$B$4:$B$25,0)),INDEX(BOL!$S$4:$S$25,MATCH(AR10,BOL!$O$4:$O$25,0)))</f>
        <v>Sealants and coatings</v>
      </c>
      <c r="AV10">
        <f>IFERROR(INDEX(BOL!$H$4:$H$25,MATCH(AR10,BOL!$B$4:$B$25,0)),INDEX(BOL!$U$4:$U$25,MATCH(AR10,BOL!$O$4:$O$25,0)))</f>
        <v>4470</v>
      </c>
      <c r="AW10">
        <f>Invoices!U10</f>
        <v>4470</v>
      </c>
      <c r="AX10" t="str">
        <f>IF(COUNTIFS('Billing File'!$A$4:$A$12,AR10,'Billing File'!$G$4:$G$12,"4.5 weight",'Billing File'!$F$4:$F$12,"Yes")&gt;0,"Yes","No")</f>
        <v>No</v>
      </c>
      <c r="AY10">
        <f>IF(AND(AX10="Yes",AW10&gt;AV10*(1+Terms!$B$6)),AW10,AV10)</f>
        <v>4470</v>
      </c>
      <c r="AZ10">
        <f>INDEX(Tariff!$L$4:$L$9,MATCH(AU10,Tariff!$K$4:$K$9,0))</f>
        <v>85</v>
      </c>
      <c r="BA10">
        <f>Invoices!V10</f>
        <v>85</v>
      </c>
      <c r="BB10" t="str">
        <f>IF(COUNTIFS('Billing File'!$A$4:$A$12,AR10,'Billing File'!$G$4:$G$12,"4.3 class",'Billing File'!$F$4:$F$12,"Yes")&gt;0,"Yes","No")</f>
        <v>No</v>
      </c>
      <c r="BC10">
        <f t="shared" si="10"/>
        <v>85</v>
      </c>
      <c r="BD10" s="9">
        <f>INDEX(Tariff!$I$4:$I$10,MATCH(BC10,Tariff!$H$4:$H$10,0))</f>
        <v>1.15</v>
      </c>
      <c r="BE10">
        <f>MATCH(AY10,Tariff!$B$12:$F$12,1)</f>
        <v>4</v>
      </c>
      <c r="BF10" s="9">
        <f>INDEX(Tariff!$B$4:$F$10,MATCH(AT10,Tariff!$A$4:$A$10,0),BE10)</f>
        <v>34.2</v>
      </c>
      <c r="BG10" s="4">
        <f t="shared" si="11"/>
        <v>1758.05</v>
      </c>
      <c r="BH10" s="4">
        <f>IF(BE10&lt;5,ROUND(INDEX(Tariff!$B$12:$F$12,BE10+1)/100*INDEX(Tariff!$B$4:$F$10,MATCH(AT10,Tariff!$A$4:$A$10,0),BE10+1)*BD10,2),BG10)</f>
        <v>1601.38</v>
      </c>
      <c r="BI10" s="4">
        <f t="shared" si="12"/>
        <v>1601.38</v>
      </c>
      <c r="BJ10" s="4">
        <f>MAX(ROUND(BI10*(1-Terms!$B$4),2),Terms!$B$5)</f>
        <v>608.52</v>
      </c>
      <c r="BK10" t="str">
        <f t="shared" si="13"/>
        <v>09/21/2026</v>
      </c>
      <c r="BL10" s="11">
        <f>INDEX('Fuel Index'!$C$4:$C$12,MATCH(BK10,'Fuel Index'!$A$4:$A$12,0))</f>
        <v>0.275</v>
      </c>
      <c r="BM10" s="4">
        <f t="shared" si="14"/>
        <v>167.34</v>
      </c>
      <c r="BN10" t="str">
        <f>IFERROR(INDEX(BOL!$I$4:$I$25,MATCH(AR10,BOL!$B$4:$B$25,0)),INDEX(BOL!$V$4:$V$25,MATCH(AR10,BOL!$O$4:$O$25,0)))</f>
        <v>N</v>
      </c>
      <c r="BO10" t="str">
        <f>IFERROR(INDEX(BOL!$J$4:$J$25,MATCH(AR10,BOL!$B$4:$B$25,0)),INDEX(BOL!$W$4:$W$25,MATCH(AR10,BOL!$O$4:$O$25,0)))</f>
        <v>N</v>
      </c>
      <c r="BP10" t="str">
        <f>IFERROR(INDEX(BOL!$K$4:$K$25,MATCH(AR10,BOL!$B$4:$B$25,0)),INDEX(BOL!$X$4:$X$25,MATCH(AR10,BOL!$O$4:$O$25,0)))</f>
        <v>N</v>
      </c>
      <c r="BQ10" t="str">
        <f>IFERROR(INDEX(BOL!$L$4:$L$25,MATCH(AR10,BOL!$B$4:$B$25,0)),INDEX(BOL!$Y$4:$Y$25,MATCH(AR10,BOL!$O$4:$O$25,0)))</f>
        <v>N</v>
      </c>
      <c r="BR10" s="4">
        <f>(BN10="Y")*Tariff!$O$4+(BO10="Y")*Tariff!$O$5+(BP10="Y")*Tariff!$O$6+(BQ10="Y")*Tariff!$O$7</f>
        <v>0</v>
      </c>
      <c r="BS10" s="4">
        <f>SUMIFS(Confirmations!$G$4:$G$6,Confirmations!$A$4:$A$6,AR10,Confirmations!$H$4:$H$6,"Yes")</f>
        <v>0</v>
      </c>
      <c r="BT10" s="4">
        <f t="shared" si="15"/>
        <v>0</v>
      </c>
      <c r="BU10" t="str">
        <f>IF(COUNTIFS(Invoices!$B$4:$Q$26,AQ10,Invoices!$A$4:$P$26,"&lt;"&amp;AP10)&gt;0,"Yes","No")</f>
        <v>No</v>
      </c>
      <c r="BV10" s="4">
        <f t="shared" si="16"/>
        <v>775.86</v>
      </c>
      <c r="BW10" s="4">
        <f>Invoices!AD10</f>
        <v>775.86</v>
      </c>
      <c r="BX10" s="4">
        <f t="shared" si="17"/>
        <v>0</v>
      </c>
      <c r="BY10" s="4">
        <f>Invoices!W10</f>
        <v>1601.38</v>
      </c>
      <c r="BZ10" s="11">
        <f>ROUND(Invoices!Z10/Terms!$B$9,4)</f>
        <v>0.275</v>
      </c>
      <c r="CA10" s="4">
        <f>Invoices!AC10</f>
        <v>0</v>
      </c>
      <c r="CB10" t="str">
        <f t="shared" si="18"/>
        <v/>
      </c>
      <c r="CC10" t="str">
        <f t="shared" si="19"/>
        <v/>
      </c>
    </row>
    <row r="11" spans="1:81" x14ac:dyDescent="0.2">
      <c r="A11" t="str">
        <f>Invoices!A11</f>
        <v>NFL-90318</v>
      </c>
      <c r="B11">
        <f>Invoices!B11</f>
        <v>217846</v>
      </c>
      <c r="C11">
        <f>IFERROR(INDEX('Pro Matches'!$C$4:$C$4,MATCH(B11,'Pro Matches'!$A$4:$A$4,0)),B11)</f>
        <v>217846</v>
      </c>
      <c r="D11" t="str">
        <f>IFERROR(INDEX(BOL!$C$4:$C$25,MATCH(C11,BOL!$B$4:$B$25,0)),INDEX(BOL!$P$4:$P$25,MATCH(C11,BOL!$O$4:$O$25,0)))</f>
        <v>09/09/2026</v>
      </c>
      <c r="E11" t="str">
        <f>IFERROR(INDEX(BOL!$E$4:$E$25,MATCH(C11,BOL!$B$4:$B$25,0)),INDEX(BOL!$R$4:$R$25,MATCH(C11,BOL!$O$4:$O$25,0)))</f>
        <v>WI</v>
      </c>
      <c r="F11" t="str">
        <f>IFERROR(INDEX(BOL!$F$4:$F$25,MATCH(C11,BOL!$B$4:$B$25,0)),INDEX(BOL!$S$4:$S$25,MATCH(C11,BOL!$O$4:$O$25,0)))</f>
        <v>Windows and doors</v>
      </c>
      <c r="G11">
        <f>IFERROR(INDEX(BOL!$H$4:$H$25,MATCH(C11,BOL!$B$4:$B$25,0)),INDEX(BOL!$U$4:$U$25,MATCH(C11,BOL!$O$4:$O$25,0)))</f>
        <v>1590</v>
      </c>
      <c r="H11">
        <f>Invoices!F11</f>
        <v>1590</v>
      </c>
      <c r="I11" t="str">
        <f>IF(COUNTIFS('Billing File'!$A$4:$A$12,C11,'Billing File'!$G$4:$G$12,"4.5 weight",'Billing File'!$F$4:$F$12,"Yes")&gt;0,"Yes","No")</f>
        <v>No</v>
      </c>
      <c r="J11">
        <f>IF(AND(I11="Yes",H11&gt;G11*(1+Terms!$B$6)),H11,G11)</f>
        <v>1590</v>
      </c>
      <c r="K11">
        <f>INDEX(Tariff!$L$4:$L$9,MATCH(F11,Tariff!$K$4:$K$9,0))</f>
        <v>100</v>
      </c>
      <c r="L11">
        <f>Invoices!G11</f>
        <v>100</v>
      </c>
      <c r="M11" t="str">
        <f>IF(COUNTIFS('Billing File'!$A$4:$A$12,C11,'Billing File'!$G$4:$G$12,"4.3 class",'Billing File'!$F$4:$F$12,"Yes")&gt;0,"Yes","No")</f>
        <v>No</v>
      </c>
      <c r="N11">
        <f t="shared" si="0"/>
        <v>100</v>
      </c>
      <c r="O11" s="9">
        <f>INDEX(Tariff!$I$4:$I$10,MATCH(N11,Tariff!$H$4:$H$10,0))</f>
        <v>1.45</v>
      </c>
      <c r="P11">
        <f>MATCH(J11,Tariff!$B$12:$F$12,1)</f>
        <v>3</v>
      </c>
      <c r="Q11" s="9">
        <f>INDEX(Tariff!$B$4:$F$10,MATCH(E11,Tariff!$A$4:$A$10,0),P11)</f>
        <v>50.3</v>
      </c>
      <c r="R11" s="4">
        <f t="shared" si="1"/>
        <v>1159.67</v>
      </c>
      <c r="S11" s="4">
        <f>IF(P11&lt;5,ROUND(INDEX(Tariff!$B$12:$F$12,P11+1)/100*INDEX(Tariff!$B$4:$F$10,MATCH(E11,Tariff!$A$4:$A$10,0),P11+1)*O11,2),R11)</f>
        <v>1197.7</v>
      </c>
      <c r="T11" s="4">
        <f t="shared" si="2"/>
        <v>1159.67</v>
      </c>
      <c r="U11" s="4">
        <f>MAX(ROUND(T11*(1-Terms!$B$4),2),Terms!$B$5)</f>
        <v>440.67</v>
      </c>
      <c r="V11" t="str">
        <f t="shared" si="3"/>
        <v>09/07/2026</v>
      </c>
      <c r="W11" s="11">
        <f>INDEX('Fuel Index'!$C$4:$C$12,MATCH(V11,'Fuel Index'!$A$4:$A$12,0))</f>
        <v>0.265</v>
      </c>
      <c r="X11" s="4">
        <f t="shared" si="4"/>
        <v>116.78</v>
      </c>
      <c r="Y11" t="str">
        <f>IFERROR(INDEX(BOL!$I$4:$I$25,MATCH(C11,BOL!$B$4:$B$25,0)),INDEX(BOL!$V$4:$V$25,MATCH(C11,BOL!$O$4:$O$25,0)))</f>
        <v>Y</v>
      </c>
      <c r="Z11" t="str">
        <f>IFERROR(INDEX(BOL!$J$4:$J$25,MATCH(C11,BOL!$B$4:$B$25,0)),INDEX(BOL!$W$4:$W$25,MATCH(C11,BOL!$O$4:$O$25,0)))</f>
        <v>N</v>
      </c>
      <c r="AA11" t="str">
        <f>IFERROR(INDEX(BOL!$K$4:$K$25,MATCH(C11,BOL!$B$4:$B$25,0)),INDEX(BOL!$X$4:$X$25,MATCH(C11,BOL!$O$4:$O$25,0)))</f>
        <v>N</v>
      </c>
      <c r="AB11" t="str">
        <f>IFERROR(INDEX(BOL!$L$4:$L$25,MATCH(C11,BOL!$B$4:$B$25,0)),INDEX(BOL!$Y$4:$Y$25,MATCH(C11,BOL!$O$4:$O$25,0)))</f>
        <v>N</v>
      </c>
      <c r="AC11" s="4">
        <f>(Y11="Y")*Tariff!$O$4+(Z11="Y")*Tariff!$O$5+(AA11="Y")*Tariff!$O$6+(AB11="Y")*Tariff!$O$7</f>
        <v>75</v>
      </c>
      <c r="AD11" s="4">
        <f>SUMIFS(Confirmations!$G$4:$G$6,Confirmations!$A$4:$A$6,C11,Confirmations!$H$4:$H$6,"Yes")</f>
        <v>0</v>
      </c>
      <c r="AE11" s="4">
        <f t="shared" si="5"/>
        <v>75</v>
      </c>
      <c r="AF11" t="str">
        <f>IF(COUNTIFS(Invoices!$B$4:$Q$26,B11,Invoices!$A$4:$P$26,"&lt;"&amp;A11)&gt;0,"Yes","No")</f>
        <v>No</v>
      </c>
      <c r="AG11" s="4">
        <f t="shared" si="6"/>
        <v>632.45</v>
      </c>
      <c r="AH11" s="4">
        <f>Invoices!O11</f>
        <v>632.45</v>
      </c>
      <c r="AI11" s="4">
        <f t="shared" si="7"/>
        <v>0</v>
      </c>
      <c r="AJ11" s="4">
        <f>Invoices!H11</f>
        <v>1159.67</v>
      </c>
      <c r="AK11" s="11">
        <f>ROUND(Invoices!K11/Terms!$B$9,4)</f>
        <v>0.265</v>
      </c>
      <c r="AL11" s="4">
        <f>Invoices!N11</f>
        <v>75</v>
      </c>
      <c r="AM11" t="str">
        <f t="shared" si="8"/>
        <v/>
      </c>
      <c r="AN11" t="str">
        <f t="shared" si="9"/>
        <v/>
      </c>
      <c r="AP11" t="str">
        <f>Invoices!P11</f>
        <v>NFL-90345</v>
      </c>
      <c r="AQ11">
        <f>Invoices!Q11</f>
        <v>217775</v>
      </c>
      <c r="AR11">
        <f>IFERROR(INDEX('Pro Matches'!$C$4:$C$4,MATCH(AQ11,'Pro Matches'!$A$4:$A$4,0)),AQ11)</f>
        <v>217775</v>
      </c>
      <c r="AS11" t="str">
        <f>IFERROR(INDEX(BOL!$C$4:$C$25,MATCH(AR11,BOL!$B$4:$B$25,0)),INDEX(BOL!$P$4:$P$25,MATCH(AR11,BOL!$O$4:$O$25,0)))</f>
        <v>09/23/2026</v>
      </c>
      <c r="AT11" t="str">
        <f>IFERROR(INDEX(BOL!$E$4:$E$25,MATCH(AR11,BOL!$B$4:$B$25,0)),INDEX(BOL!$R$4:$R$25,MATCH(AR11,BOL!$O$4:$O$25,0)))</f>
        <v>NE</v>
      </c>
      <c r="AU11" t="str">
        <f>IFERROR(INDEX(BOL!$F$4:$F$25,MATCH(AR11,BOL!$B$4:$B$25,0)),INDEX(BOL!$S$4:$S$25,MATCH(AR11,BOL!$O$4:$O$25,0)))</f>
        <v>Vinyl siding</v>
      </c>
      <c r="AV11">
        <f>IFERROR(INDEX(BOL!$H$4:$H$25,MATCH(AR11,BOL!$B$4:$B$25,0)),INDEX(BOL!$U$4:$U$25,MATCH(AR11,BOL!$O$4:$O$25,0)))</f>
        <v>1040</v>
      </c>
      <c r="AW11">
        <f>Invoices!U11</f>
        <v>1040</v>
      </c>
      <c r="AX11" t="str">
        <f>IF(COUNTIFS('Billing File'!$A$4:$A$12,AR11,'Billing File'!$G$4:$G$12,"4.5 weight",'Billing File'!$F$4:$F$12,"Yes")&gt;0,"Yes","No")</f>
        <v>No</v>
      </c>
      <c r="AY11">
        <f>IF(AND(AX11="Yes",AW11&gt;AV11*(1+Terms!$B$6)),AW11,AV11)</f>
        <v>1040</v>
      </c>
      <c r="AZ11">
        <f>INDEX(Tariff!$L$4:$L$9,MATCH(AU11,Tariff!$K$4:$K$9,0))</f>
        <v>92.5</v>
      </c>
      <c r="BA11">
        <f>Invoices!V11</f>
        <v>92.5</v>
      </c>
      <c r="BB11" t="str">
        <f>IF(COUNTIFS('Billing File'!$A$4:$A$12,AR11,'Billing File'!$G$4:$G$12,"4.3 class",'Billing File'!$F$4:$F$12,"Yes")&gt;0,"Yes","No")</f>
        <v>No</v>
      </c>
      <c r="BC11">
        <f t="shared" si="10"/>
        <v>92.5</v>
      </c>
      <c r="BD11" s="9">
        <f>INDEX(Tariff!$I$4:$I$10,MATCH(BC11,Tariff!$H$4:$H$10,0))</f>
        <v>1.3</v>
      </c>
      <c r="BE11">
        <f>MATCH(AY11,Tariff!$B$12:$F$12,1)</f>
        <v>3</v>
      </c>
      <c r="BF11" s="9">
        <f>INDEX(Tariff!$B$4:$F$10,MATCH(AT11,Tariff!$A$4:$A$10,0),BE11)</f>
        <v>49.8</v>
      </c>
      <c r="BG11" s="4">
        <f t="shared" si="11"/>
        <v>673.3</v>
      </c>
      <c r="BH11" s="4">
        <f>IF(BE11&lt;5,ROUND(INDEX(Tariff!$B$12:$F$12,BE11+1)/100*INDEX(Tariff!$B$4:$F$10,MATCH(AT11,Tariff!$A$4:$A$10,0),BE11+1)*BD11,2),BG11)</f>
        <v>1063.4</v>
      </c>
      <c r="BI11" s="4">
        <f t="shared" si="12"/>
        <v>673.3</v>
      </c>
      <c r="BJ11" s="4">
        <f>MAX(ROUND(BI11*(1-Terms!$B$4),2),Terms!$B$5)</f>
        <v>255.85</v>
      </c>
      <c r="BK11" t="str">
        <f t="shared" si="13"/>
        <v>09/21/2026</v>
      </c>
      <c r="BL11" s="11">
        <f>INDEX('Fuel Index'!$C$4:$C$12,MATCH(BK11,'Fuel Index'!$A$4:$A$12,0))</f>
        <v>0.275</v>
      </c>
      <c r="BM11" s="4">
        <f t="shared" si="14"/>
        <v>70.36</v>
      </c>
      <c r="BN11" t="str">
        <f>IFERROR(INDEX(BOL!$I$4:$I$25,MATCH(AR11,BOL!$B$4:$B$25,0)),INDEX(BOL!$V$4:$V$25,MATCH(AR11,BOL!$O$4:$O$25,0)))</f>
        <v>N</v>
      </c>
      <c r="BO11" t="str">
        <f>IFERROR(INDEX(BOL!$J$4:$J$25,MATCH(AR11,BOL!$B$4:$B$25,0)),INDEX(BOL!$W$4:$W$25,MATCH(AR11,BOL!$O$4:$O$25,0)))</f>
        <v>N</v>
      </c>
      <c r="BP11" t="str">
        <f>IFERROR(INDEX(BOL!$K$4:$K$25,MATCH(AR11,BOL!$B$4:$B$25,0)),INDEX(BOL!$X$4:$X$25,MATCH(AR11,BOL!$O$4:$O$25,0)))</f>
        <v>N</v>
      </c>
      <c r="BQ11" t="str">
        <f>IFERROR(INDEX(BOL!$L$4:$L$25,MATCH(AR11,BOL!$B$4:$B$25,0)),INDEX(BOL!$Y$4:$Y$25,MATCH(AR11,BOL!$O$4:$O$25,0)))</f>
        <v>N</v>
      </c>
      <c r="BR11" s="4">
        <f>(BN11="Y")*Tariff!$O$4+(BO11="Y")*Tariff!$O$5+(BP11="Y")*Tariff!$O$6+(BQ11="Y")*Tariff!$O$7</f>
        <v>0</v>
      </c>
      <c r="BS11" s="4">
        <f>SUMIFS(Confirmations!$G$4:$G$6,Confirmations!$A$4:$A$6,AR11,Confirmations!$H$4:$H$6,"Yes")</f>
        <v>0</v>
      </c>
      <c r="BT11" s="4">
        <f t="shared" si="15"/>
        <v>0</v>
      </c>
      <c r="BU11" t="str">
        <f>IF(COUNTIFS(Invoices!$B$4:$Q$26,AQ11,Invoices!$A$4:$P$26,"&lt;"&amp;AP11)&gt;0,"Yes","No")</f>
        <v>No</v>
      </c>
      <c r="BV11" s="4">
        <f t="shared" si="16"/>
        <v>326.21</v>
      </c>
      <c r="BW11" s="4">
        <f>Invoices!AD11</f>
        <v>326.21</v>
      </c>
      <c r="BX11" s="4">
        <f t="shared" si="17"/>
        <v>0</v>
      </c>
      <c r="BY11" s="4">
        <f>Invoices!W11</f>
        <v>673.3</v>
      </c>
      <c r="BZ11" s="11">
        <f>ROUND(Invoices!Z11/Terms!$B$9,4)</f>
        <v>0.275</v>
      </c>
      <c r="CA11" s="4">
        <f>Invoices!AC11</f>
        <v>0</v>
      </c>
      <c r="CB11" t="str">
        <f t="shared" si="18"/>
        <v/>
      </c>
      <c r="CC11" t="str">
        <f t="shared" si="19"/>
        <v/>
      </c>
    </row>
    <row r="12" spans="1:81" x14ac:dyDescent="0.2">
      <c r="A12" t="str">
        <f>Invoices!A12</f>
        <v>NFL-90319</v>
      </c>
      <c r="B12">
        <f>Invoices!B12</f>
        <v>217703</v>
      </c>
      <c r="C12">
        <f>IFERROR(INDEX('Pro Matches'!$C$4:$C$4,MATCH(B12,'Pro Matches'!$A$4:$A$4,0)),B12)</f>
        <v>217703</v>
      </c>
      <c r="D12" t="str">
        <f>IFERROR(INDEX(BOL!$C$4:$C$25,MATCH(C12,BOL!$B$4:$B$25,0)),INDEX(BOL!$P$4:$P$25,MATCH(C12,BOL!$O$4:$O$25,0)))</f>
        <v>09/03/2026</v>
      </c>
      <c r="E12" t="str">
        <f>IFERROR(INDEX(BOL!$E$4:$E$25,MATCH(C12,BOL!$B$4:$B$25,0)),INDEX(BOL!$R$4:$R$25,MATCH(C12,BOL!$O$4:$O$25,0)))</f>
        <v>MN</v>
      </c>
      <c r="F12" t="str">
        <f>IFERROR(INDEX(BOL!$F$4:$F$25,MATCH(C12,BOL!$B$4:$B$25,0)),INDEX(BOL!$S$4:$S$25,MATCH(C12,BOL!$O$4:$O$25,0)))</f>
        <v>Sealants and coatings</v>
      </c>
      <c r="G12">
        <f>IFERROR(INDEX(BOL!$H$4:$H$25,MATCH(C12,BOL!$B$4:$B$25,0)),INDEX(BOL!$U$4:$U$25,MATCH(C12,BOL!$O$4:$O$25,0)))</f>
        <v>720</v>
      </c>
      <c r="H12">
        <f>Invoices!F12</f>
        <v>720</v>
      </c>
      <c r="I12" t="str">
        <f>IF(COUNTIFS('Billing File'!$A$4:$A$12,C12,'Billing File'!$G$4:$G$12,"4.5 weight",'Billing File'!$F$4:$F$12,"Yes")&gt;0,"Yes","No")</f>
        <v>No</v>
      </c>
      <c r="J12">
        <f>IF(AND(I12="Yes",H12&gt;G12*(1+Terms!$B$6)),H12,G12)</f>
        <v>720</v>
      </c>
      <c r="K12">
        <f>INDEX(Tariff!$L$4:$L$9,MATCH(F12,Tariff!$K$4:$K$9,0))</f>
        <v>85</v>
      </c>
      <c r="L12">
        <f>Invoices!G12</f>
        <v>85</v>
      </c>
      <c r="M12" t="str">
        <f>IF(COUNTIFS('Billing File'!$A$4:$A$12,C12,'Billing File'!$G$4:$G$12,"4.3 class",'Billing File'!$F$4:$F$12,"Yes")&gt;0,"Yes","No")</f>
        <v>No</v>
      </c>
      <c r="N12">
        <f t="shared" si="0"/>
        <v>85</v>
      </c>
      <c r="O12" s="9">
        <f>INDEX(Tariff!$I$4:$I$10,MATCH(N12,Tariff!$H$4:$H$10,0))</f>
        <v>1.15</v>
      </c>
      <c r="P12">
        <f>MATCH(J12,Tariff!$B$12:$F$12,1)</f>
        <v>2</v>
      </c>
      <c r="Q12" s="9">
        <f>INDEX(Tariff!$B$4:$F$10,MATCH(E12,Tariff!$A$4:$A$10,0),P12)</f>
        <v>49.1</v>
      </c>
      <c r="R12" s="4">
        <f t="shared" si="1"/>
        <v>406.55</v>
      </c>
      <c r="S12" s="4">
        <f>IF(P12&lt;5,ROUND(INDEX(Tariff!$B$12:$F$12,P12+1)/100*INDEX(Tariff!$B$4:$F$10,MATCH(E12,Tariff!$A$4:$A$10,0),P12+1)*O12,2),R12)</f>
        <v>480.13</v>
      </c>
      <c r="T12" s="4">
        <f t="shared" si="2"/>
        <v>406.55</v>
      </c>
      <c r="U12" s="4">
        <f>MAX(ROUND(T12*(1-Terms!$B$4),2),Terms!$B$5)</f>
        <v>154.49</v>
      </c>
      <c r="V12" t="str">
        <f t="shared" si="3"/>
        <v>08/31/2026</v>
      </c>
      <c r="W12" s="11">
        <f>INDEX('Fuel Index'!$C$4:$C$12,MATCH(V12,'Fuel Index'!$A$4:$A$12,0))</f>
        <v>0.265</v>
      </c>
      <c r="X12" s="4">
        <f t="shared" si="4"/>
        <v>40.94</v>
      </c>
      <c r="Y12" t="str">
        <f>IFERROR(INDEX(BOL!$I$4:$I$25,MATCH(C12,BOL!$B$4:$B$25,0)),INDEX(BOL!$V$4:$V$25,MATCH(C12,BOL!$O$4:$O$25,0)))</f>
        <v>Y</v>
      </c>
      <c r="Z12" t="str">
        <f>IFERROR(INDEX(BOL!$J$4:$J$25,MATCH(C12,BOL!$B$4:$B$25,0)),INDEX(BOL!$W$4:$W$25,MATCH(C12,BOL!$O$4:$O$25,0)))</f>
        <v>N</v>
      </c>
      <c r="AA12" t="str">
        <f>IFERROR(INDEX(BOL!$K$4:$K$25,MATCH(C12,BOL!$B$4:$B$25,0)),INDEX(BOL!$X$4:$X$25,MATCH(C12,BOL!$O$4:$O$25,0)))</f>
        <v>Y</v>
      </c>
      <c r="AB12" t="str">
        <f>IFERROR(INDEX(BOL!$L$4:$L$25,MATCH(C12,BOL!$B$4:$B$25,0)),INDEX(BOL!$Y$4:$Y$25,MATCH(C12,BOL!$O$4:$O$25,0)))</f>
        <v>N</v>
      </c>
      <c r="AC12" s="4">
        <f>(Y12="Y")*Tariff!$O$4+(Z12="Y")*Tariff!$O$5+(AA12="Y")*Tariff!$O$6+(AB12="Y")*Tariff!$O$7</f>
        <v>160</v>
      </c>
      <c r="AD12" s="4">
        <f>SUMIFS(Confirmations!$G$4:$G$6,Confirmations!$A$4:$A$6,C12,Confirmations!$H$4:$H$6,"Yes")</f>
        <v>0</v>
      </c>
      <c r="AE12" s="4">
        <f t="shared" si="5"/>
        <v>160</v>
      </c>
      <c r="AF12" t="str">
        <f>IF(COUNTIFS(Invoices!$B$4:$Q$26,B12,Invoices!$A$4:$P$26,"&lt;"&amp;A12)&gt;0,"Yes","No")</f>
        <v>No</v>
      </c>
      <c r="AG12" s="4">
        <f t="shared" si="6"/>
        <v>355.43</v>
      </c>
      <c r="AH12" s="4">
        <f>Invoices!O12</f>
        <v>354.66</v>
      </c>
      <c r="AI12" s="4">
        <f t="shared" si="7"/>
        <v>-0.77</v>
      </c>
      <c r="AJ12" s="4">
        <f>Invoices!H12</f>
        <v>406.55</v>
      </c>
      <c r="AK12" s="11">
        <f>ROUND(Invoices!K12/Terms!$B$9,4)</f>
        <v>0.26</v>
      </c>
      <c r="AL12" s="4">
        <f>Invoices!N12</f>
        <v>160</v>
      </c>
      <c r="AM12" t="str">
        <f t="shared" si="8"/>
        <v>5.2 fuel week</v>
      </c>
      <c r="AN12" t="str">
        <f t="shared" si="9"/>
        <v/>
      </c>
      <c r="AP12" t="str">
        <f>Invoices!P12</f>
        <v>NFL-90346</v>
      </c>
      <c r="AQ12">
        <f>Invoices!Q12</f>
        <v>217864</v>
      </c>
      <c r="AR12">
        <f>IFERROR(INDEX('Pro Matches'!$C$4:$C$4,MATCH(AQ12,'Pro Matches'!$A$4:$A$4,0)),AQ12)</f>
        <v>217864</v>
      </c>
      <c r="AS12" t="str">
        <f>IFERROR(INDEX(BOL!$C$4:$C$25,MATCH(AR12,BOL!$B$4:$B$25,0)),INDEX(BOL!$P$4:$P$25,MATCH(AR12,BOL!$O$4:$O$25,0)))</f>
        <v>09/21/2026</v>
      </c>
      <c r="AT12" t="str">
        <f>IFERROR(INDEX(BOL!$E$4:$E$25,MATCH(AR12,BOL!$B$4:$B$25,0)),INDEX(BOL!$R$4:$R$25,MATCH(AR12,BOL!$O$4:$O$25,0)))</f>
        <v>MT</v>
      </c>
      <c r="AU12" t="str">
        <f>IFERROR(INDEX(BOL!$F$4:$F$25,MATCH(AR12,BOL!$B$4:$B$25,0)),INDEX(BOL!$S$4:$S$25,MATCH(AR12,BOL!$O$4:$O$25,0)))</f>
        <v>Metal roofing panels</v>
      </c>
      <c r="AV12">
        <f>IFERROR(INDEX(BOL!$H$4:$H$25,MATCH(AR12,BOL!$B$4:$B$25,0)),INDEX(BOL!$U$4:$U$25,MATCH(AR12,BOL!$O$4:$O$25,0)))</f>
        <v>1220</v>
      </c>
      <c r="AW12">
        <f>Invoices!U12</f>
        <v>1220</v>
      </c>
      <c r="AX12" t="str">
        <f>IF(COUNTIFS('Billing File'!$A$4:$A$12,AR12,'Billing File'!$G$4:$G$12,"4.5 weight",'Billing File'!$F$4:$F$12,"Yes")&gt;0,"Yes","No")</f>
        <v>No</v>
      </c>
      <c r="AY12">
        <f>IF(AND(AX12="Yes",AW12&gt;AV12*(1+Terms!$B$6)),AW12,AV12)</f>
        <v>1220</v>
      </c>
      <c r="AZ12">
        <f>INDEX(Tariff!$L$4:$L$9,MATCH(AU12,Tariff!$K$4:$K$9,0))</f>
        <v>70</v>
      </c>
      <c r="BA12">
        <f>Invoices!V12</f>
        <v>70</v>
      </c>
      <c r="BB12" t="str">
        <f>IF(COUNTIFS('Billing File'!$A$4:$A$12,AR12,'Billing File'!$G$4:$G$12,"4.3 class",'Billing File'!$F$4:$F$12,"Yes")&gt;0,"Yes","No")</f>
        <v>No</v>
      </c>
      <c r="BC12">
        <f t="shared" si="10"/>
        <v>70</v>
      </c>
      <c r="BD12" s="9">
        <f>INDEX(Tariff!$I$4:$I$10,MATCH(BC12,Tariff!$H$4:$H$10,0))</f>
        <v>1</v>
      </c>
      <c r="BE12">
        <f>MATCH(AY12,Tariff!$B$12:$F$12,1)</f>
        <v>3</v>
      </c>
      <c r="BF12" s="9">
        <f>INDEX(Tariff!$B$4:$F$10,MATCH(AT12,Tariff!$A$4:$A$10,0),BE12)</f>
        <v>60.85</v>
      </c>
      <c r="BG12" s="4">
        <f t="shared" si="11"/>
        <v>742.37</v>
      </c>
      <c r="BH12" s="4">
        <f>IF(BE12&lt;5,ROUND(INDEX(Tariff!$B$12:$F$12,BE12+1)/100*INDEX(Tariff!$B$4:$F$10,MATCH(AT12,Tariff!$A$4:$A$10,0),BE12+1)*BD12,2),BG12)</f>
        <v>999</v>
      </c>
      <c r="BI12" s="4">
        <f t="shared" si="12"/>
        <v>742.37</v>
      </c>
      <c r="BJ12" s="4">
        <f>MAX(ROUND(BI12*(1-Terms!$B$4),2),Terms!$B$5)</f>
        <v>282.1</v>
      </c>
      <c r="BK12" t="str">
        <f t="shared" si="13"/>
        <v>09/21/2026</v>
      </c>
      <c r="BL12" s="11">
        <f>INDEX('Fuel Index'!$C$4:$C$12,MATCH(BK12,'Fuel Index'!$A$4:$A$12,0))</f>
        <v>0.275</v>
      </c>
      <c r="BM12" s="4">
        <f t="shared" si="14"/>
        <v>77.58</v>
      </c>
      <c r="BN12" t="str">
        <f>IFERROR(INDEX(BOL!$I$4:$I$25,MATCH(AR12,BOL!$B$4:$B$25,0)),INDEX(BOL!$V$4:$V$25,MATCH(AR12,BOL!$O$4:$O$25,0)))</f>
        <v>N</v>
      </c>
      <c r="BO12" t="str">
        <f>IFERROR(INDEX(BOL!$J$4:$J$25,MATCH(AR12,BOL!$B$4:$B$25,0)),INDEX(BOL!$W$4:$W$25,MATCH(AR12,BOL!$O$4:$O$25,0)))</f>
        <v>N</v>
      </c>
      <c r="BP12" t="str">
        <f>IFERROR(INDEX(BOL!$K$4:$K$25,MATCH(AR12,BOL!$B$4:$B$25,0)),INDEX(BOL!$X$4:$X$25,MATCH(AR12,BOL!$O$4:$O$25,0)))</f>
        <v>N</v>
      </c>
      <c r="BQ12" t="str">
        <f>IFERROR(INDEX(BOL!$L$4:$L$25,MATCH(AR12,BOL!$B$4:$B$25,0)),INDEX(BOL!$Y$4:$Y$25,MATCH(AR12,BOL!$O$4:$O$25,0)))</f>
        <v>N</v>
      </c>
      <c r="BR12" s="4">
        <f>(BN12="Y")*Tariff!$O$4+(BO12="Y")*Tariff!$O$5+(BP12="Y")*Tariff!$O$6+(BQ12="Y")*Tariff!$O$7</f>
        <v>0</v>
      </c>
      <c r="BS12" s="4">
        <f>SUMIFS(Confirmations!$G$4:$G$6,Confirmations!$A$4:$A$6,AR12,Confirmations!$H$4:$H$6,"Yes")</f>
        <v>0</v>
      </c>
      <c r="BT12" s="4">
        <f t="shared" si="15"/>
        <v>0</v>
      </c>
      <c r="BU12" t="str">
        <f>IF(COUNTIFS(Invoices!$B$4:$Q$26,AQ12,Invoices!$A$4:$P$26,"&lt;"&amp;AP12)&gt;0,"Yes","No")</f>
        <v>No</v>
      </c>
      <c r="BV12" s="4">
        <f t="shared" si="16"/>
        <v>359.68</v>
      </c>
      <c r="BW12" s="4">
        <f>Invoices!AD12</f>
        <v>358.27</v>
      </c>
      <c r="BX12" s="4">
        <f t="shared" si="17"/>
        <v>-1.41</v>
      </c>
      <c r="BY12" s="4">
        <f>Invoices!W12</f>
        <v>742.37</v>
      </c>
      <c r="BZ12" s="11">
        <f>ROUND(Invoices!Z12/Terms!$B$9,4)</f>
        <v>0.27</v>
      </c>
      <c r="CA12" s="4">
        <f>Invoices!AC12</f>
        <v>0</v>
      </c>
      <c r="CB12" t="str">
        <f t="shared" si="18"/>
        <v>5.2 fuel week</v>
      </c>
      <c r="CC12" t="str">
        <f t="shared" si="19"/>
        <v/>
      </c>
    </row>
    <row r="13" spans="1:81" x14ac:dyDescent="0.2">
      <c r="A13" t="str">
        <f>Invoices!A13</f>
        <v>NFL-90320</v>
      </c>
      <c r="B13">
        <f>Invoices!B13</f>
        <v>217836</v>
      </c>
      <c r="C13">
        <f>IFERROR(INDEX('Pro Matches'!$C$4:$C$4,MATCH(B13,'Pro Matches'!$A$4:$A$4,0)),B13)</f>
        <v>217836</v>
      </c>
      <c r="D13" t="str">
        <f>IFERROR(INDEX(BOL!$C$4:$C$25,MATCH(C13,BOL!$B$4:$B$25,0)),INDEX(BOL!$P$4:$P$25,MATCH(C13,BOL!$O$4:$O$25,0)))</f>
        <v>09/10/2026</v>
      </c>
      <c r="E13" t="str">
        <f>IFERROR(INDEX(BOL!$E$4:$E$25,MATCH(C13,BOL!$B$4:$B$25,0)),INDEX(BOL!$R$4:$R$25,MATCH(C13,BOL!$O$4:$O$25,0)))</f>
        <v>NE</v>
      </c>
      <c r="F13" t="str">
        <f>IFERROR(INDEX(BOL!$F$4:$F$25,MATCH(C13,BOL!$B$4:$B$25,0)),INDEX(BOL!$S$4:$S$25,MATCH(C13,BOL!$O$4:$O$25,0)))</f>
        <v>Windows and doors</v>
      </c>
      <c r="G13">
        <f>IFERROR(INDEX(BOL!$H$4:$H$25,MATCH(C13,BOL!$B$4:$B$25,0)),INDEX(BOL!$U$4:$U$25,MATCH(C13,BOL!$O$4:$O$25,0)))</f>
        <v>2360</v>
      </c>
      <c r="H13">
        <f>Invoices!F13</f>
        <v>2360</v>
      </c>
      <c r="I13" t="str">
        <f>IF(COUNTIFS('Billing File'!$A$4:$A$12,C13,'Billing File'!$G$4:$G$12,"4.5 weight",'Billing File'!$F$4:$F$12,"Yes")&gt;0,"Yes","No")</f>
        <v>No</v>
      </c>
      <c r="J13">
        <f>IF(AND(I13="Yes",H13&gt;G13*(1+Terms!$B$6)),H13,G13)</f>
        <v>2360</v>
      </c>
      <c r="K13">
        <f>INDEX(Tariff!$L$4:$L$9,MATCH(F13,Tariff!$K$4:$K$9,0))</f>
        <v>100</v>
      </c>
      <c r="L13">
        <f>Invoices!G13</f>
        <v>100</v>
      </c>
      <c r="M13" t="str">
        <f>IF(COUNTIFS('Billing File'!$A$4:$A$12,C13,'Billing File'!$G$4:$G$12,"4.3 class",'Billing File'!$F$4:$F$12,"Yes")&gt;0,"Yes","No")</f>
        <v>No</v>
      </c>
      <c r="N13">
        <f t="shared" si="0"/>
        <v>100</v>
      </c>
      <c r="O13" s="9">
        <f>INDEX(Tariff!$I$4:$I$10,MATCH(N13,Tariff!$H$4:$H$10,0))</f>
        <v>1.45</v>
      </c>
      <c r="P13">
        <f>MATCH(J13,Tariff!$B$12:$F$12,1)</f>
        <v>4</v>
      </c>
      <c r="Q13" s="9">
        <f>INDEX(Tariff!$B$4:$F$10,MATCH(E13,Tariff!$A$4:$A$10,0),P13)</f>
        <v>40.9</v>
      </c>
      <c r="R13" s="4">
        <f t="shared" si="1"/>
        <v>1399.6</v>
      </c>
      <c r="S13" s="4">
        <f>IF(P13&lt;5,ROUND(INDEX(Tariff!$B$12:$F$12,P13+1)/100*INDEX(Tariff!$B$4:$F$10,MATCH(E13,Tariff!$A$4:$A$10,0),P13+1)*O13,2),R13)</f>
        <v>2414.25</v>
      </c>
      <c r="T13" s="4">
        <f t="shared" si="2"/>
        <v>1399.6</v>
      </c>
      <c r="U13" s="4">
        <f>MAX(ROUND(T13*(1-Terms!$B$4),2),Terms!$B$5)</f>
        <v>531.85</v>
      </c>
      <c r="V13" t="str">
        <f t="shared" si="3"/>
        <v>09/07/2026</v>
      </c>
      <c r="W13" s="11">
        <f>INDEX('Fuel Index'!$C$4:$C$12,MATCH(V13,'Fuel Index'!$A$4:$A$12,0))</f>
        <v>0.265</v>
      </c>
      <c r="X13" s="4">
        <f t="shared" si="4"/>
        <v>140.94</v>
      </c>
      <c r="Y13" t="str">
        <f>IFERROR(INDEX(BOL!$I$4:$I$25,MATCH(C13,BOL!$B$4:$B$25,0)),INDEX(BOL!$V$4:$V$25,MATCH(C13,BOL!$O$4:$O$25,0)))</f>
        <v>Y</v>
      </c>
      <c r="Z13" t="str">
        <f>IFERROR(INDEX(BOL!$J$4:$J$25,MATCH(C13,BOL!$B$4:$B$25,0)),INDEX(BOL!$W$4:$W$25,MATCH(C13,BOL!$O$4:$O$25,0)))</f>
        <v>N</v>
      </c>
      <c r="AA13" t="str">
        <f>IFERROR(INDEX(BOL!$K$4:$K$25,MATCH(C13,BOL!$B$4:$B$25,0)),INDEX(BOL!$X$4:$X$25,MATCH(C13,BOL!$O$4:$O$25,0)))</f>
        <v>N</v>
      </c>
      <c r="AB13" t="str">
        <f>IFERROR(INDEX(BOL!$L$4:$L$25,MATCH(C13,BOL!$B$4:$B$25,0)),INDEX(BOL!$Y$4:$Y$25,MATCH(C13,BOL!$O$4:$O$25,0)))</f>
        <v>N</v>
      </c>
      <c r="AC13" s="4">
        <f>(Y13="Y")*Tariff!$O$4+(Z13="Y")*Tariff!$O$5+(AA13="Y")*Tariff!$O$6+(AB13="Y")*Tariff!$O$7</f>
        <v>75</v>
      </c>
      <c r="AD13" s="4">
        <f>SUMIFS(Confirmations!$G$4:$G$6,Confirmations!$A$4:$A$6,C13,Confirmations!$H$4:$H$6,"Yes")</f>
        <v>0</v>
      </c>
      <c r="AE13" s="4">
        <f t="shared" si="5"/>
        <v>75</v>
      </c>
      <c r="AF13" t="str">
        <f>IF(COUNTIFS(Invoices!$B$4:$Q$26,B13,Invoices!$A$4:$P$26,"&lt;"&amp;A13)&gt;0,"Yes","No")</f>
        <v>No</v>
      </c>
      <c r="AG13" s="4">
        <f t="shared" si="6"/>
        <v>747.79</v>
      </c>
      <c r="AH13" s="4">
        <f>Invoices!O13</f>
        <v>757.79</v>
      </c>
      <c r="AI13" s="4">
        <f t="shared" si="7"/>
        <v>10</v>
      </c>
      <c r="AJ13" s="4">
        <f>Invoices!H13</f>
        <v>1399.6</v>
      </c>
      <c r="AK13" s="11">
        <f>ROUND(Invoices!K13/Terms!$B$9,4)</f>
        <v>0.265</v>
      </c>
      <c r="AL13" s="4">
        <f>Invoices!N13</f>
        <v>85</v>
      </c>
      <c r="AM13" t="str">
        <f t="shared" si="8"/>
        <v>6.1 accessorial overbilled</v>
      </c>
      <c r="AN13" t="str">
        <f t="shared" si="9"/>
        <v/>
      </c>
      <c r="AP13" t="str">
        <f>Invoices!P13</f>
        <v>NFL-90347</v>
      </c>
      <c r="AQ13">
        <f>Invoices!Q13</f>
        <v>217841</v>
      </c>
      <c r="AR13">
        <f>IFERROR(INDEX('Pro Matches'!$C$4:$C$4,MATCH(AQ13,'Pro Matches'!$A$4:$A$4,0)),AQ13)</f>
        <v>217841</v>
      </c>
      <c r="AS13" t="str">
        <f>IFERROR(INDEX(BOL!$C$4:$C$25,MATCH(AR13,BOL!$B$4:$B$25,0)),INDEX(BOL!$P$4:$P$25,MATCH(AR13,BOL!$O$4:$O$25,0)))</f>
        <v>09/24/2026</v>
      </c>
      <c r="AT13" t="str">
        <f>IFERROR(INDEX(BOL!$E$4:$E$25,MATCH(AR13,BOL!$B$4:$B$25,0)),INDEX(BOL!$R$4:$R$25,MATCH(AR13,BOL!$O$4:$O$25,0)))</f>
        <v>MT</v>
      </c>
      <c r="AU13" t="str">
        <f>IFERROR(INDEX(BOL!$F$4:$F$25,MATCH(AR13,BOL!$B$4:$B$25,0)),INDEX(BOL!$S$4:$S$25,MATCH(AR13,BOL!$O$4:$O$25,0)))</f>
        <v>Fasteners and hardware</v>
      </c>
      <c r="AV13">
        <f>IFERROR(INDEX(BOL!$H$4:$H$25,MATCH(AR13,BOL!$B$4:$B$25,0)),INDEX(BOL!$U$4:$U$25,MATCH(AR13,BOL!$O$4:$O$25,0)))</f>
        <v>2060</v>
      </c>
      <c r="AW13">
        <f>Invoices!U13</f>
        <v>2060</v>
      </c>
      <c r="AX13" t="str">
        <f>IF(COUNTIFS('Billing File'!$A$4:$A$12,AR13,'Billing File'!$G$4:$G$12,"4.5 weight",'Billing File'!$F$4:$F$12,"Yes")&gt;0,"Yes","No")</f>
        <v>No</v>
      </c>
      <c r="AY13">
        <f>IF(AND(AX13="Yes",AW13&gt;AV13*(1+Terms!$B$6)),AW13,AV13)</f>
        <v>2060</v>
      </c>
      <c r="AZ13">
        <f>INDEX(Tariff!$L$4:$L$9,MATCH(AU13,Tariff!$K$4:$K$9,0))</f>
        <v>60</v>
      </c>
      <c r="BA13">
        <f>Invoices!V13</f>
        <v>60</v>
      </c>
      <c r="BB13" t="str">
        <f>IF(COUNTIFS('Billing File'!$A$4:$A$12,AR13,'Billing File'!$G$4:$G$12,"4.3 class",'Billing File'!$F$4:$F$12,"Yes")&gt;0,"Yes","No")</f>
        <v>No</v>
      </c>
      <c r="BC13">
        <f t="shared" si="10"/>
        <v>60</v>
      </c>
      <c r="BD13" s="9">
        <f>INDEX(Tariff!$I$4:$I$10,MATCH(BC13,Tariff!$H$4:$H$10,0))</f>
        <v>0.94</v>
      </c>
      <c r="BE13">
        <f>MATCH(AY13,Tariff!$B$12:$F$12,1)</f>
        <v>4</v>
      </c>
      <c r="BF13" s="9">
        <f>INDEX(Tariff!$B$4:$F$10,MATCH(AT13,Tariff!$A$4:$A$10,0),BE13)</f>
        <v>49.95</v>
      </c>
      <c r="BG13" s="4">
        <f t="shared" si="11"/>
        <v>967.23</v>
      </c>
      <c r="BH13" s="4">
        <f>IF(BE13&lt;5,ROUND(INDEX(Tariff!$B$12:$F$12,BE13+1)/100*INDEX(Tariff!$B$4:$F$10,MATCH(AT13,Tariff!$A$4:$A$10,0),BE13+1)*BD13,2),BG13)</f>
        <v>1908.2</v>
      </c>
      <c r="BI13" s="4">
        <f t="shared" si="12"/>
        <v>967.23</v>
      </c>
      <c r="BJ13" s="4">
        <f>MAX(ROUND(BI13*(1-Terms!$B$4),2),Terms!$B$5)</f>
        <v>367.55</v>
      </c>
      <c r="BK13" t="str">
        <f t="shared" si="13"/>
        <v>09/21/2026</v>
      </c>
      <c r="BL13" s="11">
        <f>INDEX('Fuel Index'!$C$4:$C$12,MATCH(BK13,'Fuel Index'!$A$4:$A$12,0))</f>
        <v>0.275</v>
      </c>
      <c r="BM13" s="4">
        <f t="shared" si="14"/>
        <v>101.08</v>
      </c>
      <c r="BN13" t="str">
        <f>IFERROR(INDEX(BOL!$I$4:$I$25,MATCH(AR13,BOL!$B$4:$B$25,0)),INDEX(BOL!$V$4:$V$25,MATCH(AR13,BOL!$O$4:$O$25,0)))</f>
        <v>Y</v>
      </c>
      <c r="BO13" t="str">
        <f>IFERROR(INDEX(BOL!$J$4:$J$25,MATCH(AR13,BOL!$B$4:$B$25,0)),INDEX(BOL!$W$4:$W$25,MATCH(AR13,BOL!$O$4:$O$25,0)))</f>
        <v>N</v>
      </c>
      <c r="BP13" t="str">
        <f>IFERROR(INDEX(BOL!$K$4:$K$25,MATCH(AR13,BOL!$B$4:$B$25,0)),INDEX(BOL!$X$4:$X$25,MATCH(AR13,BOL!$O$4:$O$25,0)))</f>
        <v>N</v>
      </c>
      <c r="BQ13" t="str">
        <f>IFERROR(INDEX(BOL!$L$4:$L$25,MATCH(AR13,BOL!$B$4:$B$25,0)),INDEX(BOL!$Y$4:$Y$25,MATCH(AR13,BOL!$O$4:$O$25,0)))</f>
        <v>Y</v>
      </c>
      <c r="BR13" s="4">
        <f>(BN13="Y")*Tariff!$O$4+(BO13="Y")*Tariff!$O$5+(BP13="Y")*Tariff!$O$6+(BQ13="Y")*Tariff!$O$7</f>
        <v>135</v>
      </c>
      <c r="BS13" s="4">
        <f>SUMIFS(Confirmations!$G$4:$G$6,Confirmations!$A$4:$A$6,AR13,Confirmations!$H$4:$H$6,"Yes")</f>
        <v>0</v>
      </c>
      <c r="BT13" s="4">
        <f t="shared" si="15"/>
        <v>135</v>
      </c>
      <c r="BU13" t="str">
        <f>IF(COUNTIFS(Invoices!$B$4:$Q$26,AQ13,Invoices!$A$4:$P$26,"&lt;"&amp;AP13)&gt;0,"Yes","No")</f>
        <v>No</v>
      </c>
      <c r="BV13" s="4">
        <f t="shared" si="16"/>
        <v>603.63</v>
      </c>
      <c r="BW13" s="4">
        <f>Invoices!AD13</f>
        <v>603.63</v>
      </c>
      <c r="BX13" s="4">
        <f t="shared" si="17"/>
        <v>0</v>
      </c>
      <c r="BY13" s="4">
        <f>Invoices!W13</f>
        <v>967.23</v>
      </c>
      <c r="BZ13" s="11">
        <f>ROUND(Invoices!Z13/Terms!$B$9,4)</f>
        <v>0.275</v>
      </c>
      <c r="CA13" s="4">
        <f>Invoices!AC13</f>
        <v>135</v>
      </c>
      <c r="CB13" t="str">
        <f t="shared" si="18"/>
        <v/>
      </c>
      <c r="CC13" t="str">
        <f t="shared" si="19"/>
        <v/>
      </c>
    </row>
    <row r="14" spans="1:81" x14ac:dyDescent="0.2">
      <c r="A14" t="str">
        <f>Invoices!A14</f>
        <v>NFL-90321</v>
      </c>
      <c r="B14">
        <f>Invoices!B14</f>
        <v>217700</v>
      </c>
      <c r="C14">
        <f>IFERROR(INDEX('Pro Matches'!$C$4:$C$4,MATCH(B14,'Pro Matches'!$A$4:$A$4,0)),B14)</f>
        <v>217700</v>
      </c>
      <c r="D14" t="str">
        <f>IFERROR(INDEX(BOL!$C$4:$C$25,MATCH(C14,BOL!$B$4:$B$25,0)),INDEX(BOL!$P$4:$P$25,MATCH(C14,BOL!$O$4:$O$25,0)))</f>
        <v>09/09/2026</v>
      </c>
      <c r="E14" t="str">
        <f>IFERROR(INDEX(BOL!$E$4:$E$25,MATCH(C14,BOL!$B$4:$B$25,0)),INDEX(BOL!$R$4:$R$25,MATCH(C14,BOL!$O$4:$O$25,0)))</f>
        <v>SD</v>
      </c>
      <c r="F14" t="str">
        <f>IFERROR(INDEX(BOL!$F$4:$F$25,MATCH(C14,BOL!$B$4:$B$25,0)),INDEX(BOL!$S$4:$S$25,MATCH(C14,BOL!$O$4:$O$25,0)))</f>
        <v>Metal roofing panels</v>
      </c>
      <c r="G14">
        <f>IFERROR(INDEX(BOL!$H$4:$H$25,MATCH(C14,BOL!$B$4:$B$25,0)),INDEX(BOL!$U$4:$U$25,MATCH(C14,BOL!$O$4:$O$25,0)))</f>
        <v>1980</v>
      </c>
      <c r="H14">
        <f>Invoices!F14</f>
        <v>1980</v>
      </c>
      <c r="I14" t="str">
        <f>IF(COUNTIFS('Billing File'!$A$4:$A$12,C14,'Billing File'!$G$4:$G$12,"4.5 weight",'Billing File'!$F$4:$F$12,"Yes")&gt;0,"Yes","No")</f>
        <v>No</v>
      </c>
      <c r="J14">
        <f>IF(AND(I14="Yes",H14&gt;G14*(1+Terms!$B$6)),H14,G14)</f>
        <v>1980</v>
      </c>
      <c r="K14">
        <f>INDEX(Tariff!$L$4:$L$9,MATCH(F14,Tariff!$K$4:$K$9,0))</f>
        <v>70</v>
      </c>
      <c r="L14">
        <f>Invoices!G14</f>
        <v>70</v>
      </c>
      <c r="M14" t="str">
        <f>IF(COUNTIFS('Billing File'!$A$4:$A$12,C14,'Billing File'!$G$4:$G$12,"4.3 class",'Billing File'!$F$4:$F$12,"Yes")&gt;0,"Yes","No")</f>
        <v>No</v>
      </c>
      <c r="N14">
        <f t="shared" si="0"/>
        <v>70</v>
      </c>
      <c r="O14" s="9">
        <f>INDEX(Tariff!$I$4:$I$10,MATCH(N14,Tariff!$H$4:$H$10,0))</f>
        <v>1</v>
      </c>
      <c r="P14">
        <f>MATCH(J14,Tariff!$B$12:$F$12,1)</f>
        <v>3</v>
      </c>
      <c r="Q14" s="9">
        <f>INDEX(Tariff!$B$4:$F$10,MATCH(E14,Tariff!$A$4:$A$10,0),P14)</f>
        <v>43.9</v>
      </c>
      <c r="R14" s="4">
        <f t="shared" si="1"/>
        <v>869.22</v>
      </c>
      <c r="S14" s="4">
        <f>IF(P14&lt;5,ROUND(INDEX(Tariff!$B$12:$F$12,P14+1)/100*INDEX(Tariff!$B$4:$F$10,MATCH(E14,Tariff!$A$4:$A$10,0),P14+1)*O14,2),R14)</f>
        <v>721</v>
      </c>
      <c r="T14" s="4">
        <f t="shared" si="2"/>
        <v>721</v>
      </c>
      <c r="U14" s="4">
        <f>MAX(ROUND(T14*(1-Terms!$B$4),2),Terms!$B$5)</f>
        <v>273.98</v>
      </c>
      <c r="V14" t="str">
        <f t="shared" si="3"/>
        <v>09/07/2026</v>
      </c>
      <c r="W14" s="11">
        <f>INDEX('Fuel Index'!$C$4:$C$12,MATCH(V14,'Fuel Index'!$A$4:$A$12,0))</f>
        <v>0.265</v>
      </c>
      <c r="X14" s="4">
        <f t="shared" si="4"/>
        <v>72.6</v>
      </c>
      <c r="Y14" t="str">
        <f>IFERROR(INDEX(BOL!$I$4:$I$25,MATCH(C14,BOL!$B$4:$B$25,0)),INDEX(BOL!$V$4:$V$25,MATCH(C14,BOL!$O$4:$O$25,0)))</f>
        <v>N</v>
      </c>
      <c r="Z14" t="str">
        <f>IFERROR(INDEX(BOL!$J$4:$J$25,MATCH(C14,BOL!$B$4:$B$25,0)),INDEX(BOL!$W$4:$W$25,MATCH(C14,BOL!$O$4:$O$25,0)))</f>
        <v>N</v>
      </c>
      <c r="AA14" t="str">
        <f>IFERROR(INDEX(BOL!$K$4:$K$25,MATCH(C14,BOL!$B$4:$B$25,0)),INDEX(BOL!$X$4:$X$25,MATCH(C14,BOL!$O$4:$O$25,0)))</f>
        <v>N</v>
      </c>
      <c r="AB14" t="str">
        <f>IFERROR(INDEX(BOL!$L$4:$L$25,MATCH(C14,BOL!$B$4:$B$25,0)),INDEX(BOL!$Y$4:$Y$25,MATCH(C14,BOL!$O$4:$O$25,0)))</f>
        <v>N</v>
      </c>
      <c r="AC14" s="4">
        <f>(Y14="Y")*Tariff!$O$4+(Z14="Y")*Tariff!$O$5+(AA14="Y")*Tariff!$O$6+(AB14="Y")*Tariff!$O$7</f>
        <v>0</v>
      </c>
      <c r="AD14" s="4">
        <f>SUMIFS(Confirmations!$G$4:$G$6,Confirmations!$A$4:$A$6,C14,Confirmations!$H$4:$H$6,"Yes")</f>
        <v>0</v>
      </c>
      <c r="AE14" s="4">
        <f t="shared" si="5"/>
        <v>0</v>
      </c>
      <c r="AF14" t="str">
        <f>IF(COUNTIFS(Invoices!$B$4:$Q$26,B14,Invoices!$A$4:$P$26,"&lt;"&amp;A14)&gt;0,"Yes","No")</f>
        <v>No</v>
      </c>
      <c r="AG14" s="4">
        <f t="shared" si="6"/>
        <v>346.58</v>
      </c>
      <c r="AH14" s="4">
        <f>Invoices!O14</f>
        <v>346.58</v>
      </c>
      <c r="AI14" s="4">
        <f t="shared" si="7"/>
        <v>0</v>
      </c>
      <c r="AJ14" s="4">
        <f>Invoices!H14</f>
        <v>721</v>
      </c>
      <c r="AK14" s="11">
        <f>ROUND(Invoices!K14/Terms!$B$9,4)</f>
        <v>0.265</v>
      </c>
      <c r="AL14" s="4">
        <f>Invoices!N14</f>
        <v>0</v>
      </c>
      <c r="AM14" t="str">
        <f t="shared" si="8"/>
        <v/>
      </c>
      <c r="AN14" t="str">
        <f t="shared" si="9"/>
        <v/>
      </c>
      <c r="AP14" t="str">
        <f>Invoices!P14</f>
        <v>NFL-90348</v>
      </c>
      <c r="AQ14">
        <f>Invoices!Q14</f>
        <v>217750</v>
      </c>
      <c r="AR14">
        <f>IFERROR(INDEX('Pro Matches'!$C$4:$C$4,MATCH(AQ14,'Pro Matches'!$A$4:$A$4,0)),AQ14)</f>
        <v>217750</v>
      </c>
      <c r="AS14" t="str">
        <f>IFERROR(INDEX(BOL!$C$4:$C$25,MATCH(AR14,BOL!$B$4:$B$25,0)),INDEX(BOL!$P$4:$P$25,MATCH(AR14,BOL!$O$4:$O$25,0)))</f>
        <v>09/25/2026</v>
      </c>
      <c r="AT14" t="str">
        <f>IFERROR(INDEX(BOL!$E$4:$E$25,MATCH(AR14,BOL!$B$4:$B$25,0)),INDEX(BOL!$R$4:$R$25,MATCH(AR14,BOL!$O$4:$O$25,0)))</f>
        <v>MT</v>
      </c>
      <c r="AU14" t="str">
        <f>IFERROR(INDEX(BOL!$F$4:$F$25,MATCH(AR14,BOL!$B$4:$B$25,0)),INDEX(BOL!$S$4:$S$25,MATCH(AR14,BOL!$O$4:$O$25,0)))</f>
        <v>Gypsum and cement board</v>
      </c>
      <c r="AV14">
        <f>IFERROR(INDEX(BOL!$H$4:$H$25,MATCH(AR14,BOL!$B$4:$B$25,0)),INDEX(BOL!$U$4:$U$25,MATCH(AR14,BOL!$O$4:$O$25,0)))</f>
        <v>2980</v>
      </c>
      <c r="AW14">
        <f>Invoices!U14</f>
        <v>2980</v>
      </c>
      <c r="AX14" t="str">
        <f>IF(COUNTIFS('Billing File'!$A$4:$A$12,AR14,'Billing File'!$G$4:$G$12,"4.5 weight",'Billing File'!$F$4:$F$12,"Yes")&gt;0,"Yes","No")</f>
        <v>No</v>
      </c>
      <c r="AY14">
        <f>IF(AND(AX14="Yes",AW14&gt;AV14*(1+Terms!$B$6)),AW14,AV14)</f>
        <v>2980</v>
      </c>
      <c r="AZ14">
        <f>INDEX(Tariff!$L$4:$L$9,MATCH(AU14,Tariff!$K$4:$K$9,0))</f>
        <v>55</v>
      </c>
      <c r="BA14">
        <f>Invoices!V14</f>
        <v>55</v>
      </c>
      <c r="BB14" t="str">
        <f>IF(COUNTIFS('Billing File'!$A$4:$A$12,AR14,'Billing File'!$G$4:$G$12,"4.3 class",'Billing File'!$F$4:$F$12,"Yes")&gt;0,"Yes","No")</f>
        <v>No</v>
      </c>
      <c r="BC14">
        <f t="shared" si="10"/>
        <v>55</v>
      </c>
      <c r="BD14" s="9">
        <f>INDEX(Tariff!$I$4:$I$10,MATCH(BC14,Tariff!$H$4:$H$10,0))</f>
        <v>0.88</v>
      </c>
      <c r="BE14">
        <f>MATCH(AY14,Tariff!$B$12:$F$12,1)</f>
        <v>4</v>
      </c>
      <c r="BF14" s="9">
        <f>INDEX(Tariff!$B$4:$F$10,MATCH(AT14,Tariff!$A$4:$A$10,0),BE14)</f>
        <v>49.95</v>
      </c>
      <c r="BG14" s="4">
        <f t="shared" si="11"/>
        <v>1309.89</v>
      </c>
      <c r="BH14" s="4">
        <f>IF(BE14&lt;5,ROUND(INDEX(Tariff!$B$12:$F$12,BE14+1)/100*INDEX(Tariff!$B$4:$F$10,MATCH(AT14,Tariff!$A$4:$A$10,0),BE14+1)*BD14,2),BG14)</f>
        <v>1786.4</v>
      </c>
      <c r="BI14" s="4">
        <f t="shared" si="12"/>
        <v>1309.89</v>
      </c>
      <c r="BJ14" s="4">
        <f>MAX(ROUND(BI14*(1-Terms!$B$4),2),Terms!$B$5)</f>
        <v>497.76</v>
      </c>
      <c r="BK14" t="str">
        <f t="shared" si="13"/>
        <v>09/21/2026</v>
      </c>
      <c r="BL14" s="11">
        <f>INDEX('Fuel Index'!$C$4:$C$12,MATCH(BK14,'Fuel Index'!$A$4:$A$12,0))</f>
        <v>0.275</v>
      </c>
      <c r="BM14" s="4">
        <f t="shared" si="14"/>
        <v>136.88</v>
      </c>
      <c r="BN14" t="str">
        <f>IFERROR(INDEX(BOL!$I$4:$I$25,MATCH(AR14,BOL!$B$4:$B$25,0)),INDEX(BOL!$V$4:$V$25,MATCH(AR14,BOL!$O$4:$O$25,0)))</f>
        <v>Y</v>
      </c>
      <c r="BO14" t="str">
        <f>IFERROR(INDEX(BOL!$J$4:$J$25,MATCH(AR14,BOL!$B$4:$B$25,0)),INDEX(BOL!$W$4:$W$25,MATCH(AR14,BOL!$O$4:$O$25,0)))</f>
        <v>N</v>
      </c>
      <c r="BP14" t="str">
        <f>IFERROR(INDEX(BOL!$K$4:$K$25,MATCH(AR14,BOL!$B$4:$B$25,0)),INDEX(BOL!$X$4:$X$25,MATCH(AR14,BOL!$O$4:$O$25,0)))</f>
        <v>N</v>
      </c>
      <c r="BQ14" t="str">
        <f>IFERROR(INDEX(BOL!$L$4:$L$25,MATCH(AR14,BOL!$B$4:$B$25,0)),INDEX(BOL!$Y$4:$Y$25,MATCH(AR14,BOL!$O$4:$O$25,0)))</f>
        <v>N</v>
      </c>
      <c r="BR14" s="4">
        <f>(BN14="Y")*Tariff!$O$4+(BO14="Y")*Tariff!$O$5+(BP14="Y")*Tariff!$O$6+(BQ14="Y")*Tariff!$O$7</f>
        <v>75</v>
      </c>
      <c r="BS14" s="4">
        <f>SUMIFS(Confirmations!$G$4:$G$6,Confirmations!$A$4:$A$6,AR14,Confirmations!$H$4:$H$6,"Yes")</f>
        <v>0</v>
      </c>
      <c r="BT14" s="4">
        <f t="shared" si="15"/>
        <v>75</v>
      </c>
      <c r="BU14" t="str">
        <f>IF(COUNTIFS(Invoices!$B$4:$Q$26,AQ14,Invoices!$A$4:$P$26,"&lt;"&amp;AP14)&gt;0,"Yes","No")</f>
        <v>No</v>
      </c>
      <c r="BV14" s="4">
        <f t="shared" si="16"/>
        <v>709.64</v>
      </c>
      <c r="BW14" s="4">
        <f>Invoices!AD14</f>
        <v>709.64</v>
      </c>
      <c r="BX14" s="4">
        <f t="shared" si="17"/>
        <v>0</v>
      </c>
      <c r="BY14" s="4">
        <f>Invoices!W14</f>
        <v>1309.89</v>
      </c>
      <c r="BZ14" s="11">
        <f>ROUND(Invoices!Z14/Terms!$B$9,4)</f>
        <v>0.275</v>
      </c>
      <c r="CA14" s="4">
        <f>Invoices!AC14</f>
        <v>75</v>
      </c>
      <c r="CB14" t="str">
        <f t="shared" si="18"/>
        <v/>
      </c>
      <c r="CC14" t="str">
        <f t="shared" si="19"/>
        <v/>
      </c>
    </row>
    <row r="15" spans="1:81" x14ac:dyDescent="0.2">
      <c r="A15" t="str">
        <f>Invoices!A15</f>
        <v>NFL-90322</v>
      </c>
      <c r="B15">
        <f>Invoices!B15</f>
        <v>217784</v>
      </c>
      <c r="C15">
        <f>IFERROR(INDEX('Pro Matches'!$C$4:$C$4,MATCH(B15,'Pro Matches'!$A$4:$A$4,0)),B15)</f>
        <v>217784</v>
      </c>
      <c r="D15" t="str">
        <f>IFERROR(INDEX(BOL!$C$4:$C$25,MATCH(C15,BOL!$B$4:$B$25,0)),INDEX(BOL!$P$4:$P$25,MATCH(C15,BOL!$O$4:$O$25,0)))</f>
        <v>09/09/2026</v>
      </c>
      <c r="E15" t="str">
        <f>IFERROR(INDEX(BOL!$E$4:$E$25,MATCH(C15,BOL!$B$4:$B$25,0)),INDEX(BOL!$R$4:$R$25,MATCH(C15,BOL!$O$4:$O$25,0)))</f>
        <v>ND</v>
      </c>
      <c r="F15" t="str">
        <f>IFERROR(INDEX(BOL!$F$4:$F$25,MATCH(C15,BOL!$B$4:$B$25,0)),INDEX(BOL!$S$4:$S$25,MATCH(C15,BOL!$O$4:$O$25,0)))</f>
        <v>Sealants and coatings</v>
      </c>
      <c r="G15">
        <f>IFERROR(INDEX(BOL!$H$4:$H$25,MATCH(C15,BOL!$B$4:$B$25,0)),INDEX(BOL!$U$4:$U$25,MATCH(C15,BOL!$O$4:$O$25,0)))</f>
        <v>2430</v>
      </c>
      <c r="H15">
        <f>Invoices!F15</f>
        <v>2430</v>
      </c>
      <c r="I15" t="str">
        <f>IF(COUNTIFS('Billing File'!$A$4:$A$12,C15,'Billing File'!$G$4:$G$12,"4.5 weight",'Billing File'!$F$4:$F$12,"Yes")&gt;0,"Yes","No")</f>
        <v>No</v>
      </c>
      <c r="J15">
        <f>IF(AND(I15="Yes",H15&gt;G15*(1+Terms!$B$6)),H15,G15)</f>
        <v>2430</v>
      </c>
      <c r="K15">
        <f>INDEX(Tariff!$L$4:$L$9,MATCH(F15,Tariff!$K$4:$K$9,0))</f>
        <v>85</v>
      </c>
      <c r="L15">
        <f>Invoices!G15</f>
        <v>92.5</v>
      </c>
      <c r="M15" t="str">
        <f>IF(COUNTIFS('Billing File'!$A$4:$A$12,C15,'Billing File'!$G$4:$G$12,"4.3 class",'Billing File'!$F$4:$F$12,"Yes")&gt;0,"Yes","No")</f>
        <v>No</v>
      </c>
      <c r="N15">
        <f t="shared" si="0"/>
        <v>85</v>
      </c>
      <c r="O15" s="9">
        <f>INDEX(Tariff!$I$4:$I$10,MATCH(N15,Tariff!$H$4:$H$10,0))</f>
        <v>1.15</v>
      </c>
      <c r="P15">
        <f>MATCH(J15,Tariff!$B$12:$F$12,1)</f>
        <v>4</v>
      </c>
      <c r="Q15" s="9">
        <f>INDEX(Tariff!$B$4:$F$10,MATCH(E15,Tariff!$A$4:$A$10,0),P15)</f>
        <v>26.4</v>
      </c>
      <c r="R15" s="4">
        <f t="shared" si="1"/>
        <v>737.75</v>
      </c>
      <c r="S15" s="4">
        <f>IF(P15&lt;5,ROUND(INDEX(Tariff!$B$12:$F$12,P15+1)/100*INDEX(Tariff!$B$4:$F$10,MATCH(E15,Tariff!$A$4:$A$10,0),P15+1)*O15,2),R15)</f>
        <v>1236.25</v>
      </c>
      <c r="T15" s="4">
        <f t="shared" si="2"/>
        <v>737.75</v>
      </c>
      <c r="U15" s="4">
        <f>MAX(ROUND(T15*(1-Terms!$B$4),2),Terms!$B$5)</f>
        <v>280.35</v>
      </c>
      <c r="V15" t="str">
        <f t="shared" si="3"/>
        <v>09/07/2026</v>
      </c>
      <c r="W15" s="11">
        <f>INDEX('Fuel Index'!$C$4:$C$12,MATCH(V15,'Fuel Index'!$A$4:$A$12,0))</f>
        <v>0.265</v>
      </c>
      <c r="X15" s="4">
        <f t="shared" si="4"/>
        <v>74.29</v>
      </c>
      <c r="Y15" t="str">
        <f>IFERROR(INDEX(BOL!$I$4:$I$25,MATCH(C15,BOL!$B$4:$B$25,0)),INDEX(BOL!$V$4:$V$25,MATCH(C15,BOL!$O$4:$O$25,0)))</f>
        <v>N</v>
      </c>
      <c r="Z15" t="str">
        <f>IFERROR(INDEX(BOL!$J$4:$J$25,MATCH(C15,BOL!$B$4:$B$25,0)),INDEX(BOL!$W$4:$W$25,MATCH(C15,BOL!$O$4:$O$25,0)))</f>
        <v>N</v>
      </c>
      <c r="AA15" t="str">
        <f>IFERROR(INDEX(BOL!$K$4:$K$25,MATCH(C15,BOL!$B$4:$B$25,0)),INDEX(BOL!$X$4:$X$25,MATCH(C15,BOL!$O$4:$O$25,0)))</f>
        <v>Y</v>
      </c>
      <c r="AB15" t="str">
        <f>IFERROR(INDEX(BOL!$L$4:$L$25,MATCH(C15,BOL!$B$4:$B$25,0)),INDEX(BOL!$Y$4:$Y$25,MATCH(C15,BOL!$O$4:$O$25,0)))</f>
        <v>N</v>
      </c>
      <c r="AC15" s="4">
        <f>(Y15="Y")*Tariff!$O$4+(Z15="Y")*Tariff!$O$5+(AA15="Y")*Tariff!$O$6+(AB15="Y")*Tariff!$O$7</f>
        <v>85</v>
      </c>
      <c r="AD15" s="4">
        <f>SUMIFS(Confirmations!$G$4:$G$6,Confirmations!$A$4:$A$6,C15,Confirmations!$H$4:$H$6,"Yes")</f>
        <v>0</v>
      </c>
      <c r="AE15" s="4">
        <f t="shared" si="5"/>
        <v>85</v>
      </c>
      <c r="AF15" t="str">
        <f>IF(COUNTIFS(Invoices!$B$4:$Q$26,B15,Invoices!$A$4:$P$26,"&lt;"&amp;A15)&gt;0,"Yes","No")</f>
        <v>No</v>
      </c>
      <c r="AG15" s="4">
        <f t="shared" si="6"/>
        <v>439.64</v>
      </c>
      <c r="AH15" s="4">
        <f>Invoices!O15</f>
        <v>485.89</v>
      </c>
      <c r="AI15" s="4">
        <f t="shared" si="7"/>
        <v>46.25</v>
      </c>
      <c r="AJ15" s="4">
        <f>Invoices!H15</f>
        <v>833.98</v>
      </c>
      <c r="AK15" s="11">
        <f>ROUND(Invoices!K15/Terms!$B$9,4)</f>
        <v>0.265</v>
      </c>
      <c r="AL15" s="4">
        <f>Invoices!N15</f>
        <v>85</v>
      </c>
      <c r="AM15" t="str">
        <f t="shared" si="8"/>
        <v>4.3 class</v>
      </c>
      <c r="AN15" t="str">
        <f t="shared" si="9"/>
        <v/>
      </c>
      <c r="AP15" t="str">
        <f>Invoices!P15</f>
        <v>NFL-90349</v>
      </c>
      <c r="AQ15">
        <f>Invoices!Q15</f>
        <v>217883</v>
      </c>
      <c r="AR15">
        <f>IFERROR(INDEX('Pro Matches'!$C$4:$C$4,MATCH(AQ15,'Pro Matches'!$A$4:$A$4,0)),AQ15)</f>
        <v>217883</v>
      </c>
      <c r="AS15" t="str">
        <f>IFERROR(INDEX(BOL!$C$4:$C$25,MATCH(AR15,BOL!$B$4:$B$25,0)),INDEX(BOL!$P$4:$P$25,MATCH(AR15,BOL!$O$4:$O$25,0)))</f>
        <v>09/18/2026</v>
      </c>
      <c r="AT15" t="str">
        <f>IFERROR(INDEX(BOL!$E$4:$E$25,MATCH(AR15,BOL!$B$4:$B$25,0)),INDEX(BOL!$R$4:$R$25,MATCH(AR15,BOL!$O$4:$O$25,0)))</f>
        <v>WI</v>
      </c>
      <c r="AU15" t="str">
        <f>IFERROR(INDEX(BOL!$F$4:$F$25,MATCH(AR15,BOL!$B$4:$B$25,0)),INDEX(BOL!$S$4:$S$25,MATCH(AR15,BOL!$O$4:$O$25,0)))</f>
        <v>Windows and doors</v>
      </c>
      <c r="AV15">
        <f>IFERROR(INDEX(BOL!$H$4:$H$25,MATCH(AR15,BOL!$B$4:$B$25,0)),INDEX(BOL!$U$4:$U$25,MATCH(AR15,BOL!$O$4:$O$25,0)))</f>
        <v>1010</v>
      </c>
      <c r="AW15">
        <f>Invoices!U15</f>
        <v>1010</v>
      </c>
      <c r="AX15" t="str">
        <f>IF(COUNTIFS('Billing File'!$A$4:$A$12,AR15,'Billing File'!$G$4:$G$12,"4.5 weight",'Billing File'!$F$4:$F$12,"Yes")&gt;0,"Yes","No")</f>
        <v>No</v>
      </c>
      <c r="AY15">
        <f>IF(AND(AX15="Yes",AW15&gt;AV15*(1+Terms!$B$6)),AW15,AV15)</f>
        <v>1010</v>
      </c>
      <c r="AZ15">
        <f>INDEX(Tariff!$L$4:$L$9,MATCH(AU15,Tariff!$K$4:$K$9,0))</f>
        <v>100</v>
      </c>
      <c r="BA15">
        <f>Invoices!V15</f>
        <v>100</v>
      </c>
      <c r="BB15" t="str">
        <f>IF(COUNTIFS('Billing File'!$A$4:$A$12,AR15,'Billing File'!$G$4:$G$12,"4.3 class",'Billing File'!$F$4:$F$12,"Yes")&gt;0,"Yes","No")</f>
        <v>No</v>
      </c>
      <c r="BC15">
        <f t="shared" si="10"/>
        <v>100</v>
      </c>
      <c r="BD15" s="9">
        <f>INDEX(Tariff!$I$4:$I$10,MATCH(BC15,Tariff!$H$4:$H$10,0))</f>
        <v>1.45</v>
      </c>
      <c r="BE15">
        <f>MATCH(AY15,Tariff!$B$12:$F$12,1)</f>
        <v>3</v>
      </c>
      <c r="BF15" s="9">
        <f>INDEX(Tariff!$B$4:$F$10,MATCH(AT15,Tariff!$A$4:$A$10,0),BE15)</f>
        <v>50.3</v>
      </c>
      <c r="BG15" s="4">
        <f t="shared" si="11"/>
        <v>736.64</v>
      </c>
      <c r="BH15" s="4">
        <f>IF(BE15&lt;5,ROUND(INDEX(Tariff!$B$12:$F$12,BE15+1)/100*INDEX(Tariff!$B$4:$F$10,MATCH(AT15,Tariff!$A$4:$A$10,0),BE15+1)*BD15,2),BG15)</f>
        <v>1197.7</v>
      </c>
      <c r="BI15" s="4">
        <f t="shared" si="12"/>
        <v>736.64</v>
      </c>
      <c r="BJ15" s="4">
        <f>MAX(ROUND(BI15*(1-Terms!$B$4),2),Terms!$B$5)</f>
        <v>279.92</v>
      </c>
      <c r="BK15" t="str">
        <f t="shared" si="13"/>
        <v>09/14/2026</v>
      </c>
      <c r="BL15" s="11">
        <f>INDEX('Fuel Index'!$C$4:$C$12,MATCH(BK15,'Fuel Index'!$A$4:$A$12,0))</f>
        <v>0.26</v>
      </c>
      <c r="BM15" s="4">
        <f t="shared" si="14"/>
        <v>72.78</v>
      </c>
      <c r="BN15" t="str">
        <f>IFERROR(INDEX(BOL!$I$4:$I$25,MATCH(AR15,BOL!$B$4:$B$25,0)),INDEX(BOL!$V$4:$V$25,MATCH(AR15,BOL!$O$4:$O$25,0)))</f>
        <v>N</v>
      </c>
      <c r="BO15" t="str">
        <f>IFERROR(INDEX(BOL!$J$4:$J$25,MATCH(AR15,BOL!$B$4:$B$25,0)),INDEX(BOL!$W$4:$W$25,MATCH(AR15,BOL!$O$4:$O$25,0)))</f>
        <v>Y</v>
      </c>
      <c r="BP15" t="str">
        <f>IFERROR(INDEX(BOL!$K$4:$K$25,MATCH(AR15,BOL!$B$4:$B$25,0)),INDEX(BOL!$X$4:$X$25,MATCH(AR15,BOL!$O$4:$O$25,0)))</f>
        <v>N</v>
      </c>
      <c r="BQ15" t="str">
        <f>IFERROR(INDEX(BOL!$L$4:$L$25,MATCH(AR15,BOL!$B$4:$B$25,0)),INDEX(BOL!$Y$4:$Y$25,MATCH(AR15,BOL!$O$4:$O$25,0)))</f>
        <v>N</v>
      </c>
      <c r="BR15" s="4">
        <f>(BN15="Y")*Tariff!$O$4+(BO15="Y")*Tariff!$O$5+(BP15="Y")*Tariff!$O$6+(BQ15="Y")*Tariff!$O$7</f>
        <v>95</v>
      </c>
      <c r="BS15" s="4">
        <f>SUMIFS(Confirmations!$G$4:$G$6,Confirmations!$A$4:$A$6,AR15,Confirmations!$H$4:$H$6,"Yes")</f>
        <v>0</v>
      </c>
      <c r="BT15" s="4">
        <f t="shared" si="15"/>
        <v>95</v>
      </c>
      <c r="BU15" t="str">
        <f>IF(COUNTIFS(Invoices!$B$4:$Q$26,AQ15,Invoices!$A$4:$P$26,"&lt;"&amp;AP15)&gt;0,"Yes","No")</f>
        <v>Yes</v>
      </c>
      <c r="BV15" s="4">
        <f t="shared" si="16"/>
        <v>0</v>
      </c>
      <c r="BW15" s="4">
        <f>Invoices!AD15</f>
        <v>447.7</v>
      </c>
      <c r="BX15" s="4">
        <f t="shared" si="17"/>
        <v>447.7</v>
      </c>
      <c r="BY15" s="4">
        <f>Invoices!W15</f>
        <v>736.64</v>
      </c>
      <c r="BZ15" s="11">
        <f>ROUND(Invoices!Z15/Terms!$B$9,4)</f>
        <v>0.26</v>
      </c>
      <c r="CA15" s="4">
        <f>Invoices!AC15</f>
        <v>95</v>
      </c>
      <c r="CB15" t="str">
        <f t="shared" si="18"/>
        <v>7.1 duplicate bill</v>
      </c>
      <c r="CC15" t="str">
        <f t="shared" si="19"/>
        <v/>
      </c>
    </row>
    <row r="16" spans="1:81" x14ac:dyDescent="0.2">
      <c r="A16" t="str">
        <f>Invoices!A16</f>
        <v>NFL-90324</v>
      </c>
      <c r="B16">
        <f>Invoices!B16</f>
        <v>217733</v>
      </c>
      <c r="C16">
        <f>IFERROR(INDEX('Pro Matches'!$C$4:$C$4,MATCH(B16,'Pro Matches'!$A$4:$A$4,0)),B16)</f>
        <v>217733</v>
      </c>
      <c r="D16" t="str">
        <f>IFERROR(INDEX(BOL!$C$4:$C$25,MATCH(C16,BOL!$B$4:$B$25,0)),INDEX(BOL!$P$4:$P$25,MATCH(C16,BOL!$O$4:$O$25,0)))</f>
        <v>09/14/2026</v>
      </c>
      <c r="E16" t="str">
        <f>IFERROR(INDEX(BOL!$E$4:$E$25,MATCH(C16,BOL!$B$4:$B$25,0)),INDEX(BOL!$R$4:$R$25,MATCH(C16,BOL!$O$4:$O$25,0)))</f>
        <v>NE</v>
      </c>
      <c r="F16" t="str">
        <f>IFERROR(INDEX(BOL!$F$4:$F$25,MATCH(C16,BOL!$B$4:$B$25,0)),INDEX(BOL!$S$4:$S$25,MATCH(C16,BOL!$O$4:$O$25,0)))</f>
        <v>Sealants and coatings</v>
      </c>
      <c r="G16">
        <f>IFERROR(INDEX(BOL!$H$4:$H$25,MATCH(C16,BOL!$B$4:$B$25,0)),INDEX(BOL!$U$4:$U$25,MATCH(C16,BOL!$O$4:$O$25,0)))</f>
        <v>640</v>
      </c>
      <c r="H16">
        <f>Invoices!F16</f>
        <v>640</v>
      </c>
      <c r="I16" t="str">
        <f>IF(COUNTIFS('Billing File'!$A$4:$A$12,C16,'Billing File'!$G$4:$G$12,"4.5 weight",'Billing File'!$F$4:$F$12,"Yes")&gt;0,"Yes","No")</f>
        <v>No</v>
      </c>
      <c r="J16">
        <f>IF(AND(I16="Yes",H16&gt;G16*(1+Terms!$B$6)),H16,G16)</f>
        <v>640</v>
      </c>
      <c r="K16">
        <f>INDEX(Tariff!$L$4:$L$9,MATCH(F16,Tariff!$K$4:$K$9,0))</f>
        <v>85</v>
      </c>
      <c r="L16">
        <f>Invoices!G16</f>
        <v>85</v>
      </c>
      <c r="M16" t="str">
        <f>IF(COUNTIFS('Billing File'!$A$4:$A$12,C16,'Billing File'!$G$4:$G$12,"4.3 class",'Billing File'!$F$4:$F$12,"Yes")&gt;0,"Yes","No")</f>
        <v>No</v>
      </c>
      <c r="N16">
        <f t="shared" si="0"/>
        <v>85</v>
      </c>
      <c r="O16" s="9">
        <f>INDEX(Tariff!$I$4:$I$10,MATCH(N16,Tariff!$H$4:$H$10,0))</f>
        <v>1.15</v>
      </c>
      <c r="P16">
        <f>MATCH(J16,Tariff!$B$12:$F$12,1)</f>
        <v>2</v>
      </c>
      <c r="Q16" s="9">
        <f>INDEX(Tariff!$B$4:$F$10,MATCH(E16,Tariff!$A$4:$A$10,0),P16)</f>
        <v>58.45</v>
      </c>
      <c r="R16" s="4">
        <f t="shared" si="1"/>
        <v>430.19</v>
      </c>
      <c r="S16" s="4">
        <f>IF(P16&lt;5,ROUND(INDEX(Tariff!$B$12:$F$12,P16+1)/100*INDEX(Tariff!$B$4:$F$10,MATCH(E16,Tariff!$A$4:$A$10,0),P16+1)*O16,2),R16)</f>
        <v>572.7</v>
      </c>
      <c r="T16" s="4">
        <f t="shared" si="2"/>
        <v>430.19</v>
      </c>
      <c r="U16" s="4">
        <f>MAX(ROUND(T16*(1-Terms!$B$4),2),Terms!$B$5)</f>
        <v>163.47</v>
      </c>
      <c r="V16" t="str">
        <f t="shared" si="3"/>
        <v>09/14/2026</v>
      </c>
      <c r="W16" s="11">
        <f>INDEX('Fuel Index'!$C$4:$C$12,MATCH(V16,'Fuel Index'!$A$4:$A$12,0))</f>
        <v>0.26</v>
      </c>
      <c r="X16" s="4">
        <f t="shared" si="4"/>
        <v>42.5</v>
      </c>
      <c r="Y16" t="str">
        <f>IFERROR(INDEX(BOL!$I$4:$I$25,MATCH(C16,BOL!$B$4:$B$25,0)),INDEX(BOL!$V$4:$V$25,MATCH(C16,BOL!$O$4:$O$25,0)))</f>
        <v>N</v>
      </c>
      <c r="Z16" t="str">
        <f>IFERROR(INDEX(BOL!$J$4:$J$25,MATCH(C16,BOL!$B$4:$B$25,0)),INDEX(BOL!$W$4:$W$25,MATCH(C16,BOL!$O$4:$O$25,0)))</f>
        <v>N</v>
      </c>
      <c r="AA16" t="str">
        <f>IFERROR(INDEX(BOL!$K$4:$K$25,MATCH(C16,BOL!$B$4:$B$25,0)),INDEX(BOL!$X$4:$X$25,MATCH(C16,BOL!$O$4:$O$25,0)))</f>
        <v>N</v>
      </c>
      <c r="AB16" t="str">
        <f>IFERROR(INDEX(BOL!$L$4:$L$25,MATCH(C16,BOL!$B$4:$B$25,0)),INDEX(BOL!$Y$4:$Y$25,MATCH(C16,BOL!$O$4:$O$25,0)))</f>
        <v>N</v>
      </c>
      <c r="AC16" s="4">
        <f>(Y16="Y")*Tariff!$O$4+(Z16="Y")*Tariff!$O$5+(AA16="Y")*Tariff!$O$6+(AB16="Y")*Tariff!$O$7</f>
        <v>0</v>
      </c>
      <c r="AD16" s="4">
        <f>SUMIFS(Confirmations!$G$4:$G$6,Confirmations!$A$4:$A$6,C16,Confirmations!$H$4:$H$6,"Yes")</f>
        <v>110</v>
      </c>
      <c r="AE16" s="4">
        <f t="shared" si="5"/>
        <v>110</v>
      </c>
      <c r="AF16" t="str">
        <f>IF(COUNTIFS(Invoices!$B$4:$Q$26,B16,Invoices!$A$4:$P$26,"&lt;"&amp;A16)&gt;0,"Yes","No")</f>
        <v>No</v>
      </c>
      <c r="AG16" s="4">
        <f t="shared" si="6"/>
        <v>315.97</v>
      </c>
      <c r="AH16" s="4">
        <f>Invoices!O16</f>
        <v>315.97</v>
      </c>
      <c r="AI16" s="4">
        <f t="shared" si="7"/>
        <v>0</v>
      </c>
      <c r="AJ16" s="4">
        <f>Invoices!H16</f>
        <v>430.19</v>
      </c>
      <c r="AK16" s="11">
        <f>ROUND(Invoices!K16/Terms!$B$9,4)</f>
        <v>0.26</v>
      </c>
      <c r="AL16" s="4">
        <f>Invoices!N16</f>
        <v>110</v>
      </c>
      <c r="AM16" t="str">
        <f t="shared" si="8"/>
        <v/>
      </c>
      <c r="AN16" t="str">
        <f t="shared" si="9"/>
        <v>6.1 written confirmation</v>
      </c>
      <c r="AP16" t="str">
        <f>Invoices!P16</f>
        <v>NFL-90350</v>
      </c>
      <c r="AQ16">
        <f>Invoices!Q16</f>
        <v>217687</v>
      </c>
      <c r="AR16">
        <f>IFERROR(INDEX('Pro Matches'!$C$4:$C$4,MATCH(AQ16,'Pro Matches'!$A$4:$A$4,0)),AQ16)</f>
        <v>217687</v>
      </c>
      <c r="AS16" t="str">
        <f>IFERROR(INDEX(BOL!$C$4:$C$25,MATCH(AR16,BOL!$B$4:$B$25,0)),INDEX(BOL!$P$4:$P$25,MATCH(AR16,BOL!$O$4:$O$25,0)))</f>
        <v>09/28/2026</v>
      </c>
      <c r="AT16" t="str">
        <f>IFERROR(INDEX(BOL!$E$4:$E$25,MATCH(AR16,BOL!$B$4:$B$25,0)),INDEX(BOL!$R$4:$R$25,MATCH(AR16,BOL!$O$4:$O$25,0)))</f>
        <v>ND</v>
      </c>
      <c r="AU16" t="str">
        <f>IFERROR(INDEX(BOL!$F$4:$F$25,MATCH(AR16,BOL!$B$4:$B$25,0)),INDEX(BOL!$S$4:$S$25,MATCH(AR16,BOL!$O$4:$O$25,0)))</f>
        <v>Gypsum and cement board</v>
      </c>
      <c r="AV16">
        <f>IFERROR(INDEX(BOL!$H$4:$H$25,MATCH(AR16,BOL!$B$4:$B$25,0)),INDEX(BOL!$U$4:$U$25,MATCH(AR16,BOL!$O$4:$O$25,0)))</f>
        <v>460</v>
      </c>
      <c r="AW16">
        <f>Invoices!U16</f>
        <v>460</v>
      </c>
      <c r="AX16" t="str">
        <f>IF(COUNTIFS('Billing File'!$A$4:$A$12,AR16,'Billing File'!$G$4:$G$12,"4.5 weight",'Billing File'!$F$4:$F$12,"Yes")&gt;0,"Yes","No")</f>
        <v>No</v>
      </c>
      <c r="AY16">
        <f>IF(AND(AX16="Yes",AW16&gt;AV16*(1+Terms!$B$6)),AW16,AV16)</f>
        <v>460</v>
      </c>
      <c r="AZ16">
        <f>INDEX(Tariff!$L$4:$L$9,MATCH(AU16,Tariff!$K$4:$K$9,0))</f>
        <v>55</v>
      </c>
      <c r="BA16">
        <f>Invoices!V16</f>
        <v>55</v>
      </c>
      <c r="BB16" t="str">
        <f>IF(COUNTIFS('Billing File'!$A$4:$A$12,AR16,'Billing File'!$G$4:$G$12,"4.3 class",'Billing File'!$F$4:$F$12,"Yes")&gt;0,"Yes","No")</f>
        <v>No</v>
      </c>
      <c r="BC16">
        <f t="shared" si="10"/>
        <v>55</v>
      </c>
      <c r="BD16" s="9">
        <f>INDEX(Tariff!$I$4:$I$10,MATCH(BC16,Tariff!$H$4:$H$10,0))</f>
        <v>0.88</v>
      </c>
      <c r="BE16">
        <f>MATCH(AY16,Tariff!$B$12:$F$12,1)</f>
        <v>1</v>
      </c>
      <c r="BF16" s="9">
        <f>INDEX(Tariff!$B$4:$F$10,MATCH(AT16,Tariff!$A$4:$A$10,0),BE16)</f>
        <v>44.9</v>
      </c>
      <c r="BG16" s="4">
        <f t="shared" si="11"/>
        <v>181.76</v>
      </c>
      <c r="BH16" s="4">
        <f>IF(BE16&lt;5,ROUND(INDEX(Tariff!$B$12:$F$12,BE16+1)/100*INDEX(Tariff!$B$4:$F$10,MATCH(AT16,Tariff!$A$4:$A$10,0),BE16+1)*BD16,2),BG16)</f>
        <v>166.32</v>
      </c>
      <c r="BI16" s="4">
        <f t="shared" si="12"/>
        <v>166.32</v>
      </c>
      <c r="BJ16" s="4">
        <f>MAX(ROUND(BI16*(1-Terms!$B$4),2),Terms!$B$5)</f>
        <v>118.4</v>
      </c>
      <c r="BK16" t="str">
        <f t="shared" si="13"/>
        <v>09/28/2026</v>
      </c>
      <c r="BL16" s="11">
        <f>INDEX('Fuel Index'!$C$4:$C$12,MATCH(BK16,'Fuel Index'!$A$4:$A$12,0))</f>
        <v>0.27</v>
      </c>
      <c r="BM16" s="4">
        <f t="shared" si="14"/>
        <v>31.97</v>
      </c>
      <c r="BN16" t="str">
        <f>IFERROR(INDEX(BOL!$I$4:$I$25,MATCH(AR16,BOL!$B$4:$B$25,0)),INDEX(BOL!$V$4:$V$25,MATCH(AR16,BOL!$O$4:$O$25,0)))</f>
        <v>N</v>
      </c>
      <c r="BO16" t="str">
        <f>IFERROR(INDEX(BOL!$J$4:$J$25,MATCH(AR16,BOL!$B$4:$B$25,0)),INDEX(BOL!$W$4:$W$25,MATCH(AR16,BOL!$O$4:$O$25,0)))</f>
        <v>N</v>
      </c>
      <c r="BP16" t="str">
        <f>IFERROR(INDEX(BOL!$K$4:$K$25,MATCH(AR16,BOL!$B$4:$B$25,0)),INDEX(BOL!$X$4:$X$25,MATCH(AR16,BOL!$O$4:$O$25,0)))</f>
        <v>N</v>
      </c>
      <c r="BQ16" t="str">
        <f>IFERROR(INDEX(BOL!$L$4:$L$25,MATCH(AR16,BOL!$B$4:$B$25,0)),INDEX(BOL!$Y$4:$Y$25,MATCH(AR16,BOL!$O$4:$O$25,0)))</f>
        <v>N</v>
      </c>
      <c r="BR16" s="4">
        <f>(BN16="Y")*Tariff!$O$4+(BO16="Y")*Tariff!$O$5+(BP16="Y")*Tariff!$O$6+(BQ16="Y")*Tariff!$O$7</f>
        <v>0</v>
      </c>
      <c r="BS16" s="4">
        <f>SUMIFS(Confirmations!$G$4:$G$6,Confirmations!$A$4:$A$6,AR16,Confirmations!$H$4:$H$6,"Yes")</f>
        <v>0</v>
      </c>
      <c r="BT16" s="4">
        <f t="shared" si="15"/>
        <v>0</v>
      </c>
      <c r="BU16" t="str">
        <f>IF(COUNTIFS(Invoices!$B$4:$Q$26,AQ16,Invoices!$A$4:$P$26,"&lt;"&amp;AP16)&gt;0,"Yes","No")</f>
        <v>No</v>
      </c>
      <c r="BV16" s="4">
        <f t="shared" si="16"/>
        <v>150.37</v>
      </c>
      <c r="BW16" s="4">
        <f>Invoices!AD16</f>
        <v>150.37</v>
      </c>
      <c r="BX16" s="4">
        <f t="shared" si="17"/>
        <v>0</v>
      </c>
      <c r="BY16" s="4">
        <f>Invoices!W16</f>
        <v>166.32</v>
      </c>
      <c r="BZ16" s="11">
        <f>ROUND(Invoices!Z16/Terms!$B$9,4)</f>
        <v>0.27</v>
      </c>
      <c r="CA16" s="4">
        <f>Invoices!AC16</f>
        <v>0</v>
      </c>
      <c r="CB16" t="str">
        <f t="shared" si="18"/>
        <v/>
      </c>
      <c r="CC16" t="str">
        <f t="shared" si="19"/>
        <v/>
      </c>
    </row>
    <row r="17" spans="1:81" x14ac:dyDescent="0.2">
      <c r="A17" t="str">
        <f>Invoices!A17</f>
        <v>NFL-90326</v>
      </c>
      <c r="B17">
        <f>Invoices!B17</f>
        <v>217669</v>
      </c>
      <c r="C17">
        <f>IFERROR(INDEX('Pro Matches'!$C$4:$C$4,MATCH(B17,'Pro Matches'!$A$4:$A$4,0)),B17)</f>
        <v>217669</v>
      </c>
      <c r="D17" t="str">
        <f>IFERROR(INDEX(BOL!$C$4:$C$25,MATCH(C17,BOL!$B$4:$B$25,0)),INDEX(BOL!$P$4:$P$25,MATCH(C17,BOL!$O$4:$O$25,0)))</f>
        <v>09/15/2026</v>
      </c>
      <c r="E17" t="str">
        <f>IFERROR(INDEX(BOL!$E$4:$E$25,MATCH(C17,BOL!$B$4:$B$25,0)),INDEX(BOL!$R$4:$R$25,MATCH(C17,BOL!$O$4:$O$25,0)))</f>
        <v>MT</v>
      </c>
      <c r="F17" t="str">
        <f>IFERROR(INDEX(BOL!$F$4:$F$25,MATCH(C17,BOL!$B$4:$B$25,0)),INDEX(BOL!$S$4:$S$25,MATCH(C17,BOL!$O$4:$O$25,0)))</f>
        <v>Metal roofing panels</v>
      </c>
      <c r="G17">
        <f>IFERROR(INDEX(BOL!$H$4:$H$25,MATCH(C17,BOL!$B$4:$B$25,0)),INDEX(BOL!$U$4:$U$25,MATCH(C17,BOL!$O$4:$O$25,0)))</f>
        <v>5380</v>
      </c>
      <c r="H17">
        <f>Invoices!F17</f>
        <v>5380</v>
      </c>
      <c r="I17" t="str">
        <f>IF(COUNTIFS('Billing File'!$A$4:$A$12,C17,'Billing File'!$G$4:$G$12,"4.5 weight",'Billing File'!$F$4:$F$12,"Yes")&gt;0,"Yes","No")</f>
        <v>No</v>
      </c>
      <c r="J17">
        <f>IF(AND(I17="Yes",H17&gt;G17*(1+Terms!$B$6)),H17,G17)</f>
        <v>5380</v>
      </c>
      <c r="K17">
        <f>INDEX(Tariff!$L$4:$L$9,MATCH(F17,Tariff!$K$4:$K$9,0))</f>
        <v>70</v>
      </c>
      <c r="L17">
        <f>Invoices!G17</f>
        <v>70</v>
      </c>
      <c r="M17" t="str">
        <f>IF(COUNTIFS('Billing File'!$A$4:$A$12,C17,'Billing File'!$G$4:$G$12,"4.3 class",'Billing File'!$F$4:$F$12,"Yes")&gt;0,"Yes","No")</f>
        <v>No</v>
      </c>
      <c r="N17">
        <f t="shared" si="0"/>
        <v>70</v>
      </c>
      <c r="O17" s="9">
        <f>INDEX(Tariff!$I$4:$I$10,MATCH(N17,Tariff!$H$4:$H$10,0))</f>
        <v>1</v>
      </c>
      <c r="P17">
        <f>MATCH(J17,Tariff!$B$12:$F$12,1)</f>
        <v>5</v>
      </c>
      <c r="Q17" s="9">
        <f>INDEX(Tariff!$B$4:$F$10,MATCH(E17,Tariff!$A$4:$A$10,0),P17)</f>
        <v>40.6</v>
      </c>
      <c r="R17" s="4">
        <f t="shared" si="1"/>
        <v>2184.28</v>
      </c>
      <c r="S17" s="4">
        <f>IF(P17&lt;5,ROUND(INDEX(Tariff!$B$12:$F$12,P17+1)/100*INDEX(Tariff!$B$4:$F$10,MATCH(E17,Tariff!$A$4:$A$10,0),P17+1)*O17,2),R17)</f>
        <v>2184.28</v>
      </c>
      <c r="T17" s="4">
        <f t="shared" si="2"/>
        <v>2184.28</v>
      </c>
      <c r="U17" s="4">
        <f>MAX(ROUND(T17*(1-Terms!$B$4),2),Terms!$B$5)</f>
        <v>830.03</v>
      </c>
      <c r="V17" t="str">
        <f t="shared" si="3"/>
        <v>09/14/2026</v>
      </c>
      <c r="W17" s="11">
        <f>INDEX('Fuel Index'!$C$4:$C$12,MATCH(V17,'Fuel Index'!$A$4:$A$12,0))</f>
        <v>0.26</v>
      </c>
      <c r="X17" s="4">
        <f t="shared" si="4"/>
        <v>215.81</v>
      </c>
      <c r="Y17" t="str">
        <f>IFERROR(INDEX(BOL!$I$4:$I$25,MATCH(C17,BOL!$B$4:$B$25,0)),INDEX(BOL!$V$4:$V$25,MATCH(C17,BOL!$O$4:$O$25,0)))</f>
        <v>N</v>
      </c>
      <c r="Z17" t="str">
        <f>IFERROR(INDEX(BOL!$J$4:$J$25,MATCH(C17,BOL!$B$4:$B$25,0)),INDEX(BOL!$W$4:$W$25,MATCH(C17,BOL!$O$4:$O$25,0)))</f>
        <v>N</v>
      </c>
      <c r="AA17" t="str">
        <f>IFERROR(INDEX(BOL!$K$4:$K$25,MATCH(C17,BOL!$B$4:$B$25,0)),INDEX(BOL!$X$4:$X$25,MATCH(C17,BOL!$O$4:$O$25,0)))</f>
        <v>N</v>
      </c>
      <c r="AB17" t="str">
        <f>IFERROR(INDEX(BOL!$L$4:$L$25,MATCH(C17,BOL!$B$4:$B$25,0)),INDEX(BOL!$Y$4:$Y$25,MATCH(C17,BOL!$O$4:$O$25,0)))</f>
        <v>N</v>
      </c>
      <c r="AC17" s="4">
        <f>(Y17="Y")*Tariff!$O$4+(Z17="Y")*Tariff!$O$5+(AA17="Y")*Tariff!$O$6+(AB17="Y")*Tariff!$O$7</f>
        <v>0</v>
      </c>
      <c r="AD17" s="4">
        <f>SUMIFS(Confirmations!$G$4:$G$6,Confirmations!$A$4:$A$6,C17,Confirmations!$H$4:$H$6,"Yes")</f>
        <v>0</v>
      </c>
      <c r="AE17" s="4">
        <f t="shared" si="5"/>
        <v>0</v>
      </c>
      <c r="AF17" t="str">
        <f>IF(COUNTIFS(Invoices!$B$4:$Q$26,B17,Invoices!$A$4:$P$26,"&lt;"&amp;A17)&gt;0,"Yes","No")</f>
        <v>No</v>
      </c>
      <c r="AG17" s="4">
        <f t="shared" si="6"/>
        <v>1045.84</v>
      </c>
      <c r="AH17" s="4">
        <f>Invoices!O17</f>
        <v>1045.84</v>
      </c>
      <c r="AI17" s="4">
        <f t="shared" si="7"/>
        <v>0</v>
      </c>
      <c r="AJ17" s="4">
        <f>Invoices!H17</f>
        <v>2184.28</v>
      </c>
      <c r="AK17" s="11">
        <f>ROUND(Invoices!K17/Terms!$B$9,4)</f>
        <v>0.26</v>
      </c>
      <c r="AL17" s="4">
        <f>Invoices!N17</f>
        <v>0</v>
      </c>
      <c r="AM17" t="str">
        <f t="shared" si="8"/>
        <v/>
      </c>
      <c r="AN17" t="str">
        <f t="shared" si="9"/>
        <v/>
      </c>
      <c r="AP17" t="str">
        <f>Invoices!P17</f>
        <v>NFL-90351</v>
      </c>
      <c r="AQ17">
        <f>Invoices!Q17</f>
        <v>217820</v>
      </c>
      <c r="AR17">
        <f>IFERROR(INDEX('Pro Matches'!$C$4:$C$4,MATCH(AQ17,'Pro Matches'!$A$4:$A$4,0)),AQ17)</f>
        <v>217820</v>
      </c>
      <c r="AS17" t="str">
        <f>IFERROR(INDEX(BOL!$C$4:$C$25,MATCH(AR17,BOL!$B$4:$B$25,0)),INDEX(BOL!$P$4:$P$25,MATCH(AR17,BOL!$O$4:$O$25,0)))</f>
        <v>09/28/2026</v>
      </c>
      <c r="AT17" t="str">
        <f>IFERROR(INDEX(BOL!$E$4:$E$25,MATCH(AR17,BOL!$B$4:$B$25,0)),INDEX(BOL!$R$4:$R$25,MATCH(AR17,BOL!$O$4:$O$25,0)))</f>
        <v>IA</v>
      </c>
      <c r="AU17" t="str">
        <f>IFERROR(INDEX(BOL!$F$4:$F$25,MATCH(AR17,BOL!$B$4:$B$25,0)),INDEX(BOL!$S$4:$S$25,MATCH(AR17,BOL!$O$4:$O$25,0)))</f>
        <v>Metal roofing panels</v>
      </c>
      <c r="AV17">
        <f>IFERROR(INDEX(BOL!$H$4:$H$25,MATCH(AR17,BOL!$B$4:$B$25,0)),INDEX(BOL!$U$4:$U$25,MATCH(AR17,BOL!$O$4:$O$25,0)))</f>
        <v>1310</v>
      </c>
      <c r="AW17">
        <f>Invoices!U17</f>
        <v>1620</v>
      </c>
      <c r="AX17" t="str">
        <f>IF(COUNTIFS('Billing File'!$A$4:$A$12,AR17,'Billing File'!$G$4:$G$12,"4.5 weight",'Billing File'!$F$4:$F$12,"Yes")&gt;0,"Yes","No")</f>
        <v>No</v>
      </c>
      <c r="AY17">
        <f>IF(AND(AX17="Yes",AW17&gt;AV17*(1+Terms!$B$6)),AW17,AV17)</f>
        <v>1310</v>
      </c>
      <c r="AZ17">
        <f>INDEX(Tariff!$L$4:$L$9,MATCH(AU17,Tariff!$K$4:$K$9,0))</f>
        <v>70</v>
      </c>
      <c r="BA17">
        <f>Invoices!V17</f>
        <v>70</v>
      </c>
      <c r="BB17" t="str">
        <f>IF(COUNTIFS('Billing File'!$A$4:$A$12,AR17,'Billing File'!$G$4:$G$12,"4.3 class",'Billing File'!$F$4:$F$12,"Yes")&gt;0,"Yes","No")</f>
        <v>No</v>
      </c>
      <c r="BC17">
        <f t="shared" si="10"/>
        <v>70</v>
      </c>
      <c r="BD17" s="9">
        <f>INDEX(Tariff!$I$4:$I$10,MATCH(BC17,Tariff!$H$4:$H$10,0))</f>
        <v>1</v>
      </c>
      <c r="BE17">
        <f>MATCH(AY17,Tariff!$B$12:$F$12,1)</f>
        <v>3</v>
      </c>
      <c r="BF17" s="9">
        <f>INDEX(Tariff!$B$4:$F$10,MATCH(AT17,Tariff!$A$4:$A$10,0),BE17)</f>
        <v>47.6</v>
      </c>
      <c r="BG17" s="4">
        <f t="shared" si="11"/>
        <v>623.56</v>
      </c>
      <c r="BH17" s="4">
        <f>IF(BE17&lt;5,ROUND(INDEX(Tariff!$B$12:$F$12,BE17+1)/100*INDEX(Tariff!$B$4:$F$10,MATCH(AT17,Tariff!$A$4:$A$10,0),BE17+1)*BD17,2),BG17)</f>
        <v>782</v>
      </c>
      <c r="BI17" s="4">
        <f t="shared" si="12"/>
        <v>623.56</v>
      </c>
      <c r="BJ17" s="4">
        <f>MAX(ROUND(BI17*(1-Terms!$B$4),2),Terms!$B$5)</f>
        <v>236.95</v>
      </c>
      <c r="BK17" t="str">
        <f t="shared" si="13"/>
        <v>09/28/2026</v>
      </c>
      <c r="BL17" s="11">
        <f>INDEX('Fuel Index'!$C$4:$C$12,MATCH(BK17,'Fuel Index'!$A$4:$A$12,0))</f>
        <v>0.27</v>
      </c>
      <c r="BM17" s="4">
        <f t="shared" si="14"/>
        <v>63.98</v>
      </c>
      <c r="BN17" t="str">
        <f>IFERROR(INDEX(BOL!$I$4:$I$25,MATCH(AR17,BOL!$B$4:$B$25,0)),INDEX(BOL!$V$4:$V$25,MATCH(AR17,BOL!$O$4:$O$25,0)))</f>
        <v>N</v>
      </c>
      <c r="BO17" t="str">
        <f>IFERROR(INDEX(BOL!$J$4:$J$25,MATCH(AR17,BOL!$B$4:$B$25,0)),INDEX(BOL!$W$4:$W$25,MATCH(AR17,BOL!$O$4:$O$25,0)))</f>
        <v>N</v>
      </c>
      <c r="BP17" t="str">
        <f>IFERROR(INDEX(BOL!$K$4:$K$25,MATCH(AR17,BOL!$B$4:$B$25,0)),INDEX(BOL!$X$4:$X$25,MATCH(AR17,BOL!$O$4:$O$25,0)))</f>
        <v>N</v>
      </c>
      <c r="BQ17" t="str">
        <f>IFERROR(INDEX(BOL!$L$4:$L$25,MATCH(AR17,BOL!$B$4:$B$25,0)),INDEX(BOL!$Y$4:$Y$25,MATCH(AR17,BOL!$O$4:$O$25,0)))</f>
        <v>N</v>
      </c>
      <c r="BR17" s="4">
        <f>(BN17="Y")*Tariff!$O$4+(BO17="Y")*Tariff!$O$5+(BP17="Y")*Tariff!$O$6+(BQ17="Y")*Tariff!$O$7</f>
        <v>0</v>
      </c>
      <c r="BS17" s="4">
        <f>SUMIFS(Confirmations!$G$4:$G$6,Confirmations!$A$4:$A$6,AR17,Confirmations!$H$4:$H$6,"Yes")</f>
        <v>0</v>
      </c>
      <c r="BT17" s="4">
        <f t="shared" si="15"/>
        <v>0</v>
      </c>
      <c r="BU17" t="str">
        <f>IF(COUNTIFS(Invoices!$B$4:$Q$26,AQ17,Invoices!$A$4:$P$26,"&lt;"&amp;AP17)&gt;0,"Yes","No")</f>
        <v>No</v>
      </c>
      <c r="BV17" s="4">
        <f t="shared" si="16"/>
        <v>300.93</v>
      </c>
      <c r="BW17" s="4">
        <f>Invoices!AD17</f>
        <v>372.15</v>
      </c>
      <c r="BX17" s="4">
        <f t="shared" si="17"/>
        <v>71.22</v>
      </c>
      <c r="BY17" s="4">
        <f>Invoices!W17</f>
        <v>771.12</v>
      </c>
      <c r="BZ17" s="11">
        <f>ROUND(Invoices!Z17/Terms!$B$9,4)</f>
        <v>0.27</v>
      </c>
      <c r="CA17" s="4">
        <f>Invoices!AC17</f>
        <v>0</v>
      </c>
      <c r="CB17" t="str">
        <f t="shared" si="18"/>
        <v>4.5 reweigh</v>
      </c>
      <c r="CC17" t="str">
        <f t="shared" si="19"/>
        <v/>
      </c>
    </row>
    <row r="18" spans="1:81" x14ac:dyDescent="0.2">
      <c r="A18" t="str">
        <f>Invoices!A18</f>
        <v>NFL-90327</v>
      </c>
      <c r="B18">
        <f>Invoices!B18</f>
        <v>217649</v>
      </c>
      <c r="C18">
        <f>IFERROR(INDEX('Pro Matches'!$C$4:$C$4,MATCH(B18,'Pro Matches'!$A$4:$A$4,0)),B18)</f>
        <v>217649</v>
      </c>
      <c r="D18" t="str">
        <f>IFERROR(INDEX(BOL!$C$4:$C$25,MATCH(C18,BOL!$B$4:$B$25,0)),INDEX(BOL!$P$4:$P$25,MATCH(C18,BOL!$O$4:$O$25,0)))</f>
        <v>09/14/2026</v>
      </c>
      <c r="E18" t="str">
        <f>IFERROR(INDEX(BOL!$E$4:$E$25,MATCH(C18,BOL!$B$4:$B$25,0)),INDEX(BOL!$R$4:$R$25,MATCH(C18,BOL!$O$4:$O$25,0)))</f>
        <v>MN</v>
      </c>
      <c r="F18" t="str">
        <f>IFERROR(INDEX(BOL!$F$4:$F$25,MATCH(C18,BOL!$B$4:$B$25,0)),INDEX(BOL!$S$4:$S$25,MATCH(C18,BOL!$O$4:$O$25,0)))</f>
        <v>Sealants and coatings</v>
      </c>
      <c r="G18">
        <f>IFERROR(INDEX(BOL!$H$4:$H$25,MATCH(C18,BOL!$B$4:$B$25,0)),INDEX(BOL!$U$4:$U$25,MATCH(C18,BOL!$O$4:$O$25,0)))</f>
        <v>380</v>
      </c>
      <c r="H18">
        <f>Invoices!F18</f>
        <v>380</v>
      </c>
      <c r="I18" t="str">
        <f>IF(COUNTIFS('Billing File'!$A$4:$A$12,C18,'Billing File'!$G$4:$G$12,"4.5 weight",'Billing File'!$F$4:$F$12,"Yes")&gt;0,"Yes","No")</f>
        <v>No</v>
      </c>
      <c r="J18">
        <f>IF(AND(I18="Yes",H18&gt;G18*(1+Terms!$B$6)),H18,G18)</f>
        <v>380</v>
      </c>
      <c r="K18">
        <f>INDEX(Tariff!$L$4:$L$9,MATCH(F18,Tariff!$K$4:$K$9,0))</f>
        <v>85</v>
      </c>
      <c r="L18">
        <f>Invoices!G18</f>
        <v>85</v>
      </c>
      <c r="M18" t="str">
        <f>IF(COUNTIFS('Billing File'!$A$4:$A$12,C18,'Billing File'!$G$4:$G$12,"4.3 class",'Billing File'!$F$4:$F$12,"Yes")&gt;0,"Yes","No")</f>
        <v>No</v>
      </c>
      <c r="N18">
        <f t="shared" si="0"/>
        <v>85</v>
      </c>
      <c r="O18" s="9">
        <f>INDEX(Tariff!$I$4:$I$10,MATCH(N18,Tariff!$H$4:$H$10,0))</f>
        <v>1.15</v>
      </c>
      <c r="P18">
        <f>MATCH(J18,Tariff!$B$12:$F$12,1)</f>
        <v>1</v>
      </c>
      <c r="Q18" s="9">
        <f>INDEX(Tariff!$B$4:$F$10,MATCH(E18,Tariff!$A$4:$A$10,0),P18)</f>
        <v>58.4</v>
      </c>
      <c r="R18" s="4">
        <f t="shared" si="1"/>
        <v>255.21</v>
      </c>
      <c r="S18" s="4">
        <f>IF(P18&lt;5,ROUND(INDEX(Tariff!$B$12:$F$12,P18+1)/100*INDEX(Tariff!$B$4:$F$10,MATCH(E18,Tariff!$A$4:$A$10,0),P18+1)*O18,2),R18)</f>
        <v>282.33</v>
      </c>
      <c r="T18" s="4">
        <f t="shared" si="2"/>
        <v>255.21</v>
      </c>
      <c r="U18" s="4">
        <f>MAX(ROUND(T18*(1-Terms!$B$4),2),Terms!$B$5)</f>
        <v>118.4</v>
      </c>
      <c r="V18" t="str">
        <f t="shared" si="3"/>
        <v>09/14/2026</v>
      </c>
      <c r="W18" s="11">
        <f>INDEX('Fuel Index'!$C$4:$C$12,MATCH(V18,'Fuel Index'!$A$4:$A$12,0))</f>
        <v>0.26</v>
      </c>
      <c r="X18" s="4">
        <f t="shared" si="4"/>
        <v>30.78</v>
      </c>
      <c r="Y18" t="str">
        <f>IFERROR(INDEX(BOL!$I$4:$I$25,MATCH(C18,BOL!$B$4:$B$25,0)),INDEX(BOL!$V$4:$V$25,MATCH(C18,BOL!$O$4:$O$25,0)))</f>
        <v>N</v>
      </c>
      <c r="Z18" t="str">
        <f>IFERROR(INDEX(BOL!$J$4:$J$25,MATCH(C18,BOL!$B$4:$B$25,0)),INDEX(BOL!$W$4:$W$25,MATCH(C18,BOL!$O$4:$O$25,0)))</f>
        <v>N</v>
      </c>
      <c r="AA18" t="str">
        <f>IFERROR(INDEX(BOL!$K$4:$K$25,MATCH(C18,BOL!$B$4:$B$25,0)),INDEX(BOL!$X$4:$X$25,MATCH(C18,BOL!$O$4:$O$25,0)))</f>
        <v>N</v>
      </c>
      <c r="AB18" t="str">
        <f>IFERROR(INDEX(BOL!$L$4:$L$25,MATCH(C18,BOL!$B$4:$B$25,0)),INDEX(BOL!$Y$4:$Y$25,MATCH(C18,BOL!$O$4:$O$25,0)))</f>
        <v>N</v>
      </c>
      <c r="AC18" s="4">
        <f>(Y18="Y")*Tariff!$O$4+(Z18="Y")*Tariff!$O$5+(AA18="Y")*Tariff!$O$6+(AB18="Y")*Tariff!$O$7</f>
        <v>0</v>
      </c>
      <c r="AD18" s="4">
        <f>SUMIFS(Confirmations!$G$4:$G$6,Confirmations!$A$4:$A$6,C18,Confirmations!$H$4:$H$6,"Yes")</f>
        <v>0</v>
      </c>
      <c r="AE18" s="4">
        <f t="shared" si="5"/>
        <v>0</v>
      </c>
      <c r="AF18" t="str">
        <f>IF(COUNTIFS(Invoices!$B$4:$Q$26,B18,Invoices!$A$4:$P$26,"&lt;"&amp;A18)&gt;0,"Yes","No")</f>
        <v>No</v>
      </c>
      <c r="AG18" s="4">
        <f t="shared" si="6"/>
        <v>149.18</v>
      </c>
      <c r="AH18" s="4">
        <f>Invoices!O18</f>
        <v>149.18</v>
      </c>
      <c r="AI18" s="4">
        <f t="shared" si="7"/>
        <v>0</v>
      </c>
      <c r="AJ18" s="4">
        <f>Invoices!H18</f>
        <v>255.21</v>
      </c>
      <c r="AK18" s="11">
        <f>ROUND(Invoices!K18/Terms!$B$9,4)</f>
        <v>0.26</v>
      </c>
      <c r="AL18" s="4">
        <f>Invoices!N18</f>
        <v>0</v>
      </c>
      <c r="AM18" t="str">
        <f t="shared" si="8"/>
        <v/>
      </c>
      <c r="AN18" t="str">
        <f t="shared" si="9"/>
        <v/>
      </c>
      <c r="AP18" t="str">
        <f>Invoices!P18</f>
        <v>NFL-90352</v>
      </c>
      <c r="AQ18">
        <f>Invoices!Q18</f>
        <v>217876</v>
      </c>
      <c r="AR18">
        <f>IFERROR(INDEX('Pro Matches'!$C$4:$C$4,MATCH(AQ18,'Pro Matches'!$A$4:$A$4,0)),AQ18)</f>
        <v>217867</v>
      </c>
      <c r="AS18" t="str">
        <f>IFERROR(INDEX(BOL!$C$4:$C$25,MATCH(AR18,BOL!$B$4:$B$25,0)),INDEX(BOL!$P$4:$P$25,MATCH(AR18,BOL!$O$4:$O$25,0)))</f>
        <v>09/23/2026</v>
      </c>
      <c r="AT18" t="str">
        <f>IFERROR(INDEX(BOL!$E$4:$E$25,MATCH(AR18,BOL!$B$4:$B$25,0)),INDEX(BOL!$R$4:$R$25,MATCH(AR18,BOL!$O$4:$O$25,0)))</f>
        <v>ND</v>
      </c>
      <c r="AU18" t="str">
        <f>IFERROR(INDEX(BOL!$F$4:$F$25,MATCH(AR18,BOL!$B$4:$B$25,0)),INDEX(BOL!$S$4:$S$25,MATCH(AR18,BOL!$O$4:$O$25,0)))</f>
        <v>Vinyl siding</v>
      </c>
      <c r="AV18">
        <f>IFERROR(INDEX(BOL!$H$4:$H$25,MATCH(AR18,BOL!$B$4:$B$25,0)),INDEX(BOL!$U$4:$U$25,MATCH(AR18,BOL!$O$4:$O$25,0)))</f>
        <v>1720</v>
      </c>
      <c r="AW18">
        <f>Invoices!U18</f>
        <v>1720</v>
      </c>
      <c r="AX18" t="str">
        <f>IF(COUNTIFS('Billing File'!$A$4:$A$12,AR18,'Billing File'!$G$4:$G$12,"4.5 weight",'Billing File'!$F$4:$F$12,"Yes")&gt;0,"Yes","No")</f>
        <v>No</v>
      </c>
      <c r="AY18">
        <f>IF(AND(AX18="Yes",AW18&gt;AV18*(1+Terms!$B$6)),AW18,AV18)</f>
        <v>1720</v>
      </c>
      <c r="AZ18">
        <f>INDEX(Tariff!$L$4:$L$9,MATCH(AU18,Tariff!$K$4:$K$9,0))</f>
        <v>92.5</v>
      </c>
      <c r="BA18">
        <f>Invoices!V18</f>
        <v>92.5</v>
      </c>
      <c r="BB18" t="str">
        <f>IF(COUNTIFS('Billing File'!$A$4:$A$12,AR18,'Billing File'!$G$4:$G$12,"4.3 class",'Billing File'!$F$4:$F$12,"Yes")&gt;0,"Yes","No")</f>
        <v>No</v>
      </c>
      <c r="BC18">
        <f t="shared" si="10"/>
        <v>92.5</v>
      </c>
      <c r="BD18" s="9">
        <f>INDEX(Tariff!$I$4:$I$10,MATCH(BC18,Tariff!$H$4:$H$10,0))</f>
        <v>1.3</v>
      </c>
      <c r="BE18">
        <f>MATCH(AY18,Tariff!$B$12:$F$12,1)</f>
        <v>3</v>
      </c>
      <c r="BF18" s="9">
        <f>INDEX(Tariff!$B$4:$F$10,MATCH(AT18,Tariff!$A$4:$A$10,0),BE18)</f>
        <v>32.15</v>
      </c>
      <c r="BG18" s="4">
        <f t="shared" si="11"/>
        <v>718.87</v>
      </c>
      <c r="BH18" s="4">
        <f>IF(BE18&lt;5,ROUND(INDEX(Tariff!$B$12:$F$12,BE18+1)/100*INDEX(Tariff!$B$4:$F$10,MATCH(AT18,Tariff!$A$4:$A$10,0),BE18+1)*BD18,2),BG18)</f>
        <v>686.4</v>
      </c>
      <c r="BI18" s="4">
        <f t="shared" si="12"/>
        <v>686.4</v>
      </c>
      <c r="BJ18" s="4">
        <f>MAX(ROUND(BI18*(1-Terms!$B$4),2),Terms!$B$5)</f>
        <v>260.83</v>
      </c>
      <c r="BK18" t="str">
        <f t="shared" si="13"/>
        <v>09/21/2026</v>
      </c>
      <c r="BL18" s="11">
        <f>INDEX('Fuel Index'!$C$4:$C$12,MATCH(BK18,'Fuel Index'!$A$4:$A$12,0))</f>
        <v>0.275</v>
      </c>
      <c r="BM18" s="4">
        <f t="shared" si="14"/>
        <v>71.73</v>
      </c>
      <c r="BN18" t="str">
        <f>IFERROR(INDEX(BOL!$I$4:$I$25,MATCH(AR18,BOL!$B$4:$B$25,0)),INDEX(BOL!$V$4:$V$25,MATCH(AR18,BOL!$O$4:$O$25,0)))</f>
        <v>N</v>
      </c>
      <c r="BO18" t="str">
        <f>IFERROR(INDEX(BOL!$J$4:$J$25,MATCH(AR18,BOL!$B$4:$B$25,0)),INDEX(BOL!$W$4:$W$25,MATCH(AR18,BOL!$O$4:$O$25,0)))</f>
        <v>N</v>
      </c>
      <c r="BP18" t="str">
        <f>IFERROR(INDEX(BOL!$K$4:$K$25,MATCH(AR18,BOL!$B$4:$B$25,0)),INDEX(BOL!$X$4:$X$25,MATCH(AR18,BOL!$O$4:$O$25,0)))</f>
        <v>N</v>
      </c>
      <c r="BQ18" t="str">
        <f>IFERROR(INDEX(BOL!$L$4:$L$25,MATCH(AR18,BOL!$B$4:$B$25,0)),INDEX(BOL!$Y$4:$Y$25,MATCH(AR18,BOL!$O$4:$O$25,0)))</f>
        <v>N</v>
      </c>
      <c r="BR18" s="4">
        <f>(BN18="Y")*Tariff!$O$4+(BO18="Y")*Tariff!$O$5+(BP18="Y")*Tariff!$O$6+(BQ18="Y")*Tariff!$O$7</f>
        <v>0</v>
      </c>
      <c r="BS18" s="4">
        <f>SUMIFS(Confirmations!$G$4:$G$6,Confirmations!$A$4:$A$6,AR18,Confirmations!$H$4:$H$6,"Yes")</f>
        <v>0</v>
      </c>
      <c r="BT18" s="4">
        <f t="shared" si="15"/>
        <v>0</v>
      </c>
      <c r="BU18" t="str">
        <f>IF(COUNTIFS(Invoices!$B$4:$Q$26,AQ18,Invoices!$A$4:$P$26,"&lt;"&amp;AP18)&gt;0,"Yes","No")</f>
        <v>No</v>
      </c>
      <c r="BV18" s="4">
        <f t="shared" si="16"/>
        <v>332.56</v>
      </c>
      <c r="BW18" s="4">
        <f>Invoices!AD18</f>
        <v>332.56</v>
      </c>
      <c r="BX18" s="4">
        <f t="shared" si="17"/>
        <v>0</v>
      </c>
      <c r="BY18" s="4">
        <f>Invoices!W18</f>
        <v>686.4</v>
      </c>
      <c r="BZ18" s="11">
        <f>ROUND(Invoices!Z18/Terms!$B$9,4)</f>
        <v>0.275</v>
      </c>
      <c r="CA18" s="4">
        <f>Invoices!AC18</f>
        <v>0</v>
      </c>
      <c r="CB18" t="str">
        <f t="shared" si="18"/>
        <v/>
      </c>
      <c r="CC18" t="str">
        <f t="shared" si="19"/>
        <v>corrected pro number</v>
      </c>
    </row>
    <row r="19" spans="1:81" x14ac:dyDescent="0.2">
      <c r="A19" t="str">
        <f>Invoices!A19</f>
        <v>NFL-90328</v>
      </c>
      <c r="B19">
        <f>Invoices!B19</f>
        <v>217792</v>
      </c>
      <c r="C19">
        <f>IFERROR(INDEX('Pro Matches'!$C$4:$C$4,MATCH(B19,'Pro Matches'!$A$4:$A$4,0)),B19)</f>
        <v>217792</v>
      </c>
      <c r="D19" t="str">
        <f>IFERROR(INDEX(BOL!$C$4:$C$25,MATCH(C19,BOL!$B$4:$B$25,0)),INDEX(BOL!$P$4:$P$25,MATCH(C19,BOL!$O$4:$O$25,0)))</f>
        <v>09/14/2026</v>
      </c>
      <c r="E19" t="str">
        <f>IFERROR(INDEX(BOL!$E$4:$E$25,MATCH(C19,BOL!$B$4:$B$25,0)),INDEX(BOL!$R$4:$R$25,MATCH(C19,BOL!$O$4:$O$25,0)))</f>
        <v>NE</v>
      </c>
      <c r="F19" t="str">
        <f>IFERROR(INDEX(BOL!$F$4:$F$25,MATCH(C19,BOL!$B$4:$B$25,0)),INDEX(BOL!$S$4:$S$25,MATCH(C19,BOL!$O$4:$O$25,0)))</f>
        <v>Gypsum and cement board</v>
      </c>
      <c r="G19">
        <f>IFERROR(INDEX(BOL!$H$4:$H$25,MATCH(C19,BOL!$B$4:$B$25,0)),INDEX(BOL!$U$4:$U$25,MATCH(C19,BOL!$O$4:$O$25,0)))</f>
        <v>680</v>
      </c>
      <c r="H19">
        <f>Invoices!F19</f>
        <v>680</v>
      </c>
      <c r="I19" t="str">
        <f>IF(COUNTIFS('Billing File'!$A$4:$A$12,C19,'Billing File'!$G$4:$G$12,"4.5 weight",'Billing File'!$F$4:$F$12,"Yes")&gt;0,"Yes","No")</f>
        <v>No</v>
      </c>
      <c r="J19">
        <f>IF(AND(I19="Yes",H19&gt;G19*(1+Terms!$B$6)),H19,G19)</f>
        <v>680</v>
      </c>
      <c r="K19">
        <f>INDEX(Tariff!$L$4:$L$9,MATCH(F19,Tariff!$K$4:$K$9,0))</f>
        <v>55</v>
      </c>
      <c r="L19">
        <f>Invoices!G19</f>
        <v>70</v>
      </c>
      <c r="M19" t="str">
        <f>IF(COUNTIFS('Billing File'!$A$4:$A$12,C19,'Billing File'!$G$4:$G$12,"4.3 class",'Billing File'!$F$4:$F$12,"Yes")&gt;0,"Yes","No")</f>
        <v>Yes</v>
      </c>
      <c r="N19">
        <f t="shared" si="0"/>
        <v>70</v>
      </c>
      <c r="O19" s="9">
        <f>INDEX(Tariff!$I$4:$I$10,MATCH(N19,Tariff!$H$4:$H$10,0))</f>
        <v>1</v>
      </c>
      <c r="P19">
        <f>MATCH(J19,Tariff!$B$12:$F$12,1)</f>
        <v>2</v>
      </c>
      <c r="Q19" s="9">
        <f>INDEX(Tariff!$B$4:$F$10,MATCH(E19,Tariff!$A$4:$A$10,0),P19)</f>
        <v>58.45</v>
      </c>
      <c r="R19" s="4">
        <f t="shared" si="1"/>
        <v>397.46</v>
      </c>
      <c r="S19" s="4">
        <f>IF(P19&lt;5,ROUND(INDEX(Tariff!$B$12:$F$12,P19+1)/100*INDEX(Tariff!$B$4:$F$10,MATCH(E19,Tariff!$A$4:$A$10,0),P19+1)*O19,2),R19)</f>
        <v>498</v>
      </c>
      <c r="T19" s="4">
        <f t="shared" si="2"/>
        <v>397.46</v>
      </c>
      <c r="U19" s="4">
        <f>MAX(ROUND(T19*(1-Terms!$B$4),2),Terms!$B$5)</f>
        <v>151.03</v>
      </c>
      <c r="V19" t="str">
        <f t="shared" si="3"/>
        <v>09/14/2026</v>
      </c>
      <c r="W19" s="11">
        <f>INDEX('Fuel Index'!$C$4:$C$12,MATCH(V19,'Fuel Index'!$A$4:$A$12,0))</f>
        <v>0.26</v>
      </c>
      <c r="X19" s="4">
        <f t="shared" si="4"/>
        <v>39.27</v>
      </c>
      <c r="Y19" t="str">
        <f>IFERROR(INDEX(BOL!$I$4:$I$25,MATCH(C19,BOL!$B$4:$B$25,0)),INDEX(BOL!$V$4:$V$25,MATCH(C19,BOL!$O$4:$O$25,0)))</f>
        <v>N</v>
      </c>
      <c r="Z19" t="str">
        <f>IFERROR(INDEX(BOL!$J$4:$J$25,MATCH(C19,BOL!$B$4:$B$25,0)),INDEX(BOL!$W$4:$W$25,MATCH(C19,BOL!$O$4:$O$25,0)))</f>
        <v>N</v>
      </c>
      <c r="AA19" t="str">
        <f>IFERROR(INDEX(BOL!$K$4:$K$25,MATCH(C19,BOL!$B$4:$B$25,0)),INDEX(BOL!$X$4:$X$25,MATCH(C19,BOL!$O$4:$O$25,0)))</f>
        <v>N</v>
      </c>
      <c r="AB19" t="str">
        <f>IFERROR(INDEX(BOL!$L$4:$L$25,MATCH(C19,BOL!$B$4:$B$25,0)),INDEX(BOL!$Y$4:$Y$25,MATCH(C19,BOL!$O$4:$O$25,0)))</f>
        <v>N</v>
      </c>
      <c r="AC19" s="4">
        <f>(Y19="Y")*Tariff!$O$4+(Z19="Y")*Tariff!$O$5+(AA19="Y")*Tariff!$O$6+(AB19="Y")*Tariff!$O$7</f>
        <v>0</v>
      </c>
      <c r="AD19" s="4">
        <f>SUMIFS(Confirmations!$G$4:$G$6,Confirmations!$A$4:$A$6,C19,Confirmations!$H$4:$H$6,"Yes")</f>
        <v>0</v>
      </c>
      <c r="AE19" s="4">
        <f t="shared" si="5"/>
        <v>0</v>
      </c>
      <c r="AF19" t="str">
        <f>IF(COUNTIFS(Invoices!$B$4:$Q$26,B19,Invoices!$A$4:$P$26,"&lt;"&amp;A19)&gt;0,"Yes","No")</f>
        <v>No</v>
      </c>
      <c r="AG19" s="4">
        <f t="shared" si="6"/>
        <v>190.3</v>
      </c>
      <c r="AH19" s="4">
        <f>Invoices!O19</f>
        <v>190.3</v>
      </c>
      <c r="AI19" s="4">
        <f t="shared" si="7"/>
        <v>0</v>
      </c>
      <c r="AJ19" s="4">
        <f>Invoices!H19</f>
        <v>397.46</v>
      </c>
      <c r="AK19" s="11">
        <f>ROUND(Invoices!K19/Terms!$B$9,4)</f>
        <v>0.26</v>
      </c>
      <c r="AL19" s="4">
        <f>Invoices!N19</f>
        <v>0</v>
      </c>
      <c r="AM19" t="str">
        <f t="shared" si="8"/>
        <v/>
      </c>
      <c r="AN19" t="str">
        <f t="shared" si="9"/>
        <v>4.3 inspection certificate</v>
      </c>
      <c r="AP19" t="str">
        <f>Invoices!P19</f>
        <v>NFL-90353</v>
      </c>
      <c r="AQ19">
        <f>Invoices!Q19</f>
        <v>217654</v>
      </c>
      <c r="AR19">
        <f>IFERROR(INDEX('Pro Matches'!$C$4:$C$4,MATCH(AQ19,'Pro Matches'!$A$4:$A$4,0)),AQ19)</f>
        <v>217654</v>
      </c>
      <c r="AS19" t="str">
        <f>IFERROR(INDEX(BOL!$C$4:$C$25,MATCH(AR19,BOL!$B$4:$B$25,0)),INDEX(BOL!$P$4:$P$25,MATCH(AR19,BOL!$O$4:$O$25,0)))</f>
        <v>09/29/2026</v>
      </c>
      <c r="AT19" t="str">
        <f>IFERROR(INDEX(BOL!$E$4:$E$25,MATCH(AR19,BOL!$B$4:$B$25,0)),INDEX(BOL!$R$4:$R$25,MATCH(AR19,BOL!$O$4:$O$25,0)))</f>
        <v>IA</v>
      </c>
      <c r="AU19" t="str">
        <f>IFERROR(INDEX(BOL!$F$4:$F$25,MATCH(AR19,BOL!$B$4:$B$25,0)),INDEX(BOL!$S$4:$S$25,MATCH(AR19,BOL!$O$4:$O$25,0)))</f>
        <v>Windows and doors</v>
      </c>
      <c r="AV19">
        <f>IFERROR(INDEX(BOL!$H$4:$H$25,MATCH(AR19,BOL!$B$4:$B$25,0)),INDEX(BOL!$U$4:$U$25,MATCH(AR19,BOL!$O$4:$O$25,0)))</f>
        <v>2650</v>
      </c>
      <c r="AW19">
        <f>Invoices!U19</f>
        <v>2650</v>
      </c>
      <c r="AX19" t="str">
        <f>IF(COUNTIFS('Billing File'!$A$4:$A$12,AR19,'Billing File'!$G$4:$G$12,"4.5 weight",'Billing File'!$F$4:$F$12,"Yes")&gt;0,"Yes","No")</f>
        <v>No</v>
      </c>
      <c r="AY19">
        <f>IF(AND(AX19="Yes",AW19&gt;AV19*(1+Terms!$B$6)),AW19,AV19)</f>
        <v>2650</v>
      </c>
      <c r="AZ19">
        <f>INDEX(Tariff!$L$4:$L$9,MATCH(AU19,Tariff!$K$4:$K$9,0))</f>
        <v>100</v>
      </c>
      <c r="BA19">
        <f>Invoices!V19</f>
        <v>100</v>
      </c>
      <c r="BB19" t="str">
        <f>IF(COUNTIFS('Billing File'!$A$4:$A$12,AR19,'Billing File'!$G$4:$G$12,"4.3 class",'Billing File'!$F$4:$F$12,"Yes")&gt;0,"Yes","No")</f>
        <v>No</v>
      </c>
      <c r="BC19">
        <f t="shared" si="10"/>
        <v>100</v>
      </c>
      <c r="BD19" s="9">
        <f>INDEX(Tariff!$I$4:$I$10,MATCH(BC19,Tariff!$H$4:$H$10,0))</f>
        <v>1.45</v>
      </c>
      <c r="BE19">
        <f>MATCH(AY19,Tariff!$B$12:$F$12,1)</f>
        <v>4</v>
      </c>
      <c r="BF19" s="9">
        <f>INDEX(Tariff!$B$4:$F$10,MATCH(AT19,Tariff!$A$4:$A$10,0),BE19)</f>
        <v>39.1</v>
      </c>
      <c r="BG19" s="4">
        <f t="shared" si="11"/>
        <v>1502.42</v>
      </c>
      <c r="BH19" s="4">
        <f>IF(BE19&lt;5,ROUND(INDEX(Tariff!$B$12:$F$12,BE19+1)/100*INDEX(Tariff!$B$4:$F$10,MATCH(AT19,Tariff!$A$4:$A$10,0),BE19+1)*BD19,2),BG19)</f>
        <v>2309.13</v>
      </c>
      <c r="BI19" s="4">
        <f t="shared" si="12"/>
        <v>1502.42</v>
      </c>
      <c r="BJ19" s="4">
        <f>MAX(ROUND(BI19*(1-Terms!$B$4),2),Terms!$B$5)</f>
        <v>570.92</v>
      </c>
      <c r="BK19" t="str">
        <f t="shared" si="13"/>
        <v>09/28/2026</v>
      </c>
      <c r="BL19" s="11">
        <f>INDEX('Fuel Index'!$C$4:$C$12,MATCH(BK19,'Fuel Index'!$A$4:$A$12,0))</f>
        <v>0.27</v>
      </c>
      <c r="BM19" s="4">
        <f t="shared" si="14"/>
        <v>154.15</v>
      </c>
      <c r="BN19" t="str">
        <f>IFERROR(INDEX(BOL!$I$4:$I$25,MATCH(AR19,BOL!$B$4:$B$25,0)),INDEX(BOL!$V$4:$V$25,MATCH(AR19,BOL!$O$4:$O$25,0)))</f>
        <v>N</v>
      </c>
      <c r="BO19" t="str">
        <f>IFERROR(INDEX(BOL!$J$4:$J$25,MATCH(AR19,BOL!$B$4:$B$25,0)),INDEX(BOL!$W$4:$W$25,MATCH(AR19,BOL!$O$4:$O$25,0)))</f>
        <v>N</v>
      </c>
      <c r="BP19" t="str">
        <f>IFERROR(INDEX(BOL!$K$4:$K$25,MATCH(AR19,BOL!$B$4:$B$25,0)),INDEX(BOL!$X$4:$X$25,MATCH(AR19,BOL!$O$4:$O$25,0)))</f>
        <v>N</v>
      </c>
      <c r="BQ19" t="str">
        <f>IFERROR(INDEX(BOL!$L$4:$L$25,MATCH(AR19,BOL!$B$4:$B$25,0)),INDEX(BOL!$Y$4:$Y$25,MATCH(AR19,BOL!$O$4:$O$25,0)))</f>
        <v>N</v>
      </c>
      <c r="BR19" s="4">
        <f>(BN19="Y")*Tariff!$O$4+(BO19="Y")*Tariff!$O$5+(BP19="Y")*Tariff!$O$6+(BQ19="Y")*Tariff!$O$7</f>
        <v>0</v>
      </c>
      <c r="BS19" s="4">
        <f>SUMIFS(Confirmations!$G$4:$G$6,Confirmations!$A$4:$A$6,AR19,Confirmations!$H$4:$H$6,"Yes")</f>
        <v>0</v>
      </c>
      <c r="BT19" s="4">
        <f t="shared" si="15"/>
        <v>0</v>
      </c>
      <c r="BU19" t="str">
        <f>IF(COUNTIFS(Invoices!$B$4:$Q$26,AQ19,Invoices!$A$4:$P$26,"&lt;"&amp;AP19)&gt;0,"Yes","No")</f>
        <v>No</v>
      </c>
      <c r="BV19" s="4">
        <f t="shared" si="16"/>
        <v>725.07</v>
      </c>
      <c r="BW19" s="4">
        <f>Invoices!AD19</f>
        <v>725.07</v>
      </c>
      <c r="BX19" s="4">
        <f t="shared" si="17"/>
        <v>0</v>
      </c>
      <c r="BY19" s="4">
        <f>Invoices!W19</f>
        <v>1502.42</v>
      </c>
      <c r="BZ19" s="11">
        <f>ROUND(Invoices!Z19/Terms!$B$9,4)</f>
        <v>0.27</v>
      </c>
      <c r="CA19" s="4">
        <f>Invoices!AC19</f>
        <v>0</v>
      </c>
      <c r="CB19" t="str">
        <f t="shared" si="18"/>
        <v/>
      </c>
      <c r="CC19" t="str">
        <f t="shared" si="19"/>
        <v/>
      </c>
    </row>
    <row r="20" spans="1:81" x14ac:dyDescent="0.2">
      <c r="A20" t="str">
        <f>Invoices!A20</f>
        <v>NFL-90330</v>
      </c>
      <c r="B20">
        <f>Invoices!B20</f>
        <v>217861</v>
      </c>
      <c r="C20">
        <f>IFERROR(INDEX('Pro Matches'!$C$4:$C$4,MATCH(B20,'Pro Matches'!$A$4:$A$4,0)),B20)</f>
        <v>217861</v>
      </c>
      <c r="D20" t="str">
        <f>IFERROR(INDEX(BOL!$C$4:$C$25,MATCH(C20,BOL!$B$4:$B$25,0)),INDEX(BOL!$P$4:$P$25,MATCH(C20,BOL!$O$4:$O$25,0)))</f>
        <v>09/14/2026</v>
      </c>
      <c r="E20" t="str">
        <f>IFERROR(INDEX(BOL!$E$4:$E$25,MATCH(C20,BOL!$B$4:$B$25,0)),INDEX(BOL!$R$4:$R$25,MATCH(C20,BOL!$O$4:$O$25,0)))</f>
        <v>MN</v>
      </c>
      <c r="F20" t="str">
        <f>IFERROR(INDEX(BOL!$F$4:$F$25,MATCH(C20,BOL!$B$4:$B$25,0)),INDEX(BOL!$S$4:$S$25,MATCH(C20,BOL!$O$4:$O$25,0)))</f>
        <v>Vinyl siding</v>
      </c>
      <c r="G20">
        <f>IFERROR(INDEX(BOL!$H$4:$H$25,MATCH(C20,BOL!$B$4:$B$25,0)),INDEX(BOL!$U$4:$U$25,MATCH(C20,BOL!$O$4:$O$25,0)))</f>
        <v>770</v>
      </c>
      <c r="H20">
        <f>Invoices!F20</f>
        <v>770</v>
      </c>
      <c r="I20" t="str">
        <f>IF(COUNTIFS('Billing File'!$A$4:$A$12,C20,'Billing File'!$G$4:$G$12,"4.5 weight",'Billing File'!$F$4:$F$12,"Yes")&gt;0,"Yes","No")</f>
        <v>No</v>
      </c>
      <c r="J20">
        <f>IF(AND(I20="Yes",H20&gt;G20*(1+Terms!$B$6)),H20,G20)</f>
        <v>770</v>
      </c>
      <c r="K20">
        <f>INDEX(Tariff!$L$4:$L$9,MATCH(F20,Tariff!$K$4:$K$9,0))</f>
        <v>92.5</v>
      </c>
      <c r="L20">
        <f>Invoices!G20</f>
        <v>92.5</v>
      </c>
      <c r="M20" t="str">
        <f>IF(COUNTIFS('Billing File'!$A$4:$A$12,C20,'Billing File'!$G$4:$G$12,"4.3 class",'Billing File'!$F$4:$F$12,"Yes")&gt;0,"Yes","No")</f>
        <v>No</v>
      </c>
      <c r="N20">
        <f t="shared" si="0"/>
        <v>92.5</v>
      </c>
      <c r="O20" s="9">
        <f>INDEX(Tariff!$I$4:$I$10,MATCH(N20,Tariff!$H$4:$H$10,0))</f>
        <v>1.3</v>
      </c>
      <c r="P20">
        <f>MATCH(J20,Tariff!$B$12:$F$12,1)</f>
        <v>2</v>
      </c>
      <c r="Q20" s="9">
        <f>INDEX(Tariff!$B$4:$F$10,MATCH(E20,Tariff!$A$4:$A$10,0),P20)</f>
        <v>49.1</v>
      </c>
      <c r="R20" s="4">
        <f t="shared" si="1"/>
        <v>491.49</v>
      </c>
      <c r="S20" s="4">
        <f>IF(P20&lt;5,ROUND(INDEX(Tariff!$B$12:$F$12,P20+1)/100*INDEX(Tariff!$B$4:$F$10,MATCH(E20,Tariff!$A$4:$A$10,0),P20+1)*O20,2),R20)</f>
        <v>542.75</v>
      </c>
      <c r="T20" s="4">
        <f t="shared" si="2"/>
        <v>491.49</v>
      </c>
      <c r="U20" s="4">
        <f>MAX(ROUND(T20*(1-Terms!$B$4),2),Terms!$B$5)</f>
        <v>186.77</v>
      </c>
      <c r="V20" t="str">
        <f t="shared" si="3"/>
        <v>09/14/2026</v>
      </c>
      <c r="W20" s="11">
        <f>INDEX('Fuel Index'!$C$4:$C$12,MATCH(V20,'Fuel Index'!$A$4:$A$12,0))</f>
        <v>0.26</v>
      </c>
      <c r="X20" s="4">
        <f t="shared" si="4"/>
        <v>48.56</v>
      </c>
      <c r="Y20" t="str">
        <f>IFERROR(INDEX(BOL!$I$4:$I$25,MATCH(C20,BOL!$B$4:$B$25,0)),INDEX(BOL!$V$4:$V$25,MATCH(C20,BOL!$O$4:$O$25,0)))</f>
        <v>N</v>
      </c>
      <c r="Z20" t="str">
        <f>IFERROR(INDEX(BOL!$J$4:$J$25,MATCH(C20,BOL!$B$4:$B$25,0)),INDEX(BOL!$W$4:$W$25,MATCH(C20,BOL!$O$4:$O$25,0)))</f>
        <v>N</v>
      </c>
      <c r="AA20" t="str">
        <f>IFERROR(INDEX(BOL!$K$4:$K$25,MATCH(C20,BOL!$B$4:$B$25,0)),INDEX(BOL!$X$4:$X$25,MATCH(C20,BOL!$O$4:$O$25,0)))</f>
        <v>N</v>
      </c>
      <c r="AB20" t="str">
        <f>IFERROR(INDEX(BOL!$L$4:$L$25,MATCH(C20,BOL!$B$4:$B$25,0)),INDEX(BOL!$Y$4:$Y$25,MATCH(C20,BOL!$O$4:$O$25,0)))</f>
        <v>N</v>
      </c>
      <c r="AC20" s="4">
        <f>(Y20="Y")*Tariff!$O$4+(Z20="Y")*Tariff!$O$5+(AA20="Y")*Tariff!$O$6+(AB20="Y")*Tariff!$O$7</f>
        <v>0</v>
      </c>
      <c r="AD20" s="4">
        <f>SUMIFS(Confirmations!$G$4:$G$6,Confirmations!$A$4:$A$6,C20,Confirmations!$H$4:$H$6,"Yes")</f>
        <v>75</v>
      </c>
      <c r="AE20" s="4">
        <f t="shared" si="5"/>
        <v>75</v>
      </c>
      <c r="AF20" t="str">
        <f>IF(COUNTIFS(Invoices!$B$4:$Q$26,B20,Invoices!$A$4:$P$26,"&lt;"&amp;A20)&gt;0,"Yes","No")</f>
        <v>No</v>
      </c>
      <c r="AG20" s="4">
        <f t="shared" si="6"/>
        <v>310.33</v>
      </c>
      <c r="AH20" s="4">
        <f>Invoices!O20</f>
        <v>310.33</v>
      </c>
      <c r="AI20" s="4">
        <f t="shared" si="7"/>
        <v>0</v>
      </c>
      <c r="AJ20" s="4">
        <f>Invoices!H20</f>
        <v>491.49</v>
      </c>
      <c r="AK20" s="11">
        <f>ROUND(Invoices!K20/Terms!$B$9,4)</f>
        <v>0.26</v>
      </c>
      <c r="AL20" s="4">
        <f>Invoices!N20</f>
        <v>75</v>
      </c>
      <c r="AM20" t="str">
        <f t="shared" si="8"/>
        <v/>
      </c>
      <c r="AN20" t="str">
        <f t="shared" si="9"/>
        <v>6.1 written confirmation</v>
      </c>
      <c r="AP20" t="str">
        <f>Invoices!P20</f>
        <v>NFL-90354</v>
      </c>
      <c r="AQ20">
        <f>Invoices!Q20</f>
        <v>217902</v>
      </c>
      <c r="AR20">
        <f>IFERROR(INDEX('Pro Matches'!$C$4:$C$4,MATCH(AQ20,'Pro Matches'!$A$4:$A$4,0)),AQ20)</f>
        <v>217902</v>
      </c>
      <c r="AS20" t="str">
        <f>IFERROR(INDEX(BOL!$C$4:$C$25,MATCH(AR20,BOL!$B$4:$B$25,0)),INDEX(BOL!$P$4:$P$25,MATCH(AR20,BOL!$O$4:$O$25,0)))</f>
        <v>09/24/2026</v>
      </c>
      <c r="AT20" t="str">
        <f>IFERROR(INDEX(BOL!$E$4:$E$25,MATCH(AR20,BOL!$B$4:$B$25,0)),INDEX(BOL!$R$4:$R$25,MATCH(AR20,BOL!$O$4:$O$25,0)))</f>
        <v>WI</v>
      </c>
      <c r="AU20" t="str">
        <f>IFERROR(INDEX(BOL!$F$4:$F$25,MATCH(AR20,BOL!$B$4:$B$25,0)),INDEX(BOL!$S$4:$S$25,MATCH(AR20,BOL!$O$4:$O$25,0)))</f>
        <v>Gypsum and cement board</v>
      </c>
      <c r="AV20">
        <f>IFERROR(INDEX(BOL!$H$4:$H$25,MATCH(AR20,BOL!$B$4:$B$25,0)),INDEX(BOL!$U$4:$U$25,MATCH(AR20,BOL!$O$4:$O$25,0)))</f>
        <v>620</v>
      </c>
      <c r="AW20">
        <f>Invoices!U20</f>
        <v>620</v>
      </c>
      <c r="AX20" t="str">
        <f>IF(COUNTIFS('Billing File'!$A$4:$A$12,AR20,'Billing File'!$G$4:$G$12,"4.5 weight",'Billing File'!$F$4:$F$12,"Yes")&gt;0,"Yes","No")</f>
        <v>No</v>
      </c>
      <c r="AY20">
        <f>IF(AND(AX20="Yes",AW20&gt;AV20*(1+Terms!$B$6)),AW20,AV20)</f>
        <v>620</v>
      </c>
      <c r="AZ20">
        <f>INDEX(Tariff!$L$4:$L$9,MATCH(AU20,Tariff!$K$4:$K$9,0))</f>
        <v>55</v>
      </c>
      <c r="BA20">
        <f>Invoices!V20</f>
        <v>55</v>
      </c>
      <c r="BB20" t="str">
        <f>IF(COUNTIFS('Billing File'!$A$4:$A$12,AR20,'Billing File'!$G$4:$G$12,"4.3 class",'Billing File'!$F$4:$F$12,"Yes")&gt;0,"Yes","No")</f>
        <v>No</v>
      </c>
      <c r="BC20">
        <f t="shared" si="10"/>
        <v>55</v>
      </c>
      <c r="BD20" s="9">
        <f>INDEX(Tariff!$I$4:$I$10,MATCH(BC20,Tariff!$H$4:$H$10,0))</f>
        <v>0.88</v>
      </c>
      <c r="BE20">
        <f>MATCH(AY20,Tariff!$B$12:$F$12,1)</f>
        <v>2</v>
      </c>
      <c r="BF20" s="9">
        <f>INDEX(Tariff!$B$4:$F$10,MATCH(AT20,Tariff!$A$4:$A$10,0),BE20)</f>
        <v>59.05</v>
      </c>
      <c r="BG20" s="4">
        <f t="shared" si="11"/>
        <v>322.18</v>
      </c>
      <c r="BH20" s="4">
        <f>IF(BE20&lt;5,ROUND(INDEX(Tariff!$B$12:$F$12,BE20+1)/100*INDEX(Tariff!$B$4:$F$10,MATCH(AT20,Tariff!$A$4:$A$10,0),BE20+1)*BD20,2),BG20)</f>
        <v>442.64</v>
      </c>
      <c r="BI20" s="4">
        <f t="shared" si="12"/>
        <v>322.18</v>
      </c>
      <c r="BJ20" s="4">
        <f>MAX(ROUND(BI20*(1-Terms!$B$4),2),Terms!$B$5)</f>
        <v>122.43</v>
      </c>
      <c r="BK20" t="str">
        <f t="shared" si="13"/>
        <v>09/21/2026</v>
      </c>
      <c r="BL20" s="11">
        <f>INDEX('Fuel Index'!$C$4:$C$12,MATCH(BK20,'Fuel Index'!$A$4:$A$12,0))</f>
        <v>0.275</v>
      </c>
      <c r="BM20" s="4">
        <f t="shared" si="14"/>
        <v>33.67</v>
      </c>
      <c r="BN20" t="str">
        <f>IFERROR(INDEX(BOL!$I$4:$I$25,MATCH(AR20,BOL!$B$4:$B$25,0)),INDEX(BOL!$V$4:$V$25,MATCH(AR20,BOL!$O$4:$O$25,0)))</f>
        <v>N</v>
      </c>
      <c r="BO20" t="str">
        <f>IFERROR(INDEX(BOL!$J$4:$J$25,MATCH(AR20,BOL!$B$4:$B$25,0)),INDEX(BOL!$W$4:$W$25,MATCH(AR20,BOL!$O$4:$O$25,0)))</f>
        <v>N</v>
      </c>
      <c r="BP20" t="str">
        <f>IFERROR(INDEX(BOL!$K$4:$K$25,MATCH(AR20,BOL!$B$4:$B$25,0)),INDEX(BOL!$X$4:$X$25,MATCH(AR20,BOL!$O$4:$O$25,0)))</f>
        <v>Y</v>
      </c>
      <c r="BQ20" t="str">
        <f>IFERROR(INDEX(BOL!$L$4:$L$25,MATCH(AR20,BOL!$B$4:$B$25,0)),INDEX(BOL!$Y$4:$Y$25,MATCH(AR20,BOL!$O$4:$O$25,0)))</f>
        <v>N</v>
      </c>
      <c r="BR20" s="4">
        <f>(BN20="Y")*Tariff!$O$4+(BO20="Y")*Tariff!$O$5+(BP20="Y")*Tariff!$O$6+(BQ20="Y")*Tariff!$O$7</f>
        <v>85</v>
      </c>
      <c r="BS20" s="4">
        <f>SUMIFS(Confirmations!$G$4:$G$6,Confirmations!$A$4:$A$6,AR20,Confirmations!$H$4:$H$6,"Yes")</f>
        <v>0</v>
      </c>
      <c r="BT20" s="4">
        <f t="shared" si="15"/>
        <v>85</v>
      </c>
      <c r="BU20" t="str">
        <f>IF(COUNTIFS(Invoices!$B$4:$Q$26,AQ20,Invoices!$A$4:$P$26,"&lt;"&amp;AP20)&gt;0,"Yes","No")</f>
        <v>No</v>
      </c>
      <c r="BV20" s="4">
        <f t="shared" si="16"/>
        <v>241.1</v>
      </c>
      <c r="BW20" s="4">
        <f>Invoices!AD20</f>
        <v>241.1</v>
      </c>
      <c r="BX20" s="4">
        <f t="shared" si="17"/>
        <v>0</v>
      </c>
      <c r="BY20" s="4">
        <f>Invoices!W20</f>
        <v>322.18</v>
      </c>
      <c r="BZ20" s="11">
        <f>ROUND(Invoices!Z20/Terms!$B$9,4)</f>
        <v>0.275</v>
      </c>
      <c r="CA20" s="4">
        <f>Invoices!AC20</f>
        <v>85</v>
      </c>
      <c r="CB20" t="str">
        <f t="shared" si="18"/>
        <v/>
      </c>
      <c r="CC20" t="str">
        <f t="shared" si="19"/>
        <v/>
      </c>
    </row>
    <row r="21" spans="1:81" x14ac:dyDescent="0.2">
      <c r="A21" t="str">
        <f>Invoices!A21</f>
        <v>NFL-90332</v>
      </c>
      <c r="B21">
        <f>Invoices!B21</f>
        <v>217692</v>
      </c>
      <c r="C21">
        <f>IFERROR(INDEX('Pro Matches'!$C$4:$C$4,MATCH(B21,'Pro Matches'!$A$4:$A$4,0)),B21)</f>
        <v>217692</v>
      </c>
      <c r="D21" t="str">
        <f>IFERROR(INDEX(BOL!$C$4:$C$25,MATCH(C21,BOL!$B$4:$B$25,0)),INDEX(BOL!$P$4:$P$25,MATCH(C21,BOL!$O$4:$O$25,0)))</f>
        <v>09/15/2026</v>
      </c>
      <c r="E21" t="str">
        <f>IFERROR(INDEX(BOL!$E$4:$E$25,MATCH(C21,BOL!$B$4:$B$25,0)),INDEX(BOL!$R$4:$R$25,MATCH(C21,BOL!$O$4:$O$25,0)))</f>
        <v>WI</v>
      </c>
      <c r="F21" t="str">
        <f>IFERROR(INDEX(BOL!$F$4:$F$25,MATCH(C21,BOL!$B$4:$B$25,0)),INDEX(BOL!$S$4:$S$25,MATCH(C21,BOL!$O$4:$O$25,0)))</f>
        <v>Metal roofing panels</v>
      </c>
      <c r="G21">
        <f>IFERROR(INDEX(BOL!$H$4:$H$25,MATCH(C21,BOL!$B$4:$B$25,0)),INDEX(BOL!$U$4:$U$25,MATCH(C21,BOL!$O$4:$O$25,0)))</f>
        <v>4650</v>
      </c>
      <c r="H21">
        <f>Invoices!F21</f>
        <v>4650</v>
      </c>
      <c r="I21" t="str">
        <f>IF(COUNTIFS('Billing File'!$A$4:$A$12,C21,'Billing File'!$G$4:$G$12,"4.5 weight",'Billing File'!$F$4:$F$12,"Yes")&gt;0,"Yes","No")</f>
        <v>No</v>
      </c>
      <c r="J21">
        <f>IF(AND(I21="Yes",H21&gt;G21*(1+Terms!$B$6)),H21,G21)</f>
        <v>4650</v>
      </c>
      <c r="K21">
        <f>INDEX(Tariff!$L$4:$L$9,MATCH(F21,Tariff!$K$4:$K$9,0))</f>
        <v>70</v>
      </c>
      <c r="L21">
        <f>Invoices!G21</f>
        <v>70</v>
      </c>
      <c r="M21" t="str">
        <f>IF(COUNTIFS('Billing File'!$A$4:$A$12,C21,'Billing File'!$G$4:$G$12,"4.3 class",'Billing File'!$F$4:$F$12,"Yes")&gt;0,"Yes","No")</f>
        <v>No</v>
      </c>
      <c r="N21">
        <f t="shared" si="0"/>
        <v>70</v>
      </c>
      <c r="O21" s="9">
        <f>INDEX(Tariff!$I$4:$I$10,MATCH(N21,Tariff!$H$4:$H$10,0))</f>
        <v>1</v>
      </c>
      <c r="P21">
        <f>MATCH(J21,Tariff!$B$12:$F$12,1)</f>
        <v>4</v>
      </c>
      <c r="Q21" s="9">
        <f>INDEX(Tariff!$B$4:$F$10,MATCH(E21,Tariff!$A$4:$A$10,0),P21)</f>
        <v>41.3</v>
      </c>
      <c r="R21" s="4">
        <f t="shared" si="1"/>
        <v>1920.45</v>
      </c>
      <c r="S21" s="4">
        <f>IF(P21&lt;5,ROUND(INDEX(Tariff!$B$12:$F$12,P21+1)/100*INDEX(Tariff!$B$4:$F$10,MATCH(E21,Tariff!$A$4:$A$10,0),P21+1)*O21,2),R21)</f>
        <v>1682.5</v>
      </c>
      <c r="T21" s="4">
        <f t="shared" si="2"/>
        <v>1682.5</v>
      </c>
      <c r="U21" s="4">
        <f>MAX(ROUND(T21*(1-Terms!$B$4),2),Terms!$B$5)</f>
        <v>639.35</v>
      </c>
      <c r="V21" t="str">
        <f t="shared" si="3"/>
        <v>09/14/2026</v>
      </c>
      <c r="W21" s="11">
        <f>INDEX('Fuel Index'!$C$4:$C$12,MATCH(V21,'Fuel Index'!$A$4:$A$12,0))</f>
        <v>0.26</v>
      </c>
      <c r="X21" s="4">
        <f t="shared" si="4"/>
        <v>166.23</v>
      </c>
      <c r="Y21" t="str">
        <f>IFERROR(INDEX(BOL!$I$4:$I$25,MATCH(C21,BOL!$B$4:$B$25,0)),INDEX(BOL!$V$4:$V$25,MATCH(C21,BOL!$O$4:$O$25,0)))</f>
        <v>Y</v>
      </c>
      <c r="Z21" t="str">
        <f>IFERROR(INDEX(BOL!$J$4:$J$25,MATCH(C21,BOL!$B$4:$B$25,0)),INDEX(BOL!$W$4:$W$25,MATCH(C21,BOL!$O$4:$O$25,0)))</f>
        <v>N</v>
      </c>
      <c r="AA21" t="str">
        <f>IFERROR(INDEX(BOL!$K$4:$K$25,MATCH(C21,BOL!$B$4:$B$25,0)),INDEX(BOL!$X$4:$X$25,MATCH(C21,BOL!$O$4:$O$25,0)))</f>
        <v>N</v>
      </c>
      <c r="AB21" t="str">
        <f>IFERROR(INDEX(BOL!$L$4:$L$25,MATCH(C21,BOL!$B$4:$B$25,0)),INDEX(BOL!$Y$4:$Y$25,MATCH(C21,BOL!$O$4:$O$25,0)))</f>
        <v>N</v>
      </c>
      <c r="AC21" s="4">
        <f>(Y21="Y")*Tariff!$O$4+(Z21="Y")*Tariff!$O$5+(AA21="Y")*Tariff!$O$6+(AB21="Y")*Tariff!$O$7</f>
        <v>75</v>
      </c>
      <c r="AD21" s="4">
        <f>SUMIFS(Confirmations!$G$4:$G$6,Confirmations!$A$4:$A$6,C21,Confirmations!$H$4:$H$6,"Yes")</f>
        <v>0</v>
      </c>
      <c r="AE21" s="4">
        <f t="shared" si="5"/>
        <v>75</v>
      </c>
      <c r="AF21" t="str">
        <f>IF(COUNTIFS(Invoices!$B$4:$Q$26,B21,Invoices!$A$4:$P$26,"&lt;"&amp;A21)&gt;0,"Yes","No")</f>
        <v>No</v>
      </c>
      <c r="AG21" s="4">
        <f t="shared" si="6"/>
        <v>880.58</v>
      </c>
      <c r="AH21" s="4">
        <f>Invoices!O21</f>
        <v>994.51</v>
      </c>
      <c r="AI21" s="4">
        <f t="shared" si="7"/>
        <v>113.93</v>
      </c>
      <c r="AJ21" s="4">
        <f>Invoices!H21</f>
        <v>1920.45</v>
      </c>
      <c r="AK21" s="11">
        <f>ROUND(Invoices!K21/Terms!$B$9,4)</f>
        <v>0.26</v>
      </c>
      <c r="AL21" s="4">
        <f>Invoices!N21</f>
        <v>75</v>
      </c>
      <c r="AM21" t="str">
        <f t="shared" si="8"/>
        <v>4.2 deficit weight</v>
      </c>
      <c r="AN21" t="str">
        <f t="shared" si="9"/>
        <v/>
      </c>
      <c r="AP21" t="str">
        <f>Invoices!P21</f>
        <v>NFL-90355</v>
      </c>
      <c r="AQ21">
        <f>Invoices!Q21</f>
        <v>217712</v>
      </c>
      <c r="AR21">
        <f>IFERROR(INDEX('Pro Matches'!$C$4:$C$4,MATCH(AQ21,'Pro Matches'!$A$4:$A$4,0)),AQ21)</f>
        <v>217712</v>
      </c>
      <c r="AS21" t="str">
        <f>IFERROR(INDEX(BOL!$C$4:$C$25,MATCH(AR21,BOL!$B$4:$B$25,0)),INDEX(BOL!$P$4:$P$25,MATCH(AR21,BOL!$O$4:$O$25,0)))</f>
        <v>09/29/2026</v>
      </c>
      <c r="AT21" t="str">
        <f>IFERROR(INDEX(BOL!$E$4:$E$25,MATCH(AR21,BOL!$B$4:$B$25,0)),INDEX(BOL!$R$4:$R$25,MATCH(AR21,BOL!$O$4:$O$25,0)))</f>
        <v>MT</v>
      </c>
      <c r="AU21" t="str">
        <f>IFERROR(INDEX(BOL!$F$4:$F$25,MATCH(AR21,BOL!$B$4:$B$25,0)),INDEX(BOL!$S$4:$S$25,MATCH(AR21,BOL!$O$4:$O$25,0)))</f>
        <v>Vinyl siding</v>
      </c>
      <c r="AV21">
        <f>IFERROR(INDEX(BOL!$H$4:$H$25,MATCH(AR21,BOL!$B$4:$B$25,0)),INDEX(BOL!$U$4:$U$25,MATCH(AR21,BOL!$O$4:$O$25,0)))</f>
        <v>2210</v>
      </c>
      <c r="AW21">
        <f>Invoices!U21</f>
        <v>2290</v>
      </c>
      <c r="AX21" t="str">
        <f>IF(COUNTIFS('Billing File'!$A$4:$A$12,AR21,'Billing File'!$G$4:$G$12,"4.5 weight",'Billing File'!$F$4:$F$12,"Yes")&gt;0,"Yes","No")</f>
        <v>Yes</v>
      </c>
      <c r="AY21">
        <f>IF(AND(AX21="Yes",AW21&gt;AV21*(1+Terms!$B$6)),AW21,AV21)</f>
        <v>2210</v>
      </c>
      <c r="AZ21">
        <f>INDEX(Tariff!$L$4:$L$9,MATCH(AU21,Tariff!$K$4:$K$9,0))</f>
        <v>92.5</v>
      </c>
      <c r="BA21">
        <f>Invoices!V21</f>
        <v>92.5</v>
      </c>
      <c r="BB21" t="str">
        <f>IF(COUNTIFS('Billing File'!$A$4:$A$12,AR21,'Billing File'!$G$4:$G$12,"4.3 class",'Billing File'!$F$4:$F$12,"Yes")&gt;0,"Yes","No")</f>
        <v>No</v>
      </c>
      <c r="BC21">
        <f t="shared" si="10"/>
        <v>92.5</v>
      </c>
      <c r="BD21" s="9">
        <f>INDEX(Tariff!$I$4:$I$10,MATCH(BC21,Tariff!$H$4:$H$10,0))</f>
        <v>1.3</v>
      </c>
      <c r="BE21">
        <f>MATCH(AY21,Tariff!$B$12:$F$12,1)</f>
        <v>4</v>
      </c>
      <c r="BF21" s="9">
        <f>INDEX(Tariff!$B$4:$F$10,MATCH(AT21,Tariff!$A$4:$A$10,0),BE21)</f>
        <v>49.95</v>
      </c>
      <c r="BG21" s="4">
        <f t="shared" si="11"/>
        <v>1435.06</v>
      </c>
      <c r="BH21" s="4">
        <f>IF(BE21&lt;5,ROUND(INDEX(Tariff!$B$12:$F$12,BE21+1)/100*INDEX(Tariff!$B$4:$F$10,MATCH(AT21,Tariff!$A$4:$A$10,0),BE21+1)*BD21,2),BG21)</f>
        <v>2639</v>
      </c>
      <c r="BI21" s="4">
        <f t="shared" si="12"/>
        <v>1435.06</v>
      </c>
      <c r="BJ21" s="4">
        <f>MAX(ROUND(BI21*(1-Terms!$B$4),2),Terms!$B$5)</f>
        <v>545.32</v>
      </c>
      <c r="BK21" t="str">
        <f t="shared" si="13"/>
        <v>09/28/2026</v>
      </c>
      <c r="BL21" s="11">
        <f>INDEX('Fuel Index'!$C$4:$C$12,MATCH(BK21,'Fuel Index'!$A$4:$A$12,0))</f>
        <v>0.27</v>
      </c>
      <c r="BM21" s="4">
        <f t="shared" si="14"/>
        <v>147.24</v>
      </c>
      <c r="BN21" t="str">
        <f>IFERROR(INDEX(BOL!$I$4:$I$25,MATCH(AR21,BOL!$B$4:$B$25,0)),INDEX(BOL!$V$4:$V$25,MATCH(AR21,BOL!$O$4:$O$25,0)))</f>
        <v>N</v>
      </c>
      <c r="BO21" t="str">
        <f>IFERROR(INDEX(BOL!$J$4:$J$25,MATCH(AR21,BOL!$B$4:$B$25,0)),INDEX(BOL!$W$4:$W$25,MATCH(AR21,BOL!$O$4:$O$25,0)))</f>
        <v>N</v>
      </c>
      <c r="BP21" t="str">
        <f>IFERROR(INDEX(BOL!$K$4:$K$25,MATCH(AR21,BOL!$B$4:$B$25,0)),INDEX(BOL!$X$4:$X$25,MATCH(AR21,BOL!$O$4:$O$25,0)))</f>
        <v>N</v>
      </c>
      <c r="BQ21" t="str">
        <f>IFERROR(INDEX(BOL!$L$4:$L$25,MATCH(AR21,BOL!$B$4:$B$25,0)),INDEX(BOL!$Y$4:$Y$25,MATCH(AR21,BOL!$O$4:$O$25,0)))</f>
        <v>N</v>
      </c>
      <c r="BR21" s="4">
        <f>(BN21="Y")*Tariff!$O$4+(BO21="Y")*Tariff!$O$5+(BP21="Y")*Tariff!$O$6+(BQ21="Y")*Tariff!$O$7</f>
        <v>0</v>
      </c>
      <c r="BS21" s="4">
        <f>SUMIFS(Confirmations!$G$4:$G$6,Confirmations!$A$4:$A$6,AR21,Confirmations!$H$4:$H$6,"Yes")</f>
        <v>0</v>
      </c>
      <c r="BT21" s="4">
        <f t="shared" si="15"/>
        <v>0</v>
      </c>
      <c r="BU21" t="str">
        <f>IF(COUNTIFS(Invoices!$B$4:$Q$26,AQ21,Invoices!$A$4:$P$26,"&lt;"&amp;AP21)&gt;0,"Yes","No")</f>
        <v>No</v>
      </c>
      <c r="BV21" s="4">
        <f t="shared" si="16"/>
        <v>692.56</v>
      </c>
      <c r="BW21" s="4">
        <f>Invoices!AD21</f>
        <v>717.63</v>
      </c>
      <c r="BX21" s="4">
        <f t="shared" si="17"/>
        <v>25.07</v>
      </c>
      <c r="BY21" s="4">
        <f>Invoices!W21</f>
        <v>1487.01</v>
      </c>
      <c r="BZ21" s="11">
        <f>ROUND(Invoices!Z21/Terms!$B$9,4)</f>
        <v>0.27</v>
      </c>
      <c r="CA21" s="4">
        <f>Invoices!AC21</f>
        <v>0</v>
      </c>
      <c r="CB21" t="str">
        <f t="shared" si="18"/>
        <v>4.5 reweigh</v>
      </c>
      <c r="CC21" t="str">
        <f t="shared" si="19"/>
        <v/>
      </c>
    </row>
    <row r="22" spans="1:81" x14ac:dyDescent="0.2">
      <c r="A22" t="str">
        <f>Invoices!A22</f>
        <v>NFL-90333</v>
      </c>
      <c r="B22">
        <f>Invoices!B22</f>
        <v>217766</v>
      </c>
      <c r="C22">
        <f>IFERROR(INDEX('Pro Matches'!$C$4:$C$4,MATCH(B22,'Pro Matches'!$A$4:$A$4,0)),B22)</f>
        <v>217766</v>
      </c>
      <c r="D22" t="str">
        <f>IFERROR(INDEX(BOL!$C$4:$C$25,MATCH(C22,BOL!$B$4:$B$25,0)),INDEX(BOL!$P$4:$P$25,MATCH(C22,BOL!$O$4:$O$25,0)))</f>
        <v>09/16/2026</v>
      </c>
      <c r="E22" t="str">
        <f>IFERROR(INDEX(BOL!$E$4:$E$25,MATCH(C22,BOL!$B$4:$B$25,0)),INDEX(BOL!$R$4:$R$25,MATCH(C22,BOL!$O$4:$O$25,0)))</f>
        <v>MT</v>
      </c>
      <c r="F22" t="str">
        <f>IFERROR(INDEX(BOL!$F$4:$F$25,MATCH(C22,BOL!$B$4:$B$25,0)),INDEX(BOL!$S$4:$S$25,MATCH(C22,BOL!$O$4:$O$25,0)))</f>
        <v>Fasteners and hardware</v>
      </c>
      <c r="G22">
        <f>IFERROR(INDEX(BOL!$H$4:$H$25,MATCH(C22,BOL!$B$4:$B$25,0)),INDEX(BOL!$U$4:$U$25,MATCH(C22,BOL!$O$4:$O$25,0)))</f>
        <v>5960</v>
      </c>
      <c r="H22">
        <f>Invoices!F22</f>
        <v>5960</v>
      </c>
      <c r="I22" t="str">
        <f>IF(COUNTIFS('Billing File'!$A$4:$A$12,C22,'Billing File'!$G$4:$G$12,"4.5 weight",'Billing File'!$F$4:$F$12,"Yes")&gt;0,"Yes","No")</f>
        <v>No</v>
      </c>
      <c r="J22">
        <f>IF(AND(I22="Yes",H22&gt;G22*(1+Terms!$B$6)),H22,G22)</f>
        <v>5960</v>
      </c>
      <c r="K22">
        <f>INDEX(Tariff!$L$4:$L$9,MATCH(F22,Tariff!$K$4:$K$9,0))</f>
        <v>60</v>
      </c>
      <c r="L22">
        <f>Invoices!G22</f>
        <v>60</v>
      </c>
      <c r="M22" t="str">
        <f>IF(COUNTIFS('Billing File'!$A$4:$A$12,C22,'Billing File'!$G$4:$G$12,"4.3 class",'Billing File'!$F$4:$F$12,"Yes")&gt;0,"Yes","No")</f>
        <v>No</v>
      </c>
      <c r="N22">
        <f t="shared" si="0"/>
        <v>60</v>
      </c>
      <c r="O22" s="9">
        <f>INDEX(Tariff!$I$4:$I$10,MATCH(N22,Tariff!$H$4:$H$10,0))</f>
        <v>0.94</v>
      </c>
      <c r="P22">
        <f>MATCH(J22,Tariff!$B$12:$F$12,1)</f>
        <v>5</v>
      </c>
      <c r="Q22" s="9">
        <f>INDEX(Tariff!$B$4:$F$10,MATCH(E22,Tariff!$A$4:$A$10,0),P22)</f>
        <v>40.6</v>
      </c>
      <c r="R22" s="4">
        <f t="shared" si="1"/>
        <v>2274.57</v>
      </c>
      <c r="S22" s="4">
        <f>IF(P22&lt;5,ROUND(INDEX(Tariff!$B$12:$F$12,P22+1)/100*INDEX(Tariff!$B$4:$F$10,MATCH(E22,Tariff!$A$4:$A$10,0),P22+1)*O22,2),R22)</f>
        <v>2274.57</v>
      </c>
      <c r="T22" s="4">
        <f t="shared" si="2"/>
        <v>2274.57</v>
      </c>
      <c r="U22" s="4">
        <f>MAX(ROUND(T22*(1-Terms!$B$4),2),Terms!$B$5)</f>
        <v>864.34</v>
      </c>
      <c r="V22" t="str">
        <f t="shared" si="3"/>
        <v>09/14/2026</v>
      </c>
      <c r="W22" s="11">
        <f>INDEX('Fuel Index'!$C$4:$C$12,MATCH(V22,'Fuel Index'!$A$4:$A$12,0))</f>
        <v>0.26</v>
      </c>
      <c r="X22" s="4">
        <f t="shared" si="4"/>
        <v>224.73</v>
      </c>
      <c r="Y22" t="str">
        <f>IFERROR(INDEX(BOL!$I$4:$I$25,MATCH(C22,BOL!$B$4:$B$25,0)),INDEX(BOL!$V$4:$V$25,MATCH(C22,BOL!$O$4:$O$25,0)))</f>
        <v>N</v>
      </c>
      <c r="Z22" t="str">
        <f>IFERROR(INDEX(BOL!$J$4:$J$25,MATCH(C22,BOL!$B$4:$B$25,0)),INDEX(BOL!$W$4:$W$25,MATCH(C22,BOL!$O$4:$O$25,0)))</f>
        <v>N</v>
      </c>
      <c r="AA22" t="str">
        <f>IFERROR(INDEX(BOL!$K$4:$K$25,MATCH(C22,BOL!$B$4:$B$25,0)),INDEX(BOL!$X$4:$X$25,MATCH(C22,BOL!$O$4:$O$25,0)))</f>
        <v>N</v>
      </c>
      <c r="AB22" t="str">
        <f>IFERROR(INDEX(BOL!$L$4:$L$25,MATCH(C22,BOL!$B$4:$B$25,0)),INDEX(BOL!$Y$4:$Y$25,MATCH(C22,BOL!$O$4:$O$25,0)))</f>
        <v>N</v>
      </c>
      <c r="AC22" s="4">
        <f>(Y22="Y")*Tariff!$O$4+(Z22="Y")*Tariff!$O$5+(AA22="Y")*Tariff!$O$6+(AB22="Y")*Tariff!$O$7</f>
        <v>0</v>
      </c>
      <c r="AD22" s="4">
        <f>SUMIFS(Confirmations!$G$4:$G$6,Confirmations!$A$4:$A$6,C22,Confirmations!$H$4:$H$6,"Yes")</f>
        <v>0</v>
      </c>
      <c r="AE22" s="4">
        <f t="shared" si="5"/>
        <v>0</v>
      </c>
      <c r="AF22" t="str">
        <f>IF(COUNTIFS(Invoices!$B$4:$Q$26,B22,Invoices!$A$4:$P$26,"&lt;"&amp;A22)&gt;0,"Yes","No")</f>
        <v>No</v>
      </c>
      <c r="AG22" s="4">
        <f t="shared" si="6"/>
        <v>1089.07</v>
      </c>
      <c r="AH22" s="4">
        <f>Invoices!O22</f>
        <v>1089.07</v>
      </c>
      <c r="AI22" s="4">
        <f t="shared" si="7"/>
        <v>0</v>
      </c>
      <c r="AJ22" s="4">
        <f>Invoices!H22</f>
        <v>2274.57</v>
      </c>
      <c r="AK22" s="11">
        <f>ROUND(Invoices!K22/Terms!$B$9,4)</f>
        <v>0.26</v>
      </c>
      <c r="AL22" s="4">
        <f>Invoices!N22</f>
        <v>0</v>
      </c>
      <c r="AM22" t="str">
        <f t="shared" si="8"/>
        <v/>
      </c>
      <c r="AN22" t="str">
        <f t="shared" si="9"/>
        <v/>
      </c>
      <c r="AP22" t="str">
        <f>Invoices!P22</f>
        <v>NFL-90356</v>
      </c>
      <c r="AQ22">
        <f>Invoices!Q22</f>
        <v>217888</v>
      </c>
      <c r="AR22">
        <f>IFERROR(INDEX('Pro Matches'!$C$4:$C$4,MATCH(AQ22,'Pro Matches'!$A$4:$A$4,0)),AQ22)</f>
        <v>217888</v>
      </c>
      <c r="AS22" t="str">
        <f>IFERROR(INDEX(BOL!$C$4:$C$25,MATCH(AR22,BOL!$B$4:$B$25,0)),INDEX(BOL!$P$4:$P$25,MATCH(AR22,BOL!$O$4:$O$25,0)))</f>
        <v>09/29/2026</v>
      </c>
      <c r="AT22" t="str">
        <f>IFERROR(INDEX(BOL!$E$4:$E$25,MATCH(AR22,BOL!$B$4:$B$25,0)),INDEX(BOL!$R$4:$R$25,MATCH(AR22,BOL!$O$4:$O$25,0)))</f>
        <v>SD</v>
      </c>
      <c r="AU22" t="str">
        <f>IFERROR(INDEX(BOL!$F$4:$F$25,MATCH(AR22,BOL!$B$4:$B$25,0)),INDEX(BOL!$S$4:$S$25,MATCH(AR22,BOL!$O$4:$O$25,0)))</f>
        <v>Vinyl siding</v>
      </c>
      <c r="AV22">
        <f>IFERROR(INDEX(BOL!$H$4:$H$25,MATCH(AR22,BOL!$B$4:$B$25,0)),INDEX(BOL!$U$4:$U$25,MATCH(AR22,BOL!$O$4:$O$25,0)))</f>
        <v>3380</v>
      </c>
      <c r="AW22">
        <f>Invoices!U22</f>
        <v>3380</v>
      </c>
      <c r="AX22" t="str">
        <f>IF(COUNTIFS('Billing File'!$A$4:$A$12,AR22,'Billing File'!$G$4:$G$12,"4.5 weight",'Billing File'!$F$4:$F$12,"Yes")&gt;0,"Yes","No")</f>
        <v>No</v>
      </c>
      <c r="AY22">
        <f>IF(AND(AX22="Yes",AW22&gt;AV22*(1+Terms!$B$6)),AW22,AV22)</f>
        <v>3380</v>
      </c>
      <c r="AZ22">
        <f>INDEX(Tariff!$L$4:$L$9,MATCH(AU22,Tariff!$K$4:$K$9,0))</f>
        <v>92.5</v>
      </c>
      <c r="BA22">
        <f>Invoices!V22</f>
        <v>92.5</v>
      </c>
      <c r="BB22" t="str">
        <f>IF(COUNTIFS('Billing File'!$A$4:$A$12,AR22,'Billing File'!$G$4:$G$12,"4.3 class",'Billing File'!$F$4:$F$12,"Yes")&gt;0,"Yes","No")</f>
        <v>No</v>
      </c>
      <c r="BC22">
        <f t="shared" si="10"/>
        <v>92.5</v>
      </c>
      <c r="BD22" s="9">
        <f>INDEX(Tariff!$I$4:$I$10,MATCH(BC22,Tariff!$H$4:$H$10,0))</f>
        <v>1.3</v>
      </c>
      <c r="BE22">
        <f>MATCH(AY22,Tariff!$B$12:$F$12,1)</f>
        <v>4</v>
      </c>
      <c r="BF22" s="9">
        <f>INDEX(Tariff!$B$4:$F$10,MATCH(AT22,Tariff!$A$4:$A$10,0),BE22)</f>
        <v>36.05</v>
      </c>
      <c r="BG22" s="4">
        <f t="shared" si="11"/>
        <v>1584.04</v>
      </c>
      <c r="BH22" s="4">
        <f>IF(BE22&lt;5,ROUND(INDEX(Tariff!$B$12:$F$12,BE22+1)/100*INDEX(Tariff!$B$4:$F$10,MATCH(AT22,Tariff!$A$4:$A$10,0),BE22+1)*BD22,2),BG22)</f>
        <v>1911</v>
      </c>
      <c r="BI22" s="4">
        <f t="shared" si="12"/>
        <v>1584.04</v>
      </c>
      <c r="BJ22" s="4">
        <f>MAX(ROUND(BI22*(1-Terms!$B$4),2),Terms!$B$5)</f>
        <v>601.94</v>
      </c>
      <c r="BK22" t="str">
        <f t="shared" si="13"/>
        <v>09/28/2026</v>
      </c>
      <c r="BL22" s="11">
        <f>INDEX('Fuel Index'!$C$4:$C$12,MATCH(BK22,'Fuel Index'!$A$4:$A$12,0))</f>
        <v>0.27</v>
      </c>
      <c r="BM22" s="4">
        <f t="shared" si="14"/>
        <v>162.52</v>
      </c>
      <c r="BN22" t="str">
        <f>IFERROR(INDEX(BOL!$I$4:$I$25,MATCH(AR22,BOL!$B$4:$B$25,0)),INDEX(BOL!$V$4:$V$25,MATCH(AR22,BOL!$O$4:$O$25,0)))</f>
        <v>N</v>
      </c>
      <c r="BO22" t="str">
        <f>IFERROR(INDEX(BOL!$J$4:$J$25,MATCH(AR22,BOL!$B$4:$B$25,0)),INDEX(BOL!$W$4:$W$25,MATCH(AR22,BOL!$O$4:$O$25,0)))</f>
        <v>Y</v>
      </c>
      <c r="BP22" t="str">
        <f>IFERROR(INDEX(BOL!$K$4:$K$25,MATCH(AR22,BOL!$B$4:$B$25,0)),INDEX(BOL!$X$4:$X$25,MATCH(AR22,BOL!$O$4:$O$25,0)))</f>
        <v>N</v>
      </c>
      <c r="BQ22" t="str">
        <f>IFERROR(INDEX(BOL!$L$4:$L$25,MATCH(AR22,BOL!$B$4:$B$25,0)),INDEX(BOL!$Y$4:$Y$25,MATCH(AR22,BOL!$O$4:$O$25,0)))</f>
        <v>N</v>
      </c>
      <c r="BR22" s="4">
        <f>(BN22="Y")*Tariff!$O$4+(BO22="Y")*Tariff!$O$5+(BP22="Y")*Tariff!$O$6+(BQ22="Y")*Tariff!$O$7</f>
        <v>95</v>
      </c>
      <c r="BS22" s="4">
        <f>SUMIFS(Confirmations!$G$4:$G$6,Confirmations!$A$4:$A$6,AR22,Confirmations!$H$4:$H$6,"Yes")</f>
        <v>0</v>
      </c>
      <c r="BT22" s="4">
        <f t="shared" si="15"/>
        <v>95</v>
      </c>
      <c r="BU22" t="str">
        <f>IF(COUNTIFS(Invoices!$B$4:$Q$26,AQ22,Invoices!$A$4:$P$26,"&lt;"&amp;AP22)&gt;0,"Yes","No")</f>
        <v>No</v>
      </c>
      <c r="BV22" s="4">
        <f t="shared" si="16"/>
        <v>859.46</v>
      </c>
      <c r="BW22" s="4">
        <f>Invoices!AD22</f>
        <v>862.47</v>
      </c>
      <c r="BX22" s="4">
        <f t="shared" si="17"/>
        <v>3.01</v>
      </c>
      <c r="BY22" s="4">
        <f>Invoices!W22</f>
        <v>1584.04</v>
      </c>
      <c r="BZ22" s="11">
        <f>ROUND(Invoices!Z22/Terms!$B$9,4)</f>
        <v>0.275</v>
      </c>
      <c r="CA22" s="4">
        <f>Invoices!AC22</f>
        <v>95</v>
      </c>
      <c r="CB22" t="str">
        <f t="shared" si="18"/>
        <v>5.2 fuel week</v>
      </c>
      <c r="CC22" t="str">
        <f t="shared" si="19"/>
        <v/>
      </c>
    </row>
    <row r="23" spans="1:81" x14ac:dyDescent="0.2">
      <c r="A23" t="str">
        <f>Invoices!A23</f>
        <v>NFL-90334</v>
      </c>
      <c r="B23">
        <f>Invoices!B23</f>
        <v>217858</v>
      </c>
      <c r="C23">
        <f>IFERROR(INDEX('Pro Matches'!$C$4:$C$4,MATCH(B23,'Pro Matches'!$A$4:$A$4,0)),B23)</f>
        <v>217858</v>
      </c>
      <c r="D23" t="str">
        <f>IFERROR(INDEX(BOL!$C$4:$C$25,MATCH(C23,BOL!$B$4:$B$25,0)),INDEX(BOL!$P$4:$P$25,MATCH(C23,BOL!$O$4:$O$25,0)))</f>
        <v>09/16/2026</v>
      </c>
      <c r="E23" t="str">
        <f>IFERROR(INDEX(BOL!$E$4:$E$25,MATCH(C23,BOL!$B$4:$B$25,0)),INDEX(BOL!$R$4:$R$25,MATCH(C23,BOL!$O$4:$O$25,0)))</f>
        <v>SD</v>
      </c>
      <c r="F23" t="str">
        <f>IFERROR(INDEX(BOL!$F$4:$F$25,MATCH(C23,BOL!$B$4:$B$25,0)),INDEX(BOL!$S$4:$S$25,MATCH(C23,BOL!$O$4:$O$25,0)))</f>
        <v>Fasteners and hardware</v>
      </c>
      <c r="G23">
        <f>IFERROR(INDEX(BOL!$H$4:$H$25,MATCH(C23,BOL!$B$4:$B$25,0)),INDEX(BOL!$U$4:$U$25,MATCH(C23,BOL!$O$4:$O$25,0)))</f>
        <v>1540</v>
      </c>
      <c r="H23">
        <f>Invoices!F23</f>
        <v>1540</v>
      </c>
      <c r="I23" t="str">
        <f>IF(COUNTIFS('Billing File'!$A$4:$A$12,C23,'Billing File'!$G$4:$G$12,"4.5 weight",'Billing File'!$F$4:$F$12,"Yes")&gt;0,"Yes","No")</f>
        <v>No</v>
      </c>
      <c r="J23">
        <f>IF(AND(I23="Yes",H23&gt;G23*(1+Terms!$B$6)),H23,G23)</f>
        <v>1540</v>
      </c>
      <c r="K23">
        <f>INDEX(Tariff!$L$4:$L$9,MATCH(F23,Tariff!$K$4:$K$9,0))</f>
        <v>60</v>
      </c>
      <c r="L23">
        <f>Invoices!G23</f>
        <v>60</v>
      </c>
      <c r="M23" t="str">
        <f>IF(COUNTIFS('Billing File'!$A$4:$A$12,C23,'Billing File'!$G$4:$G$12,"4.3 class",'Billing File'!$F$4:$F$12,"Yes")&gt;0,"Yes","No")</f>
        <v>No</v>
      </c>
      <c r="N23">
        <f t="shared" si="0"/>
        <v>60</v>
      </c>
      <c r="O23" s="9">
        <f>INDEX(Tariff!$I$4:$I$10,MATCH(N23,Tariff!$H$4:$H$10,0))</f>
        <v>0.94</v>
      </c>
      <c r="P23">
        <f>MATCH(J23,Tariff!$B$12:$F$12,1)</f>
        <v>3</v>
      </c>
      <c r="Q23" s="9">
        <f>INDEX(Tariff!$B$4:$F$10,MATCH(E23,Tariff!$A$4:$A$10,0),P23)</f>
        <v>43.9</v>
      </c>
      <c r="R23" s="4">
        <f t="shared" si="1"/>
        <v>635.5</v>
      </c>
      <c r="S23" s="4">
        <f>IF(P23&lt;5,ROUND(INDEX(Tariff!$B$12:$F$12,P23+1)/100*INDEX(Tariff!$B$4:$F$10,MATCH(E23,Tariff!$A$4:$A$10,0),P23+1)*O23,2),R23)</f>
        <v>677.74</v>
      </c>
      <c r="T23" s="4">
        <f t="shared" si="2"/>
        <v>635.5</v>
      </c>
      <c r="U23" s="4">
        <f>MAX(ROUND(T23*(1-Terms!$B$4),2),Terms!$B$5)</f>
        <v>241.49</v>
      </c>
      <c r="V23" t="str">
        <f t="shared" si="3"/>
        <v>09/14/2026</v>
      </c>
      <c r="W23" s="11">
        <f>INDEX('Fuel Index'!$C$4:$C$12,MATCH(V23,'Fuel Index'!$A$4:$A$12,0))</f>
        <v>0.26</v>
      </c>
      <c r="X23" s="4">
        <f t="shared" si="4"/>
        <v>62.79</v>
      </c>
      <c r="Y23" t="str">
        <f>IFERROR(INDEX(BOL!$I$4:$I$25,MATCH(C23,BOL!$B$4:$B$25,0)),INDEX(BOL!$V$4:$V$25,MATCH(C23,BOL!$O$4:$O$25,0)))</f>
        <v>N</v>
      </c>
      <c r="Z23" t="str">
        <f>IFERROR(INDEX(BOL!$J$4:$J$25,MATCH(C23,BOL!$B$4:$B$25,0)),INDEX(BOL!$W$4:$W$25,MATCH(C23,BOL!$O$4:$O$25,0)))</f>
        <v>N</v>
      </c>
      <c r="AA23" t="str">
        <f>IFERROR(INDEX(BOL!$K$4:$K$25,MATCH(C23,BOL!$B$4:$B$25,0)),INDEX(BOL!$X$4:$X$25,MATCH(C23,BOL!$O$4:$O$25,0)))</f>
        <v>N</v>
      </c>
      <c r="AB23" t="str">
        <f>IFERROR(INDEX(BOL!$L$4:$L$25,MATCH(C23,BOL!$B$4:$B$25,0)),INDEX(BOL!$Y$4:$Y$25,MATCH(C23,BOL!$O$4:$O$25,0)))</f>
        <v>N</v>
      </c>
      <c r="AC23" s="4">
        <f>(Y23="Y")*Tariff!$O$4+(Z23="Y")*Tariff!$O$5+(AA23="Y")*Tariff!$O$6+(AB23="Y")*Tariff!$O$7</f>
        <v>0</v>
      </c>
      <c r="AD23" s="4">
        <f>SUMIFS(Confirmations!$G$4:$G$6,Confirmations!$A$4:$A$6,C23,Confirmations!$H$4:$H$6,"Yes")</f>
        <v>88</v>
      </c>
      <c r="AE23" s="4">
        <f t="shared" si="5"/>
        <v>88</v>
      </c>
      <c r="AF23" t="str">
        <f>IF(COUNTIFS(Invoices!$B$4:$Q$26,B23,Invoices!$A$4:$P$26,"&lt;"&amp;A23)&gt;0,"Yes","No")</f>
        <v>No</v>
      </c>
      <c r="AG23" s="4">
        <f t="shared" si="6"/>
        <v>392.28</v>
      </c>
      <c r="AH23" s="4">
        <f>Invoices!O23</f>
        <v>392.28</v>
      </c>
      <c r="AI23" s="4">
        <f t="shared" si="7"/>
        <v>0</v>
      </c>
      <c r="AJ23" s="4">
        <f>Invoices!H23</f>
        <v>635.5</v>
      </c>
      <c r="AK23" s="11">
        <f>ROUND(Invoices!K23/Terms!$B$9,4)</f>
        <v>0.26</v>
      </c>
      <c r="AL23" s="4">
        <f>Invoices!N23</f>
        <v>88</v>
      </c>
      <c r="AM23" t="str">
        <f t="shared" si="8"/>
        <v/>
      </c>
      <c r="AN23" t="str">
        <f t="shared" si="9"/>
        <v>6.1 written confirmation</v>
      </c>
      <c r="AP23" t="str">
        <f>Invoices!P23</f>
        <v>NFL-90357</v>
      </c>
      <c r="AQ23">
        <f>Invoices!Q23</f>
        <v>217720</v>
      </c>
      <c r="AR23">
        <f>IFERROR(INDEX('Pro Matches'!$C$4:$C$4,MATCH(AQ23,'Pro Matches'!$A$4:$A$4,0)),AQ23)</f>
        <v>217720</v>
      </c>
      <c r="AS23" t="str">
        <f>IFERROR(INDEX(BOL!$C$4:$C$25,MATCH(AR23,BOL!$B$4:$B$25,0)),INDEX(BOL!$P$4:$P$25,MATCH(AR23,BOL!$O$4:$O$25,0)))</f>
        <v>09/30/2026</v>
      </c>
      <c r="AT23" t="str">
        <f>IFERROR(INDEX(BOL!$E$4:$E$25,MATCH(AR23,BOL!$B$4:$B$25,0)),INDEX(BOL!$R$4:$R$25,MATCH(AR23,BOL!$O$4:$O$25,0)))</f>
        <v>WI</v>
      </c>
      <c r="AU23" t="str">
        <f>IFERROR(INDEX(BOL!$F$4:$F$25,MATCH(AR23,BOL!$B$4:$B$25,0)),INDEX(BOL!$S$4:$S$25,MATCH(AR23,BOL!$O$4:$O$25,0)))</f>
        <v>Metal roofing panels</v>
      </c>
      <c r="AV23">
        <f>IFERROR(INDEX(BOL!$H$4:$H$25,MATCH(AR23,BOL!$B$4:$B$25,0)),INDEX(BOL!$U$4:$U$25,MATCH(AR23,BOL!$O$4:$O$25,0)))</f>
        <v>4890</v>
      </c>
      <c r="AW23">
        <f>Invoices!U23</f>
        <v>4890</v>
      </c>
      <c r="AX23" t="str">
        <f>IF(COUNTIFS('Billing File'!$A$4:$A$12,AR23,'Billing File'!$G$4:$G$12,"4.5 weight",'Billing File'!$F$4:$F$12,"Yes")&gt;0,"Yes","No")</f>
        <v>No</v>
      </c>
      <c r="AY23">
        <f>IF(AND(AX23="Yes",AW23&gt;AV23*(1+Terms!$B$6)),AW23,AV23)</f>
        <v>4890</v>
      </c>
      <c r="AZ23">
        <f>INDEX(Tariff!$L$4:$L$9,MATCH(AU23,Tariff!$K$4:$K$9,0))</f>
        <v>70</v>
      </c>
      <c r="BA23">
        <f>Invoices!V23</f>
        <v>70</v>
      </c>
      <c r="BB23" t="str">
        <f>IF(COUNTIFS('Billing File'!$A$4:$A$12,AR23,'Billing File'!$G$4:$G$12,"4.3 class",'Billing File'!$F$4:$F$12,"Yes")&gt;0,"Yes","No")</f>
        <v>No</v>
      </c>
      <c r="BC23">
        <f t="shared" si="10"/>
        <v>70</v>
      </c>
      <c r="BD23" s="9">
        <f>INDEX(Tariff!$I$4:$I$10,MATCH(BC23,Tariff!$H$4:$H$10,0))</f>
        <v>1</v>
      </c>
      <c r="BE23">
        <f>MATCH(AY23,Tariff!$B$12:$F$12,1)</f>
        <v>4</v>
      </c>
      <c r="BF23" s="9">
        <f>INDEX(Tariff!$B$4:$F$10,MATCH(AT23,Tariff!$A$4:$A$10,0),BE23)</f>
        <v>41.3</v>
      </c>
      <c r="BG23" s="4">
        <f t="shared" si="11"/>
        <v>2019.57</v>
      </c>
      <c r="BH23" s="4">
        <f>IF(BE23&lt;5,ROUND(INDEX(Tariff!$B$12:$F$12,BE23+1)/100*INDEX(Tariff!$B$4:$F$10,MATCH(AT23,Tariff!$A$4:$A$10,0),BE23+1)*BD23,2),BG23)</f>
        <v>1682.5</v>
      </c>
      <c r="BI23" s="4">
        <f t="shared" si="12"/>
        <v>1682.5</v>
      </c>
      <c r="BJ23" s="4">
        <f>MAX(ROUND(BI23*(1-Terms!$B$4),2),Terms!$B$5)</f>
        <v>639.35</v>
      </c>
      <c r="BK23" t="str">
        <f t="shared" si="13"/>
        <v>09/28/2026</v>
      </c>
      <c r="BL23" s="11">
        <f>INDEX('Fuel Index'!$C$4:$C$12,MATCH(BK23,'Fuel Index'!$A$4:$A$12,0))</f>
        <v>0.27</v>
      </c>
      <c r="BM23" s="4">
        <f t="shared" si="14"/>
        <v>172.62</v>
      </c>
      <c r="BN23" t="str">
        <f>IFERROR(INDEX(BOL!$I$4:$I$25,MATCH(AR23,BOL!$B$4:$B$25,0)),INDEX(BOL!$V$4:$V$25,MATCH(AR23,BOL!$O$4:$O$25,0)))</f>
        <v>N</v>
      </c>
      <c r="BO23" t="str">
        <f>IFERROR(INDEX(BOL!$J$4:$J$25,MATCH(AR23,BOL!$B$4:$B$25,0)),INDEX(BOL!$W$4:$W$25,MATCH(AR23,BOL!$O$4:$O$25,0)))</f>
        <v>N</v>
      </c>
      <c r="BP23" t="str">
        <f>IFERROR(INDEX(BOL!$K$4:$K$25,MATCH(AR23,BOL!$B$4:$B$25,0)),INDEX(BOL!$X$4:$X$25,MATCH(AR23,BOL!$O$4:$O$25,0)))</f>
        <v>N</v>
      </c>
      <c r="BQ23" t="str">
        <f>IFERROR(INDEX(BOL!$L$4:$L$25,MATCH(AR23,BOL!$B$4:$B$25,0)),INDEX(BOL!$Y$4:$Y$25,MATCH(AR23,BOL!$O$4:$O$25,0)))</f>
        <v>N</v>
      </c>
      <c r="BR23" s="4">
        <f>(BN23="Y")*Tariff!$O$4+(BO23="Y")*Tariff!$O$5+(BP23="Y")*Tariff!$O$6+(BQ23="Y")*Tariff!$O$7</f>
        <v>0</v>
      </c>
      <c r="BS23" s="4">
        <f>SUMIFS(Confirmations!$G$4:$G$6,Confirmations!$A$4:$A$6,AR23,Confirmations!$H$4:$H$6,"Yes")</f>
        <v>0</v>
      </c>
      <c r="BT23" s="4">
        <f t="shared" si="15"/>
        <v>0</v>
      </c>
      <c r="BU23" t="str">
        <f>IF(COUNTIFS(Invoices!$B$4:$Q$26,AQ23,Invoices!$A$4:$P$26,"&lt;"&amp;AP23)&gt;0,"Yes","No")</f>
        <v>No</v>
      </c>
      <c r="BV23" s="4">
        <f t="shared" si="16"/>
        <v>811.97</v>
      </c>
      <c r="BW23" s="4">
        <f>Invoices!AD23</f>
        <v>811.97</v>
      </c>
      <c r="BX23" s="4">
        <f t="shared" si="17"/>
        <v>0</v>
      </c>
      <c r="BY23" s="4">
        <f>Invoices!W23</f>
        <v>1682.5</v>
      </c>
      <c r="BZ23" s="11">
        <f>ROUND(Invoices!Z23/Terms!$B$9,4)</f>
        <v>0.27</v>
      </c>
      <c r="CA23" s="4">
        <f>Invoices!AC23</f>
        <v>0</v>
      </c>
      <c r="CB23" t="str">
        <f t="shared" si="18"/>
        <v/>
      </c>
      <c r="CC23" t="str">
        <f t="shared" si="19"/>
        <v/>
      </c>
    </row>
    <row r="24" spans="1:81" x14ac:dyDescent="0.2">
      <c r="A24" t="str">
        <f>Invoices!A24</f>
        <v>NFL-90335</v>
      </c>
      <c r="B24">
        <f>Invoices!B24</f>
        <v>217798</v>
      </c>
      <c r="C24">
        <f>IFERROR(INDEX('Pro Matches'!$C$4:$C$4,MATCH(B24,'Pro Matches'!$A$4:$A$4,0)),B24)</f>
        <v>217798</v>
      </c>
      <c r="D24" t="str">
        <f>IFERROR(INDEX(BOL!$C$4:$C$25,MATCH(C24,BOL!$B$4:$B$25,0)),INDEX(BOL!$P$4:$P$25,MATCH(C24,BOL!$O$4:$O$25,0)))</f>
        <v>09/17/2026</v>
      </c>
      <c r="E24" t="str">
        <f>IFERROR(INDEX(BOL!$E$4:$E$25,MATCH(C24,BOL!$B$4:$B$25,0)),INDEX(BOL!$R$4:$R$25,MATCH(C24,BOL!$O$4:$O$25,0)))</f>
        <v>ND</v>
      </c>
      <c r="F24" t="str">
        <f>IFERROR(INDEX(BOL!$F$4:$F$25,MATCH(C24,BOL!$B$4:$B$25,0)),INDEX(BOL!$S$4:$S$25,MATCH(C24,BOL!$O$4:$O$25,0)))</f>
        <v>Windows and doors</v>
      </c>
      <c r="G24">
        <f>IFERROR(INDEX(BOL!$H$4:$H$25,MATCH(C24,BOL!$B$4:$B$25,0)),INDEX(BOL!$U$4:$U$25,MATCH(C24,BOL!$O$4:$O$25,0)))</f>
        <v>1860</v>
      </c>
      <c r="H24">
        <f>Invoices!F24</f>
        <v>1860</v>
      </c>
      <c r="I24" t="str">
        <f>IF(COUNTIFS('Billing File'!$A$4:$A$12,C24,'Billing File'!$G$4:$G$12,"4.5 weight",'Billing File'!$F$4:$F$12,"Yes")&gt;0,"Yes","No")</f>
        <v>No</v>
      </c>
      <c r="J24">
        <f>IF(AND(I24="Yes",H24&gt;G24*(1+Terms!$B$6)),H24,G24)</f>
        <v>1860</v>
      </c>
      <c r="K24">
        <f>INDEX(Tariff!$L$4:$L$9,MATCH(F24,Tariff!$K$4:$K$9,0))</f>
        <v>100</v>
      </c>
      <c r="L24">
        <f>Invoices!G24</f>
        <v>100</v>
      </c>
      <c r="M24" t="str">
        <f>IF(COUNTIFS('Billing File'!$A$4:$A$12,C24,'Billing File'!$G$4:$G$12,"4.3 class",'Billing File'!$F$4:$F$12,"Yes")&gt;0,"Yes","No")</f>
        <v>No</v>
      </c>
      <c r="N24">
        <f t="shared" si="0"/>
        <v>100</v>
      </c>
      <c r="O24" s="9">
        <f>INDEX(Tariff!$I$4:$I$10,MATCH(N24,Tariff!$H$4:$H$10,0))</f>
        <v>1.45</v>
      </c>
      <c r="P24">
        <f>MATCH(J24,Tariff!$B$12:$F$12,1)</f>
        <v>3</v>
      </c>
      <c r="Q24" s="9">
        <f>INDEX(Tariff!$B$4:$F$10,MATCH(E24,Tariff!$A$4:$A$10,0),P24)</f>
        <v>32.15</v>
      </c>
      <c r="R24" s="4">
        <f t="shared" si="1"/>
        <v>867.09</v>
      </c>
      <c r="S24" s="4">
        <f>IF(P24&lt;5,ROUND(INDEX(Tariff!$B$12:$F$12,P24+1)/100*INDEX(Tariff!$B$4:$F$10,MATCH(E24,Tariff!$A$4:$A$10,0),P24+1)*O24,2),R24)</f>
        <v>765.6</v>
      </c>
      <c r="T24" s="4">
        <f t="shared" si="2"/>
        <v>765.6</v>
      </c>
      <c r="U24" s="4">
        <f>MAX(ROUND(T24*(1-Terms!$B$4),2),Terms!$B$5)</f>
        <v>290.93</v>
      </c>
      <c r="V24" t="str">
        <f t="shared" si="3"/>
        <v>09/14/2026</v>
      </c>
      <c r="W24" s="11">
        <f>INDEX('Fuel Index'!$C$4:$C$12,MATCH(V24,'Fuel Index'!$A$4:$A$12,0))</f>
        <v>0.26</v>
      </c>
      <c r="X24" s="4">
        <f t="shared" si="4"/>
        <v>75.64</v>
      </c>
      <c r="Y24" t="str">
        <f>IFERROR(INDEX(BOL!$I$4:$I$25,MATCH(C24,BOL!$B$4:$B$25,0)),INDEX(BOL!$V$4:$V$25,MATCH(C24,BOL!$O$4:$O$25,0)))</f>
        <v>N</v>
      </c>
      <c r="Z24" t="str">
        <f>IFERROR(INDEX(BOL!$J$4:$J$25,MATCH(C24,BOL!$B$4:$B$25,0)),INDEX(BOL!$W$4:$W$25,MATCH(C24,BOL!$O$4:$O$25,0)))</f>
        <v>Y</v>
      </c>
      <c r="AA24" t="str">
        <f>IFERROR(INDEX(BOL!$K$4:$K$25,MATCH(C24,BOL!$B$4:$B$25,0)),INDEX(BOL!$X$4:$X$25,MATCH(C24,BOL!$O$4:$O$25,0)))</f>
        <v>N</v>
      </c>
      <c r="AB24" t="str">
        <f>IFERROR(INDEX(BOL!$L$4:$L$25,MATCH(C24,BOL!$B$4:$B$25,0)),INDEX(BOL!$Y$4:$Y$25,MATCH(C24,BOL!$O$4:$O$25,0)))</f>
        <v>N</v>
      </c>
      <c r="AC24" s="4">
        <f>(Y24="Y")*Tariff!$O$4+(Z24="Y")*Tariff!$O$5+(AA24="Y")*Tariff!$O$6+(AB24="Y")*Tariff!$O$7</f>
        <v>95</v>
      </c>
      <c r="AD24" s="4">
        <f>SUMIFS(Confirmations!$G$4:$G$6,Confirmations!$A$4:$A$6,C24,Confirmations!$H$4:$H$6,"Yes")</f>
        <v>0</v>
      </c>
      <c r="AE24" s="4">
        <f t="shared" si="5"/>
        <v>95</v>
      </c>
      <c r="AF24" t="str">
        <f>IF(COUNTIFS(Invoices!$B$4:$Q$26,B24,Invoices!$A$4:$P$26,"&lt;"&amp;A24)&gt;0,"Yes","No")</f>
        <v>No</v>
      </c>
      <c r="AG24" s="4">
        <f t="shared" si="6"/>
        <v>461.57</v>
      </c>
      <c r="AH24" s="4">
        <f>Invoices!O24</f>
        <v>510.16</v>
      </c>
      <c r="AI24" s="4">
        <f t="shared" si="7"/>
        <v>48.59</v>
      </c>
      <c r="AJ24" s="4">
        <f>Invoices!H24</f>
        <v>867.09</v>
      </c>
      <c r="AK24" s="11">
        <f>ROUND(Invoices!K24/Terms!$B$9,4)</f>
        <v>0.26</v>
      </c>
      <c r="AL24" s="4">
        <f>Invoices!N24</f>
        <v>95</v>
      </c>
      <c r="AM24" t="str">
        <f t="shared" si="8"/>
        <v>4.2 deficit weight</v>
      </c>
      <c r="AN24" t="str">
        <f t="shared" si="9"/>
        <v/>
      </c>
      <c r="AP24" t="str">
        <f>Invoices!P24</f>
        <v>NFL-90358</v>
      </c>
      <c r="AQ24">
        <f>Invoices!Q24</f>
        <v>217810</v>
      </c>
      <c r="AR24">
        <f>IFERROR(INDEX('Pro Matches'!$C$4:$C$4,MATCH(AQ24,'Pro Matches'!$A$4:$A$4,0)),AQ24)</f>
        <v>217810</v>
      </c>
      <c r="AS24" t="str">
        <f>IFERROR(INDEX(BOL!$C$4:$C$25,MATCH(AR24,BOL!$B$4:$B$25,0)),INDEX(BOL!$P$4:$P$25,MATCH(AR24,BOL!$O$4:$O$25,0)))</f>
        <v>09/30/2026</v>
      </c>
      <c r="AT24" t="str">
        <f>IFERROR(INDEX(BOL!$E$4:$E$25,MATCH(AR24,BOL!$B$4:$B$25,0)),INDEX(BOL!$R$4:$R$25,MATCH(AR24,BOL!$O$4:$O$25,0)))</f>
        <v>MT</v>
      </c>
      <c r="AU24" t="str">
        <f>IFERROR(INDEX(BOL!$F$4:$F$25,MATCH(AR24,BOL!$B$4:$B$25,0)),INDEX(BOL!$S$4:$S$25,MATCH(AR24,BOL!$O$4:$O$25,0)))</f>
        <v>Fasteners and hardware</v>
      </c>
      <c r="AV24">
        <f>IFERROR(INDEX(BOL!$H$4:$H$25,MATCH(AR24,BOL!$B$4:$B$25,0)),INDEX(BOL!$U$4:$U$25,MATCH(AR24,BOL!$O$4:$O$25,0)))</f>
        <v>510</v>
      </c>
      <c r="AW24">
        <f>Invoices!U24</f>
        <v>510</v>
      </c>
      <c r="AX24" t="str">
        <f>IF(COUNTIFS('Billing File'!$A$4:$A$12,AR24,'Billing File'!$G$4:$G$12,"4.5 weight",'Billing File'!$F$4:$F$12,"Yes")&gt;0,"Yes","No")</f>
        <v>No</v>
      </c>
      <c r="AY24">
        <f>IF(AND(AX24="Yes",AW24&gt;AV24*(1+Terms!$B$6)),AW24,AV24)</f>
        <v>510</v>
      </c>
      <c r="AZ24">
        <f>INDEX(Tariff!$L$4:$L$9,MATCH(AU24,Tariff!$K$4:$K$9,0))</f>
        <v>60</v>
      </c>
      <c r="BA24">
        <f>Invoices!V24</f>
        <v>60</v>
      </c>
      <c r="BB24" t="str">
        <f>IF(COUNTIFS('Billing File'!$A$4:$A$12,AR24,'Billing File'!$G$4:$G$12,"4.3 class",'Billing File'!$F$4:$F$12,"Yes")&gt;0,"Yes","No")</f>
        <v>No</v>
      </c>
      <c r="BC24">
        <f t="shared" si="10"/>
        <v>60</v>
      </c>
      <c r="BD24" s="9">
        <f>INDEX(Tariff!$I$4:$I$10,MATCH(BC24,Tariff!$H$4:$H$10,0))</f>
        <v>0.94</v>
      </c>
      <c r="BE24">
        <f>MATCH(AY24,Tariff!$B$12:$F$12,1)</f>
        <v>2</v>
      </c>
      <c r="BF24" s="9">
        <f>INDEX(Tariff!$B$4:$F$10,MATCH(AT24,Tariff!$A$4:$A$10,0),BE24)</f>
        <v>71.3</v>
      </c>
      <c r="BG24" s="4">
        <f t="shared" si="11"/>
        <v>341.81</v>
      </c>
      <c r="BH24" s="4">
        <f>IF(BE24&lt;5,ROUND(INDEX(Tariff!$B$12:$F$12,BE24+1)/100*INDEX(Tariff!$B$4:$F$10,MATCH(AT24,Tariff!$A$4:$A$10,0),BE24+1)*BD24,2),BG24)</f>
        <v>571.99</v>
      </c>
      <c r="BI24" s="4">
        <f t="shared" si="12"/>
        <v>341.81</v>
      </c>
      <c r="BJ24" s="4">
        <f>MAX(ROUND(BI24*(1-Terms!$B$4),2),Terms!$B$5)</f>
        <v>129.89</v>
      </c>
      <c r="BK24" t="str">
        <f t="shared" si="13"/>
        <v>09/28/2026</v>
      </c>
      <c r="BL24" s="11">
        <f>INDEX('Fuel Index'!$C$4:$C$12,MATCH(BK24,'Fuel Index'!$A$4:$A$12,0))</f>
        <v>0.27</v>
      </c>
      <c r="BM24" s="4">
        <f t="shared" si="14"/>
        <v>35.07</v>
      </c>
      <c r="BN24" t="str">
        <f>IFERROR(INDEX(BOL!$I$4:$I$25,MATCH(AR24,BOL!$B$4:$B$25,0)),INDEX(BOL!$V$4:$V$25,MATCH(AR24,BOL!$O$4:$O$25,0)))</f>
        <v>Y</v>
      </c>
      <c r="BO24" t="str">
        <f>IFERROR(INDEX(BOL!$J$4:$J$25,MATCH(AR24,BOL!$B$4:$B$25,0)),INDEX(BOL!$W$4:$W$25,MATCH(AR24,BOL!$O$4:$O$25,0)))</f>
        <v>Y</v>
      </c>
      <c r="BP24" t="str">
        <f>IFERROR(INDEX(BOL!$K$4:$K$25,MATCH(AR24,BOL!$B$4:$B$25,0)),INDEX(BOL!$X$4:$X$25,MATCH(AR24,BOL!$O$4:$O$25,0)))</f>
        <v>N</v>
      </c>
      <c r="BQ24" t="str">
        <f>IFERROR(INDEX(BOL!$L$4:$L$25,MATCH(AR24,BOL!$B$4:$B$25,0)),INDEX(BOL!$Y$4:$Y$25,MATCH(AR24,BOL!$O$4:$O$25,0)))</f>
        <v>N</v>
      </c>
      <c r="BR24" s="4">
        <f>(BN24="Y")*Tariff!$O$4+(BO24="Y")*Tariff!$O$5+(BP24="Y")*Tariff!$O$6+(BQ24="Y")*Tariff!$O$7</f>
        <v>170</v>
      </c>
      <c r="BS24" s="4">
        <f>SUMIFS(Confirmations!$G$4:$G$6,Confirmations!$A$4:$A$6,AR24,Confirmations!$H$4:$H$6,"Yes")</f>
        <v>0</v>
      </c>
      <c r="BT24" s="4">
        <f t="shared" si="15"/>
        <v>170</v>
      </c>
      <c r="BU24" t="str">
        <f>IF(COUNTIFS(Invoices!$B$4:$Q$26,AQ24,Invoices!$A$4:$P$26,"&lt;"&amp;AP24)&gt;0,"Yes","No")</f>
        <v>No</v>
      </c>
      <c r="BV24" s="4">
        <f t="shared" si="16"/>
        <v>334.96</v>
      </c>
      <c r="BW24" s="4">
        <f>Invoices!AD24</f>
        <v>334.96</v>
      </c>
      <c r="BX24" s="4">
        <f t="shared" si="17"/>
        <v>0</v>
      </c>
      <c r="BY24" s="4">
        <f>Invoices!W24</f>
        <v>341.81</v>
      </c>
      <c r="BZ24" s="11">
        <f>ROUND(Invoices!Z24/Terms!$B$9,4)</f>
        <v>0.27</v>
      </c>
      <c r="CA24" s="4">
        <f>Invoices!AC24</f>
        <v>170</v>
      </c>
      <c r="CB24" t="str">
        <f t="shared" si="18"/>
        <v/>
      </c>
      <c r="CC24" t="str">
        <f t="shared" si="19"/>
        <v/>
      </c>
    </row>
    <row r="25" spans="1:81" x14ac:dyDescent="0.2">
      <c r="A25" t="str">
        <f>Invoices!A25</f>
        <v>NFL-90336</v>
      </c>
      <c r="B25">
        <f>Invoices!B25</f>
        <v>217873</v>
      </c>
      <c r="C25">
        <f>IFERROR(INDEX('Pro Matches'!$C$4:$C$4,MATCH(B25,'Pro Matches'!$A$4:$A$4,0)),B25)</f>
        <v>217873</v>
      </c>
      <c r="D25" t="str">
        <f>IFERROR(INDEX(BOL!$C$4:$C$25,MATCH(C25,BOL!$B$4:$B$25,0)),INDEX(BOL!$P$4:$P$25,MATCH(C25,BOL!$O$4:$O$25,0)))</f>
        <v>09/17/2026</v>
      </c>
      <c r="E25" t="str">
        <f>IFERROR(INDEX(BOL!$E$4:$E$25,MATCH(C25,BOL!$B$4:$B$25,0)),INDEX(BOL!$R$4:$R$25,MATCH(C25,BOL!$O$4:$O$25,0)))</f>
        <v>MT</v>
      </c>
      <c r="F25" t="str">
        <f>IFERROR(INDEX(BOL!$F$4:$F$25,MATCH(C25,BOL!$B$4:$B$25,0)),INDEX(BOL!$S$4:$S$25,MATCH(C25,BOL!$O$4:$O$25,0)))</f>
        <v>Windows and doors</v>
      </c>
      <c r="G25">
        <f>IFERROR(INDEX(BOL!$H$4:$H$25,MATCH(C25,BOL!$B$4:$B$25,0)),INDEX(BOL!$U$4:$U$25,MATCH(C25,BOL!$O$4:$O$25,0)))</f>
        <v>2790</v>
      </c>
      <c r="H25">
        <f>Invoices!F25</f>
        <v>3010</v>
      </c>
      <c r="I25" t="str">
        <f>IF(COUNTIFS('Billing File'!$A$4:$A$12,C25,'Billing File'!$G$4:$G$12,"4.5 weight",'Billing File'!$F$4:$F$12,"Yes")&gt;0,"Yes","No")</f>
        <v>Yes</v>
      </c>
      <c r="J25">
        <f>IF(AND(I25="Yes",H25&gt;G25*(1+Terms!$B$6)),H25,G25)</f>
        <v>3010</v>
      </c>
      <c r="K25">
        <f>INDEX(Tariff!$L$4:$L$9,MATCH(F25,Tariff!$K$4:$K$9,0))</f>
        <v>100</v>
      </c>
      <c r="L25">
        <f>Invoices!G25</f>
        <v>100</v>
      </c>
      <c r="M25" t="str">
        <f>IF(COUNTIFS('Billing File'!$A$4:$A$12,C25,'Billing File'!$G$4:$G$12,"4.3 class",'Billing File'!$F$4:$F$12,"Yes")&gt;0,"Yes","No")</f>
        <v>No</v>
      </c>
      <c r="N25">
        <f t="shared" si="0"/>
        <v>100</v>
      </c>
      <c r="O25" s="9">
        <f>INDEX(Tariff!$I$4:$I$10,MATCH(N25,Tariff!$H$4:$H$10,0))</f>
        <v>1.45</v>
      </c>
      <c r="P25">
        <f>MATCH(J25,Tariff!$B$12:$F$12,1)</f>
        <v>4</v>
      </c>
      <c r="Q25" s="9">
        <f>INDEX(Tariff!$B$4:$F$10,MATCH(E25,Tariff!$A$4:$A$10,0),P25)</f>
        <v>49.95</v>
      </c>
      <c r="R25" s="4">
        <f t="shared" si="1"/>
        <v>2180.07</v>
      </c>
      <c r="S25" s="4">
        <f>IF(P25&lt;5,ROUND(INDEX(Tariff!$B$12:$F$12,P25+1)/100*INDEX(Tariff!$B$4:$F$10,MATCH(E25,Tariff!$A$4:$A$10,0),P25+1)*O25,2),R25)</f>
        <v>2943.5</v>
      </c>
      <c r="T25" s="4">
        <f t="shared" si="2"/>
        <v>2180.07</v>
      </c>
      <c r="U25" s="4">
        <f>MAX(ROUND(T25*(1-Terms!$B$4),2),Terms!$B$5)</f>
        <v>828.43</v>
      </c>
      <c r="V25" t="str">
        <f t="shared" si="3"/>
        <v>09/14/2026</v>
      </c>
      <c r="W25" s="11">
        <f>INDEX('Fuel Index'!$C$4:$C$12,MATCH(V25,'Fuel Index'!$A$4:$A$12,0))</f>
        <v>0.26</v>
      </c>
      <c r="X25" s="4">
        <f t="shared" si="4"/>
        <v>215.39</v>
      </c>
      <c r="Y25" t="str">
        <f>IFERROR(INDEX(BOL!$I$4:$I$25,MATCH(C25,BOL!$B$4:$B$25,0)),INDEX(BOL!$V$4:$V$25,MATCH(C25,BOL!$O$4:$O$25,0)))</f>
        <v>Y</v>
      </c>
      <c r="Z25" t="str">
        <f>IFERROR(INDEX(BOL!$J$4:$J$25,MATCH(C25,BOL!$B$4:$B$25,0)),INDEX(BOL!$W$4:$W$25,MATCH(C25,BOL!$O$4:$O$25,0)))</f>
        <v>N</v>
      </c>
      <c r="AA25" t="str">
        <f>IFERROR(INDEX(BOL!$K$4:$K$25,MATCH(C25,BOL!$B$4:$B$25,0)),INDEX(BOL!$X$4:$X$25,MATCH(C25,BOL!$O$4:$O$25,0)))</f>
        <v>N</v>
      </c>
      <c r="AB25" t="str">
        <f>IFERROR(INDEX(BOL!$L$4:$L$25,MATCH(C25,BOL!$B$4:$B$25,0)),INDEX(BOL!$Y$4:$Y$25,MATCH(C25,BOL!$O$4:$O$25,0)))</f>
        <v>Y</v>
      </c>
      <c r="AC25" s="4">
        <f>(Y25="Y")*Tariff!$O$4+(Z25="Y")*Tariff!$O$5+(AA25="Y")*Tariff!$O$6+(AB25="Y")*Tariff!$O$7</f>
        <v>135</v>
      </c>
      <c r="AD25" s="4">
        <f>SUMIFS(Confirmations!$G$4:$G$6,Confirmations!$A$4:$A$6,C25,Confirmations!$H$4:$H$6,"Yes")</f>
        <v>0</v>
      </c>
      <c r="AE25" s="4">
        <f t="shared" si="5"/>
        <v>135</v>
      </c>
      <c r="AF25" t="str">
        <f>IF(COUNTIFS(Invoices!$B$4:$Q$26,B25,Invoices!$A$4:$P$26,"&lt;"&amp;A25)&gt;0,"Yes","No")</f>
        <v>No</v>
      </c>
      <c r="AG25" s="4">
        <f t="shared" si="6"/>
        <v>1178.82</v>
      </c>
      <c r="AH25" s="4">
        <f>Invoices!O25</f>
        <v>1178.82</v>
      </c>
      <c r="AI25" s="4">
        <f t="shared" si="7"/>
        <v>0</v>
      </c>
      <c r="AJ25" s="4">
        <f>Invoices!H25</f>
        <v>2180.07</v>
      </c>
      <c r="AK25" s="11">
        <f>ROUND(Invoices!K25/Terms!$B$9,4)</f>
        <v>0.26</v>
      </c>
      <c r="AL25" s="4">
        <f>Invoices!N25</f>
        <v>135</v>
      </c>
      <c r="AM25" t="str">
        <f t="shared" si="8"/>
        <v/>
      </c>
      <c r="AN25" t="str">
        <f t="shared" si="9"/>
        <v>4.5 certified scale ticket</v>
      </c>
      <c r="AP25" t="str">
        <f>Invoices!P25</f>
        <v>NFL-90359</v>
      </c>
      <c r="AQ25">
        <f>Invoices!Q25</f>
        <v>217915</v>
      </c>
      <c r="AR25">
        <f>IFERROR(INDEX('Pro Matches'!$C$4:$C$4,MATCH(AQ25,'Pro Matches'!$A$4:$A$4,0)),AQ25)</f>
        <v>217915</v>
      </c>
      <c r="AS25" t="str">
        <f>IFERROR(INDEX(BOL!$C$4:$C$25,MATCH(AR25,BOL!$B$4:$B$25,0)),INDEX(BOL!$P$4:$P$25,MATCH(AR25,BOL!$O$4:$O$25,0)))</f>
        <v>09/30/2026</v>
      </c>
      <c r="AT25" t="str">
        <f>IFERROR(INDEX(BOL!$E$4:$E$25,MATCH(AR25,BOL!$B$4:$B$25,0)),INDEX(BOL!$R$4:$R$25,MATCH(AR25,BOL!$O$4:$O$25,0)))</f>
        <v>NE</v>
      </c>
      <c r="AU25" t="str">
        <f>IFERROR(INDEX(BOL!$F$4:$F$25,MATCH(AR25,BOL!$B$4:$B$25,0)),INDEX(BOL!$S$4:$S$25,MATCH(AR25,BOL!$O$4:$O$25,0)))</f>
        <v>Metal roofing panels</v>
      </c>
      <c r="AV25">
        <f>IFERROR(INDEX(BOL!$H$4:$H$25,MATCH(AR25,BOL!$B$4:$B$25,0)),INDEX(BOL!$U$4:$U$25,MATCH(AR25,BOL!$O$4:$O$25,0)))</f>
        <v>4120</v>
      </c>
      <c r="AW25">
        <f>Invoices!U25</f>
        <v>4120</v>
      </c>
      <c r="AX25" t="str">
        <f>IF(COUNTIFS('Billing File'!$A$4:$A$12,AR25,'Billing File'!$G$4:$G$12,"4.5 weight",'Billing File'!$F$4:$F$12,"Yes")&gt;0,"Yes","No")</f>
        <v>No</v>
      </c>
      <c r="AY25">
        <f>IF(AND(AX25="Yes",AW25&gt;AV25*(1+Terms!$B$6)),AW25,AV25)</f>
        <v>4120</v>
      </c>
      <c r="AZ25">
        <f>INDEX(Tariff!$L$4:$L$9,MATCH(AU25,Tariff!$K$4:$K$9,0))</f>
        <v>70</v>
      </c>
      <c r="BA25">
        <f>Invoices!V25</f>
        <v>70</v>
      </c>
      <c r="BB25" t="str">
        <f>IF(COUNTIFS('Billing File'!$A$4:$A$12,AR25,'Billing File'!$G$4:$G$12,"4.3 class",'Billing File'!$F$4:$F$12,"Yes")&gt;0,"Yes","No")</f>
        <v>No</v>
      </c>
      <c r="BC25">
        <f t="shared" si="10"/>
        <v>70</v>
      </c>
      <c r="BD25" s="9">
        <f>INDEX(Tariff!$I$4:$I$10,MATCH(BC25,Tariff!$H$4:$H$10,0))</f>
        <v>1</v>
      </c>
      <c r="BE25">
        <f>MATCH(AY25,Tariff!$B$12:$F$12,1)</f>
        <v>4</v>
      </c>
      <c r="BF25" s="9">
        <f>INDEX(Tariff!$B$4:$F$10,MATCH(AT25,Tariff!$A$4:$A$10,0),BE25)</f>
        <v>40.9</v>
      </c>
      <c r="BG25" s="4">
        <f t="shared" si="11"/>
        <v>1685.08</v>
      </c>
      <c r="BH25" s="4">
        <f>IF(BE25&lt;5,ROUND(INDEX(Tariff!$B$12:$F$12,BE25+1)/100*INDEX(Tariff!$B$4:$F$10,MATCH(AT25,Tariff!$A$4:$A$10,0),BE25+1)*BD25,2),BG25)</f>
        <v>1665</v>
      </c>
      <c r="BI25" s="4">
        <f t="shared" si="12"/>
        <v>1665</v>
      </c>
      <c r="BJ25" s="4">
        <f>MAX(ROUND(BI25*(1-Terms!$B$4),2),Terms!$B$5)</f>
        <v>632.7</v>
      </c>
      <c r="BK25" t="str">
        <f t="shared" si="13"/>
        <v>09/28/2026</v>
      </c>
      <c r="BL25" s="11">
        <f>INDEX('Fuel Index'!$C$4:$C$12,MATCH(BK25,'Fuel Index'!$A$4:$A$12,0))</f>
        <v>0.27</v>
      </c>
      <c r="BM25" s="4">
        <f t="shared" si="14"/>
        <v>170.83</v>
      </c>
      <c r="BN25" t="str">
        <f>IFERROR(INDEX(BOL!$I$4:$I$25,MATCH(AR25,BOL!$B$4:$B$25,0)),INDEX(BOL!$V$4:$V$25,MATCH(AR25,BOL!$O$4:$O$25,0)))</f>
        <v>N</v>
      </c>
      <c r="BO25" t="str">
        <f>IFERROR(INDEX(BOL!$J$4:$J$25,MATCH(AR25,BOL!$B$4:$B$25,0)),INDEX(BOL!$W$4:$W$25,MATCH(AR25,BOL!$O$4:$O$25,0)))</f>
        <v>N</v>
      </c>
      <c r="BP25" t="str">
        <f>IFERROR(INDEX(BOL!$K$4:$K$25,MATCH(AR25,BOL!$B$4:$B$25,0)),INDEX(BOL!$X$4:$X$25,MATCH(AR25,BOL!$O$4:$O$25,0)))</f>
        <v>N</v>
      </c>
      <c r="BQ25" t="str">
        <f>IFERROR(INDEX(BOL!$L$4:$L$25,MATCH(AR25,BOL!$B$4:$B$25,0)),INDEX(BOL!$Y$4:$Y$25,MATCH(AR25,BOL!$O$4:$O$25,0)))</f>
        <v>N</v>
      </c>
      <c r="BR25" s="4">
        <f>(BN25="Y")*Tariff!$O$4+(BO25="Y")*Tariff!$O$5+(BP25="Y")*Tariff!$O$6+(BQ25="Y")*Tariff!$O$7</f>
        <v>0</v>
      </c>
      <c r="BS25" s="4">
        <f>SUMIFS(Confirmations!$G$4:$G$6,Confirmations!$A$4:$A$6,AR25,Confirmations!$H$4:$H$6,"Yes")</f>
        <v>0</v>
      </c>
      <c r="BT25" s="4">
        <f t="shared" si="15"/>
        <v>0</v>
      </c>
      <c r="BU25" t="str">
        <f>IF(COUNTIFS(Invoices!$B$4:$Q$26,AQ25,Invoices!$A$4:$P$26,"&lt;"&amp;AP25)&gt;0,"Yes","No")</f>
        <v>No</v>
      </c>
      <c r="BV25" s="4">
        <f t="shared" si="16"/>
        <v>803.53</v>
      </c>
      <c r="BW25" s="4">
        <f>Invoices!AD25</f>
        <v>803.53</v>
      </c>
      <c r="BX25" s="4">
        <f t="shared" si="17"/>
        <v>0</v>
      </c>
      <c r="BY25" s="4">
        <f>Invoices!W25</f>
        <v>1665</v>
      </c>
      <c r="BZ25" s="11">
        <f>ROUND(Invoices!Z25/Terms!$B$9,4)</f>
        <v>0.27</v>
      </c>
      <c r="CA25" s="4">
        <f>Invoices!AC25</f>
        <v>0</v>
      </c>
      <c r="CB25" t="str">
        <f t="shared" si="18"/>
        <v/>
      </c>
      <c r="CC25" t="str">
        <f t="shared" si="19"/>
        <v/>
      </c>
    </row>
    <row r="26" spans="1:81" x14ac:dyDescent="0.2">
      <c r="A26" t="str">
        <f>Invoices!A26</f>
        <v>NFL-90337</v>
      </c>
      <c r="B26">
        <f>Invoices!B26</f>
        <v>217833</v>
      </c>
      <c r="C26">
        <f>IFERROR(INDEX('Pro Matches'!$C$4:$C$4,MATCH(B26,'Pro Matches'!$A$4:$A$4,0)),B26)</f>
        <v>217833</v>
      </c>
      <c r="D26" t="str">
        <f>IFERROR(INDEX(BOL!$C$4:$C$25,MATCH(C26,BOL!$B$4:$B$25,0)),INDEX(BOL!$P$4:$P$25,MATCH(C26,BOL!$O$4:$O$25,0)))</f>
        <v>09/18/2026</v>
      </c>
      <c r="E26" t="str">
        <f>IFERROR(INDEX(BOL!$E$4:$E$25,MATCH(C26,BOL!$B$4:$B$25,0)),INDEX(BOL!$R$4:$R$25,MATCH(C26,BOL!$O$4:$O$25,0)))</f>
        <v>MN</v>
      </c>
      <c r="F26" t="str">
        <f>IFERROR(INDEX(BOL!$F$4:$F$25,MATCH(C26,BOL!$B$4:$B$25,0)),INDEX(BOL!$S$4:$S$25,MATCH(C26,BOL!$O$4:$O$25,0)))</f>
        <v>Vinyl siding</v>
      </c>
      <c r="G26">
        <f>IFERROR(INDEX(BOL!$H$4:$H$25,MATCH(C26,BOL!$B$4:$B$25,0)),INDEX(BOL!$U$4:$U$25,MATCH(C26,BOL!$O$4:$O$25,0)))</f>
        <v>950</v>
      </c>
      <c r="H26">
        <f>Invoices!F26</f>
        <v>950</v>
      </c>
      <c r="I26" t="str">
        <f>IF(COUNTIFS('Billing File'!$A$4:$A$12,C26,'Billing File'!$G$4:$G$12,"4.5 weight",'Billing File'!$F$4:$F$12,"Yes")&gt;0,"Yes","No")</f>
        <v>No</v>
      </c>
      <c r="J26">
        <f>IF(AND(I26="Yes",H26&gt;G26*(1+Terms!$B$6)),H26,G26)</f>
        <v>950</v>
      </c>
      <c r="K26">
        <f>INDEX(Tariff!$L$4:$L$9,MATCH(F26,Tariff!$K$4:$K$9,0))</f>
        <v>92.5</v>
      </c>
      <c r="L26">
        <f>Invoices!G26</f>
        <v>92.5</v>
      </c>
      <c r="M26" t="str">
        <f>IF(COUNTIFS('Billing File'!$A$4:$A$12,C26,'Billing File'!$G$4:$G$12,"4.3 class",'Billing File'!$F$4:$F$12,"Yes")&gt;0,"Yes","No")</f>
        <v>No</v>
      </c>
      <c r="N26">
        <f t="shared" si="0"/>
        <v>92.5</v>
      </c>
      <c r="O26" s="9">
        <f>INDEX(Tariff!$I$4:$I$10,MATCH(N26,Tariff!$H$4:$H$10,0))</f>
        <v>1.3</v>
      </c>
      <c r="P26">
        <f>MATCH(J26,Tariff!$B$12:$F$12,1)</f>
        <v>2</v>
      </c>
      <c r="Q26" s="9">
        <f>INDEX(Tariff!$B$4:$F$10,MATCH(E26,Tariff!$A$4:$A$10,0),P26)</f>
        <v>49.1</v>
      </c>
      <c r="R26" s="4">
        <f t="shared" si="1"/>
        <v>606.39</v>
      </c>
      <c r="S26" s="4">
        <f>IF(P26&lt;5,ROUND(INDEX(Tariff!$B$12:$F$12,P26+1)/100*INDEX(Tariff!$B$4:$F$10,MATCH(E26,Tariff!$A$4:$A$10,0),P26+1)*O26,2),R26)</f>
        <v>542.75</v>
      </c>
      <c r="T26" s="4">
        <f t="shared" si="2"/>
        <v>542.75</v>
      </c>
      <c r="U26" s="4">
        <f>MAX(ROUND(T26*(1-Terms!$B$4),2),Terms!$B$5)</f>
        <v>206.25</v>
      </c>
      <c r="V26" t="str">
        <f t="shared" si="3"/>
        <v>09/14/2026</v>
      </c>
      <c r="W26" s="11">
        <f>INDEX('Fuel Index'!$C$4:$C$12,MATCH(V26,'Fuel Index'!$A$4:$A$12,0))</f>
        <v>0.26</v>
      </c>
      <c r="X26" s="4">
        <f t="shared" si="4"/>
        <v>53.63</v>
      </c>
      <c r="Y26" t="str">
        <f>IFERROR(INDEX(BOL!$I$4:$I$25,MATCH(C26,BOL!$B$4:$B$25,0)),INDEX(BOL!$V$4:$V$25,MATCH(C26,BOL!$O$4:$O$25,0)))</f>
        <v>Y</v>
      </c>
      <c r="Z26" t="str">
        <f>IFERROR(INDEX(BOL!$J$4:$J$25,MATCH(C26,BOL!$B$4:$B$25,0)),INDEX(BOL!$W$4:$W$25,MATCH(C26,BOL!$O$4:$O$25,0)))</f>
        <v>Y</v>
      </c>
      <c r="AA26" t="str">
        <f>IFERROR(INDEX(BOL!$K$4:$K$25,MATCH(C26,BOL!$B$4:$B$25,0)),INDEX(BOL!$X$4:$X$25,MATCH(C26,BOL!$O$4:$O$25,0)))</f>
        <v>N</v>
      </c>
      <c r="AB26" t="str">
        <f>IFERROR(INDEX(BOL!$L$4:$L$25,MATCH(C26,BOL!$B$4:$B$25,0)),INDEX(BOL!$Y$4:$Y$25,MATCH(C26,BOL!$O$4:$O$25,0)))</f>
        <v>N</v>
      </c>
      <c r="AC26" s="4">
        <f>(Y26="Y")*Tariff!$O$4+(Z26="Y")*Tariff!$O$5+(AA26="Y")*Tariff!$O$6+(AB26="Y")*Tariff!$O$7</f>
        <v>170</v>
      </c>
      <c r="AD26" s="4">
        <f>SUMIFS(Confirmations!$G$4:$G$6,Confirmations!$A$4:$A$6,C26,Confirmations!$H$4:$H$6,"Yes")</f>
        <v>0</v>
      </c>
      <c r="AE26" s="4">
        <f t="shared" si="5"/>
        <v>170</v>
      </c>
      <c r="AF26" t="str">
        <f>IF(COUNTIFS(Invoices!$B$4:$Q$26,B26,Invoices!$A$4:$P$26,"&lt;"&amp;A26)&gt;0,"Yes","No")</f>
        <v>No</v>
      </c>
      <c r="AG26" s="4">
        <f t="shared" si="6"/>
        <v>429.88</v>
      </c>
      <c r="AH26" s="4">
        <f>Invoices!O26</f>
        <v>429.88</v>
      </c>
      <c r="AI26" s="4">
        <f t="shared" si="7"/>
        <v>0</v>
      </c>
      <c r="AJ26" s="4">
        <f>Invoices!H26</f>
        <v>542.75</v>
      </c>
      <c r="AK26" s="11">
        <f>ROUND(Invoices!K26/Terms!$B$9,4)</f>
        <v>0.26</v>
      </c>
      <c r="AL26" s="4">
        <f>Invoices!N26</f>
        <v>170</v>
      </c>
      <c r="AM26" t="str">
        <f t="shared" si="8"/>
        <v/>
      </c>
      <c r="AN26" t="str">
        <f t="shared" si="9"/>
        <v/>
      </c>
      <c r="AP26" t="str">
        <f>Invoices!P26</f>
        <v>NFL-90360</v>
      </c>
      <c r="AQ26">
        <f>Invoices!Q26</f>
        <v>217841</v>
      </c>
      <c r="AR26">
        <f>IFERROR(INDEX('Pro Matches'!$C$4:$C$4,MATCH(AQ26,'Pro Matches'!$A$4:$A$4,0)),AQ26)</f>
        <v>217841</v>
      </c>
      <c r="AS26" t="str">
        <f>IFERROR(INDEX(BOL!$C$4:$C$25,MATCH(AR26,BOL!$B$4:$B$25,0)),INDEX(BOL!$P$4:$P$25,MATCH(AR26,BOL!$O$4:$O$25,0)))</f>
        <v>09/24/2026</v>
      </c>
      <c r="AT26" t="str">
        <f>IFERROR(INDEX(BOL!$E$4:$E$25,MATCH(AR26,BOL!$B$4:$B$25,0)),INDEX(BOL!$R$4:$R$25,MATCH(AR26,BOL!$O$4:$O$25,0)))</f>
        <v>MT</v>
      </c>
      <c r="AU26" t="str">
        <f>IFERROR(INDEX(BOL!$F$4:$F$25,MATCH(AR26,BOL!$B$4:$B$25,0)),INDEX(BOL!$S$4:$S$25,MATCH(AR26,BOL!$O$4:$O$25,0)))</f>
        <v>Fasteners and hardware</v>
      </c>
      <c r="AV26">
        <f>IFERROR(INDEX(BOL!$H$4:$H$25,MATCH(AR26,BOL!$B$4:$B$25,0)),INDEX(BOL!$U$4:$U$25,MATCH(AR26,BOL!$O$4:$O$25,0)))</f>
        <v>2060</v>
      </c>
      <c r="AW26">
        <f>Invoices!U26</f>
        <v>2060</v>
      </c>
      <c r="AX26" t="str">
        <f>IF(COUNTIFS('Billing File'!$A$4:$A$12,AR26,'Billing File'!$G$4:$G$12,"4.5 weight",'Billing File'!$F$4:$F$12,"Yes")&gt;0,"Yes","No")</f>
        <v>No</v>
      </c>
      <c r="AY26">
        <f>IF(AND(AX26="Yes",AW26&gt;AV26*(1+Terms!$B$6)),AW26,AV26)</f>
        <v>2060</v>
      </c>
      <c r="AZ26">
        <f>INDEX(Tariff!$L$4:$L$9,MATCH(AU26,Tariff!$K$4:$K$9,0))</f>
        <v>60</v>
      </c>
      <c r="BA26">
        <f>Invoices!V26</f>
        <v>60</v>
      </c>
      <c r="BB26" t="str">
        <f>IF(COUNTIFS('Billing File'!$A$4:$A$12,AR26,'Billing File'!$G$4:$G$12,"4.3 class",'Billing File'!$F$4:$F$12,"Yes")&gt;0,"Yes","No")</f>
        <v>No</v>
      </c>
      <c r="BC26">
        <f t="shared" si="10"/>
        <v>60</v>
      </c>
      <c r="BD26" s="9">
        <f>INDEX(Tariff!$I$4:$I$10,MATCH(BC26,Tariff!$H$4:$H$10,0))</f>
        <v>0.94</v>
      </c>
      <c r="BE26">
        <f>MATCH(AY26,Tariff!$B$12:$F$12,1)</f>
        <v>4</v>
      </c>
      <c r="BF26" s="9">
        <f>INDEX(Tariff!$B$4:$F$10,MATCH(AT26,Tariff!$A$4:$A$10,0),BE26)</f>
        <v>49.95</v>
      </c>
      <c r="BG26" s="4">
        <f t="shared" si="11"/>
        <v>967.23</v>
      </c>
      <c r="BH26" s="4">
        <f>IF(BE26&lt;5,ROUND(INDEX(Tariff!$B$12:$F$12,BE26+1)/100*INDEX(Tariff!$B$4:$F$10,MATCH(AT26,Tariff!$A$4:$A$10,0),BE26+1)*BD26,2),BG26)</f>
        <v>1908.2</v>
      </c>
      <c r="BI26" s="4">
        <f t="shared" si="12"/>
        <v>967.23</v>
      </c>
      <c r="BJ26" s="4">
        <f>MAX(ROUND(BI26*(1-Terms!$B$4),2),Terms!$B$5)</f>
        <v>367.55</v>
      </c>
      <c r="BK26" t="str">
        <f t="shared" si="13"/>
        <v>09/21/2026</v>
      </c>
      <c r="BL26" s="11">
        <f>INDEX('Fuel Index'!$C$4:$C$12,MATCH(BK26,'Fuel Index'!$A$4:$A$12,0))</f>
        <v>0.275</v>
      </c>
      <c r="BM26" s="4">
        <f t="shared" si="14"/>
        <v>101.08</v>
      </c>
      <c r="BN26" t="str">
        <f>IFERROR(INDEX(BOL!$I$4:$I$25,MATCH(AR26,BOL!$B$4:$B$25,0)),INDEX(BOL!$V$4:$V$25,MATCH(AR26,BOL!$O$4:$O$25,0)))</f>
        <v>Y</v>
      </c>
      <c r="BO26" t="str">
        <f>IFERROR(INDEX(BOL!$J$4:$J$25,MATCH(AR26,BOL!$B$4:$B$25,0)),INDEX(BOL!$W$4:$W$25,MATCH(AR26,BOL!$O$4:$O$25,0)))</f>
        <v>N</v>
      </c>
      <c r="BP26" t="str">
        <f>IFERROR(INDEX(BOL!$K$4:$K$25,MATCH(AR26,BOL!$B$4:$B$25,0)),INDEX(BOL!$X$4:$X$25,MATCH(AR26,BOL!$O$4:$O$25,0)))</f>
        <v>N</v>
      </c>
      <c r="BQ26" t="str">
        <f>IFERROR(INDEX(BOL!$L$4:$L$25,MATCH(AR26,BOL!$B$4:$B$25,0)),INDEX(BOL!$Y$4:$Y$25,MATCH(AR26,BOL!$O$4:$O$25,0)))</f>
        <v>Y</v>
      </c>
      <c r="BR26" s="4">
        <f>(BN26="Y")*Tariff!$O$4+(BO26="Y")*Tariff!$O$5+(BP26="Y")*Tariff!$O$6+(BQ26="Y")*Tariff!$O$7</f>
        <v>135</v>
      </c>
      <c r="BS26" s="4">
        <f>SUMIFS(Confirmations!$G$4:$G$6,Confirmations!$A$4:$A$6,AR26,Confirmations!$H$4:$H$6,"Yes")</f>
        <v>0</v>
      </c>
      <c r="BT26" s="4">
        <f t="shared" si="15"/>
        <v>135</v>
      </c>
      <c r="BU26" t="str">
        <f>IF(COUNTIFS(Invoices!$B$4:$Q$26,AQ26,Invoices!$A$4:$P$26,"&lt;"&amp;AP26)&gt;0,"Yes","No")</f>
        <v>Yes</v>
      </c>
      <c r="BV26" s="4">
        <f t="shared" si="16"/>
        <v>0</v>
      </c>
      <c r="BW26" s="4">
        <f>Invoices!AD26</f>
        <v>603.63</v>
      </c>
      <c r="BX26" s="4">
        <f t="shared" si="17"/>
        <v>603.63</v>
      </c>
      <c r="BY26" s="4">
        <f>Invoices!W26</f>
        <v>967.23</v>
      </c>
      <c r="BZ26" s="11">
        <f>ROUND(Invoices!Z26/Terms!$B$9,4)</f>
        <v>0.275</v>
      </c>
      <c r="CA26" s="4">
        <f>Invoices!AC26</f>
        <v>135</v>
      </c>
      <c r="CB26" t="str">
        <f t="shared" si="18"/>
        <v>7.1 duplicate bill</v>
      </c>
      <c r="CC26" t="str">
        <f t="shared" si="19"/>
        <v/>
      </c>
    </row>
    <row r="27" spans="1:81" x14ac:dyDescent="0.2">
      <c r="A27" t="s">
        <v>409</v>
      </c>
      <c r="AG27" s="4">
        <f>ROUND(SUM(AG4:AG26),2)</f>
        <v>12238.48</v>
      </c>
      <c r="AH27" s="4">
        <f>ROUND(SUM(AH4:AH26),2)</f>
        <v>12383.96</v>
      </c>
      <c r="AI27" s="4">
        <f>ROUND(SUM(AI4:AI26),2)</f>
        <v>145.48</v>
      </c>
      <c r="AN27">
        <f>COUNTIFS(AN4:AN26,"?*",AN4:AN26,"&lt;&gt;corrected pro number")</f>
        <v>5</v>
      </c>
      <c r="AP27" t="s">
        <v>410</v>
      </c>
      <c r="BV27" s="4">
        <f>ROUND(SUM(BV4:BV26),2)</f>
        <v>10584.83</v>
      </c>
      <c r="BW27" s="4">
        <f>ROUND(SUM(BW4:BW26),2)</f>
        <v>11897.05</v>
      </c>
      <c r="BX27" s="4">
        <f>ROUND(SUM(BX4:BX26),2)</f>
        <v>1312.22</v>
      </c>
      <c r="CC27">
        <f>COUNTIFS(CC4:CC26,"?*",CC4:CC26,"&lt;&gt;corrected pro number")</f>
        <v>0</v>
      </c>
    </row>
    <row r="28" spans="1:81" x14ac:dyDescent="0.2">
      <c r="A28" t="s">
        <v>411</v>
      </c>
      <c r="B28" s="4">
        <f>ROUND(AG27+BV27,2)</f>
        <v>22823.31</v>
      </c>
    </row>
    <row r="29" spans="1:81" x14ac:dyDescent="0.2">
      <c r="A29" t="s">
        <v>412</v>
      </c>
      <c r="B29" s="4">
        <f>ROUND(AH27+BW27,2)</f>
        <v>24281.01</v>
      </c>
    </row>
    <row r="30" spans="1:81" x14ac:dyDescent="0.2">
      <c r="A30" t="s">
        <v>413</v>
      </c>
      <c r="B30">
        <f>AN27+CC27</f>
        <v>5</v>
      </c>
    </row>
    <row r="32" spans="1:81" x14ac:dyDescent="0.2">
      <c r="A32" t="s">
        <v>414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workbookViewId="0"/>
  </sheetViews>
  <sheetFormatPr baseColWidth="10" defaultColWidth="8.83203125" defaultRowHeight="15" x14ac:dyDescent="0.2"/>
  <cols>
    <col min="1" max="1" width="13" customWidth="1"/>
    <col min="2" max="2" width="10" customWidth="1"/>
    <col min="3" max="3" width="30" customWidth="1"/>
    <col min="4" max="6" width="12" customWidth="1"/>
    <col min="7" max="7" width="18" customWidth="1"/>
  </cols>
  <sheetData>
    <row r="1" spans="1:7" ht="17" x14ac:dyDescent="0.2">
      <c r="A1" s="1" t="s">
        <v>415</v>
      </c>
    </row>
    <row r="3" spans="1:7" x14ac:dyDescent="0.2">
      <c r="A3" s="2" t="s">
        <v>311</v>
      </c>
      <c r="B3" s="2" t="s">
        <v>118</v>
      </c>
      <c r="C3" s="2" t="s">
        <v>380</v>
      </c>
      <c r="D3" s="2" t="s">
        <v>416</v>
      </c>
      <c r="E3" s="2" t="s">
        <v>417</v>
      </c>
      <c r="F3" s="2" t="s">
        <v>376</v>
      </c>
      <c r="G3" s="2" t="s">
        <v>418</v>
      </c>
    </row>
    <row r="4" spans="1:7" x14ac:dyDescent="0.2">
      <c r="A4" t="s">
        <v>252</v>
      </c>
      <c r="B4">
        <f>IFERROR(INDEX(Audit!$C$4:$C$26,MATCH(A4,Audit!$A$4:$A$26,0)),INDEX(Audit!$AR$4:$AR$26,MATCH(A4,Audit!$AP$4:$AP$26,0)))</f>
        <v>217598</v>
      </c>
      <c r="C4" t="str">
        <f>IFERROR(INDEX(Audit!$AM$4:$AM$26,MATCH(A4,Audit!$A$4:$A$26,0)),INDEX(Audit!$CB$4:$CB$26,MATCH(A4,Audit!$AP$4:$AP$26,0)))</f>
        <v>5.2 fuel week</v>
      </c>
      <c r="D4" s="4">
        <f>IFERROR(INDEX(Audit!$AH$4:$AH$26,MATCH(A4,Audit!$A$4:$A$26,0)),INDEX(Audit!$BW$4:$BW$26,MATCH(A4,Audit!$AP$4:$AP$26,0)))</f>
        <v>625.37</v>
      </c>
      <c r="E4" s="4">
        <f>IFERROR(INDEX(Audit!$AG$4:$AG$26,MATCH(A4,Audit!$A$4:$A$26,0)),INDEX(Audit!$BV$4:$BV$26,MATCH(A4,Audit!$AP$4:$AP$26,0)))</f>
        <v>622.89</v>
      </c>
      <c r="F4" s="4">
        <f t="shared" ref="F4:F18" si="0">ROUND(D4-E4,2)</f>
        <v>2.48</v>
      </c>
      <c r="G4" t="str">
        <f t="shared" ref="G4:G18" si="1">IF(F4&gt;0,"Claim",IF(F4&lt;0,"Report undercharge","None"))</f>
        <v>Claim</v>
      </c>
    </row>
    <row r="5" spans="1:7" x14ac:dyDescent="0.2">
      <c r="A5" t="s">
        <v>269</v>
      </c>
      <c r="B5">
        <f>IFERROR(INDEX(Audit!$C$4:$C$26,MATCH(A5,Audit!$A$4:$A$26,0)),INDEX(Audit!$AR$4:$AR$26,MATCH(A5,Audit!$AP$4:$AP$26,0)))</f>
        <v>217738</v>
      </c>
      <c r="C5" t="str">
        <f>IFERROR(INDEX(Audit!$AM$4:$AM$26,MATCH(A5,Audit!$A$4:$A$26,0)),INDEX(Audit!$CB$4:$CB$26,MATCH(A5,Audit!$AP$4:$AP$26,0)))</f>
        <v>6.1 accessorial omitted</v>
      </c>
      <c r="D5" s="4">
        <f>IFERROR(INDEX(Audit!$AH$4:$AH$26,MATCH(A5,Audit!$A$4:$A$26,0)),INDEX(Audit!$BW$4:$BW$26,MATCH(A5,Audit!$AP$4:$AP$26,0)))</f>
        <v>213.18</v>
      </c>
      <c r="E5" s="4">
        <f>IFERROR(INDEX(Audit!$AG$4:$AG$26,MATCH(A5,Audit!$A$4:$A$26,0)),INDEX(Audit!$BV$4:$BV$26,MATCH(A5,Audit!$AP$4:$AP$26,0)))</f>
        <v>288.18</v>
      </c>
      <c r="F5" s="4">
        <f t="shared" si="0"/>
        <v>-75</v>
      </c>
      <c r="G5" t="str">
        <f t="shared" si="1"/>
        <v>Report undercharge</v>
      </c>
    </row>
    <row r="6" spans="1:7" x14ac:dyDescent="0.2">
      <c r="A6" t="s">
        <v>275</v>
      </c>
      <c r="B6">
        <f>IFERROR(INDEX(Audit!$C$4:$C$26,MATCH(A6,Audit!$A$4:$A$26,0)),INDEX(Audit!$AR$4:$AR$26,MATCH(A6,Audit!$AP$4:$AP$26,0)))</f>
        <v>217703</v>
      </c>
      <c r="C6" t="str">
        <f>IFERROR(INDEX(Audit!$AM$4:$AM$26,MATCH(A6,Audit!$A$4:$A$26,0)),INDEX(Audit!$CB$4:$CB$26,MATCH(A6,Audit!$AP$4:$AP$26,0)))</f>
        <v>5.2 fuel week</v>
      </c>
      <c r="D6" s="4">
        <f>IFERROR(INDEX(Audit!$AH$4:$AH$26,MATCH(A6,Audit!$A$4:$A$26,0)),INDEX(Audit!$BW$4:$BW$26,MATCH(A6,Audit!$AP$4:$AP$26,0)))</f>
        <v>354.66</v>
      </c>
      <c r="E6" s="4">
        <f>IFERROR(INDEX(Audit!$AG$4:$AG$26,MATCH(A6,Audit!$A$4:$A$26,0)),INDEX(Audit!$BV$4:$BV$26,MATCH(A6,Audit!$AP$4:$AP$26,0)))</f>
        <v>355.43</v>
      </c>
      <c r="F6" s="4">
        <f t="shared" si="0"/>
        <v>-0.77</v>
      </c>
      <c r="G6" t="str">
        <f t="shared" si="1"/>
        <v>Report undercharge</v>
      </c>
    </row>
    <row r="7" spans="1:7" x14ac:dyDescent="0.2">
      <c r="A7" t="s">
        <v>278</v>
      </c>
      <c r="B7">
        <f>IFERROR(INDEX(Audit!$C$4:$C$26,MATCH(A7,Audit!$A$4:$A$26,0)),INDEX(Audit!$AR$4:$AR$26,MATCH(A7,Audit!$AP$4:$AP$26,0)))</f>
        <v>217836</v>
      </c>
      <c r="C7" t="str">
        <f>IFERROR(INDEX(Audit!$AM$4:$AM$26,MATCH(A7,Audit!$A$4:$A$26,0)),INDEX(Audit!$CB$4:$CB$26,MATCH(A7,Audit!$AP$4:$AP$26,0)))</f>
        <v>6.1 accessorial overbilled</v>
      </c>
      <c r="D7" s="4">
        <f>IFERROR(INDEX(Audit!$AH$4:$AH$26,MATCH(A7,Audit!$A$4:$A$26,0)),INDEX(Audit!$BW$4:$BW$26,MATCH(A7,Audit!$AP$4:$AP$26,0)))</f>
        <v>757.79</v>
      </c>
      <c r="E7" s="4">
        <f>IFERROR(INDEX(Audit!$AG$4:$AG$26,MATCH(A7,Audit!$A$4:$A$26,0)),INDEX(Audit!$BV$4:$BV$26,MATCH(A7,Audit!$AP$4:$AP$26,0)))</f>
        <v>747.79</v>
      </c>
      <c r="F7" s="4">
        <f t="shared" si="0"/>
        <v>10</v>
      </c>
      <c r="G7" t="str">
        <f t="shared" si="1"/>
        <v>Claim</v>
      </c>
    </row>
    <row r="8" spans="1:7" x14ac:dyDescent="0.2">
      <c r="A8" t="s">
        <v>283</v>
      </c>
      <c r="B8">
        <f>IFERROR(INDEX(Audit!$C$4:$C$26,MATCH(A8,Audit!$A$4:$A$26,0)),INDEX(Audit!$AR$4:$AR$26,MATCH(A8,Audit!$AP$4:$AP$26,0)))</f>
        <v>217784</v>
      </c>
      <c r="C8" t="str">
        <f>IFERROR(INDEX(Audit!$AM$4:$AM$26,MATCH(A8,Audit!$A$4:$A$26,0)),INDEX(Audit!$CB$4:$CB$26,MATCH(A8,Audit!$AP$4:$AP$26,0)))</f>
        <v>4.3 class</v>
      </c>
      <c r="D8" s="4">
        <f>IFERROR(INDEX(Audit!$AH$4:$AH$26,MATCH(A8,Audit!$A$4:$A$26,0)),INDEX(Audit!$BW$4:$BW$26,MATCH(A8,Audit!$AP$4:$AP$26,0)))</f>
        <v>485.89</v>
      </c>
      <c r="E8" s="4">
        <f>IFERROR(INDEX(Audit!$AG$4:$AG$26,MATCH(A8,Audit!$A$4:$A$26,0)),INDEX(Audit!$BV$4:$BV$26,MATCH(A8,Audit!$AP$4:$AP$26,0)))</f>
        <v>439.64</v>
      </c>
      <c r="F8" s="4">
        <f t="shared" si="0"/>
        <v>46.25</v>
      </c>
      <c r="G8" t="str">
        <f t="shared" si="1"/>
        <v>Claim</v>
      </c>
    </row>
    <row r="9" spans="1:7" x14ac:dyDescent="0.2">
      <c r="A9" t="s">
        <v>297</v>
      </c>
      <c r="B9">
        <f>IFERROR(INDEX(Audit!$C$4:$C$26,MATCH(A9,Audit!$A$4:$A$26,0)),INDEX(Audit!$AR$4:$AR$26,MATCH(A9,Audit!$AP$4:$AP$26,0)))</f>
        <v>217692</v>
      </c>
      <c r="C9" t="str">
        <f>IFERROR(INDEX(Audit!$AM$4:$AM$26,MATCH(A9,Audit!$A$4:$A$26,0)),INDEX(Audit!$CB$4:$CB$26,MATCH(A9,Audit!$AP$4:$AP$26,0)))</f>
        <v>4.2 deficit weight</v>
      </c>
      <c r="D9" s="4">
        <f>IFERROR(INDEX(Audit!$AH$4:$AH$26,MATCH(A9,Audit!$A$4:$A$26,0)),INDEX(Audit!$BW$4:$BW$26,MATCH(A9,Audit!$AP$4:$AP$26,0)))</f>
        <v>994.51</v>
      </c>
      <c r="E9" s="4">
        <f>IFERROR(INDEX(Audit!$AG$4:$AG$26,MATCH(A9,Audit!$A$4:$A$26,0)),INDEX(Audit!$BV$4:$BV$26,MATCH(A9,Audit!$AP$4:$AP$26,0)))</f>
        <v>880.58</v>
      </c>
      <c r="F9" s="4">
        <f t="shared" si="0"/>
        <v>113.93</v>
      </c>
      <c r="G9" t="str">
        <f t="shared" si="1"/>
        <v>Claim</v>
      </c>
    </row>
    <row r="10" spans="1:7" x14ac:dyDescent="0.2">
      <c r="A10" t="s">
        <v>303</v>
      </c>
      <c r="B10">
        <f>IFERROR(INDEX(Audit!$C$4:$C$26,MATCH(A10,Audit!$A$4:$A$26,0)),INDEX(Audit!$AR$4:$AR$26,MATCH(A10,Audit!$AP$4:$AP$26,0)))</f>
        <v>217798</v>
      </c>
      <c r="C10" t="str">
        <f>IFERROR(INDEX(Audit!$AM$4:$AM$26,MATCH(A10,Audit!$A$4:$A$26,0)),INDEX(Audit!$CB$4:$CB$26,MATCH(A10,Audit!$AP$4:$AP$26,0)))</f>
        <v>4.2 deficit weight</v>
      </c>
      <c r="D10" s="4">
        <f>IFERROR(INDEX(Audit!$AH$4:$AH$26,MATCH(A10,Audit!$A$4:$A$26,0)),INDEX(Audit!$BW$4:$BW$26,MATCH(A10,Audit!$AP$4:$AP$26,0)))</f>
        <v>510.16</v>
      </c>
      <c r="E10" s="4">
        <f>IFERROR(INDEX(Audit!$AG$4:$AG$26,MATCH(A10,Audit!$A$4:$A$26,0)),INDEX(Audit!$BV$4:$BV$26,MATCH(A10,Audit!$AP$4:$AP$26,0)))</f>
        <v>461.57</v>
      </c>
      <c r="F10" s="4">
        <f t="shared" si="0"/>
        <v>48.59</v>
      </c>
      <c r="G10" t="str">
        <f t="shared" si="1"/>
        <v>Claim</v>
      </c>
    </row>
    <row r="11" spans="1:7" x14ac:dyDescent="0.2">
      <c r="A11" t="s">
        <v>256</v>
      </c>
      <c r="B11">
        <f>IFERROR(INDEX(Audit!$C$4:$C$26,MATCH(A11,Audit!$A$4:$A$26,0)),INDEX(Audit!$AR$4:$AR$26,MATCH(A11,Audit!$AP$4:$AP$26,0)))</f>
        <v>217724</v>
      </c>
      <c r="C11" t="str">
        <f>IFERROR(INDEX(Audit!$AM$4:$AM$26,MATCH(A11,Audit!$A$4:$A$26,0)),INDEX(Audit!$CB$4:$CB$26,MATCH(A11,Audit!$AP$4:$AP$26,0)))</f>
        <v>6.1 accessorial overbilled</v>
      </c>
      <c r="D11" s="4">
        <f>IFERROR(INDEX(Audit!$AH$4:$AH$26,MATCH(A11,Audit!$A$4:$A$26,0)),INDEX(Audit!$BW$4:$BW$26,MATCH(A11,Audit!$AP$4:$AP$26,0)))</f>
        <v>426.42</v>
      </c>
      <c r="E11" s="4">
        <f>IFERROR(INDEX(Audit!$AG$4:$AG$26,MATCH(A11,Audit!$A$4:$A$26,0)),INDEX(Audit!$BV$4:$BV$26,MATCH(A11,Audit!$AP$4:$AP$26,0)))</f>
        <v>351.42</v>
      </c>
      <c r="F11" s="4">
        <f t="shared" si="0"/>
        <v>75</v>
      </c>
      <c r="G11" t="str">
        <f t="shared" si="1"/>
        <v>Claim</v>
      </c>
    </row>
    <row r="12" spans="1:7" x14ac:dyDescent="0.2">
      <c r="A12" t="s">
        <v>265</v>
      </c>
      <c r="B12">
        <f>IFERROR(INDEX(Audit!$C$4:$C$26,MATCH(A12,Audit!$A$4:$A$26,0)),INDEX(Audit!$AR$4:$AR$26,MATCH(A12,Audit!$AP$4:$AP$26,0)))</f>
        <v>217894</v>
      </c>
      <c r="C12" t="str">
        <f>IFERROR(INDEX(Audit!$AM$4:$AM$26,MATCH(A12,Audit!$A$4:$A$26,0)),INDEX(Audit!$CB$4:$CB$26,MATCH(A12,Audit!$AP$4:$AP$26,0)))</f>
        <v>6.1 accessorial overbilled</v>
      </c>
      <c r="D12" s="4">
        <f>IFERROR(INDEX(Audit!$AH$4:$AH$26,MATCH(A12,Audit!$A$4:$A$26,0)),INDEX(Audit!$BW$4:$BW$26,MATCH(A12,Audit!$AP$4:$AP$26,0)))</f>
        <v>353.21</v>
      </c>
      <c r="E12" s="4">
        <f>IFERROR(INDEX(Audit!$AG$4:$AG$26,MATCH(A12,Audit!$A$4:$A$26,0)),INDEX(Audit!$BV$4:$BV$26,MATCH(A12,Audit!$AP$4:$AP$26,0)))</f>
        <v>265.21</v>
      </c>
      <c r="F12" s="4">
        <f t="shared" si="0"/>
        <v>88</v>
      </c>
      <c r="G12" t="str">
        <f t="shared" si="1"/>
        <v>Claim</v>
      </c>
    </row>
    <row r="13" spans="1:7" x14ac:dyDescent="0.2">
      <c r="A13" t="s">
        <v>277</v>
      </c>
      <c r="B13">
        <f>IFERROR(INDEX(Audit!$C$4:$C$26,MATCH(A13,Audit!$A$4:$A$26,0)),INDEX(Audit!$AR$4:$AR$26,MATCH(A13,Audit!$AP$4:$AP$26,0)))</f>
        <v>217864</v>
      </c>
      <c r="C13" t="str">
        <f>IFERROR(INDEX(Audit!$AM$4:$AM$26,MATCH(A13,Audit!$A$4:$A$26,0)),INDEX(Audit!$CB$4:$CB$26,MATCH(A13,Audit!$AP$4:$AP$26,0)))</f>
        <v>5.2 fuel week</v>
      </c>
      <c r="D13" s="4">
        <f>IFERROR(INDEX(Audit!$AH$4:$AH$26,MATCH(A13,Audit!$A$4:$A$26,0)),INDEX(Audit!$BW$4:$BW$26,MATCH(A13,Audit!$AP$4:$AP$26,0)))</f>
        <v>358.27</v>
      </c>
      <c r="E13" s="4">
        <f>IFERROR(INDEX(Audit!$AG$4:$AG$26,MATCH(A13,Audit!$A$4:$A$26,0)),INDEX(Audit!$BV$4:$BV$26,MATCH(A13,Audit!$AP$4:$AP$26,0)))</f>
        <v>359.68</v>
      </c>
      <c r="F13" s="4">
        <f t="shared" si="0"/>
        <v>-1.41</v>
      </c>
      <c r="G13" t="str">
        <f t="shared" si="1"/>
        <v>Report undercharge</v>
      </c>
    </row>
    <row r="14" spans="1:7" x14ac:dyDescent="0.2">
      <c r="A14" t="s">
        <v>284</v>
      </c>
      <c r="B14">
        <f>IFERROR(INDEX(Audit!$C$4:$C$26,MATCH(A14,Audit!$A$4:$A$26,0)),INDEX(Audit!$AR$4:$AR$26,MATCH(A14,Audit!$AP$4:$AP$26,0)))</f>
        <v>217883</v>
      </c>
      <c r="C14" t="str">
        <f>IFERROR(INDEX(Audit!$AM$4:$AM$26,MATCH(A14,Audit!$A$4:$A$26,0)),INDEX(Audit!$CB$4:$CB$26,MATCH(A14,Audit!$AP$4:$AP$26,0)))</f>
        <v>7.1 duplicate bill</v>
      </c>
      <c r="D14" s="4">
        <f>IFERROR(INDEX(Audit!$AH$4:$AH$26,MATCH(A14,Audit!$A$4:$A$26,0)),INDEX(Audit!$BW$4:$BW$26,MATCH(A14,Audit!$AP$4:$AP$26,0)))</f>
        <v>447.7</v>
      </c>
      <c r="E14" s="4">
        <f>IFERROR(INDEX(Audit!$AG$4:$AG$26,MATCH(A14,Audit!$A$4:$A$26,0)),INDEX(Audit!$BV$4:$BV$26,MATCH(A14,Audit!$AP$4:$AP$26,0)))</f>
        <v>0</v>
      </c>
      <c r="F14" s="4">
        <f t="shared" si="0"/>
        <v>447.7</v>
      </c>
      <c r="G14" t="str">
        <f t="shared" si="1"/>
        <v>Claim</v>
      </c>
    </row>
    <row r="15" spans="1:7" x14ac:dyDescent="0.2">
      <c r="A15" t="s">
        <v>288</v>
      </c>
      <c r="B15">
        <f>IFERROR(INDEX(Audit!$C$4:$C$26,MATCH(A15,Audit!$A$4:$A$26,0)),INDEX(Audit!$AR$4:$AR$26,MATCH(A15,Audit!$AP$4:$AP$26,0)))</f>
        <v>217820</v>
      </c>
      <c r="C15" t="str">
        <f>IFERROR(INDEX(Audit!$AM$4:$AM$26,MATCH(A15,Audit!$A$4:$A$26,0)),INDEX(Audit!$CB$4:$CB$26,MATCH(A15,Audit!$AP$4:$AP$26,0)))</f>
        <v>4.5 reweigh</v>
      </c>
      <c r="D15" s="4">
        <f>IFERROR(INDEX(Audit!$AH$4:$AH$26,MATCH(A15,Audit!$A$4:$A$26,0)),INDEX(Audit!$BW$4:$BW$26,MATCH(A15,Audit!$AP$4:$AP$26,0)))</f>
        <v>372.15</v>
      </c>
      <c r="E15" s="4">
        <f>IFERROR(INDEX(Audit!$AG$4:$AG$26,MATCH(A15,Audit!$A$4:$A$26,0)),INDEX(Audit!$BV$4:$BV$26,MATCH(A15,Audit!$AP$4:$AP$26,0)))</f>
        <v>300.93</v>
      </c>
      <c r="F15" s="4">
        <f t="shared" si="0"/>
        <v>71.22</v>
      </c>
      <c r="G15" t="str">
        <f t="shared" si="1"/>
        <v>Claim</v>
      </c>
    </row>
    <row r="16" spans="1:7" x14ac:dyDescent="0.2">
      <c r="A16" t="s">
        <v>298</v>
      </c>
      <c r="B16">
        <f>IFERROR(INDEX(Audit!$C$4:$C$26,MATCH(A16,Audit!$A$4:$A$26,0)),INDEX(Audit!$AR$4:$AR$26,MATCH(A16,Audit!$AP$4:$AP$26,0)))</f>
        <v>217712</v>
      </c>
      <c r="C16" t="str">
        <f>IFERROR(INDEX(Audit!$AM$4:$AM$26,MATCH(A16,Audit!$A$4:$A$26,0)),INDEX(Audit!$CB$4:$CB$26,MATCH(A16,Audit!$AP$4:$AP$26,0)))</f>
        <v>4.5 reweigh</v>
      </c>
      <c r="D16" s="4">
        <f>IFERROR(INDEX(Audit!$AH$4:$AH$26,MATCH(A16,Audit!$A$4:$A$26,0)),INDEX(Audit!$BW$4:$BW$26,MATCH(A16,Audit!$AP$4:$AP$26,0)))</f>
        <v>717.63</v>
      </c>
      <c r="E16" s="4">
        <f>IFERROR(INDEX(Audit!$AG$4:$AG$26,MATCH(A16,Audit!$A$4:$A$26,0)),INDEX(Audit!$BV$4:$BV$26,MATCH(A16,Audit!$AP$4:$AP$26,0)))</f>
        <v>692.56</v>
      </c>
      <c r="F16" s="4">
        <f t="shared" si="0"/>
        <v>25.07</v>
      </c>
      <c r="G16" t="str">
        <f t="shared" si="1"/>
        <v>Claim</v>
      </c>
    </row>
    <row r="17" spans="1:7" x14ac:dyDescent="0.2">
      <c r="A17" t="s">
        <v>300</v>
      </c>
      <c r="B17">
        <f>IFERROR(INDEX(Audit!$C$4:$C$26,MATCH(A17,Audit!$A$4:$A$26,0)),INDEX(Audit!$AR$4:$AR$26,MATCH(A17,Audit!$AP$4:$AP$26,0)))</f>
        <v>217888</v>
      </c>
      <c r="C17" t="str">
        <f>IFERROR(INDEX(Audit!$AM$4:$AM$26,MATCH(A17,Audit!$A$4:$A$26,0)),INDEX(Audit!$CB$4:$CB$26,MATCH(A17,Audit!$AP$4:$AP$26,0)))</f>
        <v>5.2 fuel week</v>
      </c>
      <c r="D17" s="4">
        <f>IFERROR(INDEX(Audit!$AH$4:$AH$26,MATCH(A17,Audit!$A$4:$A$26,0)),INDEX(Audit!$BW$4:$BW$26,MATCH(A17,Audit!$AP$4:$AP$26,0)))</f>
        <v>862.47</v>
      </c>
      <c r="E17" s="4">
        <f>IFERROR(INDEX(Audit!$AG$4:$AG$26,MATCH(A17,Audit!$A$4:$A$26,0)),INDEX(Audit!$BV$4:$BV$26,MATCH(A17,Audit!$AP$4:$AP$26,0)))</f>
        <v>859.46</v>
      </c>
      <c r="F17" s="4">
        <f t="shared" si="0"/>
        <v>3.01</v>
      </c>
      <c r="G17" t="str">
        <f t="shared" si="1"/>
        <v>Claim</v>
      </c>
    </row>
    <row r="18" spans="1:7" x14ac:dyDescent="0.2">
      <c r="A18" t="s">
        <v>309</v>
      </c>
      <c r="B18">
        <f>IFERROR(INDEX(Audit!$C$4:$C$26,MATCH(A18,Audit!$A$4:$A$26,0)),INDEX(Audit!$AR$4:$AR$26,MATCH(A18,Audit!$AP$4:$AP$26,0)))</f>
        <v>217841</v>
      </c>
      <c r="C18" t="str">
        <f>IFERROR(INDEX(Audit!$AM$4:$AM$26,MATCH(A18,Audit!$A$4:$A$26,0)),INDEX(Audit!$CB$4:$CB$26,MATCH(A18,Audit!$AP$4:$AP$26,0)))</f>
        <v>7.1 duplicate bill</v>
      </c>
      <c r="D18" s="4">
        <f>IFERROR(INDEX(Audit!$AH$4:$AH$26,MATCH(A18,Audit!$A$4:$A$26,0)),INDEX(Audit!$BW$4:$BW$26,MATCH(A18,Audit!$AP$4:$AP$26,0)))</f>
        <v>603.63</v>
      </c>
      <c r="E18" s="4">
        <f>IFERROR(INDEX(Audit!$AG$4:$AG$26,MATCH(A18,Audit!$A$4:$A$26,0)),INDEX(Audit!$BV$4:$BV$26,MATCH(A18,Audit!$AP$4:$AP$26,0)))</f>
        <v>0</v>
      </c>
      <c r="F18" s="4">
        <f t="shared" si="0"/>
        <v>603.63</v>
      </c>
      <c r="G18" t="str">
        <f t="shared" si="1"/>
        <v>Claim</v>
      </c>
    </row>
    <row r="19" spans="1:7" x14ac:dyDescent="0.2">
      <c r="A19" t="s">
        <v>409</v>
      </c>
      <c r="D19" s="4">
        <f>ROUND(SUM(D4:D18),2)</f>
        <v>8083.04</v>
      </c>
      <c r="E19" s="4">
        <f>ROUND(SUM(E4:E18),2)</f>
        <v>6625.34</v>
      </c>
      <c r="F19" s="4">
        <f>ROUND(SUM(F4:F18),2)</f>
        <v>1457.7</v>
      </c>
    </row>
    <row r="21" spans="1:7" x14ac:dyDescent="0.2">
      <c r="A21" t="s">
        <v>419</v>
      </c>
      <c r="B21">
        <f>COUNTA(A4:A18)</f>
        <v>15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8"/>
  <sheetViews>
    <sheetView workbookViewId="0"/>
  </sheetViews>
  <sheetFormatPr baseColWidth="10" defaultColWidth="8.83203125" defaultRowHeight="15" x14ac:dyDescent="0.2"/>
  <cols>
    <col min="1" max="1" width="10" customWidth="1"/>
    <col min="2" max="2" width="13" customWidth="1"/>
    <col min="3" max="3" width="14" customWidth="1"/>
    <col min="4" max="5" width="12" customWidth="1"/>
    <col min="6" max="6" width="9" customWidth="1"/>
    <col min="7" max="7" width="60" customWidth="1"/>
  </cols>
  <sheetData>
    <row r="1" spans="1:7" ht="17" x14ac:dyDescent="0.2">
      <c r="A1" s="1" t="s">
        <v>420</v>
      </c>
    </row>
    <row r="3" spans="1:7" x14ac:dyDescent="0.2">
      <c r="A3" s="2" t="s">
        <v>118</v>
      </c>
      <c r="B3" s="2" t="s">
        <v>311</v>
      </c>
      <c r="C3" s="2" t="s">
        <v>421</v>
      </c>
      <c r="D3" s="2" t="s">
        <v>422</v>
      </c>
      <c r="E3" s="2" t="s">
        <v>423</v>
      </c>
      <c r="F3" s="2" t="s">
        <v>424</v>
      </c>
      <c r="G3" s="2" t="s">
        <v>351</v>
      </c>
    </row>
    <row r="4" spans="1:7" x14ac:dyDescent="0.2">
      <c r="A4">
        <f>IFERROR(INDEX(Audit!$C$4:$C$26,MATCH(B4,Audit!$A$4:$A$26,0)),INDEX(Audit!$AR$4:$AR$26,MATCH(B4,Audit!$AP$4:$AP$26,0)))</f>
        <v>217598</v>
      </c>
      <c r="B4" t="s">
        <v>252</v>
      </c>
      <c r="C4" s="4">
        <f>IFERROR(INDEX(Audit!$AH$4:$AH$26,MATCH(B4,Audit!$A$4:$A$26,0)),INDEX(Audit!$BW$4:$BW$26,MATCH(B4,Audit!$AP$4:$AP$26,0)))</f>
        <v>625.37</v>
      </c>
      <c r="D4" s="4">
        <f>IFERROR(INDEX(Audit!$AG$4:$AG$26,MATCH(B4,Audit!$A$4:$A$26,0)),INDEX(Audit!$BV$4:$BV$26,MATCH(B4,Audit!$AP$4:$AP$26,0)))</f>
        <v>622.89</v>
      </c>
      <c r="E4" s="4">
        <f t="shared" ref="E4:E15" si="0">ROUND(C4-D4,2)</f>
        <v>2.48</v>
      </c>
      <c r="F4" t="str">
        <f>LEFT(IFERROR(INDEX(Audit!$AM$4:$AM$26,MATCH(B4,Audit!$A$4:$A$26,0)),INDEX(Audit!$CB$4:$CB$26,MATCH(B4,Audit!$AP$4:$AP$26,0))),3)</f>
        <v>5.2</v>
      </c>
      <c r="G4" t="str">
        <f t="shared" ref="G4:G15" si="1">INDEX($B$23:$B$28,MATCH(F4,$A$23:$A$28,0))</f>
        <v>Fuel surcharge taken from a week other than the pickup week</v>
      </c>
    </row>
    <row r="5" spans="1:7" x14ac:dyDescent="0.2">
      <c r="A5">
        <f>IFERROR(INDEX(Audit!$C$4:$C$26,MATCH(B5,Audit!$A$4:$A$26,0)),INDEX(Audit!$AR$4:$AR$26,MATCH(B5,Audit!$AP$4:$AP$26,0)))</f>
        <v>217836</v>
      </c>
      <c r="B5" t="s">
        <v>278</v>
      </c>
      <c r="C5" s="4">
        <f>IFERROR(INDEX(Audit!$AH$4:$AH$26,MATCH(B5,Audit!$A$4:$A$26,0)),INDEX(Audit!$BW$4:$BW$26,MATCH(B5,Audit!$AP$4:$AP$26,0)))</f>
        <v>757.79</v>
      </c>
      <c r="D5" s="4">
        <f>IFERROR(INDEX(Audit!$AG$4:$AG$26,MATCH(B5,Audit!$A$4:$A$26,0)),INDEX(Audit!$BV$4:$BV$26,MATCH(B5,Audit!$AP$4:$AP$26,0)))</f>
        <v>747.79</v>
      </c>
      <c r="E5" s="4">
        <f t="shared" si="0"/>
        <v>10</v>
      </c>
      <c r="F5" t="str">
        <f>LEFT(IFERROR(INDEX(Audit!$AM$4:$AM$26,MATCH(B5,Audit!$A$4:$A$26,0)),INDEX(Audit!$CB$4:$CB$26,MATCH(B5,Audit!$AP$4:$AP$26,0))),3)</f>
        <v>6.1</v>
      </c>
      <c r="G5" t="str">
        <f t="shared" si="1"/>
        <v>Accessorial billed above the Exhibit B schedule: a service with no request on the bill of lading and no written confirmation before delivery, or a charge above the flat rate</v>
      </c>
    </row>
    <row r="6" spans="1:7" x14ac:dyDescent="0.2">
      <c r="A6">
        <f>IFERROR(INDEX(Audit!$C$4:$C$26,MATCH(B6,Audit!$A$4:$A$26,0)),INDEX(Audit!$AR$4:$AR$26,MATCH(B6,Audit!$AP$4:$AP$26,0)))</f>
        <v>217784</v>
      </c>
      <c r="B6" t="s">
        <v>283</v>
      </c>
      <c r="C6" s="4">
        <f>IFERROR(INDEX(Audit!$AH$4:$AH$26,MATCH(B6,Audit!$A$4:$A$26,0)),INDEX(Audit!$BW$4:$BW$26,MATCH(B6,Audit!$AP$4:$AP$26,0)))</f>
        <v>485.89</v>
      </c>
      <c r="D6" s="4">
        <f>IFERROR(INDEX(Audit!$AG$4:$AG$26,MATCH(B6,Audit!$A$4:$A$26,0)),INDEX(Audit!$BV$4:$BV$26,MATCH(B6,Audit!$AP$4:$AP$26,0)))</f>
        <v>439.64</v>
      </c>
      <c r="E6" s="4">
        <f t="shared" si="0"/>
        <v>46.25</v>
      </c>
      <c r="F6" t="str">
        <f>LEFT(IFERROR(INDEX(Audit!$AM$4:$AM$26,MATCH(B6,Audit!$A$4:$A$26,0)),INDEX(Audit!$CB$4:$CB$26,MATCH(B6,Audit!$AP$4:$AP$26,0))),3)</f>
        <v>4.3</v>
      </c>
      <c r="G6" t="str">
        <f t="shared" si="1"/>
        <v>Billed at a class other than the product group class with no signed inspection certificate in the billing file</v>
      </c>
    </row>
    <row r="7" spans="1:7" x14ac:dyDescent="0.2">
      <c r="A7">
        <f>IFERROR(INDEX(Audit!$C$4:$C$26,MATCH(B7,Audit!$A$4:$A$26,0)),INDEX(Audit!$AR$4:$AR$26,MATCH(B7,Audit!$AP$4:$AP$26,0)))</f>
        <v>217692</v>
      </c>
      <c r="B7" t="s">
        <v>297</v>
      </c>
      <c r="C7" s="4">
        <f>IFERROR(INDEX(Audit!$AH$4:$AH$26,MATCH(B7,Audit!$A$4:$A$26,0)),INDEX(Audit!$BW$4:$BW$26,MATCH(B7,Audit!$AP$4:$AP$26,0)))</f>
        <v>994.51</v>
      </c>
      <c r="D7" s="4">
        <f>IFERROR(INDEX(Audit!$AG$4:$AG$26,MATCH(B7,Audit!$A$4:$A$26,0)),INDEX(Audit!$BV$4:$BV$26,MATCH(B7,Audit!$AP$4:$AP$26,0)))</f>
        <v>880.58</v>
      </c>
      <c r="E7" s="4">
        <f t="shared" si="0"/>
        <v>113.93</v>
      </c>
      <c r="F7" t="str">
        <f>LEFT(IFERROR(INDEX(Audit!$AM$4:$AM$26,MATCH(B7,Audit!$A$4:$A$26,0)),INDEX(Audit!$CB$4:$CB$26,MATCH(B7,Audit!$AP$4:$AP$26,0))),3)</f>
        <v>4.2</v>
      </c>
      <c r="G7" t="str">
        <f t="shared" si="1"/>
        <v>Rated at the shipment's own break where the next break's minimum weight rates lower</v>
      </c>
    </row>
    <row r="8" spans="1:7" x14ac:dyDescent="0.2">
      <c r="A8">
        <f>IFERROR(INDEX(Audit!$C$4:$C$26,MATCH(B8,Audit!$A$4:$A$26,0)),INDEX(Audit!$AR$4:$AR$26,MATCH(B8,Audit!$AP$4:$AP$26,0)))</f>
        <v>217798</v>
      </c>
      <c r="B8" t="s">
        <v>303</v>
      </c>
      <c r="C8" s="4">
        <f>IFERROR(INDEX(Audit!$AH$4:$AH$26,MATCH(B8,Audit!$A$4:$A$26,0)),INDEX(Audit!$BW$4:$BW$26,MATCH(B8,Audit!$AP$4:$AP$26,0)))</f>
        <v>510.16</v>
      </c>
      <c r="D8" s="4">
        <f>IFERROR(INDEX(Audit!$AG$4:$AG$26,MATCH(B8,Audit!$A$4:$A$26,0)),INDEX(Audit!$BV$4:$BV$26,MATCH(B8,Audit!$AP$4:$AP$26,0)))</f>
        <v>461.57</v>
      </c>
      <c r="E8" s="4">
        <f t="shared" si="0"/>
        <v>48.59</v>
      </c>
      <c r="F8" t="str">
        <f>LEFT(IFERROR(INDEX(Audit!$AM$4:$AM$26,MATCH(B8,Audit!$A$4:$A$26,0)),INDEX(Audit!$CB$4:$CB$26,MATCH(B8,Audit!$AP$4:$AP$26,0))),3)</f>
        <v>4.2</v>
      </c>
      <c r="G8" t="str">
        <f t="shared" si="1"/>
        <v>Rated at the shipment's own break where the next break's minimum weight rates lower</v>
      </c>
    </row>
    <row r="9" spans="1:7" x14ac:dyDescent="0.2">
      <c r="A9">
        <f>IFERROR(INDEX(Audit!$C$4:$C$26,MATCH(B9,Audit!$A$4:$A$26,0)),INDEX(Audit!$AR$4:$AR$26,MATCH(B9,Audit!$AP$4:$AP$26,0)))</f>
        <v>217724</v>
      </c>
      <c r="B9" t="s">
        <v>256</v>
      </c>
      <c r="C9" s="4">
        <f>IFERROR(INDEX(Audit!$AH$4:$AH$26,MATCH(B9,Audit!$A$4:$A$26,0)),INDEX(Audit!$BW$4:$BW$26,MATCH(B9,Audit!$AP$4:$AP$26,0)))</f>
        <v>426.42</v>
      </c>
      <c r="D9" s="4">
        <f>IFERROR(INDEX(Audit!$AG$4:$AG$26,MATCH(B9,Audit!$A$4:$A$26,0)),INDEX(Audit!$BV$4:$BV$26,MATCH(B9,Audit!$AP$4:$AP$26,0)))</f>
        <v>351.42</v>
      </c>
      <c r="E9" s="4">
        <f t="shared" si="0"/>
        <v>75</v>
      </c>
      <c r="F9" t="str">
        <f>LEFT(IFERROR(INDEX(Audit!$AM$4:$AM$26,MATCH(B9,Audit!$A$4:$A$26,0)),INDEX(Audit!$CB$4:$CB$26,MATCH(B9,Audit!$AP$4:$AP$26,0))),3)</f>
        <v>6.1</v>
      </c>
      <c r="G9" t="str">
        <f t="shared" si="1"/>
        <v>Accessorial billed above the Exhibit B schedule: a service with no request on the bill of lading and no written confirmation before delivery, or a charge above the flat rate</v>
      </c>
    </row>
    <row r="10" spans="1:7" x14ac:dyDescent="0.2">
      <c r="A10">
        <f>IFERROR(INDEX(Audit!$C$4:$C$26,MATCH(B10,Audit!$A$4:$A$26,0)),INDEX(Audit!$AR$4:$AR$26,MATCH(B10,Audit!$AP$4:$AP$26,0)))</f>
        <v>217894</v>
      </c>
      <c r="B10" t="s">
        <v>265</v>
      </c>
      <c r="C10" s="4">
        <f>IFERROR(INDEX(Audit!$AH$4:$AH$26,MATCH(B10,Audit!$A$4:$A$26,0)),INDEX(Audit!$BW$4:$BW$26,MATCH(B10,Audit!$AP$4:$AP$26,0)))</f>
        <v>353.21</v>
      </c>
      <c r="D10" s="4">
        <f>IFERROR(INDEX(Audit!$AG$4:$AG$26,MATCH(B10,Audit!$A$4:$A$26,0)),INDEX(Audit!$BV$4:$BV$26,MATCH(B10,Audit!$AP$4:$AP$26,0)))</f>
        <v>265.21</v>
      </c>
      <c r="E10" s="4">
        <f t="shared" si="0"/>
        <v>88</v>
      </c>
      <c r="F10" t="str">
        <f>LEFT(IFERROR(INDEX(Audit!$AM$4:$AM$26,MATCH(B10,Audit!$A$4:$A$26,0)),INDEX(Audit!$CB$4:$CB$26,MATCH(B10,Audit!$AP$4:$AP$26,0))),3)</f>
        <v>6.1</v>
      </c>
      <c r="G10" t="str">
        <f t="shared" si="1"/>
        <v>Accessorial billed above the Exhibit B schedule: a service with no request on the bill of lading and no written confirmation before delivery, or a charge above the flat rate</v>
      </c>
    </row>
    <row r="11" spans="1:7" x14ac:dyDescent="0.2">
      <c r="A11">
        <f>IFERROR(INDEX(Audit!$C$4:$C$26,MATCH(B11,Audit!$A$4:$A$26,0)),INDEX(Audit!$AR$4:$AR$26,MATCH(B11,Audit!$AP$4:$AP$26,0)))</f>
        <v>217883</v>
      </c>
      <c r="B11" t="s">
        <v>284</v>
      </c>
      <c r="C11" s="4">
        <f>IFERROR(INDEX(Audit!$AH$4:$AH$26,MATCH(B11,Audit!$A$4:$A$26,0)),INDEX(Audit!$BW$4:$BW$26,MATCH(B11,Audit!$AP$4:$AP$26,0)))</f>
        <v>447.7</v>
      </c>
      <c r="D11" s="4">
        <f>IFERROR(INDEX(Audit!$AG$4:$AG$26,MATCH(B11,Audit!$A$4:$A$26,0)),INDEX(Audit!$BV$4:$BV$26,MATCH(B11,Audit!$AP$4:$AP$26,0)))</f>
        <v>0</v>
      </c>
      <c r="E11" s="4">
        <f t="shared" si="0"/>
        <v>447.7</v>
      </c>
      <c r="F11" t="str">
        <f>LEFT(IFERROR(INDEX(Audit!$AM$4:$AM$26,MATCH(B11,Audit!$A$4:$A$26,0)),INDEX(Audit!$CB$4:$CB$26,MATCH(B11,Audit!$AP$4:$AP$26,0))),3)</f>
        <v>7.1</v>
      </c>
      <c r="G11" t="str">
        <f t="shared" si="1"/>
        <v>Second freight bill on a pro number already billed, void under section 7.1</v>
      </c>
    </row>
    <row r="12" spans="1:7" x14ac:dyDescent="0.2">
      <c r="A12">
        <f>IFERROR(INDEX(Audit!$C$4:$C$26,MATCH(B12,Audit!$A$4:$A$26,0)),INDEX(Audit!$AR$4:$AR$26,MATCH(B12,Audit!$AP$4:$AP$26,0)))</f>
        <v>217820</v>
      </c>
      <c r="B12" t="s">
        <v>288</v>
      </c>
      <c r="C12" s="4">
        <f>IFERROR(INDEX(Audit!$AH$4:$AH$26,MATCH(B12,Audit!$A$4:$A$26,0)),INDEX(Audit!$BW$4:$BW$26,MATCH(B12,Audit!$AP$4:$AP$26,0)))</f>
        <v>372.15</v>
      </c>
      <c r="D12" s="4">
        <f>IFERROR(INDEX(Audit!$AG$4:$AG$26,MATCH(B12,Audit!$A$4:$A$26,0)),INDEX(Audit!$BV$4:$BV$26,MATCH(B12,Audit!$AP$4:$AP$26,0)))</f>
        <v>300.93</v>
      </c>
      <c r="E12" s="4">
        <f t="shared" si="0"/>
        <v>71.22</v>
      </c>
      <c r="F12" t="str">
        <f>LEFT(IFERROR(INDEX(Audit!$AM$4:$AM$26,MATCH(B12,Audit!$A$4:$A$26,0)),INDEX(Audit!$CB$4:$CB$26,MATCH(B12,Audit!$AP$4:$AP$26,0))),3)</f>
        <v>4.5</v>
      </c>
      <c r="G12" t="str">
        <f t="shared" si="1"/>
        <v>Billed weight above the bill of lading weight with no certified scale ticket, or with a ticket inside the five percent tolerance</v>
      </c>
    </row>
    <row r="13" spans="1:7" x14ac:dyDescent="0.2">
      <c r="A13">
        <f>IFERROR(INDEX(Audit!$C$4:$C$26,MATCH(B13,Audit!$A$4:$A$26,0)),INDEX(Audit!$AR$4:$AR$26,MATCH(B13,Audit!$AP$4:$AP$26,0)))</f>
        <v>217712</v>
      </c>
      <c r="B13" t="s">
        <v>298</v>
      </c>
      <c r="C13" s="4">
        <f>IFERROR(INDEX(Audit!$AH$4:$AH$26,MATCH(B13,Audit!$A$4:$A$26,0)),INDEX(Audit!$BW$4:$BW$26,MATCH(B13,Audit!$AP$4:$AP$26,0)))</f>
        <v>717.63</v>
      </c>
      <c r="D13" s="4">
        <f>IFERROR(INDEX(Audit!$AG$4:$AG$26,MATCH(B13,Audit!$A$4:$A$26,0)),INDEX(Audit!$BV$4:$BV$26,MATCH(B13,Audit!$AP$4:$AP$26,0)))</f>
        <v>692.56</v>
      </c>
      <c r="E13" s="4">
        <f t="shared" si="0"/>
        <v>25.07</v>
      </c>
      <c r="F13" t="str">
        <f>LEFT(IFERROR(INDEX(Audit!$AM$4:$AM$26,MATCH(B13,Audit!$A$4:$A$26,0)),INDEX(Audit!$CB$4:$CB$26,MATCH(B13,Audit!$AP$4:$AP$26,0))),3)</f>
        <v>4.5</v>
      </c>
      <c r="G13" t="str">
        <f t="shared" si="1"/>
        <v>Billed weight above the bill of lading weight with no certified scale ticket, or with a ticket inside the five percent tolerance</v>
      </c>
    </row>
    <row r="14" spans="1:7" x14ac:dyDescent="0.2">
      <c r="A14">
        <f>IFERROR(INDEX(Audit!$C$4:$C$26,MATCH(B14,Audit!$A$4:$A$26,0)),INDEX(Audit!$AR$4:$AR$26,MATCH(B14,Audit!$AP$4:$AP$26,0)))</f>
        <v>217888</v>
      </c>
      <c r="B14" t="s">
        <v>300</v>
      </c>
      <c r="C14" s="4">
        <f>IFERROR(INDEX(Audit!$AH$4:$AH$26,MATCH(B14,Audit!$A$4:$A$26,0)),INDEX(Audit!$BW$4:$BW$26,MATCH(B14,Audit!$AP$4:$AP$26,0)))</f>
        <v>862.47</v>
      </c>
      <c r="D14" s="4">
        <f>IFERROR(INDEX(Audit!$AG$4:$AG$26,MATCH(B14,Audit!$A$4:$A$26,0)),INDEX(Audit!$BV$4:$BV$26,MATCH(B14,Audit!$AP$4:$AP$26,0)))</f>
        <v>859.46</v>
      </c>
      <c r="E14" s="4">
        <f t="shared" si="0"/>
        <v>3.01</v>
      </c>
      <c r="F14" t="str">
        <f>LEFT(IFERROR(INDEX(Audit!$AM$4:$AM$26,MATCH(B14,Audit!$A$4:$A$26,0)),INDEX(Audit!$CB$4:$CB$26,MATCH(B14,Audit!$AP$4:$AP$26,0))),3)</f>
        <v>5.2</v>
      </c>
      <c r="G14" t="str">
        <f t="shared" si="1"/>
        <v>Fuel surcharge taken from a week other than the pickup week</v>
      </c>
    </row>
    <row r="15" spans="1:7" x14ac:dyDescent="0.2">
      <c r="A15">
        <f>IFERROR(INDEX(Audit!$C$4:$C$26,MATCH(B15,Audit!$A$4:$A$26,0)),INDEX(Audit!$AR$4:$AR$26,MATCH(B15,Audit!$AP$4:$AP$26,0)))</f>
        <v>217841</v>
      </c>
      <c r="B15" t="s">
        <v>309</v>
      </c>
      <c r="C15" s="4">
        <f>IFERROR(INDEX(Audit!$AH$4:$AH$26,MATCH(B15,Audit!$A$4:$A$26,0)),INDEX(Audit!$BW$4:$BW$26,MATCH(B15,Audit!$AP$4:$AP$26,0)))</f>
        <v>603.63</v>
      </c>
      <c r="D15" s="4">
        <f>IFERROR(INDEX(Audit!$AG$4:$AG$26,MATCH(B15,Audit!$A$4:$A$26,0)),INDEX(Audit!$BV$4:$BV$26,MATCH(B15,Audit!$AP$4:$AP$26,0)))</f>
        <v>0</v>
      </c>
      <c r="E15" s="4">
        <f t="shared" si="0"/>
        <v>603.63</v>
      </c>
      <c r="F15" t="str">
        <f>LEFT(IFERROR(INDEX(Audit!$AM$4:$AM$26,MATCH(B15,Audit!$A$4:$A$26,0)),INDEX(Audit!$CB$4:$CB$26,MATCH(B15,Audit!$AP$4:$AP$26,0))),3)</f>
        <v>7.1</v>
      </c>
      <c r="G15" t="str">
        <f t="shared" si="1"/>
        <v>Second freight bill on a pro number already billed, void under section 7.1</v>
      </c>
    </row>
    <row r="16" spans="1:7" x14ac:dyDescent="0.2">
      <c r="A16" t="s">
        <v>425</v>
      </c>
      <c r="C16" s="4">
        <f>ROUND(SUM(C4:C15),2)</f>
        <v>7156.93</v>
      </c>
      <c r="D16" s="4">
        <f>ROUND(SUM(D4:D15),2)</f>
        <v>5622.05</v>
      </c>
      <c r="E16" s="4">
        <f>ROUND(SUM(E4:E15),2)</f>
        <v>1534.88</v>
      </c>
    </row>
    <row r="22" spans="1:2" x14ac:dyDescent="0.2">
      <c r="A22" t="s">
        <v>426</v>
      </c>
    </row>
    <row r="23" spans="1:2" x14ac:dyDescent="0.2">
      <c r="A23" t="s">
        <v>427</v>
      </c>
      <c r="B23" t="s">
        <v>428</v>
      </c>
    </row>
    <row r="24" spans="1:2" x14ac:dyDescent="0.2">
      <c r="A24" t="s">
        <v>429</v>
      </c>
      <c r="B24" t="s">
        <v>430</v>
      </c>
    </row>
    <row r="25" spans="1:2" x14ac:dyDescent="0.2">
      <c r="A25" t="s">
        <v>51</v>
      </c>
      <c r="B25" t="s">
        <v>431</v>
      </c>
    </row>
    <row r="26" spans="1:2" x14ac:dyDescent="0.2">
      <c r="A26" t="s">
        <v>432</v>
      </c>
      <c r="B26" t="s">
        <v>433</v>
      </c>
    </row>
    <row r="27" spans="1:2" x14ac:dyDescent="0.2">
      <c r="A27" t="s">
        <v>434</v>
      </c>
      <c r="B27" t="s">
        <v>435</v>
      </c>
    </row>
    <row r="28" spans="1:2" x14ac:dyDescent="0.2">
      <c r="A28" t="s">
        <v>436</v>
      </c>
      <c r="B28" t="s">
        <v>437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3"/>
  <sheetViews>
    <sheetView workbookViewId="0"/>
  </sheetViews>
  <sheetFormatPr baseColWidth="10" defaultColWidth="8.83203125" defaultRowHeight="15" x14ac:dyDescent="0.2"/>
  <cols>
    <col min="1" max="1" width="10" customWidth="1"/>
    <col min="2" max="2" width="13" customWidth="1"/>
    <col min="3" max="3" width="14" customWidth="1"/>
    <col min="4" max="5" width="12" customWidth="1"/>
    <col min="6" max="6" width="9" customWidth="1"/>
    <col min="7" max="7" width="60" customWidth="1"/>
  </cols>
  <sheetData>
    <row r="1" spans="1:7" ht="17" x14ac:dyDescent="0.2">
      <c r="A1" s="1" t="s">
        <v>438</v>
      </c>
    </row>
    <row r="3" spans="1:7" x14ac:dyDescent="0.2">
      <c r="A3" s="2" t="s">
        <v>118</v>
      </c>
      <c r="B3" s="2" t="s">
        <v>311</v>
      </c>
      <c r="C3" s="2" t="s">
        <v>421</v>
      </c>
      <c r="D3" s="2" t="s">
        <v>422</v>
      </c>
      <c r="E3" s="2" t="s">
        <v>439</v>
      </c>
      <c r="F3" s="2" t="s">
        <v>424</v>
      </c>
      <c r="G3" s="2" t="s">
        <v>351</v>
      </c>
    </row>
    <row r="4" spans="1:7" x14ac:dyDescent="0.2">
      <c r="A4">
        <f>IFERROR(INDEX(Audit!$C$4:$C$26,MATCH(B4,Audit!$A$4:$A$26,0)),INDEX(Audit!$AR$4:$AR$26,MATCH(B4,Audit!$AP$4:$AP$26,0)))</f>
        <v>217738</v>
      </c>
      <c r="B4" t="s">
        <v>269</v>
      </c>
      <c r="C4" s="4">
        <f>IFERROR(INDEX(Audit!$AH$4:$AH$26,MATCH(B4,Audit!$A$4:$A$26,0)),INDEX(Audit!$BW$4:$BW$26,MATCH(B4,Audit!$AP$4:$AP$26,0)))</f>
        <v>213.18</v>
      </c>
      <c r="D4" s="4">
        <f>IFERROR(INDEX(Audit!$AG$4:$AG$26,MATCH(B4,Audit!$A$4:$A$26,0)),INDEX(Audit!$BV$4:$BV$26,MATCH(B4,Audit!$AP$4:$AP$26,0)))</f>
        <v>288.18</v>
      </c>
      <c r="E4" s="4">
        <f>ROUND(D4-C4,2)</f>
        <v>75</v>
      </c>
      <c r="F4" t="str">
        <f>LEFT(IFERROR(INDEX(Audit!$AM$4:$AM$26,MATCH(B4,Audit!$A$4:$A$26,0)),INDEX(Audit!$CB$4:$CB$26,MATCH(B4,Audit!$AP$4:$AP$26,0))),3)</f>
        <v>6.1</v>
      </c>
      <c r="G4" t="str">
        <f>INDEX($B$12:$B$13,MATCH(F4,$A$12:$A$13,0))</f>
        <v>Accessorial the bill of lading requested was not billed</v>
      </c>
    </row>
    <row r="5" spans="1:7" x14ac:dyDescent="0.2">
      <c r="A5">
        <f>IFERROR(INDEX(Audit!$C$4:$C$26,MATCH(B5,Audit!$A$4:$A$26,0)),INDEX(Audit!$AR$4:$AR$26,MATCH(B5,Audit!$AP$4:$AP$26,0)))</f>
        <v>217703</v>
      </c>
      <c r="B5" t="s">
        <v>275</v>
      </c>
      <c r="C5" s="4">
        <f>IFERROR(INDEX(Audit!$AH$4:$AH$26,MATCH(B5,Audit!$A$4:$A$26,0)),INDEX(Audit!$BW$4:$BW$26,MATCH(B5,Audit!$AP$4:$AP$26,0)))</f>
        <v>354.66</v>
      </c>
      <c r="D5" s="4">
        <f>IFERROR(INDEX(Audit!$AG$4:$AG$26,MATCH(B5,Audit!$A$4:$A$26,0)),INDEX(Audit!$BV$4:$BV$26,MATCH(B5,Audit!$AP$4:$AP$26,0)))</f>
        <v>355.43</v>
      </c>
      <c r="E5" s="4">
        <f>ROUND(D5-C5,2)</f>
        <v>0.77</v>
      </c>
      <c r="F5" t="str">
        <f>LEFT(IFERROR(INDEX(Audit!$AM$4:$AM$26,MATCH(B5,Audit!$A$4:$A$26,0)),INDEX(Audit!$CB$4:$CB$26,MATCH(B5,Audit!$AP$4:$AP$26,0))),3)</f>
        <v>5.2</v>
      </c>
      <c r="G5" t="str">
        <f>INDEX($B$12:$B$13,MATCH(F5,$A$12:$A$13,0))</f>
        <v>Fuel surcharge taken from a week other than the pickup week</v>
      </c>
    </row>
    <row r="6" spans="1:7" x14ac:dyDescent="0.2">
      <c r="A6">
        <f>IFERROR(INDEX(Audit!$C$4:$C$26,MATCH(B6,Audit!$A$4:$A$26,0)),INDEX(Audit!$AR$4:$AR$26,MATCH(B6,Audit!$AP$4:$AP$26,0)))</f>
        <v>217864</v>
      </c>
      <c r="B6" t="s">
        <v>277</v>
      </c>
      <c r="C6" s="4">
        <f>IFERROR(INDEX(Audit!$AH$4:$AH$26,MATCH(B6,Audit!$A$4:$A$26,0)),INDEX(Audit!$BW$4:$BW$26,MATCH(B6,Audit!$AP$4:$AP$26,0)))</f>
        <v>358.27</v>
      </c>
      <c r="D6" s="4">
        <f>IFERROR(INDEX(Audit!$AG$4:$AG$26,MATCH(B6,Audit!$A$4:$A$26,0)),INDEX(Audit!$BV$4:$BV$26,MATCH(B6,Audit!$AP$4:$AP$26,0)))</f>
        <v>359.68</v>
      </c>
      <c r="E6" s="4">
        <f>ROUND(D6-C6,2)</f>
        <v>1.41</v>
      </c>
      <c r="F6" t="str">
        <f>LEFT(IFERROR(INDEX(Audit!$AM$4:$AM$26,MATCH(B6,Audit!$A$4:$A$26,0)),INDEX(Audit!$CB$4:$CB$26,MATCH(B6,Audit!$AP$4:$AP$26,0))),3)</f>
        <v>5.2</v>
      </c>
      <c r="G6" t="str">
        <f>INDEX($B$12:$B$13,MATCH(F6,$A$12:$A$13,0))</f>
        <v>Fuel surcharge taken from a week other than the pickup week</v>
      </c>
    </row>
    <row r="7" spans="1:7" x14ac:dyDescent="0.2">
      <c r="A7" t="s">
        <v>440</v>
      </c>
      <c r="C7" s="4">
        <f>ROUND(SUM(C4:C6),2)</f>
        <v>926.11</v>
      </c>
      <c r="D7" s="4">
        <f>ROUND(SUM(D4:D6),2)</f>
        <v>1003.29</v>
      </c>
      <c r="E7" s="4">
        <f>ROUND(SUM(E4:E6),2)</f>
        <v>77.18</v>
      </c>
    </row>
    <row r="11" spans="1:7" x14ac:dyDescent="0.2">
      <c r="A11" t="s">
        <v>426</v>
      </c>
    </row>
    <row r="12" spans="1:7" x14ac:dyDescent="0.2">
      <c r="A12" t="s">
        <v>436</v>
      </c>
      <c r="B12" t="s">
        <v>441</v>
      </c>
    </row>
    <row r="13" spans="1:7" x14ac:dyDescent="0.2">
      <c r="A13" t="s">
        <v>434</v>
      </c>
      <c r="B13" t="s">
        <v>435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3"/>
  <sheetViews>
    <sheetView workbookViewId="0"/>
  </sheetViews>
  <sheetFormatPr baseColWidth="10" defaultColWidth="8.83203125" defaultRowHeight="15" x14ac:dyDescent="0.2"/>
  <cols>
    <col min="1" max="1" width="120" customWidth="1"/>
  </cols>
  <sheetData>
    <row r="1" spans="1:1" ht="17" x14ac:dyDescent="0.2">
      <c r="A1" s="1" t="s">
        <v>442</v>
      </c>
    </row>
    <row r="3" spans="1:1" ht="105" customHeight="1" x14ac:dyDescent="0.2">
      <c r="A3" s="8" t="s">
        <v>443</v>
      </c>
    </row>
    <row r="4" spans="1:1" ht="60" customHeight="1" x14ac:dyDescent="0.2">
      <c r="A4" s="8" t="s">
        <v>444</v>
      </c>
    </row>
    <row r="5" spans="1:1" ht="60" customHeight="1" x14ac:dyDescent="0.2">
      <c r="A5" s="8" t="s">
        <v>445</v>
      </c>
    </row>
    <row r="6" spans="1:1" ht="150" customHeight="1" x14ac:dyDescent="0.2">
      <c r="A6" s="8" t="s">
        <v>446</v>
      </c>
    </row>
    <row r="7" spans="1:1" ht="105" customHeight="1" x14ac:dyDescent="0.2">
      <c r="A7" s="8" t="s">
        <v>447</v>
      </c>
    </row>
    <row r="8" spans="1:1" ht="120" customHeight="1" x14ac:dyDescent="0.2">
      <c r="A8" s="8" t="s">
        <v>448</v>
      </c>
    </row>
    <row r="9" spans="1:1" ht="75" customHeight="1" x14ac:dyDescent="0.2">
      <c r="A9" s="8" t="s">
        <v>449</v>
      </c>
    </row>
    <row r="10" spans="1:1" ht="90" customHeight="1" x14ac:dyDescent="0.2">
      <c r="A10" s="8" t="s">
        <v>450</v>
      </c>
    </row>
    <row r="11" spans="1:1" ht="75" customHeight="1" x14ac:dyDescent="0.2">
      <c r="A11" s="8" t="s">
        <v>451</v>
      </c>
    </row>
    <row r="12" spans="1:1" ht="75" customHeight="1" x14ac:dyDescent="0.2">
      <c r="A12" s="8" t="s">
        <v>452</v>
      </c>
    </row>
    <row r="13" spans="1:1" ht="105" customHeight="1" x14ac:dyDescent="0.2">
      <c r="A13" s="8" t="s">
        <v>453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Terms</vt:lpstr>
      <vt:lpstr>Tariff</vt:lpstr>
      <vt:lpstr>Fuel Index</vt:lpstr>
      <vt:lpstr>BOL</vt:lpstr>
      <vt:lpstr>Invoices</vt:lpstr>
      <vt:lpstr>Billing File</vt:lpstr>
      <vt:lpstr>Confirmations</vt:lpstr>
      <vt:lpstr>Pro Matches</vt:lpstr>
      <vt:lpstr>Audit</vt:lpstr>
      <vt:lpstr>Exceptions</vt:lpstr>
      <vt:lpstr>Claim Schedule</vt:lpstr>
      <vt:lpstr>Undercharges</vt:lpstr>
      <vt:lpstr>Note to Ingrid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Halvorsen Building Products</dc:creator>
  <dc:title xmlns:dc="http://purl.org/dc/elements/1.1/">Northline freight bill audit, September 2026</dc:title>
  <dcterms:created xmlns:dcterms="http://purl.org/dc/terms/" xmlns:xsi="http://www.w3.org/2001/XMLSchema-instance" xsi:type="dcterms:W3CDTF">2026-10-12T07:48:15Z</dcterms:created>
  <dcterms:modified xmlns:dcterms="http://purl.org/dc/terms/" xmlns:xsi="http://www.w3.org/2001/XMLSchema-instance" xsi:type="dcterms:W3CDTF">2026-10-16T09:31:42Z</dcterms:modified>
  <cp:lastModifiedBy>Halvorsen Building Products</cp:lastModifiedBy>
</cp:coreProperties>
</file>